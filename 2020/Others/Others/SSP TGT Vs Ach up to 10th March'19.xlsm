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All Req\2019\SSP_March'19\Progress_Report_March'19\"/>
    </mc:Choice>
  </mc:AlternateContent>
  <bookViews>
    <workbookView xWindow="0" yWindow="0" windowWidth="20490" windowHeight="7155" tabRatio="814"/>
  </bookViews>
  <sheets>
    <sheet name="Interface" sheetId="29" r:id="rId1"/>
    <sheet name="Login" sheetId="30" state="veryHidden" r:id="rId2"/>
    <sheet name="Summary" sheetId="129" state="veryHidden" r:id="rId3"/>
    <sheet name="SSP_March'19" sheetId="119" state="veryHidden" r:id="rId4"/>
    <sheet name="HFM" sheetId="130" state="veryHidden" r:id="rId5"/>
    <sheet name="Dhaka North" sheetId="120" state="veryHidden" r:id="rId6"/>
    <sheet name="Dhaka South" sheetId="121" state="veryHidden" r:id="rId7"/>
    <sheet name="Chittagong" sheetId="122" state="veryHidden" r:id="rId8"/>
    <sheet name="Sylhet" sheetId="123" state="veryHidden" r:id="rId9"/>
    <sheet name="Mymensing" sheetId="124" state="veryHidden" r:id="rId10"/>
    <sheet name="Khulna" sheetId="125" state="veryHidden" r:id="rId11"/>
    <sheet name="Barisal" sheetId="126" state="veryHidden" r:id="rId12"/>
    <sheet name="Rangpur" sheetId="127" state="veryHidden" r:id="rId13"/>
    <sheet name="Rajshahi" sheetId="128" state="veryHidden" r:id="rId14"/>
  </sheets>
  <externalReferences>
    <externalReference r:id="rId15"/>
    <externalReference r:id="rId16"/>
  </externalReferences>
  <definedNames>
    <definedName name="_xlnm._FilterDatabase" localSheetId="11" hidden="1">Barisal!$A$2:$X$120</definedName>
    <definedName name="_xlnm._FilterDatabase" localSheetId="7" hidden="1">Chittagong!$A$2:$X$170</definedName>
    <definedName name="_xlnm._FilterDatabase" localSheetId="5" hidden="1">'Dhaka North'!$A$2:$X$90</definedName>
    <definedName name="_xlnm._FilterDatabase" localSheetId="6" hidden="1">'Dhaka South'!$A$2:$X$108</definedName>
    <definedName name="_xlnm._FilterDatabase" localSheetId="10" hidden="1">Khulna!$A$2:$X$166</definedName>
    <definedName name="_xlnm._FilterDatabase" localSheetId="9" hidden="1">Mymensing!$A$2:$X$253</definedName>
    <definedName name="_xlnm._FilterDatabase" localSheetId="13" hidden="1">Rajshahi!$A$2:$X$87</definedName>
    <definedName name="_xlnm._FilterDatabase" localSheetId="12" hidden="1">Rangpur!$A$2:$X$107</definedName>
    <definedName name="_xlnm._FilterDatabase" localSheetId="3" hidden="1">'SSP_March''19'!$A$2:$X$1193</definedName>
    <definedName name="_xlnm._FilterDatabase" localSheetId="8" hidden="1">Sylhet!$A$2:$X$108</definedName>
    <definedName name="CurrentUser">Login!$R$8</definedName>
    <definedName name="dhakan1">'[1]Formula Ref'!$A$153:$A$186</definedName>
    <definedName name="hfm">[2]Sheet2!$A$2:$I$302</definedName>
    <definedName name="Mamun" localSheetId="11">#REF!</definedName>
    <definedName name="Mamun" localSheetId="7">#REF!</definedName>
    <definedName name="Mamun" localSheetId="5">#REF!</definedName>
    <definedName name="Mamun" localSheetId="9">#REF!</definedName>
    <definedName name="Mamun" localSheetId="13">#REF!</definedName>
    <definedName name="Mamun">#REF!</definedName>
    <definedName name="mdl" localSheetId="11">#REF!</definedName>
    <definedName name="mdl" localSheetId="7">#REF!</definedName>
    <definedName name="mdl" localSheetId="5">#REF!</definedName>
    <definedName name="mdl" localSheetId="9">#REF!</definedName>
    <definedName name="mdl" localSheetId="13">#REF!</definedName>
    <definedName name="mdl">#REF!</definedName>
    <definedName name="Model">'[1]Formula Ref'!$G$599:$G$658</definedName>
    <definedName name="price">'[1]Formula Ref'!$G$599:$I$658</definedName>
    <definedName name="_xlnm.Print_Area" localSheetId="2">Summary!$B$1:$N$28</definedName>
    <definedName name="retdet">'[1]Formula Ref'!$C$317:$F$596</definedName>
    <definedName name="RTLIST" localSheetId="11">#REF!</definedName>
    <definedName name="RTLIST" localSheetId="7">#REF!</definedName>
    <definedName name="RTLIST" localSheetId="5">#REF!</definedName>
    <definedName name="RTLIST" localSheetId="9">#REF!</definedName>
    <definedName name="RTLIST" localSheetId="13">#REF!</definedName>
    <definedName name="RTLIST">#REF!</definedName>
    <definedName name="RTLIST1" localSheetId="11">#REF!</definedName>
    <definedName name="RTLIST1" localSheetId="7">#REF!</definedName>
    <definedName name="RTLIST1" localSheetId="5">#REF!</definedName>
    <definedName name="RTLIST1" localSheetId="9">#REF!</definedName>
    <definedName name="RTLIST1" localSheetId="13">#REF!</definedName>
    <definedName name="RTLIST1">#REF!</definedName>
    <definedName name="rtnme" localSheetId="11">#REF!</definedName>
    <definedName name="rtnme" localSheetId="7">#REF!</definedName>
    <definedName name="rtnme" localSheetId="5">#REF!</definedName>
    <definedName name="rtnme" localSheetId="9">#REF!</definedName>
    <definedName name="rtnme" localSheetId="13">#REF!</definedName>
    <definedName name="rtnme">#REF!</definedName>
    <definedName name="s" localSheetId="11">#REF!</definedName>
    <definedName name="s" localSheetId="7">#REF!</definedName>
    <definedName name="s" localSheetId="5">#REF!</definedName>
    <definedName name="s" localSheetId="9">#REF!</definedName>
    <definedName name="s" localSheetId="13">#REF!</definedName>
    <definedName name="s">#REF!</definedName>
    <definedName name="Sup">'[1]Formula Ref'!$A$2:$B$13</definedName>
    <definedName name="SUPD" localSheetId="11">#REF!</definedName>
    <definedName name="SUPD" localSheetId="7">#REF!</definedName>
    <definedName name="SUPD" localSheetId="5">#REF!</definedName>
    <definedName name="SUPD" localSheetId="9">#REF!</definedName>
    <definedName name="SUPD" localSheetId="13">#REF!</definedName>
    <definedName name="SUPD">#REF!</definedName>
  </definedNames>
  <calcPr calcId="152511"/>
</workbook>
</file>

<file path=xl/calcChain.xml><?xml version="1.0" encoding="utf-8"?>
<calcChain xmlns="http://schemas.openxmlformats.org/spreadsheetml/2006/main">
  <c r="J9" i="129" l="1"/>
  <c r="J10" i="129"/>
  <c r="J11" i="129"/>
  <c r="X15" i="124" l="1"/>
  <c r="W15" i="124"/>
  <c r="V15" i="124"/>
  <c r="U15" i="124"/>
  <c r="Q15" i="124"/>
  <c r="P15" i="124"/>
  <c r="L15" i="124"/>
  <c r="K15" i="124"/>
  <c r="X14" i="124"/>
  <c r="W14" i="124"/>
  <c r="V14" i="124"/>
  <c r="U14" i="124"/>
  <c r="Q14" i="124"/>
  <c r="P14" i="124"/>
  <c r="L14" i="124"/>
  <c r="K14" i="124"/>
  <c r="X13" i="124"/>
  <c r="W13" i="124"/>
  <c r="V13" i="124"/>
  <c r="U13" i="124"/>
  <c r="Q13" i="124"/>
  <c r="P13" i="124"/>
  <c r="L13" i="124"/>
  <c r="K13" i="124"/>
  <c r="X12" i="124"/>
  <c r="W12" i="124"/>
  <c r="V12" i="124"/>
  <c r="U12" i="124"/>
  <c r="Q12" i="124"/>
  <c r="P12" i="124"/>
  <c r="L12" i="124"/>
  <c r="K12" i="124"/>
  <c r="X11" i="124"/>
  <c r="W11" i="124"/>
  <c r="V11" i="124"/>
  <c r="U11" i="124"/>
  <c r="Q11" i="124"/>
  <c r="P11" i="124"/>
  <c r="L11" i="124"/>
  <c r="K11" i="124"/>
  <c r="X10" i="124"/>
  <c r="W10" i="124"/>
  <c r="V10" i="124"/>
  <c r="U10" i="124"/>
  <c r="Q10" i="124"/>
  <c r="P10" i="124"/>
  <c r="L10" i="124"/>
  <c r="K10" i="124"/>
  <c r="X9" i="124"/>
  <c r="W9" i="124"/>
  <c r="V9" i="124"/>
  <c r="U9" i="124"/>
  <c r="Q9" i="124"/>
  <c r="P9" i="124"/>
  <c r="L9" i="124"/>
  <c r="K9" i="124"/>
  <c r="X8" i="124"/>
  <c r="W8" i="124"/>
  <c r="V8" i="124"/>
  <c r="U8" i="124"/>
  <c r="Q8" i="124"/>
  <c r="P8" i="124"/>
  <c r="L8" i="124"/>
  <c r="K8" i="124"/>
  <c r="X7" i="124"/>
  <c r="W7" i="124"/>
  <c r="V7" i="124"/>
  <c r="U7" i="124"/>
  <c r="Q7" i="124"/>
  <c r="P7" i="124"/>
  <c r="L7" i="124"/>
  <c r="K7" i="124"/>
  <c r="X6" i="124"/>
  <c r="W6" i="124"/>
  <c r="V6" i="124"/>
  <c r="U6" i="124"/>
  <c r="Q6" i="124"/>
  <c r="P6" i="124"/>
  <c r="L6" i="124"/>
  <c r="K6" i="124"/>
  <c r="X5" i="124"/>
  <c r="W5" i="124"/>
  <c r="V5" i="124"/>
  <c r="U5" i="124"/>
  <c r="Q5" i="124"/>
  <c r="P5" i="124"/>
  <c r="L5" i="124"/>
  <c r="K5" i="124"/>
  <c r="X164" i="122"/>
  <c r="W164" i="122"/>
  <c r="V164" i="122"/>
  <c r="U164" i="122"/>
  <c r="Q164" i="122"/>
  <c r="P164" i="122"/>
  <c r="L164" i="122"/>
  <c r="K164" i="122"/>
  <c r="X163" i="122"/>
  <c r="W163" i="122"/>
  <c r="V163" i="122"/>
  <c r="U163" i="122"/>
  <c r="Q163" i="122"/>
  <c r="P163" i="122"/>
  <c r="L163" i="122"/>
  <c r="K163" i="122"/>
  <c r="M163" i="122" s="1"/>
  <c r="X84" i="120"/>
  <c r="W84" i="120"/>
  <c r="V84" i="120"/>
  <c r="U84" i="120"/>
  <c r="Q84" i="120"/>
  <c r="P84" i="120"/>
  <c r="L84" i="120"/>
  <c r="K84" i="120"/>
  <c r="X83" i="120"/>
  <c r="W83" i="120"/>
  <c r="V83" i="120"/>
  <c r="U83" i="120"/>
  <c r="Q83" i="120"/>
  <c r="P83" i="120"/>
  <c r="L83" i="120"/>
  <c r="K83" i="120"/>
  <c r="M5" i="124" l="1"/>
  <c r="M6" i="124"/>
  <c r="M7" i="124"/>
  <c r="M9" i="124"/>
  <c r="M10" i="124"/>
  <c r="M11" i="124"/>
  <c r="M13" i="124"/>
  <c r="M14" i="124"/>
  <c r="M15" i="124"/>
  <c r="M8" i="124"/>
  <c r="M12" i="124"/>
  <c r="R5" i="124"/>
  <c r="R6" i="124"/>
  <c r="R7" i="124"/>
  <c r="R9" i="124"/>
  <c r="R11" i="124"/>
  <c r="R12" i="124"/>
  <c r="R13" i="124"/>
  <c r="R14" i="124"/>
  <c r="R15" i="124"/>
  <c r="R8" i="124"/>
  <c r="R10" i="124"/>
  <c r="M164" i="122"/>
  <c r="R163" i="122"/>
  <c r="R164" i="122"/>
  <c r="M84" i="120"/>
  <c r="R83" i="120"/>
  <c r="R84" i="120"/>
  <c r="M83" i="120"/>
  <c r="X4" i="124" l="1"/>
  <c r="W4" i="124"/>
  <c r="V4" i="124"/>
  <c r="U4" i="124"/>
  <c r="Q4" i="124"/>
  <c r="P4" i="124"/>
  <c r="L4" i="124"/>
  <c r="K4" i="124"/>
  <c r="S663" i="119"/>
  <c r="T663" i="119" s="1"/>
  <c r="R663" i="119"/>
  <c r="N663" i="119"/>
  <c r="O663" i="119" s="1"/>
  <c r="M663" i="119"/>
  <c r="M4" i="124" l="1"/>
  <c r="R4" i="124"/>
  <c r="X12" i="121"/>
  <c r="W12" i="121"/>
  <c r="V12" i="121"/>
  <c r="U12" i="121"/>
  <c r="Q12" i="121"/>
  <c r="P12" i="121"/>
  <c r="L12" i="121"/>
  <c r="K12" i="121"/>
  <c r="X11" i="121"/>
  <c r="W11" i="121"/>
  <c r="V11" i="121"/>
  <c r="U11" i="121"/>
  <c r="Q11" i="121"/>
  <c r="P11" i="121"/>
  <c r="L11" i="121"/>
  <c r="K11" i="121"/>
  <c r="X10" i="121"/>
  <c r="W10" i="121"/>
  <c r="V10" i="121"/>
  <c r="U10" i="121"/>
  <c r="Q10" i="121"/>
  <c r="P10" i="121"/>
  <c r="L10" i="121"/>
  <c r="K10" i="121"/>
  <c r="X9" i="121"/>
  <c r="W9" i="121"/>
  <c r="V9" i="121"/>
  <c r="U9" i="121"/>
  <c r="Q9" i="121"/>
  <c r="P9" i="121"/>
  <c r="L9" i="121"/>
  <c r="K9" i="121"/>
  <c r="X8" i="121"/>
  <c r="W8" i="121"/>
  <c r="V8" i="121"/>
  <c r="U8" i="121"/>
  <c r="Q8" i="121"/>
  <c r="P8" i="121"/>
  <c r="L8" i="121"/>
  <c r="K8" i="121"/>
  <c r="X7" i="121"/>
  <c r="W7" i="121"/>
  <c r="V7" i="121"/>
  <c r="U7" i="121"/>
  <c r="Q7" i="121"/>
  <c r="P7" i="121"/>
  <c r="L7" i="121"/>
  <c r="K7" i="121"/>
  <c r="X6" i="121"/>
  <c r="W6" i="121"/>
  <c r="V6" i="121"/>
  <c r="U6" i="121"/>
  <c r="Q6" i="121"/>
  <c r="P6" i="121"/>
  <c r="L6" i="121"/>
  <c r="K6" i="121"/>
  <c r="X5" i="121"/>
  <c r="W5" i="121"/>
  <c r="V5" i="121"/>
  <c r="U5" i="121"/>
  <c r="Q5" i="121"/>
  <c r="P5" i="121"/>
  <c r="L5" i="121"/>
  <c r="K5" i="121"/>
  <c r="X4" i="121"/>
  <c r="W4" i="121"/>
  <c r="V4" i="121"/>
  <c r="U4" i="121"/>
  <c r="Q4" i="121"/>
  <c r="P4" i="121"/>
  <c r="L4" i="121"/>
  <c r="K4" i="121"/>
  <c r="X3" i="121"/>
  <c r="W3" i="121"/>
  <c r="V3" i="121"/>
  <c r="U3" i="121"/>
  <c r="Q3" i="121"/>
  <c r="P3" i="121"/>
  <c r="L3" i="121"/>
  <c r="K3" i="121"/>
  <c r="X30" i="121"/>
  <c r="W30" i="121"/>
  <c r="V30" i="121"/>
  <c r="U30" i="121"/>
  <c r="Q30" i="121"/>
  <c r="P30" i="121"/>
  <c r="L30" i="121"/>
  <c r="K30" i="121"/>
  <c r="X29" i="121"/>
  <c r="W29" i="121"/>
  <c r="V29" i="121"/>
  <c r="U29" i="121"/>
  <c r="Q29" i="121"/>
  <c r="P29" i="121"/>
  <c r="L29" i="121"/>
  <c r="K29" i="121"/>
  <c r="X28" i="121"/>
  <c r="W28" i="121"/>
  <c r="V28" i="121"/>
  <c r="U28" i="121"/>
  <c r="Q28" i="121"/>
  <c r="P28" i="121"/>
  <c r="L28" i="121"/>
  <c r="K28" i="121"/>
  <c r="X27" i="121"/>
  <c r="W27" i="121"/>
  <c r="V27" i="121"/>
  <c r="U27" i="121"/>
  <c r="Q27" i="121"/>
  <c r="P27" i="121"/>
  <c r="L27" i="121"/>
  <c r="K27" i="121"/>
  <c r="X26" i="121"/>
  <c r="W26" i="121"/>
  <c r="V26" i="121"/>
  <c r="U26" i="121"/>
  <c r="Q26" i="121"/>
  <c r="P26" i="121"/>
  <c r="L26" i="121"/>
  <c r="K26" i="121"/>
  <c r="X25" i="121"/>
  <c r="W25" i="121"/>
  <c r="V25" i="121"/>
  <c r="U25" i="121"/>
  <c r="Q25" i="121"/>
  <c r="P25" i="121"/>
  <c r="L25" i="121"/>
  <c r="K25" i="121"/>
  <c r="X24" i="121"/>
  <c r="W24" i="121"/>
  <c r="V24" i="121"/>
  <c r="U24" i="121"/>
  <c r="Q24" i="121"/>
  <c r="P24" i="121"/>
  <c r="L24" i="121"/>
  <c r="K24" i="121"/>
  <c r="X23" i="121"/>
  <c r="W23" i="121"/>
  <c r="V23" i="121"/>
  <c r="U23" i="121"/>
  <c r="Q23" i="121"/>
  <c r="P23" i="121"/>
  <c r="L23" i="121"/>
  <c r="K23" i="121"/>
  <c r="X22" i="121"/>
  <c r="W22" i="121"/>
  <c r="V22" i="121"/>
  <c r="U22" i="121"/>
  <c r="Q22" i="121"/>
  <c r="P22" i="121"/>
  <c r="L22" i="121"/>
  <c r="K22" i="121"/>
  <c r="X21" i="121"/>
  <c r="W21" i="121"/>
  <c r="V21" i="121"/>
  <c r="U21" i="121"/>
  <c r="Q21" i="121"/>
  <c r="P21" i="121"/>
  <c r="L21" i="121"/>
  <c r="K21" i="121"/>
  <c r="X20" i="121"/>
  <c r="W20" i="121"/>
  <c r="V20" i="121"/>
  <c r="U20" i="121"/>
  <c r="Q20" i="121"/>
  <c r="P20" i="121"/>
  <c r="L20" i="121"/>
  <c r="K20" i="121"/>
  <c r="X19" i="121"/>
  <c r="W19" i="121"/>
  <c r="V19" i="121"/>
  <c r="U19" i="121"/>
  <c r="Q19" i="121"/>
  <c r="P19" i="121"/>
  <c r="L19" i="121"/>
  <c r="K19" i="121"/>
  <c r="X18" i="121"/>
  <c r="W18" i="121"/>
  <c r="V18" i="121"/>
  <c r="U18" i="121"/>
  <c r="Q18" i="121"/>
  <c r="P18" i="121"/>
  <c r="L18" i="121"/>
  <c r="K18" i="121"/>
  <c r="X17" i="121"/>
  <c r="W17" i="121"/>
  <c r="V17" i="121"/>
  <c r="U17" i="121"/>
  <c r="Q17" i="121"/>
  <c r="P17" i="121"/>
  <c r="L17" i="121"/>
  <c r="K17" i="121"/>
  <c r="X16" i="121"/>
  <c r="W16" i="121"/>
  <c r="V16" i="121"/>
  <c r="U16" i="121"/>
  <c r="Q16" i="121"/>
  <c r="P16" i="121"/>
  <c r="L16" i="121"/>
  <c r="K16" i="121"/>
  <c r="X15" i="121"/>
  <c r="W15" i="121"/>
  <c r="V15" i="121"/>
  <c r="U15" i="121"/>
  <c r="Q15" i="121"/>
  <c r="P15" i="121"/>
  <c r="L15" i="121"/>
  <c r="K15" i="121"/>
  <c r="X14" i="121"/>
  <c r="W14" i="121"/>
  <c r="V14" i="121"/>
  <c r="U14" i="121"/>
  <c r="Q14" i="121"/>
  <c r="P14" i="121"/>
  <c r="L14" i="121"/>
  <c r="K14" i="121"/>
  <c r="X13" i="121"/>
  <c r="W13" i="121"/>
  <c r="V13" i="121"/>
  <c r="U13" i="121"/>
  <c r="Q13" i="121"/>
  <c r="P13" i="121"/>
  <c r="L13" i="121"/>
  <c r="K13" i="121"/>
  <c r="X50" i="121"/>
  <c r="W50" i="121"/>
  <c r="V50" i="121"/>
  <c r="U50" i="121"/>
  <c r="Q50" i="121"/>
  <c r="P50" i="121"/>
  <c r="L50" i="121"/>
  <c r="K50" i="121"/>
  <c r="X49" i="121"/>
  <c r="W49" i="121"/>
  <c r="V49" i="121"/>
  <c r="U49" i="121"/>
  <c r="Q49" i="121"/>
  <c r="P49" i="121"/>
  <c r="L49" i="121"/>
  <c r="K49" i="121"/>
  <c r="X48" i="121"/>
  <c r="W48" i="121"/>
  <c r="V48" i="121"/>
  <c r="U48" i="121"/>
  <c r="Q48" i="121"/>
  <c r="P48" i="121"/>
  <c r="L48" i="121"/>
  <c r="K48" i="121"/>
  <c r="X47" i="121"/>
  <c r="W47" i="121"/>
  <c r="V47" i="121"/>
  <c r="U47" i="121"/>
  <c r="Q47" i="121"/>
  <c r="P47" i="121"/>
  <c r="L47" i="121"/>
  <c r="K47" i="121"/>
  <c r="X46" i="121"/>
  <c r="W46" i="121"/>
  <c r="V46" i="121"/>
  <c r="U46" i="121"/>
  <c r="Q46" i="121"/>
  <c r="P46" i="121"/>
  <c r="L46" i="121"/>
  <c r="K46" i="121"/>
  <c r="X45" i="121"/>
  <c r="W45" i="121"/>
  <c r="V45" i="121"/>
  <c r="U45" i="121"/>
  <c r="Q45" i="121"/>
  <c r="P45" i="121"/>
  <c r="L45" i="121"/>
  <c r="K45" i="121"/>
  <c r="X44" i="121"/>
  <c r="W44" i="121"/>
  <c r="V44" i="121"/>
  <c r="U44" i="121"/>
  <c r="Q44" i="121"/>
  <c r="P44" i="121"/>
  <c r="L44" i="121"/>
  <c r="K44" i="121"/>
  <c r="X43" i="121"/>
  <c r="W43" i="121"/>
  <c r="V43" i="121"/>
  <c r="U43" i="121"/>
  <c r="Q43" i="121"/>
  <c r="P43" i="121"/>
  <c r="L43" i="121"/>
  <c r="K43" i="121"/>
  <c r="X42" i="121"/>
  <c r="W42" i="121"/>
  <c r="V42" i="121"/>
  <c r="U42" i="121"/>
  <c r="Q42" i="121"/>
  <c r="P42" i="121"/>
  <c r="L42" i="121"/>
  <c r="K42" i="121"/>
  <c r="X41" i="121"/>
  <c r="W41" i="121"/>
  <c r="V41" i="121"/>
  <c r="U41" i="121"/>
  <c r="Q41" i="121"/>
  <c r="P41" i="121"/>
  <c r="L41" i="121"/>
  <c r="K41" i="121"/>
  <c r="X40" i="121"/>
  <c r="W40" i="121"/>
  <c r="V40" i="121"/>
  <c r="U40" i="121"/>
  <c r="Q40" i="121"/>
  <c r="P40" i="121"/>
  <c r="L40" i="121"/>
  <c r="K40" i="121"/>
  <c r="X39" i="121"/>
  <c r="W39" i="121"/>
  <c r="V39" i="121"/>
  <c r="U39" i="121"/>
  <c r="Q39" i="121"/>
  <c r="P39" i="121"/>
  <c r="L39" i="121"/>
  <c r="K39" i="121"/>
  <c r="X38" i="121"/>
  <c r="W38" i="121"/>
  <c r="V38" i="121"/>
  <c r="U38" i="121"/>
  <c r="Q38" i="121"/>
  <c r="P38" i="121"/>
  <c r="L38" i="121"/>
  <c r="K38" i="121"/>
  <c r="X37" i="121"/>
  <c r="W37" i="121"/>
  <c r="V37" i="121"/>
  <c r="U37" i="121"/>
  <c r="Q37" i="121"/>
  <c r="P37" i="121"/>
  <c r="L37" i="121"/>
  <c r="K37" i="121"/>
  <c r="X36" i="121"/>
  <c r="W36" i="121"/>
  <c r="V36" i="121"/>
  <c r="U36" i="121"/>
  <c r="Q36" i="121"/>
  <c r="P36" i="121"/>
  <c r="L36" i="121"/>
  <c r="K36" i="121"/>
  <c r="X35" i="121"/>
  <c r="W35" i="121"/>
  <c r="V35" i="121"/>
  <c r="U35" i="121"/>
  <c r="Q35" i="121"/>
  <c r="P35" i="121"/>
  <c r="L35" i="121"/>
  <c r="K35" i="121"/>
  <c r="X34" i="121"/>
  <c r="W34" i="121"/>
  <c r="V34" i="121"/>
  <c r="U34" i="121"/>
  <c r="Q34" i="121"/>
  <c r="P34" i="121"/>
  <c r="L34" i="121"/>
  <c r="K34" i="121"/>
  <c r="X33" i="121"/>
  <c r="W33" i="121"/>
  <c r="V33" i="121"/>
  <c r="U33" i="121"/>
  <c r="Q33" i="121"/>
  <c r="P33" i="121"/>
  <c r="L33" i="121"/>
  <c r="K33" i="121"/>
  <c r="R29" i="121" l="1"/>
  <c r="R21" i="121"/>
  <c r="M6" i="121"/>
  <c r="M10" i="121"/>
  <c r="M12" i="121"/>
  <c r="M13" i="121"/>
  <c r="M21" i="121"/>
  <c r="M29" i="121"/>
  <c r="R6" i="121"/>
  <c r="R10" i="121"/>
  <c r="R33" i="121"/>
  <c r="R34" i="121"/>
  <c r="R35" i="121"/>
  <c r="R36" i="121"/>
  <c r="R37" i="121"/>
  <c r="R38" i="121"/>
  <c r="R39" i="121"/>
  <c r="R40" i="121"/>
  <c r="R41" i="121"/>
  <c r="R42" i="121"/>
  <c r="R43" i="121"/>
  <c r="R44" i="121"/>
  <c r="R45" i="121"/>
  <c r="R46" i="121"/>
  <c r="R47" i="121"/>
  <c r="R48" i="121"/>
  <c r="R49" i="121"/>
  <c r="M14" i="121"/>
  <c r="M15" i="121"/>
  <c r="M17" i="121"/>
  <c r="M30" i="121"/>
  <c r="M3" i="121"/>
  <c r="M4" i="121"/>
  <c r="M11" i="121"/>
  <c r="M22" i="121"/>
  <c r="M23" i="121"/>
  <c r="M25" i="121"/>
  <c r="M7" i="121"/>
  <c r="M8" i="121"/>
  <c r="R13" i="121"/>
  <c r="R17" i="121"/>
  <c r="R25" i="121"/>
  <c r="R4" i="121"/>
  <c r="R8" i="121"/>
  <c r="R12" i="121"/>
  <c r="M18" i="121"/>
  <c r="M19" i="121"/>
  <c r="M26" i="121"/>
  <c r="M27" i="121"/>
  <c r="M5" i="121"/>
  <c r="M9" i="121"/>
  <c r="M16" i="121"/>
  <c r="M20" i="121"/>
  <c r="M24" i="121"/>
  <c r="M28" i="121"/>
  <c r="R15" i="121"/>
  <c r="R19" i="121"/>
  <c r="R23" i="121"/>
  <c r="R27" i="121"/>
  <c r="R3" i="121"/>
  <c r="R5" i="121"/>
  <c r="R7" i="121"/>
  <c r="R9" i="121"/>
  <c r="R11" i="121"/>
  <c r="R14" i="121"/>
  <c r="R16" i="121"/>
  <c r="R18" i="121"/>
  <c r="R20" i="121"/>
  <c r="R22" i="121"/>
  <c r="R24" i="121"/>
  <c r="R26" i="121"/>
  <c r="R28" i="121"/>
  <c r="R30" i="121"/>
  <c r="R50" i="121"/>
  <c r="M33" i="121"/>
  <c r="M34" i="121"/>
  <c r="M35" i="121"/>
  <c r="M36" i="121"/>
  <c r="M37" i="121"/>
  <c r="M38" i="121"/>
  <c r="M39" i="121"/>
  <c r="M40" i="121"/>
  <c r="M41" i="121"/>
  <c r="M42" i="121"/>
  <c r="M43" i="121"/>
  <c r="M44" i="121"/>
  <c r="M45" i="121"/>
  <c r="M46" i="121"/>
  <c r="M47" i="121"/>
  <c r="M48" i="121"/>
  <c r="M49" i="121"/>
  <c r="M50" i="121"/>
  <c r="X231" i="124" l="1"/>
  <c r="W231" i="124"/>
  <c r="V231" i="124"/>
  <c r="U231" i="124"/>
  <c r="Q231" i="124"/>
  <c r="P231" i="124"/>
  <c r="L231" i="124"/>
  <c r="K231" i="124"/>
  <c r="X108" i="123"/>
  <c r="W108" i="123"/>
  <c r="V108" i="123"/>
  <c r="U108" i="123"/>
  <c r="Q108" i="123"/>
  <c r="X107" i="123"/>
  <c r="W107" i="123"/>
  <c r="V107" i="123"/>
  <c r="U107" i="123"/>
  <c r="Q107" i="123"/>
  <c r="X106" i="123"/>
  <c r="W106" i="123"/>
  <c r="V106" i="123"/>
  <c r="U106" i="123"/>
  <c r="Q106" i="123"/>
  <c r="X105" i="123"/>
  <c r="W105" i="123"/>
  <c r="V105" i="123"/>
  <c r="U105" i="123"/>
  <c r="Q105" i="123"/>
  <c r="X104" i="123"/>
  <c r="W104" i="123"/>
  <c r="V104" i="123"/>
  <c r="U104" i="123"/>
  <c r="Q104" i="123"/>
  <c r="X103" i="123"/>
  <c r="W103" i="123"/>
  <c r="V103" i="123"/>
  <c r="U103" i="123"/>
  <c r="Q103" i="123"/>
  <c r="X102" i="123"/>
  <c r="W102" i="123"/>
  <c r="V102" i="123"/>
  <c r="U102" i="123"/>
  <c r="Q102" i="123"/>
  <c r="X101" i="123"/>
  <c r="W101" i="123"/>
  <c r="V101" i="123"/>
  <c r="U101" i="123"/>
  <c r="Q101" i="123"/>
  <c r="X100" i="123"/>
  <c r="W100" i="123"/>
  <c r="V100" i="123"/>
  <c r="U100" i="123"/>
  <c r="Q100" i="123"/>
  <c r="X99" i="123"/>
  <c r="W99" i="123"/>
  <c r="V99" i="123"/>
  <c r="U99" i="123"/>
  <c r="Q99" i="123"/>
  <c r="X98" i="123"/>
  <c r="W98" i="123"/>
  <c r="V98" i="123"/>
  <c r="U98" i="123"/>
  <c r="Q98" i="123"/>
  <c r="X97" i="123"/>
  <c r="W97" i="123"/>
  <c r="V97" i="123"/>
  <c r="U97" i="123"/>
  <c r="Q97" i="123"/>
  <c r="X96" i="123"/>
  <c r="W96" i="123"/>
  <c r="V96" i="123"/>
  <c r="U96" i="123"/>
  <c r="Q96" i="123"/>
  <c r="X95" i="123"/>
  <c r="W95" i="123"/>
  <c r="V95" i="123"/>
  <c r="U95" i="123"/>
  <c r="Q95" i="123"/>
  <c r="X94" i="123"/>
  <c r="W94" i="123"/>
  <c r="V94" i="123"/>
  <c r="U94" i="123"/>
  <c r="Q94" i="123"/>
  <c r="X93" i="123"/>
  <c r="W93" i="123"/>
  <c r="V93" i="123"/>
  <c r="U93" i="123"/>
  <c r="Q93" i="123"/>
  <c r="X92" i="123"/>
  <c r="W92" i="123"/>
  <c r="V92" i="123"/>
  <c r="U92" i="123"/>
  <c r="Q92" i="123"/>
  <c r="X91" i="123"/>
  <c r="W91" i="123"/>
  <c r="V91" i="123"/>
  <c r="U91" i="123"/>
  <c r="Q91" i="123"/>
  <c r="X90" i="123"/>
  <c r="W90" i="123"/>
  <c r="V90" i="123"/>
  <c r="U90" i="123"/>
  <c r="Q90" i="123"/>
  <c r="X89" i="123"/>
  <c r="W89" i="123"/>
  <c r="V89" i="123"/>
  <c r="U89" i="123"/>
  <c r="Q89" i="123"/>
  <c r="X88" i="123"/>
  <c r="W88" i="123"/>
  <c r="V88" i="123"/>
  <c r="U88" i="123"/>
  <c r="Q88" i="123"/>
  <c r="X87" i="123"/>
  <c r="W87" i="123"/>
  <c r="V87" i="123"/>
  <c r="U87" i="123"/>
  <c r="Q87" i="123"/>
  <c r="X86" i="123"/>
  <c r="W86" i="123"/>
  <c r="V86" i="123"/>
  <c r="U86" i="123"/>
  <c r="Q86" i="123"/>
  <c r="X85" i="123"/>
  <c r="W85" i="123"/>
  <c r="V85" i="123"/>
  <c r="U85" i="123"/>
  <c r="Q85" i="123"/>
  <c r="X84" i="123"/>
  <c r="W84" i="123"/>
  <c r="V84" i="123"/>
  <c r="U84" i="123"/>
  <c r="Q84" i="123"/>
  <c r="X83" i="123"/>
  <c r="W83" i="123"/>
  <c r="V83" i="123"/>
  <c r="U83" i="123"/>
  <c r="Q83" i="123"/>
  <c r="X82" i="123"/>
  <c r="W82" i="123"/>
  <c r="V82" i="123"/>
  <c r="U82" i="123"/>
  <c r="Q82" i="123"/>
  <c r="X81" i="123"/>
  <c r="W81" i="123"/>
  <c r="V81" i="123"/>
  <c r="U81" i="123"/>
  <c r="Q81" i="123"/>
  <c r="X80" i="123"/>
  <c r="W80" i="123"/>
  <c r="V80" i="123"/>
  <c r="U80" i="123"/>
  <c r="Q80" i="123"/>
  <c r="X79" i="123"/>
  <c r="W79" i="123"/>
  <c r="V79" i="123"/>
  <c r="U79" i="123"/>
  <c r="Q79" i="123"/>
  <c r="X78" i="123"/>
  <c r="W78" i="123"/>
  <c r="V78" i="123"/>
  <c r="U78" i="123"/>
  <c r="Q78" i="123"/>
  <c r="X77" i="123"/>
  <c r="W77" i="123"/>
  <c r="V77" i="123"/>
  <c r="U77" i="123"/>
  <c r="Q77" i="123"/>
  <c r="X76" i="123"/>
  <c r="W76" i="123"/>
  <c r="V76" i="123"/>
  <c r="U76" i="123"/>
  <c r="Q76" i="123"/>
  <c r="X75" i="123"/>
  <c r="W75" i="123"/>
  <c r="V75" i="123"/>
  <c r="U75" i="123"/>
  <c r="Q75" i="123"/>
  <c r="X74" i="123"/>
  <c r="W74" i="123"/>
  <c r="V74" i="123"/>
  <c r="U74" i="123"/>
  <c r="Q74" i="123"/>
  <c r="X73" i="123"/>
  <c r="W73" i="123"/>
  <c r="V73" i="123"/>
  <c r="U73" i="123"/>
  <c r="Q73" i="123"/>
  <c r="X72" i="123"/>
  <c r="W72" i="123"/>
  <c r="V72" i="123"/>
  <c r="U72" i="123"/>
  <c r="Q72" i="123"/>
  <c r="X71" i="123"/>
  <c r="W71" i="123"/>
  <c r="V71" i="123"/>
  <c r="U71" i="123"/>
  <c r="Q71" i="123"/>
  <c r="X70" i="123"/>
  <c r="W70" i="123"/>
  <c r="V70" i="123"/>
  <c r="U70" i="123"/>
  <c r="Q70" i="123"/>
  <c r="X69" i="123"/>
  <c r="W69" i="123"/>
  <c r="V69" i="123"/>
  <c r="U69" i="123"/>
  <c r="Q69" i="123"/>
  <c r="X68" i="123"/>
  <c r="W68" i="123"/>
  <c r="V68" i="123"/>
  <c r="U68" i="123"/>
  <c r="Q68" i="123"/>
  <c r="X67" i="123"/>
  <c r="W67" i="123"/>
  <c r="V67" i="123"/>
  <c r="U67" i="123"/>
  <c r="Q67" i="123"/>
  <c r="X66" i="123"/>
  <c r="W66" i="123"/>
  <c r="V66" i="123"/>
  <c r="U66" i="123"/>
  <c r="Q66" i="123"/>
  <c r="X65" i="123"/>
  <c r="W65" i="123"/>
  <c r="V65" i="123"/>
  <c r="U65" i="123"/>
  <c r="Q65" i="123"/>
  <c r="X64" i="123"/>
  <c r="W64" i="123"/>
  <c r="V64" i="123"/>
  <c r="U64" i="123"/>
  <c r="Q64" i="123"/>
  <c r="X63" i="123"/>
  <c r="W63" i="123"/>
  <c r="V63" i="123"/>
  <c r="U63" i="123"/>
  <c r="Q63" i="123"/>
  <c r="X62" i="123"/>
  <c r="W62" i="123"/>
  <c r="V62" i="123"/>
  <c r="U62" i="123"/>
  <c r="Q62" i="123"/>
  <c r="X61" i="123"/>
  <c r="W61" i="123"/>
  <c r="V61" i="123"/>
  <c r="U61" i="123"/>
  <c r="Q61" i="123"/>
  <c r="X60" i="123"/>
  <c r="W60" i="123"/>
  <c r="V60" i="123"/>
  <c r="U60" i="123"/>
  <c r="Q60" i="123"/>
  <c r="X59" i="123"/>
  <c r="W59" i="123"/>
  <c r="V59" i="123"/>
  <c r="U59" i="123"/>
  <c r="Q59" i="123"/>
  <c r="X58" i="123"/>
  <c r="W58" i="123"/>
  <c r="V58" i="123"/>
  <c r="U58" i="123"/>
  <c r="Q58" i="123"/>
  <c r="X57" i="123"/>
  <c r="W57" i="123"/>
  <c r="V57" i="123"/>
  <c r="U57" i="123"/>
  <c r="Q57" i="123"/>
  <c r="X56" i="123"/>
  <c r="W56" i="123"/>
  <c r="V56" i="123"/>
  <c r="U56" i="123"/>
  <c r="Q56" i="123"/>
  <c r="X55" i="123"/>
  <c r="W55" i="123"/>
  <c r="V55" i="123"/>
  <c r="U55" i="123"/>
  <c r="Q55" i="123"/>
  <c r="X54" i="123"/>
  <c r="W54" i="123"/>
  <c r="V54" i="123"/>
  <c r="U54" i="123"/>
  <c r="Q54" i="123"/>
  <c r="X53" i="123"/>
  <c r="W53" i="123"/>
  <c r="V53" i="123"/>
  <c r="U53" i="123"/>
  <c r="Q53" i="123"/>
  <c r="X52" i="123"/>
  <c r="W52" i="123"/>
  <c r="V52" i="123"/>
  <c r="U52" i="123"/>
  <c r="Q52" i="123"/>
  <c r="X51" i="123"/>
  <c r="W51" i="123"/>
  <c r="V51" i="123"/>
  <c r="U51" i="123"/>
  <c r="Q51" i="123"/>
  <c r="X50" i="123"/>
  <c r="W50" i="123"/>
  <c r="V50" i="123"/>
  <c r="U50" i="123"/>
  <c r="Q50" i="123"/>
  <c r="X49" i="123"/>
  <c r="W49" i="123"/>
  <c r="V49" i="123"/>
  <c r="U49" i="123"/>
  <c r="Q49" i="123"/>
  <c r="X48" i="123"/>
  <c r="W48" i="123"/>
  <c r="V48" i="123"/>
  <c r="U48" i="123"/>
  <c r="Q48" i="123"/>
  <c r="X47" i="123"/>
  <c r="W47" i="123"/>
  <c r="V47" i="123"/>
  <c r="U47" i="123"/>
  <c r="Q47" i="123"/>
  <c r="X46" i="123"/>
  <c r="W46" i="123"/>
  <c r="V46" i="123"/>
  <c r="U46" i="123"/>
  <c r="Q46" i="123"/>
  <c r="X45" i="123"/>
  <c r="W45" i="123"/>
  <c r="V45" i="123"/>
  <c r="U45" i="123"/>
  <c r="Q45" i="123"/>
  <c r="X44" i="123"/>
  <c r="W44" i="123"/>
  <c r="V44" i="123"/>
  <c r="U44" i="123"/>
  <c r="Q44" i="123"/>
  <c r="X43" i="123"/>
  <c r="W43" i="123"/>
  <c r="V43" i="123"/>
  <c r="U43" i="123"/>
  <c r="Q43" i="123"/>
  <c r="X42" i="123"/>
  <c r="W42" i="123"/>
  <c r="V42" i="123"/>
  <c r="U42" i="123"/>
  <c r="Q42" i="123"/>
  <c r="X41" i="123"/>
  <c r="W41" i="123"/>
  <c r="V41" i="123"/>
  <c r="U41" i="123"/>
  <c r="Q41" i="123"/>
  <c r="X40" i="123"/>
  <c r="W40" i="123"/>
  <c r="V40" i="123"/>
  <c r="U40" i="123"/>
  <c r="Q40" i="123"/>
  <c r="X39" i="123"/>
  <c r="W39" i="123"/>
  <c r="V39" i="123"/>
  <c r="U39" i="123"/>
  <c r="Q39" i="123"/>
  <c r="X38" i="123"/>
  <c r="W38" i="123"/>
  <c r="V38" i="123"/>
  <c r="U38" i="123"/>
  <c r="Q38" i="123"/>
  <c r="X37" i="123"/>
  <c r="W37" i="123"/>
  <c r="V37" i="123"/>
  <c r="U37" i="123"/>
  <c r="Q37" i="123"/>
  <c r="X36" i="123"/>
  <c r="W36" i="123"/>
  <c r="V36" i="123"/>
  <c r="U36" i="123"/>
  <c r="Q36" i="123"/>
  <c r="X35" i="123"/>
  <c r="W35" i="123"/>
  <c r="V35" i="123"/>
  <c r="U35" i="123"/>
  <c r="Q35" i="123"/>
  <c r="X34" i="123"/>
  <c r="W34" i="123"/>
  <c r="V34" i="123"/>
  <c r="U34" i="123"/>
  <c r="Q34" i="123"/>
  <c r="X33" i="123"/>
  <c r="W33" i="123"/>
  <c r="V33" i="123"/>
  <c r="U33" i="123"/>
  <c r="Q33" i="123"/>
  <c r="X32" i="123"/>
  <c r="W32" i="123"/>
  <c r="V32" i="123"/>
  <c r="U32" i="123"/>
  <c r="Q32" i="123"/>
  <c r="X31" i="123"/>
  <c r="W31" i="123"/>
  <c r="V31" i="123"/>
  <c r="U31" i="123"/>
  <c r="Q31" i="123"/>
  <c r="X30" i="123"/>
  <c r="W30" i="123"/>
  <c r="V30" i="123"/>
  <c r="U30" i="123"/>
  <c r="Q30" i="123"/>
  <c r="X29" i="123"/>
  <c r="W29" i="123"/>
  <c r="V29" i="123"/>
  <c r="U29" i="123"/>
  <c r="Q29" i="123"/>
  <c r="X28" i="123"/>
  <c r="W28" i="123"/>
  <c r="V28" i="123"/>
  <c r="U28" i="123"/>
  <c r="Q28" i="123"/>
  <c r="X27" i="123"/>
  <c r="W27" i="123"/>
  <c r="V27" i="123"/>
  <c r="U27" i="123"/>
  <c r="Q27" i="123"/>
  <c r="X26" i="123"/>
  <c r="W26" i="123"/>
  <c r="V26" i="123"/>
  <c r="U26" i="123"/>
  <c r="Q26" i="123"/>
  <c r="X25" i="123"/>
  <c r="W25" i="123"/>
  <c r="V25" i="123"/>
  <c r="U25" i="123"/>
  <c r="Q25" i="123"/>
  <c r="X24" i="123"/>
  <c r="W24" i="123"/>
  <c r="V24" i="123"/>
  <c r="U24" i="123"/>
  <c r="Q24" i="123"/>
  <c r="X23" i="123"/>
  <c r="W23" i="123"/>
  <c r="V23" i="123"/>
  <c r="U23" i="123"/>
  <c r="Q23" i="123"/>
  <c r="X22" i="123"/>
  <c r="W22" i="123"/>
  <c r="V22" i="123"/>
  <c r="U22" i="123"/>
  <c r="Q22" i="123"/>
  <c r="X21" i="123"/>
  <c r="W21" i="123"/>
  <c r="V21" i="123"/>
  <c r="U21" i="123"/>
  <c r="Q21" i="123"/>
  <c r="X20" i="123"/>
  <c r="W20" i="123"/>
  <c r="V20" i="123"/>
  <c r="U20" i="123"/>
  <c r="Q20" i="123"/>
  <c r="X19" i="123"/>
  <c r="W19" i="123"/>
  <c r="V19" i="123"/>
  <c r="U19" i="123"/>
  <c r="Q19" i="123"/>
  <c r="X18" i="123"/>
  <c r="W18" i="123"/>
  <c r="V18" i="123"/>
  <c r="U18" i="123"/>
  <c r="Q18" i="123"/>
  <c r="X17" i="123"/>
  <c r="W17" i="123"/>
  <c r="V17" i="123"/>
  <c r="U17" i="123"/>
  <c r="Q17" i="123"/>
  <c r="X16" i="123"/>
  <c r="W16" i="123"/>
  <c r="V16" i="123"/>
  <c r="U16" i="123"/>
  <c r="Q16" i="123"/>
  <c r="X15" i="123"/>
  <c r="W15" i="123"/>
  <c r="V15" i="123"/>
  <c r="U15" i="123"/>
  <c r="Q15" i="123"/>
  <c r="X14" i="123"/>
  <c r="W14" i="123"/>
  <c r="V14" i="123"/>
  <c r="U14" i="123"/>
  <c r="Q14" i="123"/>
  <c r="X13" i="123"/>
  <c r="W13" i="123"/>
  <c r="V13" i="123"/>
  <c r="U13" i="123"/>
  <c r="Q13" i="123"/>
  <c r="X12" i="123"/>
  <c r="W12" i="123"/>
  <c r="V12" i="123"/>
  <c r="U12" i="123"/>
  <c r="Q12" i="123"/>
  <c r="X11" i="123"/>
  <c r="W11" i="123"/>
  <c r="V11" i="123"/>
  <c r="U11" i="123"/>
  <c r="Q11" i="123"/>
  <c r="X10" i="123"/>
  <c r="W10" i="123"/>
  <c r="V10" i="123"/>
  <c r="U10" i="123"/>
  <c r="Q10" i="123"/>
  <c r="X9" i="123"/>
  <c r="W9" i="123"/>
  <c r="V9" i="123"/>
  <c r="U9" i="123"/>
  <c r="Q9" i="123"/>
  <c r="X8" i="123"/>
  <c r="W8" i="123"/>
  <c r="V8" i="123"/>
  <c r="U8" i="123"/>
  <c r="Q8" i="123"/>
  <c r="X7" i="123"/>
  <c r="W7" i="123"/>
  <c r="V7" i="123"/>
  <c r="U7" i="123"/>
  <c r="Q7" i="123"/>
  <c r="X6" i="123"/>
  <c r="W6" i="123"/>
  <c r="V6" i="123"/>
  <c r="U6" i="123"/>
  <c r="Q6" i="123"/>
  <c r="X5" i="123"/>
  <c r="W5" i="123"/>
  <c r="V5" i="123"/>
  <c r="U5" i="123"/>
  <c r="Q5" i="123"/>
  <c r="X4" i="123"/>
  <c r="W4" i="123"/>
  <c r="V4" i="123"/>
  <c r="U4" i="123"/>
  <c r="Q4" i="123"/>
  <c r="P108" i="123"/>
  <c r="P107" i="123"/>
  <c r="P106" i="123"/>
  <c r="P105" i="123"/>
  <c r="P104" i="123"/>
  <c r="P103" i="123"/>
  <c r="P102" i="123"/>
  <c r="P101" i="123"/>
  <c r="P100" i="123"/>
  <c r="P99" i="123"/>
  <c r="P98" i="123"/>
  <c r="P97" i="123"/>
  <c r="P96" i="123"/>
  <c r="P95" i="123"/>
  <c r="P94" i="123"/>
  <c r="P93" i="123"/>
  <c r="P92" i="123"/>
  <c r="P91" i="123"/>
  <c r="P90" i="123"/>
  <c r="P89" i="123"/>
  <c r="P88" i="123"/>
  <c r="P87" i="123"/>
  <c r="P86" i="123"/>
  <c r="P85" i="123"/>
  <c r="P84" i="123"/>
  <c r="P83" i="123"/>
  <c r="P82" i="123"/>
  <c r="P81" i="123"/>
  <c r="P80" i="123"/>
  <c r="P79" i="123"/>
  <c r="P78" i="123"/>
  <c r="P77" i="123"/>
  <c r="P76" i="123"/>
  <c r="P75" i="123"/>
  <c r="P74" i="123"/>
  <c r="P73" i="123"/>
  <c r="P72" i="123"/>
  <c r="P71" i="123"/>
  <c r="P70" i="123"/>
  <c r="P69" i="123"/>
  <c r="P68" i="123"/>
  <c r="P67" i="123"/>
  <c r="P66" i="123"/>
  <c r="P65" i="123"/>
  <c r="P64" i="123"/>
  <c r="P63" i="123"/>
  <c r="P62" i="123"/>
  <c r="P61" i="123"/>
  <c r="P60" i="123"/>
  <c r="P59" i="123"/>
  <c r="P58" i="123"/>
  <c r="P57" i="123"/>
  <c r="P56" i="123"/>
  <c r="P55" i="123"/>
  <c r="P54" i="123"/>
  <c r="P53" i="123"/>
  <c r="P52" i="123"/>
  <c r="P51" i="123"/>
  <c r="P50" i="123"/>
  <c r="P49" i="123"/>
  <c r="P48" i="123"/>
  <c r="P47" i="123"/>
  <c r="P46" i="123"/>
  <c r="P45" i="123"/>
  <c r="P44" i="123"/>
  <c r="P43" i="123"/>
  <c r="P42" i="123"/>
  <c r="P41" i="123"/>
  <c r="P40" i="123"/>
  <c r="P39" i="123"/>
  <c r="P38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P17" i="123"/>
  <c r="P16" i="123"/>
  <c r="P15" i="123"/>
  <c r="P14" i="123"/>
  <c r="P13" i="123"/>
  <c r="P12" i="123"/>
  <c r="P11" i="123"/>
  <c r="P10" i="123"/>
  <c r="P9" i="123"/>
  <c r="P8" i="123"/>
  <c r="P7" i="123"/>
  <c r="P6" i="123"/>
  <c r="P5" i="123"/>
  <c r="P4" i="123"/>
  <c r="L108" i="123"/>
  <c r="L107" i="123"/>
  <c r="L106" i="123"/>
  <c r="L105" i="123"/>
  <c r="L104" i="123"/>
  <c r="L103" i="123"/>
  <c r="L102" i="123"/>
  <c r="L101" i="123"/>
  <c r="L100" i="123"/>
  <c r="L99" i="123"/>
  <c r="L98" i="123"/>
  <c r="L97" i="123"/>
  <c r="L96" i="123"/>
  <c r="L95" i="123"/>
  <c r="L94" i="123"/>
  <c r="L93" i="123"/>
  <c r="L92" i="123"/>
  <c r="L91" i="123"/>
  <c r="L90" i="123"/>
  <c r="L89" i="123"/>
  <c r="L88" i="123"/>
  <c r="L87" i="123"/>
  <c r="L86" i="123"/>
  <c r="L85" i="123"/>
  <c r="L84" i="123"/>
  <c r="L83" i="123"/>
  <c r="L82" i="123"/>
  <c r="L81" i="123"/>
  <c r="L80" i="123"/>
  <c r="L79" i="123"/>
  <c r="L78" i="123"/>
  <c r="L77" i="123"/>
  <c r="L76" i="123"/>
  <c r="L75" i="123"/>
  <c r="L74" i="123"/>
  <c r="L73" i="123"/>
  <c r="L72" i="123"/>
  <c r="L71" i="123"/>
  <c r="L70" i="123"/>
  <c r="L69" i="123"/>
  <c r="L68" i="123"/>
  <c r="L67" i="123"/>
  <c r="L66" i="123"/>
  <c r="L65" i="123"/>
  <c r="L64" i="123"/>
  <c r="L63" i="123"/>
  <c r="L62" i="123"/>
  <c r="L61" i="123"/>
  <c r="L60" i="123"/>
  <c r="L59" i="123"/>
  <c r="L58" i="123"/>
  <c r="L57" i="123"/>
  <c r="L56" i="123"/>
  <c r="L55" i="123"/>
  <c r="L54" i="123"/>
  <c r="L53" i="123"/>
  <c r="L52" i="123"/>
  <c r="L51" i="123"/>
  <c r="L50" i="123"/>
  <c r="L49" i="123"/>
  <c r="L48" i="123"/>
  <c r="L47" i="123"/>
  <c r="L46" i="123"/>
  <c r="L45" i="123"/>
  <c r="L44" i="123"/>
  <c r="L43" i="123"/>
  <c r="L42" i="123"/>
  <c r="L41" i="123"/>
  <c r="L40" i="123"/>
  <c r="L39" i="123"/>
  <c r="L38" i="123"/>
  <c r="L37" i="123"/>
  <c r="L36" i="123"/>
  <c r="L35" i="123"/>
  <c r="L34" i="123"/>
  <c r="L33" i="123"/>
  <c r="L32" i="123"/>
  <c r="L31" i="123"/>
  <c r="L30" i="123"/>
  <c r="L29" i="123"/>
  <c r="L28" i="123"/>
  <c r="L27" i="123"/>
  <c r="L26" i="123"/>
  <c r="L25" i="123"/>
  <c r="L24" i="123"/>
  <c r="L23" i="123"/>
  <c r="L22" i="123"/>
  <c r="L21" i="123"/>
  <c r="L20" i="123"/>
  <c r="L19" i="123"/>
  <c r="L18" i="123"/>
  <c r="L17" i="123"/>
  <c r="L16" i="123"/>
  <c r="L15" i="123"/>
  <c r="L14" i="123"/>
  <c r="L13" i="123"/>
  <c r="L12" i="123"/>
  <c r="L11" i="123"/>
  <c r="L10" i="123"/>
  <c r="L9" i="123"/>
  <c r="L8" i="123"/>
  <c r="L7" i="123"/>
  <c r="K108" i="123"/>
  <c r="K107" i="123"/>
  <c r="K106" i="123"/>
  <c r="K105" i="123"/>
  <c r="K104" i="123"/>
  <c r="K103" i="123"/>
  <c r="K102" i="123"/>
  <c r="K101" i="123"/>
  <c r="K100" i="123"/>
  <c r="K99" i="123"/>
  <c r="K98" i="123"/>
  <c r="K97" i="123"/>
  <c r="K96" i="123"/>
  <c r="K95" i="123"/>
  <c r="K94" i="123"/>
  <c r="K93" i="123"/>
  <c r="K92" i="123"/>
  <c r="K91" i="123"/>
  <c r="K90" i="123"/>
  <c r="K89" i="123"/>
  <c r="K88" i="123"/>
  <c r="K87" i="123"/>
  <c r="K86" i="123"/>
  <c r="K85" i="123"/>
  <c r="K84" i="123"/>
  <c r="K83" i="123"/>
  <c r="K82" i="123"/>
  <c r="K81" i="123"/>
  <c r="K80" i="123"/>
  <c r="K79" i="123"/>
  <c r="K78" i="123"/>
  <c r="K77" i="123"/>
  <c r="K76" i="123"/>
  <c r="K75" i="123"/>
  <c r="K74" i="123"/>
  <c r="K73" i="123"/>
  <c r="K72" i="123"/>
  <c r="K71" i="123"/>
  <c r="K70" i="123"/>
  <c r="K69" i="123"/>
  <c r="K68" i="123"/>
  <c r="K67" i="123"/>
  <c r="K66" i="123"/>
  <c r="K65" i="123"/>
  <c r="K64" i="123"/>
  <c r="K63" i="123"/>
  <c r="K62" i="123"/>
  <c r="K61" i="123"/>
  <c r="K60" i="123"/>
  <c r="K59" i="123"/>
  <c r="K58" i="123"/>
  <c r="K57" i="123"/>
  <c r="K56" i="123"/>
  <c r="K55" i="123"/>
  <c r="K54" i="123"/>
  <c r="K53" i="123"/>
  <c r="K52" i="123"/>
  <c r="K51" i="123"/>
  <c r="K50" i="123"/>
  <c r="K49" i="123"/>
  <c r="K48" i="123"/>
  <c r="K47" i="123"/>
  <c r="K46" i="123"/>
  <c r="K45" i="123"/>
  <c r="K44" i="123"/>
  <c r="K43" i="123"/>
  <c r="K42" i="123"/>
  <c r="K41" i="123"/>
  <c r="K40" i="123"/>
  <c r="K39" i="123"/>
  <c r="K38" i="123"/>
  <c r="K37" i="123"/>
  <c r="K36" i="123"/>
  <c r="K35" i="123"/>
  <c r="K34" i="123"/>
  <c r="K33" i="123"/>
  <c r="K32" i="123"/>
  <c r="K31" i="123"/>
  <c r="K30" i="123"/>
  <c r="K29" i="123"/>
  <c r="K28" i="123"/>
  <c r="K27" i="123"/>
  <c r="K26" i="123"/>
  <c r="K25" i="123"/>
  <c r="K24" i="123"/>
  <c r="K23" i="123"/>
  <c r="K22" i="123"/>
  <c r="K21" i="123"/>
  <c r="K20" i="123"/>
  <c r="K19" i="123"/>
  <c r="K18" i="123"/>
  <c r="K17" i="123"/>
  <c r="K16" i="123"/>
  <c r="K15" i="123"/>
  <c r="K14" i="123"/>
  <c r="K13" i="123"/>
  <c r="K12" i="123"/>
  <c r="K11" i="123"/>
  <c r="K10" i="123"/>
  <c r="K9" i="123"/>
  <c r="K8" i="123"/>
  <c r="K7" i="123"/>
  <c r="M56" i="123" l="1"/>
  <c r="M72" i="123"/>
  <c r="M76" i="123"/>
  <c r="M80" i="123"/>
  <c r="M88" i="123"/>
  <c r="M92" i="123"/>
  <c r="M96" i="123"/>
  <c r="M104" i="123"/>
  <c r="M108" i="123"/>
  <c r="M231" i="124"/>
  <c r="R6" i="123"/>
  <c r="R10" i="123"/>
  <c r="R14" i="123"/>
  <c r="R18" i="123"/>
  <c r="R22" i="123"/>
  <c r="R231" i="124"/>
  <c r="R7" i="123"/>
  <c r="R11" i="123"/>
  <c r="M10" i="123"/>
  <c r="M14" i="123"/>
  <c r="M18" i="123"/>
  <c r="M22" i="123"/>
  <c r="M26" i="123"/>
  <c r="M30" i="123"/>
  <c r="M34" i="123"/>
  <c r="M38" i="123"/>
  <c r="M42" i="123"/>
  <c r="M46" i="123"/>
  <c r="M50" i="123"/>
  <c r="M54" i="123"/>
  <c r="M58" i="123"/>
  <c r="M62" i="123"/>
  <c r="M66" i="123"/>
  <c r="M70" i="123"/>
  <c r="M74" i="123"/>
  <c r="M78" i="123"/>
  <c r="M82" i="123"/>
  <c r="M86" i="123"/>
  <c r="M90" i="123"/>
  <c r="M94" i="123"/>
  <c r="M98" i="123"/>
  <c r="M102" i="123"/>
  <c r="M106" i="123"/>
  <c r="M7" i="123"/>
  <c r="M11" i="123"/>
  <c r="M15" i="123"/>
  <c r="M19" i="123"/>
  <c r="M23" i="123"/>
  <c r="M27" i="123"/>
  <c r="M31" i="123"/>
  <c r="M35" i="123"/>
  <c r="M39" i="123"/>
  <c r="M43" i="123"/>
  <c r="M47" i="123"/>
  <c r="M51" i="123"/>
  <c r="M55" i="123"/>
  <c r="M59" i="123"/>
  <c r="M63" i="123"/>
  <c r="M67" i="123"/>
  <c r="M71" i="123"/>
  <c r="M75" i="123"/>
  <c r="M8" i="123"/>
  <c r="M12" i="123"/>
  <c r="M16" i="123"/>
  <c r="M20" i="123"/>
  <c r="M24" i="123"/>
  <c r="M28" i="123"/>
  <c r="M32" i="123"/>
  <c r="M36" i="123"/>
  <c r="M40" i="123"/>
  <c r="M44" i="123"/>
  <c r="M48" i="123"/>
  <c r="M52" i="123"/>
  <c r="M60" i="123"/>
  <c r="M64" i="123"/>
  <c r="M68" i="123"/>
  <c r="M84" i="123"/>
  <c r="M100" i="123"/>
  <c r="M9" i="123"/>
  <c r="M13" i="123"/>
  <c r="M17" i="123"/>
  <c r="M21" i="123"/>
  <c r="M25" i="123"/>
  <c r="M29" i="123"/>
  <c r="M33" i="123"/>
  <c r="M37" i="123"/>
  <c r="M41" i="123"/>
  <c r="M45" i="123"/>
  <c r="M49" i="123"/>
  <c r="M53" i="123"/>
  <c r="M57" i="123"/>
  <c r="M61" i="123"/>
  <c r="M65" i="123"/>
  <c r="M69" i="123"/>
  <c r="M73" i="123"/>
  <c r="M77" i="123"/>
  <c r="M81" i="123"/>
  <c r="M85" i="123"/>
  <c r="M89" i="123"/>
  <c r="M93" i="123"/>
  <c r="M97" i="123"/>
  <c r="M101" i="123"/>
  <c r="M105" i="123"/>
  <c r="M79" i="123"/>
  <c r="M83" i="123"/>
  <c r="M87" i="123"/>
  <c r="M91" i="123"/>
  <c r="M95" i="123"/>
  <c r="M99" i="123"/>
  <c r="M103" i="123"/>
  <c r="M107" i="123"/>
  <c r="R15" i="123"/>
  <c r="R19" i="123"/>
  <c r="R23" i="123"/>
  <c r="R27" i="123"/>
  <c r="R31" i="123"/>
  <c r="R35" i="123"/>
  <c r="R39" i="123"/>
  <c r="R43" i="123"/>
  <c r="R47" i="123"/>
  <c r="R51" i="123"/>
  <c r="R55" i="123"/>
  <c r="R59" i="123"/>
  <c r="R63" i="123"/>
  <c r="R67" i="123"/>
  <c r="R71" i="123"/>
  <c r="R75" i="123"/>
  <c r="R79" i="123"/>
  <c r="R83" i="123"/>
  <c r="R87" i="123"/>
  <c r="R91" i="123"/>
  <c r="R95" i="123"/>
  <c r="R99" i="123"/>
  <c r="R103" i="123"/>
  <c r="R107" i="123"/>
  <c r="R26" i="123"/>
  <c r="R30" i="123"/>
  <c r="R34" i="123"/>
  <c r="R38" i="123"/>
  <c r="R42" i="123"/>
  <c r="R46" i="123"/>
  <c r="R50" i="123"/>
  <c r="R54" i="123"/>
  <c r="R58" i="123"/>
  <c r="R62" i="123"/>
  <c r="R66" i="123"/>
  <c r="R70" i="123"/>
  <c r="R74" i="123"/>
  <c r="R78" i="123"/>
  <c r="R82" i="123"/>
  <c r="R86" i="123"/>
  <c r="R90" i="123"/>
  <c r="R94" i="123"/>
  <c r="R98" i="123"/>
  <c r="R102" i="123"/>
  <c r="R106" i="123"/>
  <c r="R5" i="123"/>
  <c r="R9" i="123"/>
  <c r="R13" i="123"/>
  <c r="R17" i="123"/>
  <c r="R21" i="123"/>
  <c r="R25" i="123"/>
  <c r="R29" i="123"/>
  <c r="R33" i="123"/>
  <c r="R37" i="123"/>
  <c r="R41" i="123"/>
  <c r="R45" i="123"/>
  <c r="R49" i="123"/>
  <c r="R53" i="123"/>
  <c r="R57" i="123"/>
  <c r="R61" i="123"/>
  <c r="R65" i="123"/>
  <c r="R69" i="123"/>
  <c r="R73" i="123"/>
  <c r="R77" i="123"/>
  <c r="R81" i="123"/>
  <c r="R85" i="123"/>
  <c r="R89" i="123"/>
  <c r="R93" i="123"/>
  <c r="R97" i="123"/>
  <c r="R101" i="123"/>
  <c r="R105" i="123"/>
  <c r="R4" i="123"/>
  <c r="R8" i="123"/>
  <c r="R12" i="123"/>
  <c r="R16" i="123"/>
  <c r="R20" i="123"/>
  <c r="R24" i="123"/>
  <c r="R28" i="123"/>
  <c r="R32" i="123"/>
  <c r="R36" i="123"/>
  <c r="R40" i="123"/>
  <c r="R44" i="123"/>
  <c r="R48" i="123"/>
  <c r="R52" i="123"/>
  <c r="R56" i="123"/>
  <c r="R60" i="123"/>
  <c r="R64" i="123"/>
  <c r="R68" i="123"/>
  <c r="R72" i="123"/>
  <c r="R76" i="123"/>
  <c r="R80" i="123"/>
  <c r="R84" i="123"/>
  <c r="R88" i="123"/>
  <c r="R92" i="123"/>
  <c r="R96" i="123"/>
  <c r="R100" i="123"/>
  <c r="R104" i="123"/>
  <c r="R108" i="123"/>
  <c r="X87" i="128" l="1"/>
  <c r="W87" i="128"/>
  <c r="V87" i="128"/>
  <c r="U87" i="128"/>
  <c r="X86" i="128"/>
  <c r="W86" i="128"/>
  <c r="V86" i="128"/>
  <c r="U86" i="128"/>
  <c r="X85" i="128"/>
  <c r="W85" i="128"/>
  <c r="V85" i="128"/>
  <c r="U85" i="128"/>
  <c r="X84" i="128"/>
  <c r="W84" i="128"/>
  <c r="V84" i="128"/>
  <c r="U84" i="128"/>
  <c r="X83" i="128"/>
  <c r="W83" i="128"/>
  <c r="V83" i="128"/>
  <c r="U83" i="128"/>
  <c r="X82" i="128"/>
  <c r="W82" i="128"/>
  <c r="V82" i="128"/>
  <c r="U82" i="128"/>
  <c r="X81" i="128"/>
  <c r="W81" i="128"/>
  <c r="V81" i="128"/>
  <c r="U81" i="128"/>
  <c r="X80" i="128"/>
  <c r="W80" i="128"/>
  <c r="V80" i="128"/>
  <c r="U80" i="128"/>
  <c r="X79" i="128"/>
  <c r="W79" i="128"/>
  <c r="V79" i="128"/>
  <c r="U79" i="128"/>
  <c r="X78" i="128"/>
  <c r="W78" i="128"/>
  <c r="V78" i="128"/>
  <c r="U78" i="128"/>
  <c r="X77" i="128"/>
  <c r="W77" i="128"/>
  <c r="V77" i="128"/>
  <c r="U77" i="128"/>
  <c r="X76" i="128"/>
  <c r="W76" i="128"/>
  <c r="V76" i="128"/>
  <c r="U76" i="128"/>
  <c r="X75" i="128"/>
  <c r="W75" i="128"/>
  <c r="V75" i="128"/>
  <c r="U75" i="128"/>
  <c r="X74" i="128"/>
  <c r="W74" i="128"/>
  <c r="V74" i="128"/>
  <c r="U74" i="128"/>
  <c r="X73" i="128"/>
  <c r="W73" i="128"/>
  <c r="V73" i="128"/>
  <c r="U73" i="128"/>
  <c r="X72" i="128"/>
  <c r="W72" i="128"/>
  <c r="V72" i="128"/>
  <c r="U72" i="128"/>
  <c r="X71" i="128"/>
  <c r="W71" i="128"/>
  <c r="V71" i="128"/>
  <c r="U71" i="128"/>
  <c r="X70" i="128"/>
  <c r="W70" i="128"/>
  <c r="V70" i="128"/>
  <c r="U70" i="128"/>
  <c r="X69" i="128"/>
  <c r="W69" i="128"/>
  <c r="V69" i="128"/>
  <c r="U69" i="128"/>
  <c r="X68" i="128"/>
  <c r="W68" i="128"/>
  <c r="V68" i="128"/>
  <c r="U68" i="128"/>
  <c r="X67" i="128"/>
  <c r="W67" i="128"/>
  <c r="V67" i="128"/>
  <c r="U67" i="128"/>
  <c r="X66" i="128"/>
  <c r="W66" i="128"/>
  <c r="V66" i="128"/>
  <c r="U66" i="128"/>
  <c r="X65" i="128"/>
  <c r="W65" i="128"/>
  <c r="V65" i="128"/>
  <c r="U65" i="128"/>
  <c r="X64" i="128"/>
  <c r="W64" i="128"/>
  <c r="V64" i="128"/>
  <c r="U64" i="128"/>
  <c r="X63" i="128"/>
  <c r="W63" i="128"/>
  <c r="V63" i="128"/>
  <c r="U63" i="128"/>
  <c r="X62" i="128"/>
  <c r="W62" i="128"/>
  <c r="V62" i="128"/>
  <c r="U62" i="128"/>
  <c r="X61" i="128"/>
  <c r="W61" i="128"/>
  <c r="V61" i="128"/>
  <c r="U61" i="128"/>
  <c r="X60" i="128"/>
  <c r="W60" i="128"/>
  <c r="V60" i="128"/>
  <c r="U60" i="128"/>
  <c r="X59" i="128"/>
  <c r="W59" i="128"/>
  <c r="V59" i="128"/>
  <c r="U59" i="128"/>
  <c r="X58" i="128"/>
  <c r="W58" i="128"/>
  <c r="V58" i="128"/>
  <c r="U58" i="128"/>
  <c r="X57" i="128"/>
  <c r="W57" i="128"/>
  <c r="V57" i="128"/>
  <c r="U57" i="128"/>
  <c r="X56" i="128"/>
  <c r="W56" i="128"/>
  <c r="V56" i="128"/>
  <c r="U56" i="128"/>
  <c r="X55" i="128"/>
  <c r="W55" i="128"/>
  <c r="V55" i="128"/>
  <c r="U55" i="128"/>
  <c r="X54" i="128"/>
  <c r="W54" i="128"/>
  <c r="V54" i="128"/>
  <c r="U54" i="128"/>
  <c r="X53" i="128"/>
  <c r="W53" i="128"/>
  <c r="V53" i="128"/>
  <c r="U53" i="128"/>
  <c r="X52" i="128"/>
  <c r="W52" i="128"/>
  <c r="V52" i="128"/>
  <c r="U52" i="128"/>
  <c r="X51" i="128"/>
  <c r="W51" i="128"/>
  <c r="V51" i="128"/>
  <c r="U51" i="128"/>
  <c r="X50" i="128"/>
  <c r="W50" i="128"/>
  <c r="V50" i="128"/>
  <c r="U50" i="128"/>
  <c r="X49" i="128"/>
  <c r="W49" i="128"/>
  <c r="V49" i="128"/>
  <c r="U49" i="128"/>
  <c r="X48" i="128"/>
  <c r="W48" i="128"/>
  <c r="V48" i="128"/>
  <c r="U48" i="128"/>
  <c r="X47" i="128"/>
  <c r="W47" i="128"/>
  <c r="V47" i="128"/>
  <c r="U47" i="128"/>
  <c r="X46" i="128"/>
  <c r="W46" i="128"/>
  <c r="V46" i="128"/>
  <c r="U46" i="128"/>
  <c r="X45" i="128"/>
  <c r="W45" i="128"/>
  <c r="V45" i="128"/>
  <c r="U45" i="128"/>
  <c r="X44" i="128"/>
  <c r="W44" i="128"/>
  <c r="V44" i="128"/>
  <c r="U44" i="128"/>
  <c r="X43" i="128"/>
  <c r="W43" i="128"/>
  <c r="V43" i="128"/>
  <c r="U43" i="128"/>
  <c r="X42" i="128"/>
  <c r="W42" i="128"/>
  <c r="V42" i="128"/>
  <c r="U42" i="128"/>
  <c r="X41" i="128"/>
  <c r="W41" i="128"/>
  <c r="V41" i="128"/>
  <c r="U41" i="128"/>
  <c r="X40" i="128"/>
  <c r="W40" i="128"/>
  <c r="V40" i="128"/>
  <c r="U40" i="128"/>
  <c r="X39" i="128"/>
  <c r="W39" i="128"/>
  <c r="V39" i="128"/>
  <c r="U39" i="128"/>
  <c r="X38" i="128"/>
  <c r="W38" i="128"/>
  <c r="V38" i="128"/>
  <c r="U38" i="128"/>
  <c r="X37" i="128"/>
  <c r="W37" i="128"/>
  <c r="V37" i="128"/>
  <c r="U37" i="128"/>
  <c r="X36" i="128"/>
  <c r="W36" i="128"/>
  <c r="V36" i="128"/>
  <c r="U36" i="128"/>
  <c r="X35" i="128"/>
  <c r="W35" i="128"/>
  <c r="V35" i="128"/>
  <c r="U35" i="128"/>
  <c r="X34" i="128"/>
  <c r="W34" i="128"/>
  <c r="V34" i="128"/>
  <c r="U34" i="128"/>
  <c r="X33" i="128"/>
  <c r="W33" i="128"/>
  <c r="V33" i="128"/>
  <c r="U33" i="128"/>
  <c r="X32" i="128"/>
  <c r="W32" i="128"/>
  <c r="V32" i="128"/>
  <c r="U32" i="128"/>
  <c r="X31" i="128"/>
  <c r="W31" i="128"/>
  <c r="V31" i="128"/>
  <c r="U31" i="128"/>
  <c r="X30" i="128"/>
  <c r="W30" i="128"/>
  <c r="V30" i="128"/>
  <c r="U30" i="128"/>
  <c r="X29" i="128"/>
  <c r="W29" i="128"/>
  <c r="V29" i="128"/>
  <c r="U29" i="128"/>
  <c r="X28" i="128"/>
  <c r="W28" i="128"/>
  <c r="V28" i="128"/>
  <c r="U28" i="128"/>
  <c r="X27" i="128"/>
  <c r="W27" i="128"/>
  <c r="V27" i="128"/>
  <c r="U27" i="128"/>
  <c r="X26" i="128"/>
  <c r="W26" i="128"/>
  <c r="V26" i="128"/>
  <c r="U26" i="128"/>
  <c r="X25" i="128"/>
  <c r="W25" i="128"/>
  <c r="V25" i="128"/>
  <c r="U25" i="128"/>
  <c r="X24" i="128"/>
  <c r="W24" i="128"/>
  <c r="V24" i="128"/>
  <c r="U24" i="128"/>
  <c r="X23" i="128"/>
  <c r="W23" i="128"/>
  <c r="V23" i="128"/>
  <c r="U23" i="128"/>
  <c r="X22" i="128"/>
  <c r="W22" i="128"/>
  <c r="V22" i="128"/>
  <c r="U22" i="128"/>
  <c r="X21" i="128"/>
  <c r="W21" i="128"/>
  <c r="V21" i="128"/>
  <c r="U21" i="128"/>
  <c r="X20" i="128"/>
  <c r="W20" i="128"/>
  <c r="V20" i="128"/>
  <c r="U20" i="128"/>
  <c r="X19" i="128"/>
  <c r="W19" i="128"/>
  <c r="V19" i="128"/>
  <c r="U19" i="128"/>
  <c r="X18" i="128"/>
  <c r="W18" i="128"/>
  <c r="V18" i="128"/>
  <c r="U18" i="128"/>
  <c r="X17" i="128"/>
  <c r="W17" i="128"/>
  <c r="V17" i="128"/>
  <c r="U17" i="128"/>
  <c r="X16" i="128"/>
  <c r="W16" i="128"/>
  <c r="V16" i="128"/>
  <c r="U16" i="128"/>
  <c r="X15" i="128"/>
  <c r="W15" i="128"/>
  <c r="V15" i="128"/>
  <c r="U15" i="128"/>
  <c r="X14" i="128"/>
  <c r="W14" i="128"/>
  <c r="V14" i="128"/>
  <c r="U14" i="128"/>
  <c r="X13" i="128"/>
  <c r="W13" i="128"/>
  <c r="V13" i="128"/>
  <c r="U13" i="128"/>
  <c r="X12" i="128"/>
  <c r="W12" i="128"/>
  <c r="V12" i="128"/>
  <c r="U12" i="128"/>
  <c r="X11" i="128"/>
  <c r="W11" i="128"/>
  <c r="V11" i="128"/>
  <c r="U11" i="128"/>
  <c r="X10" i="128"/>
  <c r="W10" i="128"/>
  <c r="V10" i="128"/>
  <c r="U10" i="128"/>
  <c r="X9" i="128"/>
  <c r="W9" i="128"/>
  <c r="V9" i="128"/>
  <c r="U9" i="128"/>
  <c r="X8" i="128"/>
  <c r="W8" i="128"/>
  <c r="V8" i="128"/>
  <c r="U8" i="128"/>
  <c r="X7" i="128"/>
  <c r="W7" i="128"/>
  <c r="V7" i="128"/>
  <c r="U7" i="128"/>
  <c r="X6" i="128"/>
  <c r="W6" i="128"/>
  <c r="V6" i="128"/>
  <c r="U6" i="128"/>
  <c r="X5" i="128"/>
  <c r="W5" i="128"/>
  <c r="V5" i="128"/>
  <c r="U5" i="128"/>
  <c r="X4" i="128"/>
  <c r="W4" i="128"/>
  <c r="V4" i="128"/>
  <c r="U4" i="128"/>
  <c r="X3" i="128"/>
  <c r="X1" i="128" s="1"/>
  <c r="W3" i="128"/>
  <c r="V3" i="128"/>
  <c r="U3" i="128"/>
  <c r="X107" i="127"/>
  <c r="W107" i="127"/>
  <c r="V107" i="127"/>
  <c r="U107" i="127"/>
  <c r="X106" i="127"/>
  <c r="W106" i="127"/>
  <c r="V106" i="127"/>
  <c r="U106" i="127"/>
  <c r="X105" i="127"/>
  <c r="W105" i="127"/>
  <c r="V105" i="127"/>
  <c r="U105" i="127"/>
  <c r="X104" i="127"/>
  <c r="W104" i="127"/>
  <c r="V104" i="127"/>
  <c r="U104" i="127"/>
  <c r="X103" i="127"/>
  <c r="W103" i="127"/>
  <c r="V103" i="127"/>
  <c r="U103" i="127"/>
  <c r="X102" i="127"/>
  <c r="W102" i="127"/>
  <c r="V102" i="127"/>
  <c r="U102" i="127"/>
  <c r="X101" i="127"/>
  <c r="W101" i="127"/>
  <c r="V101" i="127"/>
  <c r="U101" i="127"/>
  <c r="X100" i="127"/>
  <c r="W100" i="127"/>
  <c r="V100" i="127"/>
  <c r="U100" i="127"/>
  <c r="X99" i="127"/>
  <c r="W99" i="127"/>
  <c r="V99" i="127"/>
  <c r="U99" i="127"/>
  <c r="X98" i="127"/>
  <c r="W98" i="127"/>
  <c r="V98" i="127"/>
  <c r="U98" i="127"/>
  <c r="X97" i="127"/>
  <c r="W97" i="127"/>
  <c r="V97" i="127"/>
  <c r="U97" i="127"/>
  <c r="X96" i="127"/>
  <c r="W96" i="127"/>
  <c r="V96" i="127"/>
  <c r="U96" i="127"/>
  <c r="X95" i="127"/>
  <c r="W95" i="127"/>
  <c r="V95" i="127"/>
  <c r="U95" i="127"/>
  <c r="X94" i="127"/>
  <c r="W94" i="127"/>
  <c r="V94" i="127"/>
  <c r="U94" i="127"/>
  <c r="X93" i="127"/>
  <c r="W93" i="127"/>
  <c r="V93" i="127"/>
  <c r="U93" i="127"/>
  <c r="X92" i="127"/>
  <c r="W92" i="127"/>
  <c r="V92" i="127"/>
  <c r="U92" i="127"/>
  <c r="X91" i="127"/>
  <c r="W91" i="127"/>
  <c r="V91" i="127"/>
  <c r="U91" i="127"/>
  <c r="X90" i="127"/>
  <c r="W90" i="127"/>
  <c r="V90" i="127"/>
  <c r="U90" i="127"/>
  <c r="X89" i="127"/>
  <c r="W89" i="127"/>
  <c r="V89" i="127"/>
  <c r="U89" i="127"/>
  <c r="X88" i="127"/>
  <c r="W88" i="127"/>
  <c r="V88" i="127"/>
  <c r="U88" i="127"/>
  <c r="X87" i="127"/>
  <c r="W87" i="127"/>
  <c r="V87" i="127"/>
  <c r="U87" i="127"/>
  <c r="X86" i="127"/>
  <c r="W86" i="127"/>
  <c r="V86" i="127"/>
  <c r="U86" i="127"/>
  <c r="X85" i="127"/>
  <c r="W85" i="127"/>
  <c r="V85" i="127"/>
  <c r="U85" i="127"/>
  <c r="X84" i="127"/>
  <c r="W84" i="127"/>
  <c r="V84" i="127"/>
  <c r="U84" i="127"/>
  <c r="X83" i="127"/>
  <c r="W83" i="127"/>
  <c r="V83" i="127"/>
  <c r="U83" i="127"/>
  <c r="X82" i="127"/>
  <c r="W82" i="127"/>
  <c r="V82" i="127"/>
  <c r="U82" i="127"/>
  <c r="X81" i="127"/>
  <c r="W81" i="127"/>
  <c r="V81" i="127"/>
  <c r="U81" i="127"/>
  <c r="X80" i="127"/>
  <c r="W80" i="127"/>
  <c r="V80" i="127"/>
  <c r="U80" i="127"/>
  <c r="X79" i="127"/>
  <c r="W79" i="127"/>
  <c r="V79" i="127"/>
  <c r="U79" i="127"/>
  <c r="X78" i="127"/>
  <c r="W78" i="127"/>
  <c r="V78" i="127"/>
  <c r="U78" i="127"/>
  <c r="X77" i="127"/>
  <c r="W77" i="127"/>
  <c r="V77" i="127"/>
  <c r="U77" i="127"/>
  <c r="X76" i="127"/>
  <c r="W76" i="127"/>
  <c r="V76" i="127"/>
  <c r="U76" i="127"/>
  <c r="X75" i="127"/>
  <c r="W75" i="127"/>
  <c r="V75" i="127"/>
  <c r="U75" i="127"/>
  <c r="X74" i="127"/>
  <c r="W74" i="127"/>
  <c r="V74" i="127"/>
  <c r="U74" i="127"/>
  <c r="X73" i="127"/>
  <c r="W73" i="127"/>
  <c r="V73" i="127"/>
  <c r="U73" i="127"/>
  <c r="X72" i="127"/>
  <c r="W72" i="127"/>
  <c r="V72" i="127"/>
  <c r="U72" i="127"/>
  <c r="X71" i="127"/>
  <c r="W71" i="127"/>
  <c r="V71" i="127"/>
  <c r="U71" i="127"/>
  <c r="X70" i="127"/>
  <c r="W70" i="127"/>
  <c r="V70" i="127"/>
  <c r="U70" i="127"/>
  <c r="X69" i="127"/>
  <c r="W69" i="127"/>
  <c r="V69" i="127"/>
  <c r="U69" i="127"/>
  <c r="X68" i="127"/>
  <c r="W68" i="127"/>
  <c r="V68" i="127"/>
  <c r="U68" i="127"/>
  <c r="X67" i="127"/>
  <c r="W67" i="127"/>
  <c r="V67" i="127"/>
  <c r="U67" i="127"/>
  <c r="X66" i="127"/>
  <c r="W66" i="127"/>
  <c r="V66" i="127"/>
  <c r="U66" i="127"/>
  <c r="X65" i="127"/>
  <c r="W65" i="127"/>
  <c r="V65" i="127"/>
  <c r="U65" i="127"/>
  <c r="X64" i="127"/>
  <c r="W64" i="127"/>
  <c r="V64" i="127"/>
  <c r="U64" i="127"/>
  <c r="X63" i="127"/>
  <c r="W63" i="127"/>
  <c r="V63" i="127"/>
  <c r="U63" i="127"/>
  <c r="X62" i="127"/>
  <c r="W62" i="127"/>
  <c r="V62" i="127"/>
  <c r="U62" i="127"/>
  <c r="X61" i="127"/>
  <c r="W61" i="127"/>
  <c r="V61" i="127"/>
  <c r="U61" i="127"/>
  <c r="X60" i="127"/>
  <c r="W60" i="127"/>
  <c r="V60" i="127"/>
  <c r="U60" i="127"/>
  <c r="X59" i="127"/>
  <c r="W59" i="127"/>
  <c r="V59" i="127"/>
  <c r="U59" i="127"/>
  <c r="X58" i="127"/>
  <c r="W58" i="127"/>
  <c r="V58" i="127"/>
  <c r="U58" i="127"/>
  <c r="X57" i="127"/>
  <c r="W57" i="127"/>
  <c r="V57" i="127"/>
  <c r="U57" i="127"/>
  <c r="X56" i="127"/>
  <c r="W56" i="127"/>
  <c r="V56" i="127"/>
  <c r="U56" i="127"/>
  <c r="X55" i="127"/>
  <c r="W55" i="127"/>
  <c r="V55" i="127"/>
  <c r="U55" i="127"/>
  <c r="X54" i="127"/>
  <c r="W54" i="127"/>
  <c r="V54" i="127"/>
  <c r="U54" i="127"/>
  <c r="X53" i="127"/>
  <c r="W53" i="127"/>
  <c r="V53" i="127"/>
  <c r="U53" i="127"/>
  <c r="X52" i="127"/>
  <c r="W52" i="127"/>
  <c r="V52" i="127"/>
  <c r="U52" i="127"/>
  <c r="X51" i="127"/>
  <c r="W51" i="127"/>
  <c r="V51" i="127"/>
  <c r="U51" i="127"/>
  <c r="X50" i="127"/>
  <c r="W50" i="127"/>
  <c r="V50" i="127"/>
  <c r="U50" i="127"/>
  <c r="X49" i="127"/>
  <c r="W49" i="127"/>
  <c r="V49" i="127"/>
  <c r="U49" i="127"/>
  <c r="X48" i="127"/>
  <c r="W48" i="127"/>
  <c r="V48" i="127"/>
  <c r="U48" i="127"/>
  <c r="X47" i="127"/>
  <c r="W47" i="127"/>
  <c r="V47" i="127"/>
  <c r="U47" i="127"/>
  <c r="X46" i="127"/>
  <c r="W46" i="127"/>
  <c r="V46" i="127"/>
  <c r="U46" i="127"/>
  <c r="X45" i="127"/>
  <c r="W45" i="127"/>
  <c r="V45" i="127"/>
  <c r="U45" i="127"/>
  <c r="X44" i="127"/>
  <c r="W44" i="127"/>
  <c r="V44" i="127"/>
  <c r="U44" i="127"/>
  <c r="X43" i="127"/>
  <c r="W43" i="127"/>
  <c r="V43" i="127"/>
  <c r="U43" i="127"/>
  <c r="X42" i="127"/>
  <c r="W42" i="127"/>
  <c r="V42" i="127"/>
  <c r="U42" i="127"/>
  <c r="X41" i="127"/>
  <c r="W41" i="127"/>
  <c r="V41" i="127"/>
  <c r="U41" i="127"/>
  <c r="X40" i="127"/>
  <c r="W40" i="127"/>
  <c r="V40" i="127"/>
  <c r="U40" i="127"/>
  <c r="X39" i="127"/>
  <c r="W39" i="127"/>
  <c r="V39" i="127"/>
  <c r="U39" i="127"/>
  <c r="X38" i="127"/>
  <c r="W38" i="127"/>
  <c r="V38" i="127"/>
  <c r="U38" i="127"/>
  <c r="X37" i="127"/>
  <c r="W37" i="127"/>
  <c r="V37" i="127"/>
  <c r="U37" i="127"/>
  <c r="X36" i="127"/>
  <c r="W36" i="127"/>
  <c r="V36" i="127"/>
  <c r="U36" i="127"/>
  <c r="X35" i="127"/>
  <c r="W35" i="127"/>
  <c r="V35" i="127"/>
  <c r="U35" i="127"/>
  <c r="X34" i="127"/>
  <c r="W34" i="127"/>
  <c r="V34" i="127"/>
  <c r="U34" i="127"/>
  <c r="X33" i="127"/>
  <c r="W33" i="127"/>
  <c r="V33" i="127"/>
  <c r="U33" i="127"/>
  <c r="X32" i="127"/>
  <c r="W32" i="127"/>
  <c r="V32" i="127"/>
  <c r="U32" i="127"/>
  <c r="X31" i="127"/>
  <c r="W31" i="127"/>
  <c r="V31" i="127"/>
  <c r="U31" i="127"/>
  <c r="X30" i="127"/>
  <c r="W30" i="127"/>
  <c r="V30" i="127"/>
  <c r="U30" i="127"/>
  <c r="X29" i="127"/>
  <c r="W29" i="127"/>
  <c r="V29" i="127"/>
  <c r="U29" i="127"/>
  <c r="X28" i="127"/>
  <c r="W28" i="127"/>
  <c r="V28" i="127"/>
  <c r="U28" i="127"/>
  <c r="X27" i="127"/>
  <c r="W27" i="127"/>
  <c r="V27" i="127"/>
  <c r="U27" i="127"/>
  <c r="X26" i="127"/>
  <c r="W26" i="127"/>
  <c r="V26" i="127"/>
  <c r="U26" i="127"/>
  <c r="X25" i="127"/>
  <c r="W25" i="127"/>
  <c r="V25" i="127"/>
  <c r="U25" i="127"/>
  <c r="X24" i="127"/>
  <c r="W24" i="127"/>
  <c r="V24" i="127"/>
  <c r="U24" i="127"/>
  <c r="X23" i="127"/>
  <c r="W23" i="127"/>
  <c r="V23" i="127"/>
  <c r="U23" i="127"/>
  <c r="X22" i="127"/>
  <c r="W22" i="127"/>
  <c r="V22" i="127"/>
  <c r="U22" i="127"/>
  <c r="X21" i="127"/>
  <c r="W21" i="127"/>
  <c r="V21" i="127"/>
  <c r="U21" i="127"/>
  <c r="X20" i="127"/>
  <c r="W20" i="127"/>
  <c r="V20" i="127"/>
  <c r="U20" i="127"/>
  <c r="X19" i="127"/>
  <c r="W19" i="127"/>
  <c r="V19" i="127"/>
  <c r="U19" i="127"/>
  <c r="X18" i="127"/>
  <c r="W18" i="127"/>
  <c r="V18" i="127"/>
  <c r="U18" i="127"/>
  <c r="X17" i="127"/>
  <c r="W17" i="127"/>
  <c r="V17" i="127"/>
  <c r="U17" i="127"/>
  <c r="X16" i="127"/>
  <c r="W16" i="127"/>
  <c r="V16" i="127"/>
  <c r="U16" i="127"/>
  <c r="X15" i="127"/>
  <c r="W15" i="127"/>
  <c r="V15" i="127"/>
  <c r="U15" i="127"/>
  <c r="X14" i="127"/>
  <c r="W14" i="127"/>
  <c r="V14" i="127"/>
  <c r="U14" i="127"/>
  <c r="X13" i="127"/>
  <c r="W13" i="127"/>
  <c r="V13" i="127"/>
  <c r="U13" i="127"/>
  <c r="X12" i="127"/>
  <c r="W12" i="127"/>
  <c r="V12" i="127"/>
  <c r="U12" i="127"/>
  <c r="X11" i="127"/>
  <c r="W11" i="127"/>
  <c r="V11" i="127"/>
  <c r="U11" i="127"/>
  <c r="X10" i="127"/>
  <c r="W10" i="127"/>
  <c r="V10" i="127"/>
  <c r="U10" i="127"/>
  <c r="X9" i="127"/>
  <c r="W9" i="127"/>
  <c r="V9" i="127"/>
  <c r="U9" i="127"/>
  <c r="X8" i="127"/>
  <c r="W8" i="127"/>
  <c r="V8" i="127"/>
  <c r="U8" i="127"/>
  <c r="X7" i="127"/>
  <c r="W7" i="127"/>
  <c r="V7" i="127"/>
  <c r="U7" i="127"/>
  <c r="X6" i="127"/>
  <c r="W6" i="127"/>
  <c r="V6" i="127"/>
  <c r="U6" i="127"/>
  <c r="X5" i="127"/>
  <c r="W5" i="127"/>
  <c r="V5" i="127"/>
  <c r="U5" i="127"/>
  <c r="X4" i="127"/>
  <c r="W4" i="127"/>
  <c r="V4" i="127"/>
  <c r="U4" i="127"/>
  <c r="X3" i="127"/>
  <c r="W3" i="127"/>
  <c r="V3" i="127"/>
  <c r="U3" i="127"/>
  <c r="X120" i="126"/>
  <c r="W120" i="126"/>
  <c r="V120" i="126"/>
  <c r="U120" i="126"/>
  <c r="X119" i="126"/>
  <c r="W119" i="126"/>
  <c r="V119" i="126"/>
  <c r="U119" i="126"/>
  <c r="X118" i="126"/>
  <c r="W118" i="126"/>
  <c r="V118" i="126"/>
  <c r="U118" i="126"/>
  <c r="X117" i="126"/>
  <c r="W117" i="126"/>
  <c r="V117" i="126"/>
  <c r="U117" i="126"/>
  <c r="X116" i="126"/>
  <c r="W116" i="126"/>
  <c r="V116" i="126"/>
  <c r="U116" i="126"/>
  <c r="X115" i="126"/>
  <c r="W115" i="126"/>
  <c r="V115" i="126"/>
  <c r="U115" i="126"/>
  <c r="X114" i="126"/>
  <c r="W114" i="126"/>
  <c r="V114" i="126"/>
  <c r="U114" i="126"/>
  <c r="X113" i="126"/>
  <c r="W113" i="126"/>
  <c r="V113" i="126"/>
  <c r="U113" i="126"/>
  <c r="X112" i="126"/>
  <c r="W112" i="126"/>
  <c r="V112" i="126"/>
  <c r="U112" i="126"/>
  <c r="X111" i="126"/>
  <c r="W111" i="126"/>
  <c r="V111" i="126"/>
  <c r="U111" i="126"/>
  <c r="X110" i="126"/>
  <c r="W110" i="126"/>
  <c r="V110" i="126"/>
  <c r="U110" i="126"/>
  <c r="X109" i="126"/>
  <c r="W109" i="126"/>
  <c r="V109" i="126"/>
  <c r="U109" i="126"/>
  <c r="X108" i="126"/>
  <c r="W108" i="126"/>
  <c r="V108" i="126"/>
  <c r="U108" i="126"/>
  <c r="X107" i="126"/>
  <c r="W107" i="126"/>
  <c r="V107" i="126"/>
  <c r="U107" i="126"/>
  <c r="X106" i="126"/>
  <c r="W106" i="126"/>
  <c r="V106" i="126"/>
  <c r="U106" i="126"/>
  <c r="X105" i="126"/>
  <c r="W105" i="126"/>
  <c r="V105" i="126"/>
  <c r="U105" i="126"/>
  <c r="X104" i="126"/>
  <c r="W104" i="126"/>
  <c r="V104" i="126"/>
  <c r="U104" i="126"/>
  <c r="X103" i="126"/>
  <c r="W103" i="126"/>
  <c r="V103" i="126"/>
  <c r="U103" i="126"/>
  <c r="X102" i="126"/>
  <c r="W102" i="126"/>
  <c r="V102" i="126"/>
  <c r="U102" i="126"/>
  <c r="X101" i="126"/>
  <c r="W101" i="126"/>
  <c r="V101" i="126"/>
  <c r="U101" i="126"/>
  <c r="X100" i="126"/>
  <c r="W100" i="126"/>
  <c r="V100" i="126"/>
  <c r="U100" i="126"/>
  <c r="X99" i="126"/>
  <c r="W99" i="126"/>
  <c r="V99" i="126"/>
  <c r="U99" i="126"/>
  <c r="X98" i="126"/>
  <c r="W98" i="126"/>
  <c r="V98" i="126"/>
  <c r="U98" i="126"/>
  <c r="X97" i="126"/>
  <c r="W97" i="126"/>
  <c r="V97" i="126"/>
  <c r="U97" i="126"/>
  <c r="X96" i="126"/>
  <c r="W96" i="126"/>
  <c r="V96" i="126"/>
  <c r="U96" i="126"/>
  <c r="X95" i="126"/>
  <c r="W95" i="126"/>
  <c r="V95" i="126"/>
  <c r="U95" i="126"/>
  <c r="X94" i="126"/>
  <c r="W94" i="126"/>
  <c r="V94" i="126"/>
  <c r="U94" i="126"/>
  <c r="X93" i="126"/>
  <c r="W93" i="126"/>
  <c r="V93" i="126"/>
  <c r="U93" i="126"/>
  <c r="X92" i="126"/>
  <c r="W92" i="126"/>
  <c r="V92" i="126"/>
  <c r="U92" i="126"/>
  <c r="X91" i="126"/>
  <c r="W91" i="126"/>
  <c r="V91" i="126"/>
  <c r="U91" i="126"/>
  <c r="X90" i="126"/>
  <c r="W90" i="126"/>
  <c r="V90" i="126"/>
  <c r="U90" i="126"/>
  <c r="X89" i="126"/>
  <c r="W89" i="126"/>
  <c r="V89" i="126"/>
  <c r="U89" i="126"/>
  <c r="X88" i="126"/>
  <c r="W88" i="126"/>
  <c r="V88" i="126"/>
  <c r="U88" i="126"/>
  <c r="X87" i="126"/>
  <c r="W87" i="126"/>
  <c r="V87" i="126"/>
  <c r="U87" i="126"/>
  <c r="X86" i="126"/>
  <c r="W86" i="126"/>
  <c r="V86" i="126"/>
  <c r="U86" i="126"/>
  <c r="X85" i="126"/>
  <c r="W85" i="126"/>
  <c r="V85" i="126"/>
  <c r="U85" i="126"/>
  <c r="X84" i="126"/>
  <c r="W84" i="126"/>
  <c r="V84" i="126"/>
  <c r="U84" i="126"/>
  <c r="X83" i="126"/>
  <c r="W83" i="126"/>
  <c r="V83" i="126"/>
  <c r="U83" i="126"/>
  <c r="X82" i="126"/>
  <c r="W82" i="126"/>
  <c r="V82" i="126"/>
  <c r="U82" i="126"/>
  <c r="X81" i="126"/>
  <c r="W81" i="126"/>
  <c r="V81" i="126"/>
  <c r="U81" i="126"/>
  <c r="X80" i="126"/>
  <c r="W80" i="126"/>
  <c r="V80" i="126"/>
  <c r="U80" i="126"/>
  <c r="X79" i="126"/>
  <c r="W79" i="126"/>
  <c r="V79" i="126"/>
  <c r="U79" i="126"/>
  <c r="X78" i="126"/>
  <c r="W78" i="126"/>
  <c r="V78" i="126"/>
  <c r="U78" i="126"/>
  <c r="X77" i="126"/>
  <c r="W77" i="126"/>
  <c r="V77" i="126"/>
  <c r="U77" i="126"/>
  <c r="X76" i="126"/>
  <c r="W76" i="126"/>
  <c r="V76" i="126"/>
  <c r="U76" i="126"/>
  <c r="X75" i="126"/>
  <c r="W75" i="126"/>
  <c r="V75" i="126"/>
  <c r="U75" i="126"/>
  <c r="X74" i="126"/>
  <c r="W74" i="126"/>
  <c r="V74" i="126"/>
  <c r="U74" i="126"/>
  <c r="X73" i="126"/>
  <c r="W73" i="126"/>
  <c r="V73" i="126"/>
  <c r="U73" i="126"/>
  <c r="X72" i="126"/>
  <c r="W72" i="126"/>
  <c r="V72" i="126"/>
  <c r="U72" i="126"/>
  <c r="X71" i="126"/>
  <c r="W71" i="126"/>
  <c r="V71" i="126"/>
  <c r="U71" i="126"/>
  <c r="X70" i="126"/>
  <c r="W70" i="126"/>
  <c r="V70" i="126"/>
  <c r="U70" i="126"/>
  <c r="X69" i="126"/>
  <c r="W69" i="126"/>
  <c r="V69" i="126"/>
  <c r="U69" i="126"/>
  <c r="X68" i="126"/>
  <c r="W68" i="126"/>
  <c r="V68" i="126"/>
  <c r="U68" i="126"/>
  <c r="X67" i="126"/>
  <c r="W67" i="126"/>
  <c r="V67" i="126"/>
  <c r="U67" i="126"/>
  <c r="X66" i="126"/>
  <c r="W66" i="126"/>
  <c r="V66" i="126"/>
  <c r="U66" i="126"/>
  <c r="X65" i="126"/>
  <c r="W65" i="126"/>
  <c r="V65" i="126"/>
  <c r="U65" i="126"/>
  <c r="X64" i="126"/>
  <c r="W64" i="126"/>
  <c r="V64" i="126"/>
  <c r="U64" i="126"/>
  <c r="X63" i="126"/>
  <c r="W63" i="126"/>
  <c r="V63" i="126"/>
  <c r="U63" i="126"/>
  <c r="X62" i="126"/>
  <c r="W62" i="126"/>
  <c r="V62" i="126"/>
  <c r="U62" i="126"/>
  <c r="X61" i="126"/>
  <c r="W61" i="126"/>
  <c r="V61" i="126"/>
  <c r="U61" i="126"/>
  <c r="X60" i="126"/>
  <c r="W60" i="126"/>
  <c r="V60" i="126"/>
  <c r="U60" i="126"/>
  <c r="X59" i="126"/>
  <c r="W59" i="126"/>
  <c r="V59" i="126"/>
  <c r="U59" i="126"/>
  <c r="X58" i="126"/>
  <c r="W58" i="126"/>
  <c r="V58" i="126"/>
  <c r="U58" i="126"/>
  <c r="X57" i="126"/>
  <c r="W57" i="126"/>
  <c r="V57" i="126"/>
  <c r="U57" i="126"/>
  <c r="X56" i="126"/>
  <c r="W56" i="126"/>
  <c r="V56" i="126"/>
  <c r="U56" i="126"/>
  <c r="X55" i="126"/>
  <c r="W55" i="126"/>
  <c r="V55" i="126"/>
  <c r="U55" i="126"/>
  <c r="X54" i="126"/>
  <c r="W54" i="126"/>
  <c r="V54" i="126"/>
  <c r="U54" i="126"/>
  <c r="X53" i="126"/>
  <c r="W53" i="126"/>
  <c r="V53" i="126"/>
  <c r="U53" i="126"/>
  <c r="X52" i="126"/>
  <c r="W52" i="126"/>
  <c r="V52" i="126"/>
  <c r="U52" i="126"/>
  <c r="X51" i="126"/>
  <c r="W51" i="126"/>
  <c r="V51" i="126"/>
  <c r="U51" i="126"/>
  <c r="X50" i="126"/>
  <c r="W50" i="126"/>
  <c r="V50" i="126"/>
  <c r="U50" i="126"/>
  <c r="X49" i="126"/>
  <c r="W49" i="126"/>
  <c r="V49" i="126"/>
  <c r="U49" i="126"/>
  <c r="X48" i="126"/>
  <c r="W48" i="126"/>
  <c r="V48" i="126"/>
  <c r="U48" i="126"/>
  <c r="X47" i="126"/>
  <c r="W47" i="126"/>
  <c r="V47" i="126"/>
  <c r="U47" i="126"/>
  <c r="X46" i="126"/>
  <c r="W46" i="126"/>
  <c r="V46" i="126"/>
  <c r="U46" i="126"/>
  <c r="X45" i="126"/>
  <c r="W45" i="126"/>
  <c r="V45" i="126"/>
  <c r="U45" i="126"/>
  <c r="X44" i="126"/>
  <c r="W44" i="126"/>
  <c r="V44" i="126"/>
  <c r="U44" i="126"/>
  <c r="X43" i="126"/>
  <c r="W43" i="126"/>
  <c r="V43" i="126"/>
  <c r="U43" i="126"/>
  <c r="X42" i="126"/>
  <c r="W42" i="126"/>
  <c r="V42" i="126"/>
  <c r="U42" i="126"/>
  <c r="X41" i="126"/>
  <c r="W41" i="126"/>
  <c r="V41" i="126"/>
  <c r="U41" i="126"/>
  <c r="X40" i="126"/>
  <c r="W40" i="126"/>
  <c r="V40" i="126"/>
  <c r="U40" i="126"/>
  <c r="X39" i="126"/>
  <c r="W39" i="126"/>
  <c r="V39" i="126"/>
  <c r="U39" i="126"/>
  <c r="X38" i="126"/>
  <c r="W38" i="126"/>
  <c r="V38" i="126"/>
  <c r="U38" i="126"/>
  <c r="X37" i="126"/>
  <c r="W37" i="126"/>
  <c r="V37" i="126"/>
  <c r="U37" i="126"/>
  <c r="X36" i="126"/>
  <c r="W36" i="126"/>
  <c r="V36" i="126"/>
  <c r="U36" i="126"/>
  <c r="X35" i="126"/>
  <c r="W35" i="126"/>
  <c r="V35" i="126"/>
  <c r="U35" i="126"/>
  <c r="X34" i="126"/>
  <c r="W34" i="126"/>
  <c r="V34" i="126"/>
  <c r="U34" i="126"/>
  <c r="X33" i="126"/>
  <c r="W33" i="126"/>
  <c r="V33" i="126"/>
  <c r="U33" i="126"/>
  <c r="X32" i="126"/>
  <c r="W32" i="126"/>
  <c r="V32" i="126"/>
  <c r="U32" i="126"/>
  <c r="X31" i="126"/>
  <c r="W31" i="126"/>
  <c r="V31" i="126"/>
  <c r="U31" i="126"/>
  <c r="X30" i="126"/>
  <c r="W30" i="126"/>
  <c r="V30" i="126"/>
  <c r="U30" i="126"/>
  <c r="X29" i="126"/>
  <c r="W29" i="126"/>
  <c r="V29" i="126"/>
  <c r="U29" i="126"/>
  <c r="X28" i="126"/>
  <c r="W28" i="126"/>
  <c r="V28" i="126"/>
  <c r="U28" i="126"/>
  <c r="X27" i="126"/>
  <c r="W27" i="126"/>
  <c r="V27" i="126"/>
  <c r="U27" i="126"/>
  <c r="X26" i="126"/>
  <c r="W26" i="126"/>
  <c r="V26" i="126"/>
  <c r="U26" i="126"/>
  <c r="X25" i="126"/>
  <c r="W25" i="126"/>
  <c r="V25" i="126"/>
  <c r="U25" i="126"/>
  <c r="X24" i="126"/>
  <c r="W24" i="126"/>
  <c r="V24" i="126"/>
  <c r="U24" i="126"/>
  <c r="X23" i="126"/>
  <c r="W23" i="126"/>
  <c r="V23" i="126"/>
  <c r="U23" i="126"/>
  <c r="X22" i="126"/>
  <c r="W22" i="126"/>
  <c r="V22" i="126"/>
  <c r="U22" i="126"/>
  <c r="X21" i="126"/>
  <c r="W21" i="126"/>
  <c r="V21" i="126"/>
  <c r="U21" i="126"/>
  <c r="X20" i="126"/>
  <c r="W20" i="126"/>
  <c r="V20" i="126"/>
  <c r="U20" i="126"/>
  <c r="X19" i="126"/>
  <c r="W19" i="126"/>
  <c r="V19" i="126"/>
  <c r="U19" i="126"/>
  <c r="X18" i="126"/>
  <c r="W18" i="126"/>
  <c r="V18" i="126"/>
  <c r="U18" i="126"/>
  <c r="X17" i="126"/>
  <c r="W17" i="126"/>
  <c r="V17" i="126"/>
  <c r="U17" i="126"/>
  <c r="X16" i="126"/>
  <c r="W16" i="126"/>
  <c r="V16" i="126"/>
  <c r="U16" i="126"/>
  <c r="X15" i="126"/>
  <c r="W15" i="126"/>
  <c r="V15" i="126"/>
  <c r="U15" i="126"/>
  <c r="X14" i="126"/>
  <c r="W14" i="126"/>
  <c r="V14" i="126"/>
  <c r="U14" i="126"/>
  <c r="X13" i="126"/>
  <c r="W13" i="126"/>
  <c r="V13" i="126"/>
  <c r="U13" i="126"/>
  <c r="X12" i="126"/>
  <c r="W12" i="126"/>
  <c r="V12" i="126"/>
  <c r="U12" i="126"/>
  <c r="X11" i="126"/>
  <c r="W11" i="126"/>
  <c r="V11" i="126"/>
  <c r="U11" i="126"/>
  <c r="X10" i="126"/>
  <c r="W10" i="126"/>
  <c r="V10" i="126"/>
  <c r="U10" i="126"/>
  <c r="X9" i="126"/>
  <c r="W9" i="126"/>
  <c r="V9" i="126"/>
  <c r="U9" i="126"/>
  <c r="X8" i="126"/>
  <c r="W8" i="126"/>
  <c r="V8" i="126"/>
  <c r="U8" i="126"/>
  <c r="X7" i="126"/>
  <c r="W7" i="126"/>
  <c r="V7" i="126"/>
  <c r="U7" i="126"/>
  <c r="X6" i="126"/>
  <c r="W6" i="126"/>
  <c r="V6" i="126"/>
  <c r="U6" i="126"/>
  <c r="X5" i="126"/>
  <c r="W5" i="126"/>
  <c r="V5" i="126"/>
  <c r="U5" i="126"/>
  <c r="X4" i="126"/>
  <c r="W4" i="126"/>
  <c r="V4" i="126"/>
  <c r="U4" i="126"/>
  <c r="X3" i="126"/>
  <c r="X1" i="126" s="1"/>
  <c r="W3" i="126"/>
  <c r="V3" i="126"/>
  <c r="U3" i="126"/>
  <c r="X166" i="125"/>
  <c r="W166" i="125"/>
  <c r="V166" i="125"/>
  <c r="U166" i="125"/>
  <c r="X165" i="125"/>
  <c r="W165" i="125"/>
  <c r="V165" i="125"/>
  <c r="U165" i="125"/>
  <c r="X164" i="125"/>
  <c r="W164" i="125"/>
  <c r="V164" i="125"/>
  <c r="U164" i="125"/>
  <c r="X163" i="125"/>
  <c r="W163" i="125"/>
  <c r="V163" i="125"/>
  <c r="U163" i="125"/>
  <c r="X162" i="125"/>
  <c r="W162" i="125"/>
  <c r="V162" i="125"/>
  <c r="U162" i="125"/>
  <c r="X161" i="125"/>
  <c r="W161" i="125"/>
  <c r="V161" i="125"/>
  <c r="U161" i="125"/>
  <c r="X160" i="125"/>
  <c r="W160" i="125"/>
  <c r="V160" i="125"/>
  <c r="U160" i="125"/>
  <c r="X159" i="125"/>
  <c r="W159" i="125"/>
  <c r="V159" i="125"/>
  <c r="U159" i="125"/>
  <c r="X158" i="125"/>
  <c r="W158" i="125"/>
  <c r="V158" i="125"/>
  <c r="U158" i="125"/>
  <c r="X157" i="125"/>
  <c r="W157" i="125"/>
  <c r="V157" i="125"/>
  <c r="U157" i="125"/>
  <c r="X156" i="125"/>
  <c r="W156" i="125"/>
  <c r="V156" i="125"/>
  <c r="U156" i="125"/>
  <c r="X155" i="125"/>
  <c r="W155" i="125"/>
  <c r="V155" i="125"/>
  <c r="U155" i="125"/>
  <c r="X154" i="125"/>
  <c r="W154" i="125"/>
  <c r="V154" i="125"/>
  <c r="U154" i="125"/>
  <c r="X153" i="125"/>
  <c r="W153" i="125"/>
  <c r="V153" i="125"/>
  <c r="U153" i="125"/>
  <c r="X152" i="125"/>
  <c r="W152" i="125"/>
  <c r="V152" i="125"/>
  <c r="U152" i="125"/>
  <c r="X151" i="125"/>
  <c r="W151" i="125"/>
  <c r="V151" i="125"/>
  <c r="U151" i="125"/>
  <c r="X150" i="125"/>
  <c r="W150" i="125"/>
  <c r="V150" i="125"/>
  <c r="U150" i="125"/>
  <c r="X149" i="125"/>
  <c r="W149" i="125"/>
  <c r="V149" i="125"/>
  <c r="U149" i="125"/>
  <c r="X148" i="125"/>
  <c r="W148" i="125"/>
  <c r="V148" i="125"/>
  <c r="U148" i="125"/>
  <c r="X147" i="125"/>
  <c r="W147" i="125"/>
  <c r="V147" i="125"/>
  <c r="U147" i="125"/>
  <c r="X146" i="125"/>
  <c r="W146" i="125"/>
  <c r="V146" i="125"/>
  <c r="U146" i="125"/>
  <c r="X145" i="125"/>
  <c r="W145" i="125"/>
  <c r="V145" i="125"/>
  <c r="U145" i="125"/>
  <c r="X144" i="125"/>
  <c r="W144" i="125"/>
  <c r="V144" i="125"/>
  <c r="U144" i="125"/>
  <c r="X143" i="125"/>
  <c r="W143" i="125"/>
  <c r="V143" i="125"/>
  <c r="U143" i="125"/>
  <c r="X142" i="125"/>
  <c r="W142" i="125"/>
  <c r="V142" i="125"/>
  <c r="U142" i="125"/>
  <c r="X141" i="125"/>
  <c r="W141" i="125"/>
  <c r="V141" i="125"/>
  <c r="U141" i="125"/>
  <c r="X140" i="125"/>
  <c r="W140" i="125"/>
  <c r="V140" i="125"/>
  <c r="U140" i="125"/>
  <c r="X139" i="125"/>
  <c r="W139" i="125"/>
  <c r="V139" i="125"/>
  <c r="U139" i="125"/>
  <c r="X138" i="125"/>
  <c r="W138" i="125"/>
  <c r="V138" i="125"/>
  <c r="U138" i="125"/>
  <c r="X137" i="125"/>
  <c r="W137" i="125"/>
  <c r="V137" i="125"/>
  <c r="U137" i="125"/>
  <c r="X136" i="125"/>
  <c r="W136" i="125"/>
  <c r="V136" i="125"/>
  <c r="U136" i="125"/>
  <c r="X135" i="125"/>
  <c r="W135" i="125"/>
  <c r="V135" i="125"/>
  <c r="U135" i="125"/>
  <c r="X134" i="125"/>
  <c r="W134" i="125"/>
  <c r="V134" i="125"/>
  <c r="U134" i="125"/>
  <c r="X133" i="125"/>
  <c r="W133" i="125"/>
  <c r="V133" i="125"/>
  <c r="U133" i="125"/>
  <c r="X132" i="125"/>
  <c r="W132" i="125"/>
  <c r="V132" i="125"/>
  <c r="U132" i="125"/>
  <c r="X131" i="125"/>
  <c r="W131" i="125"/>
  <c r="V131" i="125"/>
  <c r="U131" i="125"/>
  <c r="X130" i="125"/>
  <c r="W130" i="125"/>
  <c r="V130" i="125"/>
  <c r="U130" i="125"/>
  <c r="X129" i="125"/>
  <c r="W129" i="125"/>
  <c r="V129" i="125"/>
  <c r="U129" i="125"/>
  <c r="X128" i="125"/>
  <c r="W128" i="125"/>
  <c r="V128" i="125"/>
  <c r="U128" i="125"/>
  <c r="X127" i="125"/>
  <c r="W127" i="125"/>
  <c r="V127" i="125"/>
  <c r="U127" i="125"/>
  <c r="X126" i="125"/>
  <c r="W126" i="125"/>
  <c r="V126" i="125"/>
  <c r="U126" i="125"/>
  <c r="X125" i="125"/>
  <c r="W125" i="125"/>
  <c r="V125" i="125"/>
  <c r="U125" i="125"/>
  <c r="X124" i="125"/>
  <c r="W124" i="125"/>
  <c r="V124" i="125"/>
  <c r="U124" i="125"/>
  <c r="X123" i="125"/>
  <c r="W123" i="125"/>
  <c r="V123" i="125"/>
  <c r="U123" i="125"/>
  <c r="X122" i="125"/>
  <c r="W122" i="125"/>
  <c r="V122" i="125"/>
  <c r="U122" i="125"/>
  <c r="X121" i="125"/>
  <c r="W121" i="125"/>
  <c r="V121" i="125"/>
  <c r="U121" i="125"/>
  <c r="X120" i="125"/>
  <c r="W120" i="125"/>
  <c r="V120" i="125"/>
  <c r="U120" i="125"/>
  <c r="X119" i="125"/>
  <c r="W119" i="125"/>
  <c r="V119" i="125"/>
  <c r="U119" i="125"/>
  <c r="X118" i="125"/>
  <c r="W118" i="125"/>
  <c r="V118" i="125"/>
  <c r="U118" i="125"/>
  <c r="X117" i="125"/>
  <c r="W117" i="125"/>
  <c r="V117" i="125"/>
  <c r="U117" i="125"/>
  <c r="X116" i="125"/>
  <c r="W116" i="125"/>
  <c r="V116" i="125"/>
  <c r="U116" i="125"/>
  <c r="X115" i="125"/>
  <c r="W115" i="125"/>
  <c r="V115" i="125"/>
  <c r="U115" i="125"/>
  <c r="X114" i="125"/>
  <c r="W114" i="125"/>
  <c r="V114" i="125"/>
  <c r="U114" i="125"/>
  <c r="X113" i="125"/>
  <c r="W113" i="125"/>
  <c r="V113" i="125"/>
  <c r="U113" i="125"/>
  <c r="X112" i="125"/>
  <c r="W112" i="125"/>
  <c r="V112" i="125"/>
  <c r="U112" i="125"/>
  <c r="X111" i="125"/>
  <c r="W111" i="125"/>
  <c r="V111" i="125"/>
  <c r="U111" i="125"/>
  <c r="X110" i="125"/>
  <c r="W110" i="125"/>
  <c r="V110" i="125"/>
  <c r="U110" i="125"/>
  <c r="X109" i="125"/>
  <c r="W109" i="125"/>
  <c r="V109" i="125"/>
  <c r="U109" i="125"/>
  <c r="X108" i="125"/>
  <c r="W108" i="125"/>
  <c r="V108" i="125"/>
  <c r="U108" i="125"/>
  <c r="X107" i="125"/>
  <c r="W107" i="125"/>
  <c r="V107" i="125"/>
  <c r="U107" i="125"/>
  <c r="X106" i="125"/>
  <c r="W106" i="125"/>
  <c r="V106" i="125"/>
  <c r="U106" i="125"/>
  <c r="X105" i="125"/>
  <c r="W105" i="125"/>
  <c r="V105" i="125"/>
  <c r="U105" i="125"/>
  <c r="X104" i="125"/>
  <c r="W104" i="125"/>
  <c r="V104" i="125"/>
  <c r="U104" i="125"/>
  <c r="X103" i="125"/>
  <c r="W103" i="125"/>
  <c r="V103" i="125"/>
  <c r="U103" i="125"/>
  <c r="X102" i="125"/>
  <c r="W102" i="125"/>
  <c r="V102" i="125"/>
  <c r="U102" i="125"/>
  <c r="X101" i="125"/>
  <c r="W101" i="125"/>
  <c r="V101" i="125"/>
  <c r="U101" i="125"/>
  <c r="X100" i="125"/>
  <c r="W100" i="125"/>
  <c r="V100" i="125"/>
  <c r="U100" i="125"/>
  <c r="X99" i="125"/>
  <c r="W99" i="125"/>
  <c r="V99" i="125"/>
  <c r="U99" i="125"/>
  <c r="X98" i="125"/>
  <c r="W98" i="125"/>
  <c r="V98" i="125"/>
  <c r="U98" i="125"/>
  <c r="X97" i="125"/>
  <c r="W97" i="125"/>
  <c r="V97" i="125"/>
  <c r="U97" i="125"/>
  <c r="X96" i="125"/>
  <c r="W96" i="125"/>
  <c r="V96" i="125"/>
  <c r="U96" i="125"/>
  <c r="X95" i="125"/>
  <c r="W95" i="125"/>
  <c r="V95" i="125"/>
  <c r="U95" i="125"/>
  <c r="X94" i="125"/>
  <c r="W94" i="125"/>
  <c r="V94" i="125"/>
  <c r="U94" i="125"/>
  <c r="X93" i="125"/>
  <c r="W93" i="125"/>
  <c r="V93" i="125"/>
  <c r="U93" i="125"/>
  <c r="X92" i="125"/>
  <c r="W92" i="125"/>
  <c r="V92" i="125"/>
  <c r="U92" i="125"/>
  <c r="X91" i="125"/>
  <c r="W91" i="125"/>
  <c r="V91" i="125"/>
  <c r="U91" i="125"/>
  <c r="X90" i="125"/>
  <c r="W90" i="125"/>
  <c r="V90" i="125"/>
  <c r="U90" i="125"/>
  <c r="X89" i="125"/>
  <c r="W89" i="125"/>
  <c r="V89" i="125"/>
  <c r="U89" i="125"/>
  <c r="X88" i="125"/>
  <c r="W88" i="125"/>
  <c r="V88" i="125"/>
  <c r="U88" i="125"/>
  <c r="X87" i="125"/>
  <c r="W87" i="125"/>
  <c r="V87" i="125"/>
  <c r="U87" i="125"/>
  <c r="X86" i="125"/>
  <c r="W86" i="125"/>
  <c r="V86" i="125"/>
  <c r="U86" i="125"/>
  <c r="X85" i="125"/>
  <c r="W85" i="125"/>
  <c r="V85" i="125"/>
  <c r="U85" i="125"/>
  <c r="X84" i="125"/>
  <c r="W84" i="125"/>
  <c r="V84" i="125"/>
  <c r="U84" i="125"/>
  <c r="X83" i="125"/>
  <c r="W83" i="125"/>
  <c r="V83" i="125"/>
  <c r="U83" i="125"/>
  <c r="X82" i="125"/>
  <c r="W82" i="125"/>
  <c r="V82" i="125"/>
  <c r="U82" i="125"/>
  <c r="X81" i="125"/>
  <c r="W81" i="125"/>
  <c r="V81" i="125"/>
  <c r="U81" i="125"/>
  <c r="X80" i="125"/>
  <c r="W80" i="125"/>
  <c r="V80" i="125"/>
  <c r="U80" i="125"/>
  <c r="X79" i="125"/>
  <c r="W79" i="125"/>
  <c r="V79" i="125"/>
  <c r="U79" i="125"/>
  <c r="X78" i="125"/>
  <c r="W78" i="125"/>
  <c r="V78" i="125"/>
  <c r="U78" i="125"/>
  <c r="X77" i="125"/>
  <c r="W77" i="125"/>
  <c r="V77" i="125"/>
  <c r="U77" i="125"/>
  <c r="X76" i="125"/>
  <c r="W76" i="125"/>
  <c r="V76" i="125"/>
  <c r="U76" i="125"/>
  <c r="X75" i="125"/>
  <c r="W75" i="125"/>
  <c r="V75" i="125"/>
  <c r="U75" i="125"/>
  <c r="X74" i="125"/>
  <c r="W74" i="125"/>
  <c r="V74" i="125"/>
  <c r="U74" i="125"/>
  <c r="X73" i="125"/>
  <c r="W73" i="125"/>
  <c r="V73" i="125"/>
  <c r="U73" i="125"/>
  <c r="X72" i="125"/>
  <c r="W72" i="125"/>
  <c r="V72" i="125"/>
  <c r="U72" i="125"/>
  <c r="X71" i="125"/>
  <c r="W71" i="125"/>
  <c r="V71" i="125"/>
  <c r="U71" i="125"/>
  <c r="X70" i="125"/>
  <c r="W70" i="125"/>
  <c r="V70" i="125"/>
  <c r="U70" i="125"/>
  <c r="X69" i="125"/>
  <c r="W69" i="125"/>
  <c r="V69" i="125"/>
  <c r="U69" i="125"/>
  <c r="X68" i="125"/>
  <c r="W68" i="125"/>
  <c r="V68" i="125"/>
  <c r="U68" i="125"/>
  <c r="X67" i="125"/>
  <c r="W67" i="125"/>
  <c r="V67" i="125"/>
  <c r="U67" i="125"/>
  <c r="X66" i="125"/>
  <c r="W66" i="125"/>
  <c r="V66" i="125"/>
  <c r="U66" i="125"/>
  <c r="X65" i="125"/>
  <c r="W65" i="125"/>
  <c r="V65" i="125"/>
  <c r="U65" i="125"/>
  <c r="X64" i="125"/>
  <c r="W64" i="125"/>
  <c r="V64" i="125"/>
  <c r="U64" i="125"/>
  <c r="X63" i="125"/>
  <c r="W63" i="125"/>
  <c r="V63" i="125"/>
  <c r="U63" i="125"/>
  <c r="X62" i="125"/>
  <c r="W62" i="125"/>
  <c r="V62" i="125"/>
  <c r="U62" i="125"/>
  <c r="X61" i="125"/>
  <c r="W61" i="125"/>
  <c r="V61" i="125"/>
  <c r="U61" i="125"/>
  <c r="X60" i="125"/>
  <c r="W60" i="125"/>
  <c r="V60" i="125"/>
  <c r="U60" i="125"/>
  <c r="X59" i="125"/>
  <c r="W59" i="125"/>
  <c r="V59" i="125"/>
  <c r="U59" i="125"/>
  <c r="X58" i="125"/>
  <c r="W58" i="125"/>
  <c r="V58" i="125"/>
  <c r="U58" i="125"/>
  <c r="X57" i="125"/>
  <c r="W57" i="125"/>
  <c r="V57" i="125"/>
  <c r="U57" i="125"/>
  <c r="X56" i="125"/>
  <c r="W56" i="125"/>
  <c r="V56" i="125"/>
  <c r="U56" i="125"/>
  <c r="X55" i="125"/>
  <c r="W55" i="125"/>
  <c r="V55" i="125"/>
  <c r="U55" i="125"/>
  <c r="X54" i="125"/>
  <c r="W54" i="125"/>
  <c r="V54" i="125"/>
  <c r="U54" i="125"/>
  <c r="X53" i="125"/>
  <c r="W53" i="125"/>
  <c r="V53" i="125"/>
  <c r="U53" i="125"/>
  <c r="X52" i="125"/>
  <c r="W52" i="125"/>
  <c r="V52" i="125"/>
  <c r="U52" i="125"/>
  <c r="X51" i="125"/>
  <c r="W51" i="125"/>
  <c r="V51" i="125"/>
  <c r="U51" i="125"/>
  <c r="X50" i="125"/>
  <c r="W50" i="125"/>
  <c r="V50" i="125"/>
  <c r="U50" i="125"/>
  <c r="X49" i="125"/>
  <c r="W49" i="125"/>
  <c r="V49" i="125"/>
  <c r="U49" i="125"/>
  <c r="X48" i="125"/>
  <c r="W48" i="125"/>
  <c r="V48" i="125"/>
  <c r="U48" i="125"/>
  <c r="X47" i="125"/>
  <c r="W47" i="125"/>
  <c r="V47" i="125"/>
  <c r="U47" i="125"/>
  <c r="X46" i="125"/>
  <c r="W46" i="125"/>
  <c r="V46" i="125"/>
  <c r="U46" i="125"/>
  <c r="X45" i="125"/>
  <c r="W45" i="125"/>
  <c r="V45" i="125"/>
  <c r="U45" i="125"/>
  <c r="X44" i="125"/>
  <c r="W44" i="125"/>
  <c r="V44" i="125"/>
  <c r="U44" i="125"/>
  <c r="X43" i="125"/>
  <c r="W43" i="125"/>
  <c r="V43" i="125"/>
  <c r="U43" i="125"/>
  <c r="X42" i="125"/>
  <c r="W42" i="125"/>
  <c r="V42" i="125"/>
  <c r="U42" i="125"/>
  <c r="X41" i="125"/>
  <c r="W41" i="125"/>
  <c r="V41" i="125"/>
  <c r="U41" i="125"/>
  <c r="X40" i="125"/>
  <c r="W40" i="125"/>
  <c r="V40" i="125"/>
  <c r="U40" i="125"/>
  <c r="X39" i="125"/>
  <c r="W39" i="125"/>
  <c r="V39" i="125"/>
  <c r="U39" i="125"/>
  <c r="X38" i="125"/>
  <c r="W38" i="125"/>
  <c r="V38" i="125"/>
  <c r="U38" i="125"/>
  <c r="X37" i="125"/>
  <c r="W37" i="125"/>
  <c r="V37" i="125"/>
  <c r="U37" i="125"/>
  <c r="X36" i="125"/>
  <c r="W36" i="125"/>
  <c r="V36" i="125"/>
  <c r="U36" i="125"/>
  <c r="X35" i="125"/>
  <c r="W35" i="125"/>
  <c r="V35" i="125"/>
  <c r="U35" i="125"/>
  <c r="X34" i="125"/>
  <c r="W34" i="125"/>
  <c r="V34" i="125"/>
  <c r="U34" i="125"/>
  <c r="X33" i="125"/>
  <c r="W33" i="125"/>
  <c r="V33" i="125"/>
  <c r="U33" i="125"/>
  <c r="X32" i="125"/>
  <c r="W32" i="125"/>
  <c r="V32" i="125"/>
  <c r="U32" i="125"/>
  <c r="X31" i="125"/>
  <c r="W31" i="125"/>
  <c r="V31" i="125"/>
  <c r="U31" i="125"/>
  <c r="X30" i="125"/>
  <c r="W30" i="125"/>
  <c r="V30" i="125"/>
  <c r="U30" i="125"/>
  <c r="X29" i="125"/>
  <c r="W29" i="125"/>
  <c r="V29" i="125"/>
  <c r="U29" i="125"/>
  <c r="X28" i="125"/>
  <c r="W28" i="125"/>
  <c r="V28" i="125"/>
  <c r="U28" i="125"/>
  <c r="X27" i="125"/>
  <c r="W27" i="125"/>
  <c r="V27" i="125"/>
  <c r="U27" i="125"/>
  <c r="X26" i="125"/>
  <c r="W26" i="125"/>
  <c r="V26" i="125"/>
  <c r="U26" i="125"/>
  <c r="X25" i="125"/>
  <c r="W25" i="125"/>
  <c r="V25" i="125"/>
  <c r="U25" i="125"/>
  <c r="X24" i="125"/>
  <c r="W24" i="125"/>
  <c r="V24" i="125"/>
  <c r="U24" i="125"/>
  <c r="X23" i="125"/>
  <c r="W23" i="125"/>
  <c r="V23" i="125"/>
  <c r="U23" i="125"/>
  <c r="X22" i="125"/>
  <c r="W22" i="125"/>
  <c r="V22" i="125"/>
  <c r="U22" i="125"/>
  <c r="X21" i="125"/>
  <c r="W21" i="125"/>
  <c r="V21" i="125"/>
  <c r="U21" i="125"/>
  <c r="X20" i="125"/>
  <c r="W20" i="125"/>
  <c r="V20" i="125"/>
  <c r="U20" i="125"/>
  <c r="X19" i="125"/>
  <c r="W19" i="125"/>
  <c r="V19" i="125"/>
  <c r="U19" i="125"/>
  <c r="X18" i="125"/>
  <c r="W18" i="125"/>
  <c r="V18" i="125"/>
  <c r="U18" i="125"/>
  <c r="X17" i="125"/>
  <c r="W17" i="125"/>
  <c r="V17" i="125"/>
  <c r="U17" i="125"/>
  <c r="X16" i="125"/>
  <c r="W16" i="125"/>
  <c r="V16" i="125"/>
  <c r="U16" i="125"/>
  <c r="X15" i="125"/>
  <c r="W15" i="125"/>
  <c r="V15" i="125"/>
  <c r="U15" i="125"/>
  <c r="X14" i="125"/>
  <c r="W14" i="125"/>
  <c r="V14" i="125"/>
  <c r="U14" i="125"/>
  <c r="X13" i="125"/>
  <c r="W13" i="125"/>
  <c r="V13" i="125"/>
  <c r="U13" i="125"/>
  <c r="X12" i="125"/>
  <c r="W12" i="125"/>
  <c r="V12" i="125"/>
  <c r="U12" i="125"/>
  <c r="X11" i="125"/>
  <c r="W11" i="125"/>
  <c r="V11" i="125"/>
  <c r="U11" i="125"/>
  <c r="X10" i="125"/>
  <c r="W10" i="125"/>
  <c r="V10" i="125"/>
  <c r="U10" i="125"/>
  <c r="X9" i="125"/>
  <c r="W9" i="125"/>
  <c r="V9" i="125"/>
  <c r="U9" i="125"/>
  <c r="X8" i="125"/>
  <c r="W8" i="125"/>
  <c r="V8" i="125"/>
  <c r="U8" i="125"/>
  <c r="X7" i="125"/>
  <c r="W7" i="125"/>
  <c r="V7" i="125"/>
  <c r="U7" i="125"/>
  <c r="X6" i="125"/>
  <c r="W6" i="125"/>
  <c r="V6" i="125"/>
  <c r="U6" i="125"/>
  <c r="X5" i="125"/>
  <c r="W5" i="125"/>
  <c r="V5" i="125"/>
  <c r="U5" i="125"/>
  <c r="X4" i="125"/>
  <c r="W4" i="125"/>
  <c r="V4" i="125"/>
  <c r="U4" i="125"/>
  <c r="X3" i="125"/>
  <c r="X1" i="125" s="1"/>
  <c r="W3" i="125"/>
  <c r="V3" i="125"/>
  <c r="U3" i="125"/>
  <c r="X253" i="124"/>
  <c r="W253" i="124"/>
  <c r="V253" i="124"/>
  <c r="U253" i="124"/>
  <c r="X252" i="124"/>
  <c r="W252" i="124"/>
  <c r="V252" i="124"/>
  <c r="U252" i="124"/>
  <c r="X251" i="124"/>
  <c r="W251" i="124"/>
  <c r="V251" i="124"/>
  <c r="U251" i="124"/>
  <c r="X250" i="124"/>
  <c r="W250" i="124"/>
  <c r="V250" i="124"/>
  <c r="U250" i="124"/>
  <c r="X249" i="124"/>
  <c r="W249" i="124"/>
  <c r="V249" i="124"/>
  <c r="U249" i="124"/>
  <c r="X248" i="124"/>
  <c r="W248" i="124"/>
  <c r="V248" i="124"/>
  <c r="U248" i="124"/>
  <c r="X247" i="124"/>
  <c r="W247" i="124"/>
  <c r="V247" i="124"/>
  <c r="U247" i="124"/>
  <c r="X246" i="124"/>
  <c r="W246" i="124"/>
  <c r="V246" i="124"/>
  <c r="U246" i="124"/>
  <c r="X245" i="124"/>
  <c r="W245" i="124"/>
  <c r="V245" i="124"/>
  <c r="U245" i="124"/>
  <c r="X244" i="124"/>
  <c r="W244" i="124"/>
  <c r="V244" i="124"/>
  <c r="U244" i="124"/>
  <c r="X243" i="124"/>
  <c r="W243" i="124"/>
  <c r="V243" i="124"/>
  <c r="U243" i="124"/>
  <c r="X242" i="124"/>
  <c r="W242" i="124"/>
  <c r="V242" i="124"/>
  <c r="U242" i="124"/>
  <c r="X241" i="124"/>
  <c r="W241" i="124"/>
  <c r="V241" i="124"/>
  <c r="U241" i="124"/>
  <c r="X240" i="124"/>
  <c r="W240" i="124"/>
  <c r="V240" i="124"/>
  <c r="U240" i="124"/>
  <c r="X239" i="124"/>
  <c r="W239" i="124"/>
  <c r="V239" i="124"/>
  <c r="U239" i="124"/>
  <c r="X238" i="124"/>
  <c r="W238" i="124"/>
  <c r="V238" i="124"/>
  <c r="U238" i="124"/>
  <c r="X237" i="124"/>
  <c r="W237" i="124"/>
  <c r="V237" i="124"/>
  <c r="U237" i="124"/>
  <c r="X236" i="124"/>
  <c r="W236" i="124"/>
  <c r="V236" i="124"/>
  <c r="U236" i="124"/>
  <c r="X235" i="124"/>
  <c r="W235" i="124"/>
  <c r="V235" i="124"/>
  <c r="U235" i="124"/>
  <c r="X234" i="124"/>
  <c r="W234" i="124"/>
  <c r="V234" i="124"/>
  <c r="U234" i="124"/>
  <c r="X233" i="124"/>
  <c r="W233" i="124"/>
  <c r="V233" i="124"/>
  <c r="U233" i="124"/>
  <c r="X232" i="124"/>
  <c r="W232" i="124"/>
  <c r="V232" i="124"/>
  <c r="U232" i="124"/>
  <c r="X230" i="124"/>
  <c r="W230" i="124"/>
  <c r="V230" i="124"/>
  <c r="U230" i="124"/>
  <c r="X229" i="124"/>
  <c r="W229" i="124"/>
  <c r="V229" i="124"/>
  <c r="U229" i="124"/>
  <c r="X228" i="124"/>
  <c r="W228" i="124"/>
  <c r="V228" i="124"/>
  <c r="U228" i="124"/>
  <c r="X227" i="124"/>
  <c r="W227" i="124"/>
  <c r="V227" i="124"/>
  <c r="U227" i="124"/>
  <c r="X226" i="124"/>
  <c r="W226" i="124"/>
  <c r="V226" i="124"/>
  <c r="U226" i="124"/>
  <c r="X225" i="124"/>
  <c r="W225" i="124"/>
  <c r="V225" i="124"/>
  <c r="U225" i="124"/>
  <c r="X224" i="124"/>
  <c r="W224" i="124"/>
  <c r="V224" i="124"/>
  <c r="U224" i="124"/>
  <c r="X223" i="124"/>
  <c r="W223" i="124"/>
  <c r="V223" i="124"/>
  <c r="U223" i="124"/>
  <c r="X222" i="124"/>
  <c r="W222" i="124"/>
  <c r="V222" i="124"/>
  <c r="U222" i="124"/>
  <c r="X221" i="124"/>
  <c r="W221" i="124"/>
  <c r="V221" i="124"/>
  <c r="U221" i="124"/>
  <c r="X220" i="124"/>
  <c r="W220" i="124"/>
  <c r="V220" i="124"/>
  <c r="U220" i="124"/>
  <c r="X219" i="124"/>
  <c r="W219" i="124"/>
  <c r="V219" i="124"/>
  <c r="U219" i="124"/>
  <c r="X218" i="124"/>
  <c r="W218" i="124"/>
  <c r="V218" i="124"/>
  <c r="U218" i="124"/>
  <c r="X217" i="124"/>
  <c r="W217" i="124"/>
  <c r="V217" i="124"/>
  <c r="U217" i="124"/>
  <c r="X216" i="124"/>
  <c r="W216" i="124"/>
  <c r="V216" i="124"/>
  <c r="U216" i="124"/>
  <c r="X215" i="124"/>
  <c r="W215" i="124"/>
  <c r="V215" i="124"/>
  <c r="U215" i="124"/>
  <c r="X214" i="124"/>
  <c r="W214" i="124"/>
  <c r="V214" i="124"/>
  <c r="U214" i="124"/>
  <c r="X213" i="124"/>
  <c r="W213" i="124"/>
  <c r="V213" i="124"/>
  <c r="U213" i="124"/>
  <c r="X212" i="124"/>
  <c r="W212" i="124"/>
  <c r="V212" i="124"/>
  <c r="U212" i="124"/>
  <c r="X211" i="124"/>
  <c r="W211" i="124"/>
  <c r="V211" i="124"/>
  <c r="U211" i="124"/>
  <c r="X210" i="124"/>
  <c r="W210" i="124"/>
  <c r="V210" i="124"/>
  <c r="U210" i="124"/>
  <c r="X209" i="124"/>
  <c r="W209" i="124"/>
  <c r="V209" i="124"/>
  <c r="U209" i="124"/>
  <c r="X208" i="124"/>
  <c r="W208" i="124"/>
  <c r="V208" i="124"/>
  <c r="U208" i="124"/>
  <c r="X207" i="124"/>
  <c r="W207" i="124"/>
  <c r="V207" i="124"/>
  <c r="U207" i="124"/>
  <c r="X206" i="124"/>
  <c r="W206" i="124"/>
  <c r="V206" i="124"/>
  <c r="U206" i="124"/>
  <c r="X205" i="124"/>
  <c r="W205" i="124"/>
  <c r="V205" i="124"/>
  <c r="U205" i="124"/>
  <c r="X204" i="124"/>
  <c r="W204" i="124"/>
  <c r="V204" i="124"/>
  <c r="U204" i="124"/>
  <c r="X203" i="124"/>
  <c r="W203" i="124"/>
  <c r="V203" i="124"/>
  <c r="U203" i="124"/>
  <c r="X202" i="124"/>
  <c r="W202" i="124"/>
  <c r="V202" i="124"/>
  <c r="U202" i="124"/>
  <c r="X201" i="124"/>
  <c r="W201" i="124"/>
  <c r="V201" i="124"/>
  <c r="U201" i="124"/>
  <c r="X200" i="124"/>
  <c r="W200" i="124"/>
  <c r="V200" i="124"/>
  <c r="U200" i="124"/>
  <c r="X199" i="124"/>
  <c r="W199" i="124"/>
  <c r="V199" i="124"/>
  <c r="U199" i="124"/>
  <c r="X198" i="124"/>
  <c r="W198" i="124"/>
  <c r="V198" i="124"/>
  <c r="U198" i="124"/>
  <c r="X197" i="124"/>
  <c r="W197" i="124"/>
  <c r="V197" i="124"/>
  <c r="U197" i="124"/>
  <c r="X196" i="124"/>
  <c r="W196" i="124"/>
  <c r="V196" i="124"/>
  <c r="U196" i="124"/>
  <c r="X195" i="124"/>
  <c r="W195" i="124"/>
  <c r="V195" i="124"/>
  <c r="U195" i="124"/>
  <c r="X194" i="124"/>
  <c r="W194" i="124"/>
  <c r="V194" i="124"/>
  <c r="U194" i="124"/>
  <c r="X193" i="124"/>
  <c r="W193" i="124"/>
  <c r="V193" i="124"/>
  <c r="U193" i="124"/>
  <c r="X192" i="124"/>
  <c r="W192" i="124"/>
  <c r="V192" i="124"/>
  <c r="U192" i="124"/>
  <c r="X191" i="124"/>
  <c r="W191" i="124"/>
  <c r="V191" i="124"/>
  <c r="U191" i="124"/>
  <c r="X190" i="124"/>
  <c r="W190" i="124"/>
  <c r="V190" i="124"/>
  <c r="U190" i="124"/>
  <c r="X189" i="124"/>
  <c r="W189" i="124"/>
  <c r="V189" i="124"/>
  <c r="U189" i="124"/>
  <c r="X188" i="124"/>
  <c r="W188" i="124"/>
  <c r="V188" i="124"/>
  <c r="U188" i="124"/>
  <c r="X187" i="124"/>
  <c r="W187" i="124"/>
  <c r="V187" i="124"/>
  <c r="U187" i="124"/>
  <c r="X186" i="124"/>
  <c r="W186" i="124"/>
  <c r="V186" i="124"/>
  <c r="U186" i="124"/>
  <c r="X185" i="124"/>
  <c r="W185" i="124"/>
  <c r="V185" i="124"/>
  <c r="U185" i="124"/>
  <c r="X184" i="124"/>
  <c r="W184" i="124"/>
  <c r="V184" i="124"/>
  <c r="U184" i="124"/>
  <c r="X183" i="124"/>
  <c r="W183" i="124"/>
  <c r="V183" i="124"/>
  <c r="U183" i="124"/>
  <c r="X182" i="124"/>
  <c r="W182" i="124"/>
  <c r="V182" i="124"/>
  <c r="U182" i="124"/>
  <c r="X181" i="124"/>
  <c r="W181" i="124"/>
  <c r="V181" i="124"/>
  <c r="U181" i="124"/>
  <c r="X180" i="124"/>
  <c r="W180" i="124"/>
  <c r="V180" i="124"/>
  <c r="U180" i="124"/>
  <c r="X179" i="124"/>
  <c r="W179" i="124"/>
  <c r="V179" i="124"/>
  <c r="U179" i="124"/>
  <c r="X178" i="124"/>
  <c r="W178" i="124"/>
  <c r="V178" i="124"/>
  <c r="U178" i="124"/>
  <c r="X177" i="124"/>
  <c r="W177" i="124"/>
  <c r="V177" i="124"/>
  <c r="U177" i="124"/>
  <c r="X176" i="124"/>
  <c r="W176" i="124"/>
  <c r="V176" i="124"/>
  <c r="U176" i="124"/>
  <c r="X175" i="124"/>
  <c r="W175" i="124"/>
  <c r="V175" i="124"/>
  <c r="U175" i="124"/>
  <c r="X174" i="124"/>
  <c r="W174" i="124"/>
  <c r="V174" i="124"/>
  <c r="U174" i="124"/>
  <c r="X173" i="124"/>
  <c r="W173" i="124"/>
  <c r="V173" i="124"/>
  <c r="U173" i="124"/>
  <c r="X172" i="124"/>
  <c r="W172" i="124"/>
  <c r="V172" i="124"/>
  <c r="U172" i="124"/>
  <c r="X171" i="124"/>
  <c r="W171" i="124"/>
  <c r="V171" i="124"/>
  <c r="U171" i="124"/>
  <c r="X170" i="124"/>
  <c r="W170" i="124"/>
  <c r="V170" i="124"/>
  <c r="U170" i="124"/>
  <c r="X169" i="124"/>
  <c r="W169" i="124"/>
  <c r="V169" i="124"/>
  <c r="U169" i="124"/>
  <c r="X168" i="124"/>
  <c r="W168" i="124"/>
  <c r="V168" i="124"/>
  <c r="U168" i="124"/>
  <c r="X167" i="124"/>
  <c r="W167" i="124"/>
  <c r="V167" i="124"/>
  <c r="U167" i="124"/>
  <c r="X166" i="124"/>
  <c r="W166" i="124"/>
  <c r="V166" i="124"/>
  <c r="U166" i="124"/>
  <c r="X165" i="124"/>
  <c r="W165" i="124"/>
  <c r="V165" i="124"/>
  <c r="U165" i="124"/>
  <c r="X164" i="124"/>
  <c r="W164" i="124"/>
  <c r="V164" i="124"/>
  <c r="U164" i="124"/>
  <c r="X163" i="124"/>
  <c r="W163" i="124"/>
  <c r="V163" i="124"/>
  <c r="U163" i="124"/>
  <c r="X162" i="124"/>
  <c r="W162" i="124"/>
  <c r="V162" i="124"/>
  <c r="U162" i="124"/>
  <c r="X161" i="124"/>
  <c r="W161" i="124"/>
  <c r="V161" i="124"/>
  <c r="U161" i="124"/>
  <c r="X160" i="124"/>
  <c r="W160" i="124"/>
  <c r="V160" i="124"/>
  <c r="U160" i="124"/>
  <c r="X159" i="124"/>
  <c r="W159" i="124"/>
  <c r="V159" i="124"/>
  <c r="U159" i="124"/>
  <c r="X158" i="124"/>
  <c r="W158" i="124"/>
  <c r="V158" i="124"/>
  <c r="U158" i="124"/>
  <c r="X157" i="124"/>
  <c r="W157" i="124"/>
  <c r="V157" i="124"/>
  <c r="U157" i="124"/>
  <c r="X156" i="124"/>
  <c r="W156" i="124"/>
  <c r="V156" i="124"/>
  <c r="U156" i="124"/>
  <c r="X155" i="124"/>
  <c r="W155" i="124"/>
  <c r="V155" i="124"/>
  <c r="U155" i="124"/>
  <c r="X154" i="124"/>
  <c r="W154" i="124"/>
  <c r="V154" i="124"/>
  <c r="U154" i="124"/>
  <c r="X153" i="124"/>
  <c r="W153" i="124"/>
  <c r="V153" i="124"/>
  <c r="U153" i="124"/>
  <c r="X152" i="124"/>
  <c r="W152" i="124"/>
  <c r="V152" i="124"/>
  <c r="U152" i="124"/>
  <c r="X151" i="124"/>
  <c r="W151" i="124"/>
  <c r="V151" i="124"/>
  <c r="U151" i="124"/>
  <c r="X150" i="124"/>
  <c r="W150" i="124"/>
  <c r="V150" i="124"/>
  <c r="U150" i="124"/>
  <c r="X149" i="124"/>
  <c r="W149" i="124"/>
  <c r="V149" i="124"/>
  <c r="U149" i="124"/>
  <c r="X148" i="124"/>
  <c r="W148" i="124"/>
  <c r="V148" i="124"/>
  <c r="U148" i="124"/>
  <c r="X147" i="124"/>
  <c r="W147" i="124"/>
  <c r="V147" i="124"/>
  <c r="U147" i="124"/>
  <c r="X146" i="124"/>
  <c r="W146" i="124"/>
  <c r="V146" i="124"/>
  <c r="U146" i="124"/>
  <c r="X145" i="124"/>
  <c r="W145" i="124"/>
  <c r="V145" i="124"/>
  <c r="U145" i="124"/>
  <c r="X144" i="124"/>
  <c r="W144" i="124"/>
  <c r="V144" i="124"/>
  <c r="U144" i="124"/>
  <c r="X143" i="124"/>
  <c r="W143" i="124"/>
  <c r="V143" i="124"/>
  <c r="U143" i="124"/>
  <c r="X142" i="124"/>
  <c r="W142" i="124"/>
  <c r="V142" i="124"/>
  <c r="U142" i="124"/>
  <c r="X141" i="124"/>
  <c r="W141" i="124"/>
  <c r="V141" i="124"/>
  <c r="U141" i="124"/>
  <c r="X140" i="124"/>
  <c r="W140" i="124"/>
  <c r="V140" i="124"/>
  <c r="U140" i="124"/>
  <c r="X139" i="124"/>
  <c r="W139" i="124"/>
  <c r="V139" i="124"/>
  <c r="U139" i="124"/>
  <c r="X138" i="124"/>
  <c r="W138" i="124"/>
  <c r="V138" i="124"/>
  <c r="U138" i="124"/>
  <c r="X137" i="124"/>
  <c r="W137" i="124"/>
  <c r="V137" i="124"/>
  <c r="U137" i="124"/>
  <c r="X136" i="124"/>
  <c r="W136" i="124"/>
  <c r="V136" i="124"/>
  <c r="U136" i="124"/>
  <c r="X135" i="124"/>
  <c r="W135" i="124"/>
  <c r="V135" i="124"/>
  <c r="U135" i="124"/>
  <c r="X134" i="124"/>
  <c r="W134" i="124"/>
  <c r="V134" i="124"/>
  <c r="U134" i="124"/>
  <c r="X133" i="124"/>
  <c r="W133" i="124"/>
  <c r="V133" i="124"/>
  <c r="U133" i="124"/>
  <c r="X132" i="124"/>
  <c r="W132" i="124"/>
  <c r="V132" i="124"/>
  <c r="U132" i="124"/>
  <c r="X131" i="124"/>
  <c r="W131" i="124"/>
  <c r="V131" i="124"/>
  <c r="U131" i="124"/>
  <c r="X130" i="124"/>
  <c r="W130" i="124"/>
  <c r="V130" i="124"/>
  <c r="U130" i="124"/>
  <c r="X129" i="124"/>
  <c r="W129" i="124"/>
  <c r="V129" i="124"/>
  <c r="U129" i="124"/>
  <c r="X128" i="124"/>
  <c r="W128" i="124"/>
  <c r="V128" i="124"/>
  <c r="U128" i="124"/>
  <c r="X127" i="124"/>
  <c r="W127" i="124"/>
  <c r="V127" i="124"/>
  <c r="U127" i="124"/>
  <c r="X126" i="124"/>
  <c r="W126" i="124"/>
  <c r="V126" i="124"/>
  <c r="U126" i="124"/>
  <c r="X125" i="124"/>
  <c r="W125" i="124"/>
  <c r="V125" i="124"/>
  <c r="U125" i="124"/>
  <c r="X124" i="124"/>
  <c r="W124" i="124"/>
  <c r="V124" i="124"/>
  <c r="U124" i="124"/>
  <c r="X123" i="124"/>
  <c r="W123" i="124"/>
  <c r="V123" i="124"/>
  <c r="U123" i="124"/>
  <c r="X122" i="124"/>
  <c r="W122" i="124"/>
  <c r="V122" i="124"/>
  <c r="U122" i="124"/>
  <c r="X121" i="124"/>
  <c r="W121" i="124"/>
  <c r="V121" i="124"/>
  <c r="U121" i="124"/>
  <c r="X120" i="124"/>
  <c r="W120" i="124"/>
  <c r="V120" i="124"/>
  <c r="U120" i="124"/>
  <c r="X119" i="124"/>
  <c r="W119" i="124"/>
  <c r="V119" i="124"/>
  <c r="U119" i="124"/>
  <c r="X118" i="124"/>
  <c r="W118" i="124"/>
  <c r="V118" i="124"/>
  <c r="U118" i="124"/>
  <c r="X117" i="124"/>
  <c r="W117" i="124"/>
  <c r="V117" i="124"/>
  <c r="U117" i="124"/>
  <c r="X116" i="124"/>
  <c r="W116" i="124"/>
  <c r="V116" i="124"/>
  <c r="U116" i="124"/>
  <c r="X115" i="124"/>
  <c r="W115" i="124"/>
  <c r="V115" i="124"/>
  <c r="U115" i="124"/>
  <c r="X114" i="124"/>
  <c r="W114" i="124"/>
  <c r="V114" i="124"/>
  <c r="U114" i="124"/>
  <c r="X113" i="124"/>
  <c r="W113" i="124"/>
  <c r="V113" i="124"/>
  <c r="U113" i="124"/>
  <c r="X112" i="124"/>
  <c r="W112" i="124"/>
  <c r="V112" i="124"/>
  <c r="U112" i="124"/>
  <c r="X111" i="124"/>
  <c r="W111" i="124"/>
  <c r="V111" i="124"/>
  <c r="U111" i="124"/>
  <c r="X110" i="124"/>
  <c r="W110" i="124"/>
  <c r="V110" i="124"/>
  <c r="U110" i="124"/>
  <c r="X109" i="124"/>
  <c r="W109" i="124"/>
  <c r="V109" i="124"/>
  <c r="U109" i="124"/>
  <c r="X108" i="124"/>
  <c r="W108" i="124"/>
  <c r="V108" i="124"/>
  <c r="U108" i="124"/>
  <c r="X107" i="124"/>
  <c r="W107" i="124"/>
  <c r="V107" i="124"/>
  <c r="U107" i="124"/>
  <c r="X106" i="124"/>
  <c r="W106" i="124"/>
  <c r="V106" i="124"/>
  <c r="U106" i="124"/>
  <c r="X105" i="124"/>
  <c r="W105" i="124"/>
  <c r="V105" i="124"/>
  <c r="U105" i="124"/>
  <c r="X104" i="124"/>
  <c r="W104" i="124"/>
  <c r="V104" i="124"/>
  <c r="U104" i="124"/>
  <c r="X103" i="124"/>
  <c r="W103" i="124"/>
  <c r="V103" i="124"/>
  <c r="U103" i="124"/>
  <c r="X102" i="124"/>
  <c r="W102" i="124"/>
  <c r="V102" i="124"/>
  <c r="U102" i="124"/>
  <c r="X101" i="124"/>
  <c r="W101" i="124"/>
  <c r="V101" i="124"/>
  <c r="U101" i="124"/>
  <c r="X100" i="124"/>
  <c r="W100" i="124"/>
  <c r="V100" i="124"/>
  <c r="U100" i="124"/>
  <c r="X99" i="124"/>
  <c r="W99" i="124"/>
  <c r="V99" i="124"/>
  <c r="U99" i="124"/>
  <c r="X98" i="124"/>
  <c r="W98" i="124"/>
  <c r="V98" i="124"/>
  <c r="U98" i="124"/>
  <c r="X97" i="124"/>
  <c r="W97" i="124"/>
  <c r="V97" i="124"/>
  <c r="U97" i="124"/>
  <c r="X96" i="124"/>
  <c r="W96" i="124"/>
  <c r="V96" i="124"/>
  <c r="U96" i="124"/>
  <c r="X95" i="124"/>
  <c r="W95" i="124"/>
  <c r="V95" i="124"/>
  <c r="U95" i="124"/>
  <c r="X94" i="124"/>
  <c r="W94" i="124"/>
  <c r="V94" i="124"/>
  <c r="U94" i="124"/>
  <c r="X93" i="124"/>
  <c r="W93" i="124"/>
  <c r="V93" i="124"/>
  <c r="U93" i="124"/>
  <c r="X92" i="124"/>
  <c r="W92" i="124"/>
  <c r="V92" i="124"/>
  <c r="U92" i="124"/>
  <c r="X91" i="124"/>
  <c r="W91" i="124"/>
  <c r="V91" i="124"/>
  <c r="U91" i="124"/>
  <c r="X90" i="124"/>
  <c r="W90" i="124"/>
  <c r="V90" i="124"/>
  <c r="U90" i="124"/>
  <c r="X89" i="124"/>
  <c r="W89" i="124"/>
  <c r="V89" i="124"/>
  <c r="U89" i="124"/>
  <c r="X88" i="124"/>
  <c r="W88" i="124"/>
  <c r="V88" i="124"/>
  <c r="U88" i="124"/>
  <c r="X87" i="124"/>
  <c r="W87" i="124"/>
  <c r="V87" i="124"/>
  <c r="U87" i="124"/>
  <c r="X86" i="124"/>
  <c r="W86" i="124"/>
  <c r="V86" i="124"/>
  <c r="U86" i="124"/>
  <c r="X85" i="124"/>
  <c r="W85" i="124"/>
  <c r="V85" i="124"/>
  <c r="U85" i="124"/>
  <c r="X84" i="124"/>
  <c r="W84" i="124"/>
  <c r="V84" i="124"/>
  <c r="U84" i="124"/>
  <c r="X83" i="124"/>
  <c r="W83" i="124"/>
  <c r="V83" i="124"/>
  <c r="U83" i="124"/>
  <c r="X82" i="124"/>
  <c r="W82" i="124"/>
  <c r="V82" i="124"/>
  <c r="U82" i="124"/>
  <c r="X81" i="124"/>
  <c r="W81" i="124"/>
  <c r="V81" i="124"/>
  <c r="U81" i="124"/>
  <c r="X80" i="124"/>
  <c r="W80" i="124"/>
  <c r="V80" i="124"/>
  <c r="U80" i="124"/>
  <c r="X79" i="124"/>
  <c r="W79" i="124"/>
  <c r="V79" i="124"/>
  <c r="U79" i="124"/>
  <c r="X78" i="124"/>
  <c r="W78" i="124"/>
  <c r="V78" i="124"/>
  <c r="U78" i="124"/>
  <c r="X77" i="124"/>
  <c r="W77" i="124"/>
  <c r="V77" i="124"/>
  <c r="U77" i="124"/>
  <c r="X76" i="124"/>
  <c r="W76" i="124"/>
  <c r="V76" i="124"/>
  <c r="U76" i="124"/>
  <c r="X75" i="124"/>
  <c r="W75" i="124"/>
  <c r="V75" i="124"/>
  <c r="U75" i="124"/>
  <c r="X74" i="124"/>
  <c r="W74" i="124"/>
  <c r="V74" i="124"/>
  <c r="U74" i="124"/>
  <c r="X73" i="124"/>
  <c r="W73" i="124"/>
  <c r="V73" i="124"/>
  <c r="U73" i="124"/>
  <c r="X72" i="124"/>
  <c r="W72" i="124"/>
  <c r="V72" i="124"/>
  <c r="U72" i="124"/>
  <c r="X71" i="124"/>
  <c r="W71" i="124"/>
  <c r="V71" i="124"/>
  <c r="U71" i="124"/>
  <c r="X70" i="124"/>
  <c r="W70" i="124"/>
  <c r="V70" i="124"/>
  <c r="U70" i="124"/>
  <c r="X69" i="124"/>
  <c r="W69" i="124"/>
  <c r="V69" i="124"/>
  <c r="U69" i="124"/>
  <c r="X68" i="124"/>
  <c r="W68" i="124"/>
  <c r="V68" i="124"/>
  <c r="U68" i="124"/>
  <c r="X67" i="124"/>
  <c r="W67" i="124"/>
  <c r="V67" i="124"/>
  <c r="U67" i="124"/>
  <c r="X66" i="124"/>
  <c r="W66" i="124"/>
  <c r="V66" i="124"/>
  <c r="U66" i="124"/>
  <c r="X65" i="124"/>
  <c r="W65" i="124"/>
  <c r="V65" i="124"/>
  <c r="U65" i="124"/>
  <c r="X64" i="124"/>
  <c r="W64" i="124"/>
  <c r="V64" i="124"/>
  <c r="U64" i="124"/>
  <c r="X63" i="124"/>
  <c r="W63" i="124"/>
  <c r="V63" i="124"/>
  <c r="U63" i="124"/>
  <c r="X62" i="124"/>
  <c r="W62" i="124"/>
  <c r="V62" i="124"/>
  <c r="U62" i="124"/>
  <c r="X61" i="124"/>
  <c r="W61" i="124"/>
  <c r="V61" i="124"/>
  <c r="U61" i="124"/>
  <c r="X60" i="124"/>
  <c r="W60" i="124"/>
  <c r="V60" i="124"/>
  <c r="U60" i="124"/>
  <c r="X59" i="124"/>
  <c r="W59" i="124"/>
  <c r="V59" i="124"/>
  <c r="U59" i="124"/>
  <c r="X58" i="124"/>
  <c r="W58" i="124"/>
  <c r="V58" i="124"/>
  <c r="U58" i="124"/>
  <c r="X57" i="124"/>
  <c r="W57" i="124"/>
  <c r="V57" i="124"/>
  <c r="U57" i="124"/>
  <c r="X56" i="124"/>
  <c r="W56" i="124"/>
  <c r="V56" i="124"/>
  <c r="U56" i="124"/>
  <c r="X55" i="124"/>
  <c r="W55" i="124"/>
  <c r="V55" i="124"/>
  <c r="U55" i="124"/>
  <c r="X54" i="124"/>
  <c r="W54" i="124"/>
  <c r="V54" i="124"/>
  <c r="U54" i="124"/>
  <c r="X53" i="124"/>
  <c r="W53" i="124"/>
  <c r="V53" i="124"/>
  <c r="U53" i="124"/>
  <c r="X52" i="124"/>
  <c r="W52" i="124"/>
  <c r="V52" i="124"/>
  <c r="U52" i="124"/>
  <c r="X51" i="124"/>
  <c r="W51" i="124"/>
  <c r="V51" i="124"/>
  <c r="U51" i="124"/>
  <c r="X50" i="124"/>
  <c r="W50" i="124"/>
  <c r="V50" i="124"/>
  <c r="U50" i="124"/>
  <c r="X49" i="124"/>
  <c r="W49" i="124"/>
  <c r="V49" i="124"/>
  <c r="U49" i="124"/>
  <c r="X48" i="124"/>
  <c r="W48" i="124"/>
  <c r="V48" i="124"/>
  <c r="U48" i="124"/>
  <c r="X47" i="124"/>
  <c r="W47" i="124"/>
  <c r="V47" i="124"/>
  <c r="U47" i="124"/>
  <c r="X46" i="124"/>
  <c r="W46" i="124"/>
  <c r="V46" i="124"/>
  <c r="U46" i="124"/>
  <c r="X45" i="124"/>
  <c r="W45" i="124"/>
  <c r="V45" i="124"/>
  <c r="U45" i="124"/>
  <c r="X44" i="124"/>
  <c r="W44" i="124"/>
  <c r="V44" i="124"/>
  <c r="U44" i="124"/>
  <c r="X43" i="124"/>
  <c r="W43" i="124"/>
  <c r="V43" i="124"/>
  <c r="U43" i="124"/>
  <c r="X42" i="124"/>
  <c r="W42" i="124"/>
  <c r="V42" i="124"/>
  <c r="U42" i="124"/>
  <c r="X41" i="124"/>
  <c r="W41" i="124"/>
  <c r="V41" i="124"/>
  <c r="U41" i="124"/>
  <c r="X40" i="124"/>
  <c r="W40" i="124"/>
  <c r="V40" i="124"/>
  <c r="U40" i="124"/>
  <c r="X39" i="124"/>
  <c r="W39" i="124"/>
  <c r="V39" i="124"/>
  <c r="U39" i="124"/>
  <c r="X38" i="124"/>
  <c r="W38" i="124"/>
  <c r="V38" i="124"/>
  <c r="U38" i="124"/>
  <c r="X37" i="124"/>
  <c r="W37" i="124"/>
  <c r="V37" i="124"/>
  <c r="U37" i="124"/>
  <c r="X36" i="124"/>
  <c r="W36" i="124"/>
  <c r="V36" i="124"/>
  <c r="U36" i="124"/>
  <c r="X35" i="124"/>
  <c r="W35" i="124"/>
  <c r="V35" i="124"/>
  <c r="U35" i="124"/>
  <c r="X34" i="124"/>
  <c r="W34" i="124"/>
  <c r="V34" i="124"/>
  <c r="U34" i="124"/>
  <c r="X33" i="124"/>
  <c r="W33" i="124"/>
  <c r="V33" i="124"/>
  <c r="U33" i="124"/>
  <c r="X32" i="124"/>
  <c r="W32" i="124"/>
  <c r="V32" i="124"/>
  <c r="U32" i="124"/>
  <c r="X31" i="124"/>
  <c r="W31" i="124"/>
  <c r="V31" i="124"/>
  <c r="U31" i="124"/>
  <c r="X30" i="124"/>
  <c r="W30" i="124"/>
  <c r="V30" i="124"/>
  <c r="U30" i="124"/>
  <c r="X29" i="124"/>
  <c r="W29" i="124"/>
  <c r="V29" i="124"/>
  <c r="U29" i="124"/>
  <c r="X28" i="124"/>
  <c r="W28" i="124"/>
  <c r="V28" i="124"/>
  <c r="U28" i="124"/>
  <c r="X27" i="124"/>
  <c r="W27" i="124"/>
  <c r="V27" i="124"/>
  <c r="U27" i="124"/>
  <c r="X26" i="124"/>
  <c r="W26" i="124"/>
  <c r="V26" i="124"/>
  <c r="U26" i="124"/>
  <c r="X25" i="124"/>
  <c r="W25" i="124"/>
  <c r="V25" i="124"/>
  <c r="U25" i="124"/>
  <c r="X24" i="124"/>
  <c r="W24" i="124"/>
  <c r="V24" i="124"/>
  <c r="U24" i="124"/>
  <c r="X23" i="124"/>
  <c r="W23" i="124"/>
  <c r="V23" i="124"/>
  <c r="U23" i="124"/>
  <c r="X22" i="124"/>
  <c r="W22" i="124"/>
  <c r="V22" i="124"/>
  <c r="U22" i="124"/>
  <c r="X21" i="124"/>
  <c r="W21" i="124"/>
  <c r="V21" i="124"/>
  <c r="U21" i="124"/>
  <c r="X20" i="124"/>
  <c r="W20" i="124"/>
  <c r="V20" i="124"/>
  <c r="U20" i="124"/>
  <c r="X19" i="124"/>
  <c r="W19" i="124"/>
  <c r="V19" i="124"/>
  <c r="U19" i="124"/>
  <c r="X18" i="124"/>
  <c r="W18" i="124"/>
  <c r="V18" i="124"/>
  <c r="U18" i="124"/>
  <c r="X17" i="124"/>
  <c r="W17" i="124"/>
  <c r="V17" i="124"/>
  <c r="U17" i="124"/>
  <c r="X16" i="124"/>
  <c r="W16" i="124"/>
  <c r="V16" i="124"/>
  <c r="U16" i="124"/>
  <c r="X3" i="124"/>
  <c r="W3" i="124"/>
  <c r="V3" i="124"/>
  <c r="U3" i="124"/>
  <c r="X3" i="123"/>
  <c r="X1" i="123" s="1"/>
  <c r="W3" i="123"/>
  <c r="V3" i="123"/>
  <c r="U3" i="123"/>
  <c r="U4" i="122"/>
  <c r="V4" i="122"/>
  <c r="W4" i="122"/>
  <c r="X4" i="122"/>
  <c r="U5" i="122"/>
  <c r="V5" i="122"/>
  <c r="W5" i="122"/>
  <c r="X5" i="122"/>
  <c r="U6" i="122"/>
  <c r="V6" i="122"/>
  <c r="W6" i="122"/>
  <c r="X6" i="122"/>
  <c r="U7" i="122"/>
  <c r="V7" i="122"/>
  <c r="W7" i="122"/>
  <c r="X7" i="122"/>
  <c r="U8" i="122"/>
  <c r="V8" i="122"/>
  <c r="W8" i="122"/>
  <c r="X8" i="122"/>
  <c r="U9" i="122"/>
  <c r="V9" i="122"/>
  <c r="W9" i="122"/>
  <c r="X9" i="122"/>
  <c r="U10" i="122"/>
  <c r="V10" i="122"/>
  <c r="W10" i="122"/>
  <c r="X10" i="122"/>
  <c r="U11" i="122"/>
  <c r="V11" i="122"/>
  <c r="W11" i="122"/>
  <c r="X11" i="122"/>
  <c r="U12" i="122"/>
  <c r="V12" i="122"/>
  <c r="W12" i="122"/>
  <c r="X12" i="122"/>
  <c r="U13" i="122"/>
  <c r="V13" i="122"/>
  <c r="W13" i="122"/>
  <c r="X13" i="122"/>
  <c r="U14" i="122"/>
  <c r="V14" i="122"/>
  <c r="W14" i="122"/>
  <c r="X14" i="122"/>
  <c r="U15" i="122"/>
  <c r="V15" i="122"/>
  <c r="W15" i="122"/>
  <c r="X15" i="122"/>
  <c r="U16" i="122"/>
  <c r="V16" i="122"/>
  <c r="W16" i="122"/>
  <c r="X16" i="122"/>
  <c r="U17" i="122"/>
  <c r="V17" i="122"/>
  <c r="W17" i="122"/>
  <c r="X17" i="122"/>
  <c r="U18" i="122"/>
  <c r="V18" i="122"/>
  <c r="W18" i="122"/>
  <c r="X18" i="122"/>
  <c r="U19" i="122"/>
  <c r="V19" i="122"/>
  <c r="W19" i="122"/>
  <c r="X19" i="122"/>
  <c r="U20" i="122"/>
  <c r="V20" i="122"/>
  <c r="W20" i="122"/>
  <c r="X20" i="122"/>
  <c r="U21" i="122"/>
  <c r="V21" i="122"/>
  <c r="W21" i="122"/>
  <c r="X21" i="122"/>
  <c r="U22" i="122"/>
  <c r="V22" i="122"/>
  <c r="W22" i="122"/>
  <c r="X22" i="122"/>
  <c r="U23" i="122"/>
  <c r="V23" i="122"/>
  <c r="W23" i="122"/>
  <c r="X23" i="122"/>
  <c r="U24" i="122"/>
  <c r="V24" i="122"/>
  <c r="W24" i="122"/>
  <c r="X24" i="122"/>
  <c r="U25" i="122"/>
  <c r="V25" i="122"/>
  <c r="W25" i="122"/>
  <c r="X25" i="122"/>
  <c r="U26" i="122"/>
  <c r="V26" i="122"/>
  <c r="W26" i="122"/>
  <c r="X26" i="122"/>
  <c r="U27" i="122"/>
  <c r="V27" i="122"/>
  <c r="W27" i="122"/>
  <c r="X27" i="122"/>
  <c r="U28" i="122"/>
  <c r="V28" i="122"/>
  <c r="W28" i="122"/>
  <c r="X28" i="122"/>
  <c r="U29" i="122"/>
  <c r="V29" i="122"/>
  <c r="W29" i="122"/>
  <c r="X29" i="122"/>
  <c r="U30" i="122"/>
  <c r="V30" i="122"/>
  <c r="W30" i="122"/>
  <c r="X30" i="122"/>
  <c r="U31" i="122"/>
  <c r="V31" i="122"/>
  <c r="W31" i="122"/>
  <c r="X31" i="122"/>
  <c r="U32" i="122"/>
  <c r="V32" i="122"/>
  <c r="W32" i="122"/>
  <c r="X32" i="122"/>
  <c r="U33" i="122"/>
  <c r="V33" i="122"/>
  <c r="W33" i="122"/>
  <c r="X33" i="122"/>
  <c r="U34" i="122"/>
  <c r="V34" i="122"/>
  <c r="W34" i="122"/>
  <c r="X34" i="122"/>
  <c r="U35" i="122"/>
  <c r="V35" i="122"/>
  <c r="W35" i="122"/>
  <c r="X35" i="122"/>
  <c r="U36" i="122"/>
  <c r="V36" i="122"/>
  <c r="W36" i="122"/>
  <c r="X36" i="122"/>
  <c r="U37" i="122"/>
  <c r="V37" i="122"/>
  <c r="W37" i="122"/>
  <c r="X37" i="122"/>
  <c r="U38" i="122"/>
  <c r="V38" i="122"/>
  <c r="W38" i="122"/>
  <c r="X38" i="122"/>
  <c r="U39" i="122"/>
  <c r="V39" i="122"/>
  <c r="W39" i="122"/>
  <c r="X39" i="122"/>
  <c r="U40" i="122"/>
  <c r="V40" i="122"/>
  <c r="W40" i="122"/>
  <c r="X40" i="122"/>
  <c r="U41" i="122"/>
  <c r="V41" i="122"/>
  <c r="W41" i="122"/>
  <c r="X41" i="122"/>
  <c r="U42" i="122"/>
  <c r="V42" i="122"/>
  <c r="W42" i="122"/>
  <c r="X42" i="122"/>
  <c r="U43" i="122"/>
  <c r="V43" i="122"/>
  <c r="W43" i="122"/>
  <c r="X43" i="122"/>
  <c r="U44" i="122"/>
  <c r="V44" i="122"/>
  <c r="W44" i="122"/>
  <c r="X44" i="122"/>
  <c r="U45" i="122"/>
  <c r="V45" i="122"/>
  <c r="W45" i="122"/>
  <c r="X45" i="122"/>
  <c r="U46" i="122"/>
  <c r="V46" i="122"/>
  <c r="W46" i="122"/>
  <c r="X46" i="122"/>
  <c r="U47" i="122"/>
  <c r="V47" i="122"/>
  <c r="W47" i="122"/>
  <c r="X47" i="122"/>
  <c r="U48" i="122"/>
  <c r="V48" i="122"/>
  <c r="W48" i="122"/>
  <c r="X48" i="122"/>
  <c r="U49" i="122"/>
  <c r="V49" i="122"/>
  <c r="W49" i="122"/>
  <c r="X49" i="122"/>
  <c r="U50" i="122"/>
  <c r="V50" i="122"/>
  <c r="W50" i="122"/>
  <c r="X50" i="122"/>
  <c r="U51" i="122"/>
  <c r="V51" i="122"/>
  <c r="W51" i="122"/>
  <c r="X51" i="122"/>
  <c r="U52" i="122"/>
  <c r="V52" i="122"/>
  <c r="W52" i="122"/>
  <c r="X52" i="122"/>
  <c r="U53" i="122"/>
  <c r="V53" i="122"/>
  <c r="W53" i="122"/>
  <c r="X53" i="122"/>
  <c r="U54" i="122"/>
  <c r="V54" i="122"/>
  <c r="W54" i="122"/>
  <c r="X54" i="122"/>
  <c r="U55" i="122"/>
  <c r="V55" i="122"/>
  <c r="W55" i="122"/>
  <c r="X55" i="122"/>
  <c r="U56" i="122"/>
  <c r="V56" i="122"/>
  <c r="W56" i="122"/>
  <c r="X56" i="122"/>
  <c r="U57" i="122"/>
  <c r="V57" i="122"/>
  <c r="W57" i="122"/>
  <c r="X57" i="122"/>
  <c r="U58" i="122"/>
  <c r="V58" i="122"/>
  <c r="W58" i="122"/>
  <c r="X58" i="122"/>
  <c r="U59" i="122"/>
  <c r="V59" i="122"/>
  <c r="W59" i="122"/>
  <c r="X59" i="122"/>
  <c r="U60" i="122"/>
  <c r="V60" i="122"/>
  <c r="W60" i="122"/>
  <c r="X60" i="122"/>
  <c r="U61" i="122"/>
  <c r="V61" i="122"/>
  <c r="W61" i="122"/>
  <c r="X61" i="122"/>
  <c r="U62" i="122"/>
  <c r="V62" i="122"/>
  <c r="W62" i="122"/>
  <c r="X62" i="122"/>
  <c r="U63" i="122"/>
  <c r="V63" i="122"/>
  <c r="W63" i="122"/>
  <c r="X63" i="122"/>
  <c r="U64" i="122"/>
  <c r="V64" i="122"/>
  <c r="W64" i="122"/>
  <c r="X64" i="122"/>
  <c r="U65" i="122"/>
  <c r="V65" i="122"/>
  <c r="W65" i="122"/>
  <c r="X65" i="122"/>
  <c r="U66" i="122"/>
  <c r="V66" i="122"/>
  <c r="W66" i="122"/>
  <c r="X66" i="122"/>
  <c r="U67" i="122"/>
  <c r="V67" i="122"/>
  <c r="W67" i="122"/>
  <c r="X67" i="122"/>
  <c r="U68" i="122"/>
  <c r="V68" i="122"/>
  <c r="W68" i="122"/>
  <c r="X68" i="122"/>
  <c r="U69" i="122"/>
  <c r="V69" i="122"/>
  <c r="W69" i="122"/>
  <c r="X69" i="122"/>
  <c r="U70" i="122"/>
  <c r="V70" i="122"/>
  <c r="W70" i="122"/>
  <c r="X70" i="122"/>
  <c r="U71" i="122"/>
  <c r="V71" i="122"/>
  <c r="W71" i="122"/>
  <c r="X71" i="122"/>
  <c r="U72" i="122"/>
  <c r="V72" i="122"/>
  <c r="W72" i="122"/>
  <c r="X72" i="122"/>
  <c r="U73" i="122"/>
  <c r="V73" i="122"/>
  <c r="W73" i="122"/>
  <c r="X73" i="122"/>
  <c r="U74" i="122"/>
  <c r="V74" i="122"/>
  <c r="W74" i="122"/>
  <c r="X74" i="122"/>
  <c r="U75" i="122"/>
  <c r="V75" i="122"/>
  <c r="W75" i="122"/>
  <c r="X75" i="122"/>
  <c r="U76" i="122"/>
  <c r="V76" i="122"/>
  <c r="W76" i="122"/>
  <c r="X76" i="122"/>
  <c r="U77" i="122"/>
  <c r="V77" i="122"/>
  <c r="W77" i="122"/>
  <c r="X77" i="122"/>
  <c r="U78" i="122"/>
  <c r="V78" i="122"/>
  <c r="W78" i="122"/>
  <c r="X78" i="122"/>
  <c r="U79" i="122"/>
  <c r="V79" i="122"/>
  <c r="W79" i="122"/>
  <c r="X79" i="122"/>
  <c r="U80" i="122"/>
  <c r="V80" i="122"/>
  <c r="W80" i="122"/>
  <c r="X80" i="122"/>
  <c r="U81" i="122"/>
  <c r="V81" i="122"/>
  <c r="W81" i="122"/>
  <c r="X81" i="122"/>
  <c r="U82" i="122"/>
  <c r="V82" i="122"/>
  <c r="W82" i="122"/>
  <c r="X82" i="122"/>
  <c r="U83" i="122"/>
  <c r="V83" i="122"/>
  <c r="W83" i="122"/>
  <c r="X83" i="122"/>
  <c r="U84" i="122"/>
  <c r="V84" i="122"/>
  <c r="W84" i="122"/>
  <c r="X84" i="122"/>
  <c r="U85" i="122"/>
  <c r="V85" i="122"/>
  <c r="W85" i="122"/>
  <c r="X85" i="122"/>
  <c r="U86" i="122"/>
  <c r="V86" i="122"/>
  <c r="W86" i="122"/>
  <c r="X86" i="122"/>
  <c r="U87" i="122"/>
  <c r="V87" i="122"/>
  <c r="W87" i="122"/>
  <c r="X87" i="122"/>
  <c r="U88" i="122"/>
  <c r="V88" i="122"/>
  <c r="W88" i="122"/>
  <c r="X88" i="122"/>
  <c r="U89" i="122"/>
  <c r="V89" i="122"/>
  <c r="W89" i="122"/>
  <c r="X89" i="122"/>
  <c r="U90" i="122"/>
  <c r="V90" i="122"/>
  <c r="W90" i="122"/>
  <c r="X90" i="122"/>
  <c r="U91" i="122"/>
  <c r="V91" i="122"/>
  <c r="W91" i="122"/>
  <c r="X91" i="122"/>
  <c r="U92" i="122"/>
  <c r="V92" i="122"/>
  <c r="W92" i="122"/>
  <c r="X92" i="122"/>
  <c r="U93" i="122"/>
  <c r="V93" i="122"/>
  <c r="W93" i="122"/>
  <c r="X93" i="122"/>
  <c r="U94" i="122"/>
  <c r="V94" i="122"/>
  <c r="W94" i="122"/>
  <c r="X94" i="122"/>
  <c r="U95" i="122"/>
  <c r="V95" i="122"/>
  <c r="W95" i="122"/>
  <c r="X95" i="122"/>
  <c r="U96" i="122"/>
  <c r="V96" i="122"/>
  <c r="W96" i="122"/>
  <c r="X96" i="122"/>
  <c r="U97" i="122"/>
  <c r="V97" i="122"/>
  <c r="W97" i="122"/>
  <c r="X97" i="122"/>
  <c r="U98" i="122"/>
  <c r="V98" i="122"/>
  <c r="W98" i="122"/>
  <c r="X98" i="122"/>
  <c r="U99" i="122"/>
  <c r="V99" i="122"/>
  <c r="W99" i="122"/>
  <c r="X99" i="122"/>
  <c r="U100" i="122"/>
  <c r="V100" i="122"/>
  <c r="W100" i="122"/>
  <c r="X100" i="122"/>
  <c r="U101" i="122"/>
  <c r="V101" i="122"/>
  <c r="W101" i="122"/>
  <c r="X101" i="122"/>
  <c r="U102" i="122"/>
  <c r="V102" i="122"/>
  <c r="W102" i="122"/>
  <c r="X102" i="122"/>
  <c r="U103" i="122"/>
  <c r="V103" i="122"/>
  <c r="W103" i="122"/>
  <c r="X103" i="122"/>
  <c r="U104" i="122"/>
  <c r="V104" i="122"/>
  <c r="W104" i="122"/>
  <c r="X104" i="122"/>
  <c r="U105" i="122"/>
  <c r="V105" i="122"/>
  <c r="W105" i="122"/>
  <c r="X105" i="122"/>
  <c r="U106" i="122"/>
  <c r="V106" i="122"/>
  <c r="W106" i="122"/>
  <c r="X106" i="122"/>
  <c r="U107" i="122"/>
  <c r="V107" i="122"/>
  <c r="W107" i="122"/>
  <c r="X107" i="122"/>
  <c r="U108" i="122"/>
  <c r="V108" i="122"/>
  <c r="W108" i="122"/>
  <c r="X108" i="122"/>
  <c r="U109" i="122"/>
  <c r="V109" i="122"/>
  <c r="W109" i="122"/>
  <c r="X109" i="122"/>
  <c r="U110" i="122"/>
  <c r="V110" i="122"/>
  <c r="W110" i="122"/>
  <c r="X110" i="122"/>
  <c r="U111" i="122"/>
  <c r="V111" i="122"/>
  <c r="W111" i="122"/>
  <c r="X111" i="122"/>
  <c r="U112" i="122"/>
  <c r="V112" i="122"/>
  <c r="W112" i="122"/>
  <c r="X112" i="122"/>
  <c r="U113" i="122"/>
  <c r="V113" i="122"/>
  <c r="W113" i="122"/>
  <c r="X113" i="122"/>
  <c r="U114" i="122"/>
  <c r="V114" i="122"/>
  <c r="W114" i="122"/>
  <c r="X114" i="122"/>
  <c r="U115" i="122"/>
  <c r="V115" i="122"/>
  <c r="W115" i="122"/>
  <c r="X115" i="122"/>
  <c r="U116" i="122"/>
  <c r="V116" i="122"/>
  <c r="W116" i="122"/>
  <c r="X116" i="122"/>
  <c r="U117" i="122"/>
  <c r="V117" i="122"/>
  <c r="W117" i="122"/>
  <c r="X117" i="122"/>
  <c r="U118" i="122"/>
  <c r="V118" i="122"/>
  <c r="W118" i="122"/>
  <c r="X118" i="122"/>
  <c r="U119" i="122"/>
  <c r="V119" i="122"/>
  <c r="W119" i="122"/>
  <c r="X119" i="122"/>
  <c r="U120" i="122"/>
  <c r="V120" i="122"/>
  <c r="W120" i="122"/>
  <c r="X120" i="122"/>
  <c r="U121" i="122"/>
  <c r="V121" i="122"/>
  <c r="W121" i="122"/>
  <c r="X121" i="122"/>
  <c r="U122" i="122"/>
  <c r="V122" i="122"/>
  <c r="W122" i="122"/>
  <c r="X122" i="122"/>
  <c r="U123" i="122"/>
  <c r="V123" i="122"/>
  <c r="W123" i="122"/>
  <c r="X123" i="122"/>
  <c r="U124" i="122"/>
  <c r="V124" i="122"/>
  <c r="W124" i="122"/>
  <c r="X124" i="122"/>
  <c r="U125" i="122"/>
  <c r="V125" i="122"/>
  <c r="W125" i="122"/>
  <c r="X125" i="122"/>
  <c r="U126" i="122"/>
  <c r="V126" i="122"/>
  <c r="W126" i="122"/>
  <c r="X126" i="122"/>
  <c r="U127" i="122"/>
  <c r="V127" i="122"/>
  <c r="W127" i="122"/>
  <c r="X127" i="122"/>
  <c r="U128" i="122"/>
  <c r="V128" i="122"/>
  <c r="W128" i="122"/>
  <c r="X128" i="122"/>
  <c r="U129" i="122"/>
  <c r="V129" i="122"/>
  <c r="W129" i="122"/>
  <c r="X129" i="122"/>
  <c r="U130" i="122"/>
  <c r="V130" i="122"/>
  <c r="W130" i="122"/>
  <c r="X130" i="122"/>
  <c r="U131" i="122"/>
  <c r="V131" i="122"/>
  <c r="W131" i="122"/>
  <c r="X131" i="122"/>
  <c r="U132" i="122"/>
  <c r="V132" i="122"/>
  <c r="W132" i="122"/>
  <c r="X132" i="122"/>
  <c r="U133" i="122"/>
  <c r="V133" i="122"/>
  <c r="W133" i="122"/>
  <c r="X133" i="122"/>
  <c r="U134" i="122"/>
  <c r="V134" i="122"/>
  <c r="W134" i="122"/>
  <c r="X134" i="122"/>
  <c r="U135" i="122"/>
  <c r="V135" i="122"/>
  <c r="W135" i="122"/>
  <c r="X135" i="122"/>
  <c r="U136" i="122"/>
  <c r="V136" i="122"/>
  <c r="W136" i="122"/>
  <c r="X136" i="122"/>
  <c r="U137" i="122"/>
  <c r="V137" i="122"/>
  <c r="W137" i="122"/>
  <c r="X137" i="122"/>
  <c r="U138" i="122"/>
  <c r="V138" i="122"/>
  <c r="W138" i="122"/>
  <c r="X138" i="122"/>
  <c r="U139" i="122"/>
  <c r="V139" i="122"/>
  <c r="W139" i="122"/>
  <c r="X139" i="122"/>
  <c r="U140" i="122"/>
  <c r="V140" i="122"/>
  <c r="W140" i="122"/>
  <c r="X140" i="122"/>
  <c r="U141" i="122"/>
  <c r="V141" i="122"/>
  <c r="W141" i="122"/>
  <c r="X141" i="122"/>
  <c r="U142" i="122"/>
  <c r="V142" i="122"/>
  <c r="W142" i="122"/>
  <c r="X142" i="122"/>
  <c r="U143" i="122"/>
  <c r="V143" i="122"/>
  <c r="W143" i="122"/>
  <c r="X143" i="122"/>
  <c r="U144" i="122"/>
  <c r="V144" i="122"/>
  <c r="W144" i="122"/>
  <c r="X144" i="122"/>
  <c r="U145" i="122"/>
  <c r="V145" i="122"/>
  <c r="W145" i="122"/>
  <c r="X145" i="122"/>
  <c r="U146" i="122"/>
  <c r="V146" i="122"/>
  <c r="W146" i="122"/>
  <c r="X146" i="122"/>
  <c r="U147" i="122"/>
  <c r="V147" i="122"/>
  <c r="W147" i="122"/>
  <c r="X147" i="122"/>
  <c r="U148" i="122"/>
  <c r="V148" i="122"/>
  <c r="W148" i="122"/>
  <c r="X148" i="122"/>
  <c r="U149" i="122"/>
  <c r="V149" i="122"/>
  <c r="W149" i="122"/>
  <c r="X149" i="122"/>
  <c r="U150" i="122"/>
  <c r="V150" i="122"/>
  <c r="W150" i="122"/>
  <c r="X150" i="122"/>
  <c r="U151" i="122"/>
  <c r="V151" i="122"/>
  <c r="W151" i="122"/>
  <c r="X151" i="122"/>
  <c r="U152" i="122"/>
  <c r="V152" i="122"/>
  <c r="W152" i="122"/>
  <c r="X152" i="122"/>
  <c r="U153" i="122"/>
  <c r="V153" i="122"/>
  <c r="W153" i="122"/>
  <c r="X153" i="122"/>
  <c r="U154" i="122"/>
  <c r="V154" i="122"/>
  <c r="W154" i="122"/>
  <c r="X154" i="122"/>
  <c r="U155" i="122"/>
  <c r="V155" i="122"/>
  <c r="W155" i="122"/>
  <c r="X155" i="122"/>
  <c r="U156" i="122"/>
  <c r="V156" i="122"/>
  <c r="W156" i="122"/>
  <c r="X156" i="122"/>
  <c r="U157" i="122"/>
  <c r="V157" i="122"/>
  <c r="W157" i="122"/>
  <c r="X157" i="122"/>
  <c r="U158" i="122"/>
  <c r="V158" i="122"/>
  <c r="W158" i="122"/>
  <c r="X158" i="122"/>
  <c r="U159" i="122"/>
  <c r="V159" i="122"/>
  <c r="W159" i="122"/>
  <c r="X159" i="122"/>
  <c r="U160" i="122"/>
  <c r="V160" i="122"/>
  <c r="W160" i="122"/>
  <c r="X160" i="122"/>
  <c r="U161" i="122"/>
  <c r="V161" i="122"/>
  <c r="W161" i="122"/>
  <c r="X161" i="122"/>
  <c r="U162" i="122"/>
  <c r="V162" i="122"/>
  <c r="W162" i="122"/>
  <c r="X162" i="122"/>
  <c r="U165" i="122"/>
  <c r="V165" i="122"/>
  <c r="W165" i="122"/>
  <c r="X165" i="122"/>
  <c r="U166" i="122"/>
  <c r="V166" i="122"/>
  <c r="W166" i="122"/>
  <c r="X166" i="122"/>
  <c r="U167" i="122"/>
  <c r="V167" i="122"/>
  <c r="W167" i="122"/>
  <c r="X167" i="122"/>
  <c r="U168" i="122"/>
  <c r="V168" i="122"/>
  <c r="W168" i="122"/>
  <c r="X168" i="122"/>
  <c r="U169" i="122"/>
  <c r="V169" i="122"/>
  <c r="W169" i="122"/>
  <c r="X169" i="122"/>
  <c r="U170" i="122"/>
  <c r="V170" i="122"/>
  <c r="W170" i="122"/>
  <c r="X170" i="122"/>
  <c r="X3" i="122"/>
  <c r="W3" i="122"/>
  <c r="V3" i="122"/>
  <c r="U3" i="122"/>
  <c r="U32" i="121"/>
  <c r="V32" i="121"/>
  <c r="W32" i="121"/>
  <c r="X32" i="121"/>
  <c r="U51" i="121"/>
  <c r="V51" i="121"/>
  <c r="W51" i="121"/>
  <c r="X51" i="121"/>
  <c r="U52" i="121"/>
  <c r="V52" i="121"/>
  <c r="W52" i="121"/>
  <c r="X52" i="121"/>
  <c r="U53" i="121"/>
  <c r="V53" i="121"/>
  <c r="W53" i="121"/>
  <c r="X53" i="121"/>
  <c r="U54" i="121"/>
  <c r="V54" i="121"/>
  <c r="W54" i="121"/>
  <c r="X54" i="121"/>
  <c r="U55" i="121"/>
  <c r="V55" i="121"/>
  <c r="W55" i="121"/>
  <c r="X55" i="121"/>
  <c r="U56" i="121"/>
  <c r="V56" i="121"/>
  <c r="W56" i="121"/>
  <c r="X56" i="121"/>
  <c r="U57" i="121"/>
  <c r="V57" i="121"/>
  <c r="W57" i="121"/>
  <c r="X57" i="121"/>
  <c r="U58" i="121"/>
  <c r="V58" i="121"/>
  <c r="W58" i="121"/>
  <c r="X58" i="121"/>
  <c r="U59" i="121"/>
  <c r="V59" i="121"/>
  <c r="W59" i="121"/>
  <c r="X59" i="121"/>
  <c r="U60" i="121"/>
  <c r="V60" i="121"/>
  <c r="W60" i="121"/>
  <c r="X60" i="121"/>
  <c r="U61" i="121"/>
  <c r="V61" i="121"/>
  <c r="W61" i="121"/>
  <c r="X61" i="121"/>
  <c r="U62" i="121"/>
  <c r="V62" i="121"/>
  <c r="W62" i="121"/>
  <c r="X62" i="121"/>
  <c r="U63" i="121"/>
  <c r="V63" i="121"/>
  <c r="W63" i="121"/>
  <c r="X63" i="121"/>
  <c r="U64" i="121"/>
  <c r="V64" i="121"/>
  <c r="W64" i="121"/>
  <c r="X64" i="121"/>
  <c r="U65" i="121"/>
  <c r="V65" i="121"/>
  <c r="W65" i="121"/>
  <c r="X65" i="121"/>
  <c r="U66" i="121"/>
  <c r="V66" i="121"/>
  <c r="W66" i="121"/>
  <c r="X66" i="121"/>
  <c r="U67" i="121"/>
  <c r="V67" i="121"/>
  <c r="W67" i="121"/>
  <c r="X67" i="121"/>
  <c r="U68" i="121"/>
  <c r="V68" i="121"/>
  <c r="W68" i="121"/>
  <c r="X68" i="121"/>
  <c r="U69" i="121"/>
  <c r="V69" i="121"/>
  <c r="W69" i="121"/>
  <c r="X69" i="121"/>
  <c r="U70" i="121"/>
  <c r="V70" i="121"/>
  <c r="W70" i="121"/>
  <c r="X70" i="121"/>
  <c r="U71" i="121"/>
  <c r="V71" i="121"/>
  <c r="W71" i="121"/>
  <c r="X71" i="121"/>
  <c r="U72" i="121"/>
  <c r="V72" i="121"/>
  <c r="W72" i="121"/>
  <c r="X72" i="121"/>
  <c r="U73" i="121"/>
  <c r="V73" i="121"/>
  <c r="W73" i="121"/>
  <c r="X73" i="121"/>
  <c r="U74" i="121"/>
  <c r="V74" i="121"/>
  <c r="W74" i="121"/>
  <c r="X74" i="121"/>
  <c r="U75" i="121"/>
  <c r="V75" i="121"/>
  <c r="W75" i="121"/>
  <c r="X75" i="121"/>
  <c r="U76" i="121"/>
  <c r="V76" i="121"/>
  <c r="W76" i="121"/>
  <c r="X76" i="121"/>
  <c r="U77" i="121"/>
  <c r="V77" i="121"/>
  <c r="W77" i="121"/>
  <c r="X77" i="121"/>
  <c r="U78" i="121"/>
  <c r="V78" i="121"/>
  <c r="W78" i="121"/>
  <c r="X78" i="121"/>
  <c r="U79" i="121"/>
  <c r="V79" i="121"/>
  <c r="W79" i="121"/>
  <c r="X79" i="121"/>
  <c r="U80" i="121"/>
  <c r="V80" i="121"/>
  <c r="W80" i="121"/>
  <c r="X80" i="121"/>
  <c r="U81" i="121"/>
  <c r="V81" i="121"/>
  <c r="W81" i="121"/>
  <c r="X81" i="121"/>
  <c r="U82" i="121"/>
  <c r="V82" i="121"/>
  <c r="W82" i="121"/>
  <c r="X82" i="121"/>
  <c r="U83" i="121"/>
  <c r="V83" i="121"/>
  <c r="W83" i="121"/>
  <c r="X83" i="121"/>
  <c r="U84" i="121"/>
  <c r="V84" i="121"/>
  <c r="W84" i="121"/>
  <c r="X84" i="121"/>
  <c r="U85" i="121"/>
  <c r="V85" i="121"/>
  <c r="W85" i="121"/>
  <c r="X85" i="121"/>
  <c r="U86" i="121"/>
  <c r="V86" i="121"/>
  <c r="W86" i="121"/>
  <c r="X86" i="121"/>
  <c r="U87" i="121"/>
  <c r="V87" i="121"/>
  <c r="W87" i="121"/>
  <c r="X87" i="121"/>
  <c r="U88" i="121"/>
  <c r="V88" i="121"/>
  <c r="W88" i="121"/>
  <c r="X88" i="121"/>
  <c r="U89" i="121"/>
  <c r="V89" i="121"/>
  <c r="W89" i="121"/>
  <c r="X89" i="121"/>
  <c r="U90" i="121"/>
  <c r="V90" i="121"/>
  <c r="W90" i="121"/>
  <c r="X90" i="121"/>
  <c r="U91" i="121"/>
  <c r="V91" i="121"/>
  <c r="W91" i="121"/>
  <c r="X91" i="121"/>
  <c r="U92" i="121"/>
  <c r="V92" i="121"/>
  <c r="W92" i="121"/>
  <c r="X92" i="121"/>
  <c r="U93" i="121"/>
  <c r="V93" i="121"/>
  <c r="W93" i="121"/>
  <c r="X93" i="121"/>
  <c r="U94" i="121"/>
  <c r="V94" i="121"/>
  <c r="W94" i="121"/>
  <c r="X94" i="121"/>
  <c r="U95" i="121"/>
  <c r="V95" i="121"/>
  <c r="W95" i="121"/>
  <c r="X95" i="121"/>
  <c r="U96" i="121"/>
  <c r="V96" i="121"/>
  <c r="W96" i="121"/>
  <c r="X96" i="121"/>
  <c r="U97" i="121"/>
  <c r="V97" i="121"/>
  <c r="W97" i="121"/>
  <c r="X97" i="121"/>
  <c r="U98" i="121"/>
  <c r="V98" i="121"/>
  <c r="W98" i="121"/>
  <c r="X98" i="121"/>
  <c r="U99" i="121"/>
  <c r="V99" i="121"/>
  <c r="W99" i="121"/>
  <c r="X99" i="121"/>
  <c r="U100" i="121"/>
  <c r="V100" i="121"/>
  <c r="W100" i="121"/>
  <c r="X100" i="121"/>
  <c r="U101" i="121"/>
  <c r="V101" i="121"/>
  <c r="W101" i="121"/>
  <c r="X101" i="121"/>
  <c r="U102" i="121"/>
  <c r="V102" i="121"/>
  <c r="W102" i="121"/>
  <c r="X102" i="121"/>
  <c r="U103" i="121"/>
  <c r="V103" i="121"/>
  <c r="W103" i="121"/>
  <c r="X103" i="121"/>
  <c r="U104" i="121"/>
  <c r="V104" i="121"/>
  <c r="W104" i="121"/>
  <c r="X104" i="121"/>
  <c r="U105" i="121"/>
  <c r="V105" i="121"/>
  <c r="W105" i="121"/>
  <c r="X105" i="121"/>
  <c r="U106" i="121"/>
  <c r="V106" i="121"/>
  <c r="W106" i="121"/>
  <c r="X106" i="121"/>
  <c r="U107" i="121"/>
  <c r="V107" i="121"/>
  <c r="W107" i="121"/>
  <c r="X107" i="121"/>
  <c r="U108" i="121"/>
  <c r="V108" i="121"/>
  <c r="W108" i="121"/>
  <c r="X108" i="121"/>
  <c r="X31" i="121"/>
  <c r="W31" i="121"/>
  <c r="V31" i="121"/>
  <c r="U31" i="121"/>
  <c r="V3" i="120"/>
  <c r="X4" i="120"/>
  <c r="X5" i="120"/>
  <c r="X6" i="120"/>
  <c r="X7" i="120"/>
  <c r="X8" i="120"/>
  <c r="X9" i="120"/>
  <c r="X10" i="120"/>
  <c r="X11" i="120"/>
  <c r="X12" i="120"/>
  <c r="X13" i="120"/>
  <c r="X14" i="120"/>
  <c r="X15" i="120"/>
  <c r="X16" i="120"/>
  <c r="X17" i="120"/>
  <c r="X18" i="120"/>
  <c r="X19" i="120"/>
  <c r="X20" i="120"/>
  <c r="X21" i="120"/>
  <c r="X22" i="120"/>
  <c r="X23" i="120"/>
  <c r="X24" i="120"/>
  <c r="X25" i="120"/>
  <c r="X26" i="120"/>
  <c r="X27" i="120"/>
  <c r="X28" i="120"/>
  <c r="X29" i="120"/>
  <c r="X30" i="120"/>
  <c r="X31" i="120"/>
  <c r="X32" i="120"/>
  <c r="X33" i="120"/>
  <c r="X34" i="120"/>
  <c r="X35" i="120"/>
  <c r="X36" i="120"/>
  <c r="X37" i="120"/>
  <c r="X38" i="120"/>
  <c r="X39" i="120"/>
  <c r="X40" i="120"/>
  <c r="X41" i="120"/>
  <c r="X42" i="120"/>
  <c r="X43" i="120"/>
  <c r="X44" i="120"/>
  <c r="X45" i="120"/>
  <c r="X46" i="120"/>
  <c r="X47" i="120"/>
  <c r="X48" i="120"/>
  <c r="X49" i="120"/>
  <c r="X50" i="120"/>
  <c r="X51" i="120"/>
  <c r="X52" i="120"/>
  <c r="X53" i="120"/>
  <c r="X54" i="120"/>
  <c r="X55" i="120"/>
  <c r="X56" i="120"/>
  <c r="X57" i="120"/>
  <c r="X58" i="120"/>
  <c r="X59" i="120"/>
  <c r="X60" i="120"/>
  <c r="X61" i="120"/>
  <c r="X62" i="120"/>
  <c r="X63" i="120"/>
  <c r="X64" i="120"/>
  <c r="X65" i="120"/>
  <c r="X66" i="120"/>
  <c r="X67" i="120"/>
  <c r="X68" i="120"/>
  <c r="X69" i="120"/>
  <c r="X70" i="120"/>
  <c r="X71" i="120"/>
  <c r="X72" i="120"/>
  <c r="X73" i="120"/>
  <c r="X74" i="120"/>
  <c r="X75" i="120"/>
  <c r="X76" i="120"/>
  <c r="X77" i="120"/>
  <c r="X78" i="120"/>
  <c r="X79" i="120"/>
  <c r="X80" i="120"/>
  <c r="X81" i="120"/>
  <c r="X82" i="120"/>
  <c r="X85" i="120"/>
  <c r="X86" i="120"/>
  <c r="X87" i="120"/>
  <c r="X88" i="120"/>
  <c r="X89" i="120"/>
  <c r="X90" i="120"/>
  <c r="X3" i="120"/>
  <c r="M17" i="129"/>
  <c r="M16" i="129"/>
  <c r="M15" i="129"/>
  <c r="M14" i="129"/>
  <c r="M13" i="129"/>
  <c r="M12" i="129"/>
  <c r="M11" i="129"/>
  <c r="M10" i="129"/>
  <c r="M9" i="129"/>
  <c r="L9" i="129"/>
  <c r="X1" i="120" l="1"/>
  <c r="X1" i="127"/>
  <c r="X1" i="124"/>
  <c r="X1" i="121"/>
  <c r="X1" i="122"/>
  <c r="M18" i="129"/>
  <c r="D28" i="129" s="1"/>
  <c r="Q87" i="128"/>
  <c r="P87" i="128"/>
  <c r="L87" i="128"/>
  <c r="K87" i="128"/>
  <c r="Q86" i="128"/>
  <c r="P86" i="128"/>
  <c r="L86" i="128"/>
  <c r="K86" i="128"/>
  <c r="Q85" i="128"/>
  <c r="P85" i="128"/>
  <c r="L85" i="128"/>
  <c r="K85" i="128"/>
  <c r="Q104" i="127"/>
  <c r="P104" i="127"/>
  <c r="L104" i="127"/>
  <c r="K104" i="127"/>
  <c r="Q103" i="127"/>
  <c r="P103" i="127"/>
  <c r="L103" i="127"/>
  <c r="K103" i="127"/>
  <c r="Q102" i="127"/>
  <c r="P102" i="127"/>
  <c r="L102" i="127"/>
  <c r="K102" i="127"/>
  <c r="Q243" i="124"/>
  <c r="P243" i="124"/>
  <c r="L243" i="124"/>
  <c r="K243" i="124"/>
  <c r="Q242" i="124"/>
  <c r="P242" i="124"/>
  <c r="L242" i="124"/>
  <c r="K242" i="124"/>
  <c r="Q241" i="124"/>
  <c r="P241" i="124"/>
  <c r="L241" i="124"/>
  <c r="K241" i="124"/>
  <c r="Q240" i="124"/>
  <c r="P240" i="124"/>
  <c r="L240" i="124"/>
  <c r="K240" i="124"/>
  <c r="Q239" i="124"/>
  <c r="P239" i="124"/>
  <c r="L239" i="124"/>
  <c r="K239" i="124"/>
  <c r="Q161" i="122"/>
  <c r="P161" i="122"/>
  <c r="L161" i="122"/>
  <c r="K161" i="122"/>
  <c r="Q160" i="122"/>
  <c r="P160" i="122"/>
  <c r="L160" i="122"/>
  <c r="K160" i="122"/>
  <c r="Q159" i="122"/>
  <c r="P159" i="122"/>
  <c r="L159" i="122"/>
  <c r="K159" i="122"/>
  <c r="Q158" i="122"/>
  <c r="P158" i="122"/>
  <c r="L158" i="122"/>
  <c r="K158" i="122"/>
  <c r="W6" i="120"/>
  <c r="V6" i="120"/>
  <c r="U6" i="120"/>
  <c r="Q6" i="120"/>
  <c r="P6" i="120"/>
  <c r="L6" i="120"/>
  <c r="K6" i="120"/>
  <c r="X1" i="119"/>
  <c r="M102" i="127" l="1"/>
  <c r="M103" i="127"/>
  <c r="M104" i="127"/>
  <c r="M161" i="122"/>
  <c r="M240" i="124"/>
  <c r="M241" i="124"/>
  <c r="M243" i="124"/>
  <c r="M85" i="128"/>
  <c r="R161" i="122"/>
  <c r="R102" i="127"/>
  <c r="R103" i="127"/>
  <c r="R104" i="127"/>
  <c r="R87" i="128"/>
  <c r="R241" i="124"/>
  <c r="R240" i="124"/>
  <c r="R85" i="128"/>
  <c r="M86" i="128"/>
  <c r="R86" i="128"/>
  <c r="M87" i="128"/>
  <c r="R239" i="124"/>
  <c r="M242" i="124"/>
  <c r="M239" i="124"/>
  <c r="R242" i="124"/>
  <c r="R243" i="124"/>
  <c r="M160" i="122"/>
  <c r="R158" i="122"/>
  <c r="R159" i="122"/>
  <c r="M158" i="122"/>
  <c r="M159" i="122"/>
  <c r="R160" i="122"/>
  <c r="R6" i="120"/>
  <c r="M6" i="120"/>
  <c r="S8" i="119" l="1"/>
  <c r="T8" i="119" s="1"/>
  <c r="R8" i="119"/>
  <c r="N8" i="119"/>
  <c r="O8" i="119" s="1"/>
  <c r="M8" i="119"/>
  <c r="S9" i="119"/>
  <c r="T9" i="119" s="1"/>
  <c r="R9" i="119"/>
  <c r="N9" i="119"/>
  <c r="O9" i="119" s="1"/>
  <c r="M9" i="119"/>
  <c r="S10" i="119"/>
  <c r="T10" i="119" s="1"/>
  <c r="R10" i="119"/>
  <c r="N10" i="119"/>
  <c r="O10" i="119" s="1"/>
  <c r="M10" i="119"/>
  <c r="S11" i="119"/>
  <c r="T11" i="119" s="1"/>
  <c r="R11" i="119"/>
  <c r="N11" i="119"/>
  <c r="O11" i="119" s="1"/>
  <c r="M11" i="119"/>
  <c r="S12" i="119"/>
  <c r="T12" i="119" s="1"/>
  <c r="R12" i="119"/>
  <c r="N12" i="119"/>
  <c r="O12" i="119" s="1"/>
  <c r="M12" i="119"/>
  <c r="Q53" i="128" l="1"/>
  <c r="P53" i="128"/>
  <c r="L53" i="128"/>
  <c r="K53" i="128"/>
  <c r="Q52" i="128"/>
  <c r="P52" i="128"/>
  <c r="L52" i="128"/>
  <c r="K52" i="128"/>
  <c r="Q51" i="128"/>
  <c r="P51" i="128"/>
  <c r="L51" i="128"/>
  <c r="K51" i="128"/>
  <c r="Q50" i="128"/>
  <c r="P50" i="128"/>
  <c r="L50" i="128"/>
  <c r="K50" i="128"/>
  <c r="Q49" i="128"/>
  <c r="P49" i="128"/>
  <c r="L49" i="128"/>
  <c r="K49" i="128"/>
  <c r="Q48" i="128"/>
  <c r="P48" i="128"/>
  <c r="L48" i="128"/>
  <c r="K48" i="128"/>
  <c r="Q47" i="128"/>
  <c r="P47" i="128"/>
  <c r="L47" i="128"/>
  <c r="K47" i="128"/>
  <c r="Q6" i="127"/>
  <c r="P6" i="127"/>
  <c r="L6" i="127"/>
  <c r="K6" i="127"/>
  <c r="Q5" i="127"/>
  <c r="P5" i="127"/>
  <c r="L5" i="127"/>
  <c r="K5" i="127"/>
  <c r="L5" i="123"/>
  <c r="K5" i="123"/>
  <c r="M5" i="123" l="1"/>
  <c r="M50" i="128"/>
  <c r="R50" i="128"/>
  <c r="M51" i="128"/>
  <c r="R52" i="128"/>
  <c r="M53" i="128"/>
  <c r="R47" i="128"/>
  <c r="R48" i="128"/>
  <c r="M47" i="128"/>
  <c r="R51" i="128"/>
  <c r="M52" i="128"/>
  <c r="M48" i="128"/>
  <c r="M49" i="128"/>
  <c r="R53" i="128"/>
  <c r="R49" i="128"/>
  <c r="M6" i="127"/>
  <c r="R5" i="127"/>
  <c r="R6" i="127"/>
  <c r="M5" i="127"/>
  <c r="L17" i="129" l="1"/>
  <c r="L16" i="129"/>
  <c r="L15" i="129"/>
  <c r="L14" i="129"/>
  <c r="L13" i="129"/>
  <c r="L12" i="129"/>
  <c r="L11" i="129"/>
  <c r="L10" i="129"/>
  <c r="K17" i="129"/>
  <c r="K16" i="129"/>
  <c r="K15" i="129"/>
  <c r="K14" i="129"/>
  <c r="K13" i="129"/>
  <c r="K12" i="129"/>
  <c r="K11" i="129"/>
  <c r="K10" i="129"/>
  <c r="K9" i="129"/>
  <c r="J17" i="129" l="1"/>
  <c r="J16" i="129"/>
  <c r="J15" i="129"/>
  <c r="J14" i="129"/>
  <c r="J13" i="129"/>
  <c r="J12" i="129"/>
  <c r="H17" i="129"/>
  <c r="H16" i="129"/>
  <c r="H15" i="129"/>
  <c r="H14" i="129"/>
  <c r="H13" i="129"/>
  <c r="H12" i="129"/>
  <c r="H11" i="129"/>
  <c r="H10" i="129"/>
  <c r="H9" i="129"/>
  <c r="G17" i="129"/>
  <c r="G16" i="129"/>
  <c r="G15" i="129"/>
  <c r="G14" i="129"/>
  <c r="G13" i="129"/>
  <c r="G12" i="129"/>
  <c r="G11" i="129"/>
  <c r="G10" i="129"/>
  <c r="G9" i="129"/>
  <c r="E17" i="129"/>
  <c r="E16" i="129"/>
  <c r="E15" i="129"/>
  <c r="E14" i="129"/>
  <c r="E13" i="129"/>
  <c r="E12" i="129"/>
  <c r="E11" i="129"/>
  <c r="E10" i="129"/>
  <c r="E9" i="129"/>
  <c r="D17" i="129"/>
  <c r="D16" i="129"/>
  <c r="D15" i="129"/>
  <c r="D14" i="129"/>
  <c r="D13" i="129"/>
  <c r="D12" i="129"/>
  <c r="D11" i="129"/>
  <c r="D10" i="129"/>
  <c r="D9" i="129"/>
  <c r="C17" i="129"/>
  <c r="C16" i="129"/>
  <c r="C15" i="129"/>
  <c r="C14" i="129"/>
  <c r="C13" i="129"/>
  <c r="C12" i="129"/>
  <c r="C11" i="129"/>
  <c r="C10" i="129"/>
  <c r="C9" i="129"/>
  <c r="S1193" i="119"/>
  <c r="S1192" i="119"/>
  <c r="S1191" i="119"/>
  <c r="S1190" i="119"/>
  <c r="S1189" i="119"/>
  <c r="S1188" i="119"/>
  <c r="S1187" i="119"/>
  <c r="S1186" i="119"/>
  <c r="S1185" i="119"/>
  <c r="S1184" i="119"/>
  <c r="S1183" i="119"/>
  <c r="S1182" i="119"/>
  <c r="S1181" i="119"/>
  <c r="S1180" i="119"/>
  <c r="S1179" i="119"/>
  <c r="S1178" i="119"/>
  <c r="S1177" i="119"/>
  <c r="S1176" i="119"/>
  <c r="S1175" i="119"/>
  <c r="S1174" i="119"/>
  <c r="S1173" i="119"/>
  <c r="S1172" i="119"/>
  <c r="S1171" i="119"/>
  <c r="S1170" i="119"/>
  <c r="S1169" i="119"/>
  <c r="S1168" i="119"/>
  <c r="S1167" i="119"/>
  <c r="S1166" i="119"/>
  <c r="S1165" i="119"/>
  <c r="S1164" i="119"/>
  <c r="S1163" i="119"/>
  <c r="S1162" i="119"/>
  <c r="S1161" i="119"/>
  <c r="S1160" i="119"/>
  <c r="S1159" i="119"/>
  <c r="S1158" i="119"/>
  <c r="S1157" i="119"/>
  <c r="S1156" i="119"/>
  <c r="S1155" i="119"/>
  <c r="S1154" i="119"/>
  <c r="S1153" i="119"/>
  <c r="S1152" i="119"/>
  <c r="S1151" i="119"/>
  <c r="S1150" i="119"/>
  <c r="S1149" i="119"/>
  <c r="S1148" i="119"/>
  <c r="S1147" i="119"/>
  <c r="S1146" i="119"/>
  <c r="S1145" i="119"/>
  <c r="S1144" i="119"/>
  <c r="S1143" i="119"/>
  <c r="S1142" i="119"/>
  <c r="S1141" i="119"/>
  <c r="S1140" i="119"/>
  <c r="S1139" i="119"/>
  <c r="S1138" i="119"/>
  <c r="S1137" i="119"/>
  <c r="S1136" i="119"/>
  <c r="S1135" i="119"/>
  <c r="S1134" i="119"/>
  <c r="S1133" i="119"/>
  <c r="S1132" i="119"/>
  <c r="S1131" i="119"/>
  <c r="S1130" i="119"/>
  <c r="S1129" i="119"/>
  <c r="S1128" i="119"/>
  <c r="S1127" i="119"/>
  <c r="S1126" i="119"/>
  <c r="S1125" i="119"/>
  <c r="S1124" i="119"/>
  <c r="S1123" i="119"/>
  <c r="S1122" i="119"/>
  <c r="S1121" i="119"/>
  <c r="S1120" i="119"/>
  <c r="S1119" i="119"/>
  <c r="S1118" i="119"/>
  <c r="S1117" i="119"/>
  <c r="S1116" i="119"/>
  <c r="S1115" i="119"/>
  <c r="S1114" i="119"/>
  <c r="S1113" i="119"/>
  <c r="S1112" i="119"/>
  <c r="S1111" i="119"/>
  <c r="S1110" i="119"/>
  <c r="S1109" i="119"/>
  <c r="S1108" i="119"/>
  <c r="S1107" i="119"/>
  <c r="S1106" i="119"/>
  <c r="S1105" i="119"/>
  <c r="S1104" i="119"/>
  <c r="S1103" i="119"/>
  <c r="S1102" i="119"/>
  <c r="S1101" i="119"/>
  <c r="S1100" i="119"/>
  <c r="S1099" i="119"/>
  <c r="S1098" i="119"/>
  <c r="S1097" i="119"/>
  <c r="S1096" i="119"/>
  <c r="S1095" i="119"/>
  <c r="S1094" i="119"/>
  <c r="S1093" i="119"/>
  <c r="S1092" i="119"/>
  <c r="S1091" i="119"/>
  <c r="S1090" i="119"/>
  <c r="S1089" i="119"/>
  <c r="S1088" i="119"/>
  <c r="S1087" i="119"/>
  <c r="S1086" i="119"/>
  <c r="S1085" i="119"/>
  <c r="S1084" i="119"/>
  <c r="S1083" i="119"/>
  <c r="S1082" i="119"/>
  <c r="S1081" i="119"/>
  <c r="S1080" i="119"/>
  <c r="S1079" i="119"/>
  <c r="S1078" i="119"/>
  <c r="S1077" i="119"/>
  <c r="S1076" i="119"/>
  <c r="S1075" i="119"/>
  <c r="S1074" i="119"/>
  <c r="S1073" i="119"/>
  <c r="S1072" i="119"/>
  <c r="S1071" i="119"/>
  <c r="S1070" i="119"/>
  <c r="S1069" i="119"/>
  <c r="S1068" i="119"/>
  <c r="S1067" i="119"/>
  <c r="S1066" i="119"/>
  <c r="S1065" i="119"/>
  <c r="S1064" i="119"/>
  <c r="S1063" i="119"/>
  <c r="S1062" i="119"/>
  <c r="S1061" i="119"/>
  <c r="S1060" i="119"/>
  <c r="S1059" i="119"/>
  <c r="S1058" i="119"/>
  <c r="S1057" i="119"/>
  <c r="S1056" i="119"/>
  <c r="S1055" i="119"/>
  <c r="S1054" i="119"/>
  <c r="S1053" i="119"/>
  <c r="S1052" i="119"/>
  <c r="S1051" i="119"/>
  <c r="S1050" i="119"/>
  <c r="S1049" i="119"/>
  <c r="S1048" i="119"/>
  <c r="S1047" i="119"/>
  <c r="S1046" i="119"/>
  <c r="S1045" i="119"/>
  <c r="S1044" i="119"/>
  <c r="S1043" i="119"/>
  <c r="S1042" i="119"/>
  <c r="S1041" i="119"/>
  <c r="S1040" i="119"/>
  <c r="S1039" i="119"/>
  <c r="S1038" i="119"/>
  <c r="S1037" i="119"/>
  <c r="S1036" i="119"/>
  <c r="S1035" i="119"/>
  <c r="S1034" i="119"/>
  <c r="S1033" i="119"/>
  <c r="S1032" i="119"/>
  <c r="S1031" i="119"/>
  <c r="S1030" i="119"/>
  <c r="S1029" i="119"/>
  <c r="S1028" i="119"/>
  <c r="S1027" i="119"/>
  <c r="S1026" i="119"/>
  <c r="S1025" i="119"/>
  <c r="S1024" i="119"/>
  <c r="S1023" i="119"/>
  <c r="S1022" i="119"/>
  <c r="S1021" i="119"/>
  <c r="S1020" i="119"/>
  <c r="S1019" i="119"/>
  <c r="S1018" i="119"/>
  <c r="S1017" i="119"/>
  <c r="S1016" i="119"/>
  <c r="S1015" i="119"/>
  <c r="S1014" i="119"/>
  <c r="S1013" i="119"/>
  <c r="S1012" i="119"/>
  <c r="S1011" i="119"/>
  <c r="S1010" i="119"/>
  <c r="S1009" i="119"/>
  <c r="S1008" i="119"/>
  <c r="S1007" i="119"/>
  <c r="S1006" i="119"/>
  <c r="S1005" i="119"/>
  <c r="S1004" i="119"/>
  <c r="S1003" i="119"/>
  <c r="S1002" i="119"/>
  <c r="S1001" i="119"/>
  <c r="S1000" i="119"/>
  <c r="S999" i="119"/>
  <c r="S998" i="119"/>
  <c r="S997" i="119"/>
  <c r="S996" i="119"/>
  <c r="S995" i="119"/>
  <c r="S994" i="119"/>
  <c r="S993" i="119"/>
  <c r="S992" i="119"/>
  <c r="S991" i="119"/>
  <c r="S990" i="119"/>
  <c r="S989" i="119"/>
  <c r="S988" i="119"/>
  <c r="S987" i="119"/>
  <c r="S986" i="119"/>
  <c r="S985" i="119"/>
  <c r="S984" i="119"/>
  <c r="S983" i="119"/>
  <c r="S982" i="119"/>
  <c r="S981" i="119"/>
  <c r="S980" i="119"/>
  <c r="S979" i="119"/>
  <c r="S978" i="119"/>
  <c r="S977" i="119"/>
  <c r="S976" i="119"/>
  <c r="S975" i="119"/>
  <c r="S974" i="119"/>
  <c r="S973" i="119"/>
  <c r="S972" i="119"/>
  <c r="S971" i="119"/>
  <c r="S970" i="119"/>
  <c r="S969" i="119"/>
  <c r="S968" i="119"/>
  <c r="S967" i="119"/>
  <c r="S966" i="119"/>
  <c r="S965" i="119"/>
  <c r="S964" i="119"/>
  <c r="S963" i="119"/>
  <c r="S962" i="119"/>
  <c r="S961" i="119"/>
  <c r="S960" i="119"/>
  <c r="S959" i="119"/>
  <c r="S958" i="119"/>
  <c r="S957" i="119"/>
  <c r="S956" i="119"/>
  <c r="S955" i="119"/>
  <c r="S954" i="119"/>
  <c r="S953" i="119"/>
  <c r="S952" i="119"/>
  <c r="S951" i="119"/>
  <c r="S950" i="119"/>
  <c r="S949" i="119"/>
  <c r="S948" i="119"/>
  <c r="S947" i="119"/>
  <c r="S946" i="119"/>
  <c r="S945" i="119"/>
  <c r="S944" i="119"/>
  <c r="S943" i="119"/>
  <c r="S942" i="119"/>
  <c r="S941" i="119"/>
  <c r="S940" i="119"/>
  <c r="S939" i="119"/>
  <c r="S938" i="119"/>
  <c r="S937" i="119"/>
  <c r="S936" i="119"/>
  <c r="S935" i="119"/>
  <c r="S934" i="119"/>
  <c r="S933" i="119"/>
  <c r="S932" i="119"/>
  <c r="S931" i="119"/>
  <c r="S930" i="119"/>
  <c r="S929" i="119"/>
  <c r="S928" i="119"/>
  <c r="S927" i="119"/>
  <c r="S926" i="119"/>
  <c r="S925" i="119"/>
  <c r="S924" i="119"/>
  <c r="S923" i="119"/>
  <c r="S922" i="119"/>
  <c r="S921" i="119"/>
  <c r="S920" i="119"/>
  <c r="S919" i="119"/>
  <c r="S918" i="119"/>
  <c r="S917" i="119"/>
  <c r="S916" i="119"/>
  <c r="S915" i="119"/>
  <c r="S914" i="119"/>
  <c r="S913" i="119"/>
  <c r="S912" i="119"/>
  <c r="S911" i="119"/>
  <c r="S910" i="119"/>
  <c r="S909" i="119"/>
  <c r="S908" i="119"/>
  <c r="S907" i="119"/>
  <c r="S906" i="119"/>
  <c r="S905" i="119"/>
  <c r="S904" i="119"/>
  <c r="S903" i="119"/>
  <c r="S902" i="119"/>
  <c r="S901" i="119"/>
  <c r="S900" i="119"/>
  <c r="S899" i="119"/>
  <c r="S898" i="119"/>
  <c r="S897" i="119"/>
  <c r="S896" i="119"/>
  <c r="S895" i="119"/>
  <c r="S894" i="119"/>
  <c r="S893" i="119"/>
  <c r="S892" i="119"/>
  <c r="S891" i="119"/>
  <c r="S890" i="119"/>
  <c r="S889" i="119"/>
  <c r="S888" i="119"/>
  <c r="S887" i="119"/>
  <c r="S886" i="119"/>
  <c r="S885" i="119"/>
  <c r="S884" i="119"/>
  <c r="S883" i="119"/>
  <c r="S882" i="119"/>
  <c r="S881" i="119"/>
  <c r="S880" i="119"/>
  <c r="S879" i="119"/>
  <c r="S878" i="119"/>
  <c r="S877" i="119"/>
  <c r="S876" i="119"/>
  <c r="S875" i="119"/>
  <c r="S874" i="119"/>
  <c r="S873" i="119"/>
  <c r="S872" i="119"/>
  <c r="S871" i="119"/>
  <c r="S870" i="119"/>
  <c r="S869" i="119"/>
  <c r="S868" i="119"/>
  <c r="S867" i="119"/>
  <c r="S866" i="119"/>
  <c r="S865" i="119"/>
  <c r="S864" i="119"/>
  <c r="S863" i="119"/>
  <c r="S862" i="119"/>
  <c r="S861" i="119"/>
  <c r="S860" i="119"/>
  <c r="S859" i="119"/>
  <c r="S858" i="119"/>
  <c r="S857" i="119"/>
  <c r="S856" i="119"/>
  <c r="S855" i="119"/>
  <c r="S854" i="119"/>
  <c r="S853" i="119"/>
  <c r="S852" i="119"/>
  <c r="S851" i="119"/>
  <c r="S850" i="119"/>
  <c r="S849" i="119"/>
  <c r="S848" i="119"/>
  <c r="S847" i="119"/>
  <c r="S846" i="119"/>
  <c r="S845" i="119"/>
  <c r="S844" i="119"/>
  <c r="S843" i="119"/>
  <c r="S842" i="119"/>
  <c r="S841" i="119"/>
  <c r="S840" i="119"/>
  <c r="S839" i="119"/>
  <c r="S838" i="119"/>
  <c r="S837" i="119"/>
  <c r="S836" i="119"/>
  <c r="S835" i="119"/>
  <c r="S834" i="119"/>
  <c r="S833" i="119"/>
  <c r="S832" i="119"/>
  <c r="S831" i="119"/>
  <c r="S830" i="119"/>
  <c r="S829" i="119"/>
  <c r="S828" i="119"/>
  <c r="S827" i="119"/>
  <c r="S826" i="119"/>
  <c r="S825" i="119"/>
  <c r="S824" i="119"/>
  <c r="S823" i="119"/>
  <c r="S822" i="119"/>
  <c r="S821" i="119"/>
  <c r="S820" i="119"/>
  <c r="S819" i="119"/>
  <c r="S818" i="119"/>
  <c r="S817" i="119"/>
  <c r="S816" i="119"/>
  <c r="S815" i="119"/>
  <c r="S814" i="119"/>
  <c r="S813" i="119"/>
  <c r="S812" i="119"/>
  <c r="S811" i="119"/>
  <c r="S810" i="119"/>
  <c r="S809" i="119"/>
  <c r="S808" i="119"/>
  <c r="S807" i="119"/>
  <c r="S806" i="119"/>
  <c r="S805" i="119"/>
  <c r="S804" i="119"/>
  <c r="S803" i="119"/>
  <c r="S802" i="119"/>
  <c r="S801" i="119"/>
  <c r="S800" i="119"/>
  <c r="S799" i="119"/>
  <c r="S798" i="119"/>
  <c r="S797" i="119"/>
  <c r="S796" i="119"/>
  <c r="S795" i="119"/>
  <c r="S794" i="119"/>
  <c r="S793" i="119"/>
  <c r="S792" i="119"/>
  <c r="S791" i="119"/>
  <c r="S790" i="119"/>
  <c r="S789" i="119"/>
  <c r="S788" i="119"/>
  <c r="S787" i="119"/>
  <c r="S786" i="119"/>
  <c r="S785" i="119"/>
  <c r="S784" i="119"/>
  <c r="S783" i="119"/>
  <c r="S782" i="119"/>
  <c r="S781" i="119"/>
  <c r="S780" i="119"/>
  <c r="S779" i="119"/>
  <c r="S778" i="119"/>
  <c r="S777" i="119"/>
  <c r="S776" i="119"/>
  <c r="S775" i="119"/>
  <c r="S774" i="119"/>
  <c r="S773" i="119"/>
  <c r="S772" i="119"/>
  <c r="S771" i="119"/>
  <c r="S770" i="119"/>
  <c r="S769" i="119"/>
  <c r="S768" i="119"/>
  <c r="S767" i="119"/>
  <c r="S766" i="119"/>
  <c r="S765" i="119"/>
  <c r="S764" i="119"/>
  <c r="S763" i="119"/>
  <c r="S762" i="119"/>
  <c r="S761" i="119"/>
  <c r="S760" i="119"/>
  <c r="S759" i="119"/>
  <c r="S758" i="119"/>
  <c r="S757" i="119"/>
  <c r="S756" i="119"/>
  <c r="S755" i="119"/>
  <c r="S754" i="119"/>
  <c r="S753" i="119"/>
  <c r="S752" i="119"/>
  <c r="S751" i="119"/>
  <c r="S750" i="119"/>
  <c r="S749" i="119"/>
  <c r="S748" i="119"/>
  <c r="S747" i="119"/>
  <c r="S746" i="119"/>
  <c r="S745" i="119"/>
  <c r="S744" i="119"/>
  <c r="S743" i="119"/>
  <c r="S742" i="119"/>
  <c r="S741" i="119"/>
  <c r="S740" i="119"/>
  <c r="S739" i="119"/>
  <c r="S738" i="119"/>
  <c r="S737" i="119"/>
  <c r="S736" i="119"/>
  <c r="S735" i="119"/>
  <c r="S734" i="119"/>
  <c r="S733" i="119"/>
  <c r="S732" i="119"/>
  <c r="S731" i="119"/>
  <c r="S730" i="119"/>
  <c r="S729" i="119"/>
  <c r="S728" i="119"/>
  <c r="S727" i="119"/>
  <c r="S726" i="119"/>
  <c r="S725" i="119"/>
  <c r="S724" i="119"/>
  <c r="S723" i="119"/>
  <c r="S722" i="119"/>
  <c r="S721" i="119"/>
  <c r="S720" i="119"/>
  <c r="S719" i="119"/>
  <c r="S718" i="119"/>
  <c r="S717" i="119"/>
  <c r="S716" i="119"/>
  <c r="S715" i="119"/>
  <c r="S714" i="119"/>
  <c r="S713" i="119"/>
  <c r="S712" i="119"/>
  <c r="S711" i="119"/>
  <c r="S710" i="119"/>
  <c r="S709" i="119"/>
  <c r="S708" i="119"/>
  <c r="S707" i="119"/>
  <c r="S706" i="119"/>
  <c r="S705" i="119"/>
  <c r="S704" i="119"/>
  <c r="S703" i="119"/>
  <c r="S702" i="119"/>
  <c r="S701" i="119"/>
  <c r="S700" i="119"/>
  <c r="S699" i="119"/>
  <c r="S698" i="119"/>
  <c r="S697" i="119"/>
  <c r="S696" i="119"/>
  <c r="S695" i="119"/>
  <c r="S694" i="119"/>
  <c r="S693" i="119"/>
  <c r="S692" i="119"/>
  <c r="S691" i="119"/>
  <c r="S690" i="119"/>
  <c r="S689" i="119"/>
  <c r="S688" i="119"/>
  <c r="S687" i="119"/>
  <c r="S686" i="119"/>
  <c r="S685" i="119"/>
  <c r="S684" i="119"/>
  <c r="S683" i="119"/>
  <c r="S682" i="119"/>
  <c r="S681" i="119"/>
  <c r="S680" i="119"/>
  <c r="S679" i="119"/>
  <c r="S678" i="119"/>
  <c r="S677" i="119"/>
  <c r="S676" i="119"/>
  <c r="S675" i="119"/>
  <c r="S674" i="119"/>
  <c r="S673" i="119"/>
  <c r="S672" i="119"/>
  <c r="S671" i="119"/>
  <c r="S670" i="119"/>
  <c r="S669" i="119"/>
  <c r="S668" i="119"/>
  <c r="S667" i="119"/>
  <c r="S666" i="119"/>
  <c r="S665" i="119"/>
  <c r="S664" i="119"/>
  <c r="S662" i="119"/>
  <c r="S661" i="119"/>
  <c r="S660" i="119"/>
  <c r="S659" i="119"/>
  <c r="S15" i="124" s="1"/>
  <c r="S658" i="119"/>
  <c r="S14" i="124" s="1"/>
  <c r="S657" i="119"/>
  <c r="S13" i="124" s="1"/>
  <c r="S656" i="119"/>
  <c r="S12" i="124" s="1"/>
  <c r="S655" i="119"/>
  <c r="S11" i="124" s="1"/>
  <c r="S654" i="119"/>
  <c r="S10" i="124" s="1"/>
  <c r="S653" i="119"/>
  <c r="S9" i="124" s="1"/>
  <c r="S652" i="119"/>
  <c r="S8" i="124" s="1"/>
  <c r="S651" i="119"/>
  <c r="S7" i="124" s="1"/>
  <c r="S650" i="119"/>
  <c r="S6" i="124" s="1"/>
  <c r="S649" i="119"/>
  <c r="S5" i="124" s="1"/>
  <c r="S648" i="119"/>
  <c r="S4" i="124" s="1"/>
  <c r="S647" i="119"/>
  <c r="S646" i="119"/>
  <c r="S645" i="119"/>
  <c r="S644" i="119"/>
  <c r="S643" i="119"/>
  <c r="S642" i="119"/>
  <c r="S641" i="119"/>
  <c r="S640" i="119"/>
  <c r="S639" i="119"/>
  <c r="S638" i="119"/>
  <c r="S637" i="119"/>
  <c r="S636" i="119"/>
  <c r="S635" i="119"/>
  <c r="S634" i="119"/>
  <c r="S633" i="119"/>
  <c r="S632" i="119"/>
  <c r="S631" i="119"/>
  <c r="S630" i="119"/>
  <c r="S629" i="119"/>
  <c r="S628" i="119"/>
  <c r="S627" i="119"/>
  <c r="S626" i="119"/>
  <c r="S625" i="119"/>
  <c r="S624" i="119"/>
  <c r="S623" i="119"/>
  <c r="S622" i="119"/>
  <c r="S621" i="119"/>
  <c r="S620" i="119"/>
  <c r="S619" i="119"/>
  <c r="S618" i="119"/>
  <c r="S617" i="119"/>
  <c r="S616" i="119"/>
  <c r="S615" i="119"/>
  <c r="S614" i="119"/>
  <c r="S613" i="119"/>
  <c r="S612" i="119"/>
  <c r="S611" i="119"/>
  <c r="S610" i="119"/>
  <c r="S609" i="119"/>
  <c r="S608" i="119"/>
  <c r="S607" i="119"/>
  <c r="S606" i="119"/>
  <c r="S605" i="119"/>
  <c r="S604" i="119"/>
  <c r="S603" i="119"/>
  <c r="S602" i="119"/>
  <c r="S601" i="119"/>
  <c r="S600" i="119"/>
  <c r="S599" i="119"/>
  <c r="S598" i="119"/>
  <c r="S597" i="119"/>
  <c r="S596" i="119"/>
  <c r="S595" i="119"/>
  <c r="S594" i="119"/>
  <c r="S593" i="119"/>
  <c r="S592" i="119"/>
  <c r="S591" i="119"/>
  <c r="S590" i="119"/>
  <c r="S589" i="119"/>
  <c r="S588" i="119"/>
  <c r="S587" i="119"/>
  <c r="S586" i="119"/>
  <c r="S585" i="119"/>
  <c r="S584" i="119"/>
  <c r="S583" i="119"/>
  <c r="S582" i="119"/>
  <c r="S581" i="119"/>
  <c r="S580" i="119"/>
  <c r="S579" i="119"/>
  <c r="S578" i="119"/>
  <c r="S577" i="119"/>
  <c r="S576" i="119"/>
  <c r="S575" i="119"/>
  <c r="S574" i="119"/>
  <c r="S573" i="119"/>
  <c r="S572" i="119"/>
  <c r="S571" i="119"/>
  <c r="S570" i="119"/>
  <c r="S569" i="119"/>
  <c r="S568" i="119"/>
  <c r="S567" i="119"/>
  <c r="S566" i="119"/>
  <c r="S565" i="119"/>
  <c r="S564" i="119"/>
  <c r="S563" i="119"/>
  <c r="S562" i="119"/>
  <c r="S561" i="119"/>
  <c r="S560" i="119"/>
  <c r="S559" i="119"/>
  <c r="S558" i="119"/>
  <c r="S557" i="119"/>
  <c r="S556" i="119"/>
  <c r="S555" i="119"/>
  <c r="S554" i="119"/>
  <c r="S553" i="119"/>
  <c r="S552" i="119"/>
  <c r="S551" i="119"/>
  <c r="S550" i="119"/>
  <c r="S549" i="119"/>
  <c r="S548" i="119"/>
  <c r="S547" i="119"/>
  <c r="S546" i="119"/>
  <c r="S545" i="119"/>
  <c r="S544" i="119"/>
  <c r="S543" i="119"/>
  <c r="S542" i="119"/>
  <c r="S541" i="119"/>
  <c r="S540" i="119"/>
  <c r="S539" i="119"/>
  <c r="S538" i="119"/>
  <c r="S537" i="119"/>
  <c r="S536" i="119"/>
  <c r="S535" i="119"/>
  <c r="S534" i="119"/>
  <c r="S533" i="119"/>
  <c r="S532" i="119"/>
  <c r="S531" i="119"/>
  <c r="S530" i="119"/>
  <c r="S529" i="119"/>
  <c r="S528" i="119"/>
  <c r="S527" i="119"/>
  <c r="S526" i="119"/>
  <c r="S525" i="119"/>
  <c r="S524" i="119"/>
  <c r="S523" i="119"/>
  <c r="S522" i="119"/>
  <c r="S521" i="119"/>
  <c r="S520" i="119"/>
  <c r="S519" i="119"/>
  <c r="S518" i="119"/>
  <c r="S517" i="119"/>
  <c r="S516" i="119"/>
  <c r="S515" i="119"/>
  <c r="S514" i="119"/>
  <c r="S513" i="119"/>
  <c r="S512" i="119"/>
  <c r="S511" i="119"/>
  <c r="S510" i="119"/>
  <c r="S509" i="119"/>
  <c r="S508" i="119"/>
  <c r="S507" i="119"/>
  <c r="S506" i="119"/>
  <c r="S505" i="119"/>
  <c r="S504" i="119"/>
  <c r="S503" i="119"/>
  <c r="S502" i="119"/>
  <c r="S501" i="119"/>
  <c r="S500" i="119"/>
  <c r="S499" i="119"/>
  <c r="S498" i="119"/>
  <c r="S497" i="119"/>
  <c r="S496" i="119"/>
  <c r="S495" i="119"/>
  <c r="S494" i="119"/>
  <c r="S493" i="119"/>
  <c r="S492" i="119"/>
  <c r="S491" i="119"/>
  <c r="S490" i="119"/>
  <c r="S489" i="119"/>
  <c r="S488" i="119"/>
  <c r="S487" i="119"/>
  <c r="S486" i="119"/>
  <c r="S485" i="119"/>
  <c r="S484" i="119"/>
  <c r="S483" i="119"/>
  <c r="S482" i="119"/>
  <c r="S481" i="119"/>
  <c r="S480" i="119"/>
  <c r="S479" i="119"/>
  <c r="S478" i="119"/>
  <c r="S477" i="119"/>
  <c r="S476" i="119"/>
  <c r="S475" i="119"/>
  <c r="S474" i="119"/>
  <c r="S473" i="119"/>
  <c r="S472" i="119"/>
  <c r="S471" i="119"/>
  <c r="S470" i="119"/>
  <c r="S469" i="119"/>
  <c r="S468" i="119"/>
  <c r="S467" i="119"/>
  <c r="S466" i="119"/>
  <c r="S465" i="119"/>
  <c r="S464" i="119"/>
  <c r="S463" i="119"/>
  <c r="S462" i="119"/>
  <c r="S461" i="119"/>
  <c r="S460" i="119"/>
  <c r="S459" i="119"/>
  <c r="S458" i="119"/>
  <c r="S457" i="119"/>
  <c r="S456" i="119"/>
  <c r="S455" i="119"/>
  <c r="S454" i="119"/>
  <c r="S453" i="119"/>
  <c r="S452" i="119"/>
  <c r="S451" i="119"/>
  <c r="S450" i="119"/>
  <c r="S449" i="119"/>
  <c r="S448" i="119"/>
  <c r="S447" i="119"/>
  <c r="S446" i="119"/>
  <c r="S445" i="119"/>
  <c r="S444" i="119"/>
  <c r="S443" i="119"/>
  <c r="S442" i="119"/>
  <c r="S441" i="119"/>
  <c r="S440" i="119"/>
  <c r="S439" i="119"/>
  <c r="S438" i="119"/>
  <c r="S437" i="119"/>
  <c r="S436" i="119"/>
  <c r="S435" i="119"/>
  <c r="S434" i="119"/>
  <c r="S433" i="119"/>
  <c r="S432" i="119"/>
  <c r="S431" i="119"/>
  <c r="S430" i="119"/>
  <c r="S429" i="119"/>
  <c r="S428" i="119"/>
  <c r="S427" i="119"/>
  <c r="S426" i="119"/>
  <c r="S425" i="119"/>
  <c r="S424" i="119"/>
  <c r="S423" i="119"/>
  <c r="S422" i="119"/>
  <c r="S421" i="119"/>
  <c r="S420" i="119"/>
  <c r="S419" i="119"/>
  <c r="S418" i="119"/>
  <c r="S48" i="121" s="1"/>
  <c r="S417" i="119"/>
  <c r="S416" i="119"/>
  <c r="S46" i="121" s="1"/>
  <c r="S415" i="119"/>
  <c r="S45" i="121" s="1"/>
  <c r="S414" i="119"/>
  <c r="S44" i="121" s="1"/>
  <c r="S413" i="119"/>
  <c r="S412" i="119"/>
  <c r="S42" i="121" s="1"/>
  <c r="S411" i="119"/>
  <c r="S41" i="121" s="1"/>
  <c r="S410" i="119"/>
  <c r="S409" i="119"/>
  <c r="S408" i="119"/>
  <c r="S407" i="119"/>
  <c r="S406" i="119"/>
  <c r="S405" i="119"/>
  <c r="S35" i="121" s="1"/>
  <c r="S404" i="119"/>
  <c r="S34" i="121" s="1"/>
  <c r="S403" i="119"/>
  <c r="S402" i="119"/>
  <c r="S401" i="119"/>
  <c r="S400" i="119"/>
  <c r="S30" i="121" s="1"/>
  <c r="S399" i="119"/>
  <c r="S29" i="121" s="1"/>
  <c r="S398" i="119"/>
  <c r="S397" i="119"/>
  <c r="S27" i="121" s="1"/>
  <c r="S396" i="119"/>
  <c r="S26" i="121" s="1"/>
  <c r="S395" i="119"/>
  <c r="S25" i="121" s="1"/>
  <c r="S394" i="119"/>
  <c r="S24" i="121" s="1"/>
  <c r="S393" i="119"/>
  <c r="S23" i="121" s="1"/>
  <c r="S392" i="119"/>
  <c r="S22" i="121" s="1"/>
  <c r="S391" i="119"/>
  <c r="S390" i="119"/>
  <c r="S20" i="121" s="1"/>
  <c r="S389" i="119"/>
  <c r="S19" i="121" s="1"/>
  <c r="S388" i="119"/>
  <c r="S18" i="121" s="1"/>
  <c r="S387" i="119"/>
  <c r="S386" i="119"/>
  <c r="S16" i="121" s="1"/>
  <c r="S385" i="119"/>
  <c r="S15" i="121" s="1"/>
  <c r="S384" i="119"/>
  <c r="S14" i="121" s="1"/>
  <c r="S383" i="119"/>
  <c r="S13" i="121" s="1"/>
  <c r="S382" i="119"/>
  <c r="S381" i="119"/>
  <c r="S11" i="121" s="1"/>
  <c r="S380" i="119"/>
  <c r="S10" i="121" s="1"/>
  <c r="S379" i="119"/>
  <c r="S9" i="121" s="1"/>
  <c r="S378" i="119"/>
  <c r="S377" i="119"/>
  <c r="S376" i="119"/>
  <c r="S6" i="121" s="1"/>
  <c r="S375" i="119"/>
  <c r="S5" i="121" s="1"/>
  <c r="S374" i="119"/>
  <c r="S4" i="121" s="1"/>
  <c r="S373" i="119"/>
  <c r="S3" i="121" s="1"/>
  <c r="S372" i="119"/>
  <c r="S371" i="119"/>
  <c r="S370" i="119"/>
  <c r="S84" i="120" s="1"/>
  <c r="S369" i="119"/>
  <c r="S83" i="120" s="1"/>
  <c r="S368" i="119"/>
  <c r="S367" i="119"/>
  <c r="S366" i="119"/>
  <c r="S365" i="119"/>
  <c r="S364" i="119"/>
  <c r="S363" i="119"/>
  <c r="S362" i="119"/>
  <c r="S361" i="119"/>
  <c r="S360" i="119"/>
  <c r="S359" i="119"/>
  <c r="S358" i="119"/>
  <c r="S357" i="119"/>
  <c r="S356" i="119"/>
  <c r="S355" i="119"/>
  <c r="S354" i="119"/>
  <c r="S353" i="119"/>
  <c r="S352" i="119"/>
  <c r="S351" i="119"/>
  <c r="S350" i="119"/>
  <c r="S349" i="119"/>
  <c r="S348" i="119"/>
  <c r="S347" i="119"/>
  <c r="S346" i="119"/>
  <c r="S345" i="119"/>
  <c r="S344" i="119"/>
  <c r="S343" i="119"/>
  <c r="S342" i="119"/>
  <c r="S341" i="119"/>
  <c r="S340" i="119"/>
  <c r="S339" i="119"/>
  <c r="S338" i="119"/>
  <c r="S337" i="119"/>
  <c r="S336" i="119"/>
  <c r="S335" i="119"/>
  <c r="S334" i="119"/>
  <c r="S333" i="119"/>
  <c r="S332" i="119"/>
  <c r="S331" i="119"/>
  <c r="S330" i="119"/>
  <c r="S329" i="119"/>
  <c r="S328" i="119"/>
  <c r="S327" i="119"/>
  <c r="S326" i="119"/>
  <c r="S325" i="119"/>
  <c r="S324" i="119"/>
  <c r="S323" i="119"/>
  <c r="S322" i="119"/>
  <c r="S321" i="119"/>
  <c r="S320" i="119"/>
  <c r="S319" i="119"/>
  <c r="S318" i="119"/>
  <c r="S317" i="119"/>
  <c r="S316" i="119"/>
  <c r="S315" i="119"/>
  <c r="S314" i="119"/>
  <c r="S313" i="119"/>
  <c r="S312" i="119"/>
  <c r="S311" i="119"/>
  <c r="S310" i="119"/>
  <c r="S309" i="119"/>
  <c r="S308" i="119"/>
  <c r="S307" i="119"/>
  <c r="S306" i="119"/>
  <c r="S305" i="119"/>
  <c r="S304" i="119"/>
  <c r="S303" i="119"/>
  <c r="S302" i="119"/>
  <c r="S301" i="119"/>
  <c r="S300" i="119"/>
  <c r="S299" i="119"/>
  <c r="S298" i="119"/>
  <c r="S297" i="119"/>
  <c r="S296" i="119"/>
  <c r="S295" i="119"/>
  <c r="S294" i="119"/>
  <c r="S293" i="119"/>
  <c r="S292" i="119"/>
  <c r="S291" i="119"/>
  <c r="S290" i="119"/>
  <c r="S289" i="119"/>
  <c r="S288" i="119"/>
  <c r="S287" i="119"/>
  <c r="S286" i="119"/>
  <c r="S285" i="119"/>
  <c r="S284" i="119"/>
  <c r="S283" i="119"/>
  <c r="S282" i="119"/>
  <c r="S164" i="122" s="1"/>
  <c r="S281" i="119"/>
  <c r="S163" i="122" s="1"/>
  <c r="S280" i="119"/>
  <c r="S279" i="119"/>
  <c r="S278" i="119"/>
  <c r="S277" i="119"/>
  <c r="S276" i="119"/>
  <c r="S275" i="119"/>
  <c r="S274" i="119"/>
  <c r="S273" i="119"/>
  <c r="S272" i="119"/>
  <c r="S271" i="119"/>
  <c r="S270" i="119"/>
  <c r="S269" i="119"/>
  <c r="S268" i="119"/>
  <c r="S267" i="119"/>
  <c r="S266" i="119"/>
  <c r="S265" i="119"/>
  <c r="S264" i="119"/>
  <c r="S263" i="119"/>
  <c r="S262" i="119"/>
  <c r="S261" i="119"/>
  <c r="S260" i="119"/>
  <c r="S259" i="119"/>
  <c r="S258" i="119"/>
  <c r="S257" i="119"/>
  <c r="S256" i="119"/>
  <c r="S255" i="119"/>
  <c r="S254" i="119"/>
  <c r="S253" i="119"/>
  <c r="S252" i="119"/>
  <c r="S251" i="119"/>
  <c r="S250" i="119"/>
  <c r="S249" i="119"/>
  <c r="S248" i="119"/>
  <c r="S247" i="119"/>
  <c r="S246" i="119"/>
  <c r="S245" i="119"/>
  <c r="S244" i="119"/>
  <c r="S243" i="119"/>
  <c r="S242" i="119"/>
  <c r="S241" i="119"/>
  <c r="S240" i="119"/>
  <c r="S239" i="119"/>
  <c r="S238" i="119"/>
  <c r="S237" i="119"/>
  <c r="S236" i="119"/>
  <c r="S235" i="119"/>
  <c r="S234" i="119"/>
  <c r="S233" i="119"/>
  <c r="S232" i="119"/>
  <c r="S231" i="119"/>
  <c r="S230" i="119"/>
  <c r="S229" i="119"/>
  <c r="S228" i="119"/>
  <c r="S227" i="119"/>
  <c r="S226" i="119"/>
  <c r="S225" i="119"/>
  <c r="S224" i="119"/>
  <c r="S223" i="119"/>
  <c r="S222" i="119"/>
  <c r="S221" i="119"/>
  <c r="S220" i="119"/>
  <c r="S219" i="119"/>
  <c r="S218" i="119"/>
  <c r="S217" i="119"/>
  <c r="S216" i="119"/>
  <c r="S215" i="119"/>
  <c r="S214" i="119"/>
  <c r="S213" i="119"/>
  <c r="S212" i="119"/>
  <c r="S211" i="119"/>
  <c r="S210" i="119"/>
  <c r="S209" i="119"/>
  <c r="S208" i="119"/>
  <c r="S207" i="119"/>
  <c r="S206" i="119"/>
  <c r="S205" i="119"/>
  <c r="S204" i="119"/>
  <c r="S203" i="119"/>
  <c r="S202" i="119"/>
  <c r="S201" i="119"/>
  <c r="S200" i="119"/>
  <c r="S199" i="119"/>
  <c r="S198" i="119"/>
  <c r="S197" i="119"/>
  <c r="S196" i="119"/>
  <c r="S195" i="119"/>
  <c r="S194" i="119"/>
  <c r="S193" i="119"/>
  <c r="S192" i="119"/>
  <c r="S191" i="119"/>
  <c r="S190" i="119"/>
  <c r="S189" i="119"/>
  <c r="S188" i="119"/>
  <c r="S187" i="119"/>
  <c r="S186" i="119"/>
  <c r="S185" i="119"/>
  <c r="S184" i="119"/>
  <c r="S183" i="119"/>
  <c r="S182" i="119"/>
  <c r="S181" i="119"/>
  <c r="S180" i="119"/>
  <c r="S179" i="119"/>
  <c r="S178" i="119"/>
  <c r="S177" i="119"/>
  <c r="S176" i="119"/>
  <c r="S175" i="119"/>
  <c r="S174" i="119"/>
  <c r="S173" i="119"/>
  <c r="S172" i="119"/>
  <c r="S171" i="119"/>
  <c r="S170" i="119"/>
  <c r="S169" i="119"/>
  <c r="S168" i="119"/>
  <c r="S167" i="119"/>
  <c r="S166" i="119"/>
  <c r="S165" i="119"/>
  <c r="S164" i="119"/>
  <c r="S163" i="119"/>
  <c r="S162" i="119"/>
  <c r="S161" i="119"/>
  <c r="S160" i="119"/>
  <c r="S159" i="119"/>
  <c r="S158" i="119"/>
  <c r="S157" i="119"/>
  <c r="S156" i="119"/>
  <c r="S155" i="119"/>
  <c r="S154" i="119"/>
  <c r="S153" i="119"/>
  <c r="S152" i="119"/>
  <c r="S151" i="119"/>
  <c r="S150" i="119"/>
  <c r="S149" i="119"/>
  <c r="S148" i="119"/>
  <c r="S147" i="119"/>
  <c r="S146" i="119"/>
  <c r="S145" i="119"/>
  <c r="S144" i="119"/>
  <c r="S143" i="119"/>
  <c r="S142" i="119"/>
  <c r="S141" i="119"/>
  <c r="S140" i="119"/>
  <c r="S139" i="119"/>
  <c r="S138" i="119"/>
  <c r="S137" i="119"/>
  <c r="S136" i="119"/>
  <c r="S135" i="119"/>
  <c r="S134" i="119"/>
  <c r="S133" i="119"/>
  <c r="S132" i="119"/>
  <c r="S131" i="119"/>
  <c r="S130" i="119"/>
  <c r="S129" i="119"/>
  <c r="S128" i="119"/>
  <c r="S127" i="119"/>
  <c r="S126" i="119"/>
  <c r="S125" i="119"/>
  <c r="S124" i="119"/>
  <c r="S123" i="119"/>
  <c r="S122" i="119"/>
  <c r="S121" i="119"/>
  <c r="S120" i="119"/>
  <c r="S119" i="119"/>
  <c r="S118" i="119"/>
  <c r="S117" i="119"/>
  <c r="S116" i="119"/>
  <c r="S115" i="119"/>
  <c r="S114" i="119"/>
  <c r="S113" i="119"/>
  <c r="S112" i="119"/>
  <c r="S111" i="119"/>
  <c r="S110" i="119"/>
  <c r="S109" i="119"/>
  <c r="S108" i="119"/>
  <c r="S107" i="119"/>
  <c r="S106" i="119"/>
  <c r="S105" i="119"/>
  <c r="S104" i="119"/>
  <c r="S103" i="119"/>
  <c r="S102" i="119"/>
  <c r="S101" i="119"/>
  <c r="S100" i="119"/>
  <c r="S99" i="119"/>
  <c r="S98" i="119"/>
  <c r="S97" i="119"/>
  <c r="S96" i="119"/>
  <c r="S95" i="119"/>
  <c r="S94" i="119"/>
  <c r="S93" i="119"/>
  <c r="S92" i="119"/>
  <c r="S91" i="119"/>
  <c r="S90" i="119"/>
  <c r="S89" i="119"/>
  <c r="S88" i="119"/>
  <c r="S87" i="119"/>
  <c r="S86" i="119"/>
  <c r="S85" i="119"/>
  <c r="S84" i="119"/>
  <c r="S83" i="119"/>
  <c r="S82" i="119"/>
  <c r="S81" i="119"/>
  <c r="S80" i="119"/>
  <c r="S79" i="119"/>
  <c r="S78" i="119"/>
  <c r="S77" i="119"/>
  <c r="S76" i="119"/>
  <c r="S75" i="119"/>
  <c r="S74" i="119"/>
  <c r="S73" i="119"/>
  <c r="S72" i="119"/>
  <c r="S71" i="119"/>
  <c r="S70" i="119"/>
  <c r="S69" i="119"/>
  <c r="S68" i="119"/>
  <c r="S67" i="119"/>
  <c r="S66" i="119"/>
  <c r="S65" i="119"/>
  <c r="S64" i="119"/>
  <c r="S63" i="119"/>
  <c r="S62" i="119"/>
  <c r="S61" i="119"/>
  <c r="S60" i="119"/>
  <c r="S59" i="119"/>
  <c r="S58" i="119"/>
  <c r="S57" i="119"/>
  <c r="S56" i="119"/>
  <c r="S55" i="119"/>
  <c r="S54" i="119"/>
  <c r="S53" i="119"/>
  <c r="S52" i="119"/>
  <c r="S51" i="119"/>
  <c r="S50" i="119"/>
  <c r="S49" i="119"/>
  <c r="S48" i="119"/>
  <c r="S47" i="119"/>
  <c r="S46" i="119"/>
  <c r="S45" i="119"/>
  <c r="S44" i="119"/>
  <c r="S43" i="119"/>
  <c r="S42" i="119"/>
  <c r="S41" i="119"/>
  <c r="S40" i="119"/>
  <c r="S39" i="119"/>
  <c r="S38" i="119"/>
  <c r="S37" i="119"/>
  <c r="S36" i="119"/>
  <c r="S35" i="119"/>
  <c r="S34" i="119"/>
  <c r="S33" i="119"/>
  <c r="S32" i="119"/>
  <c r="S31" i="119"/>
  <c r="S30" i="119"/>
  <c r="S29" i="119"/>
  <c r="S28" i="119"/>
  <c r="S27" i="119"/>
  <c r="S26" i="119"/>
  <c r="S25" i="119"/>
  <c r="S24" i="119"/>
  <c r="S23" i="119"/>
  <c r="S22" i="119"/>
  <c r="S21" i="119"/>
  <c r="S20" i="119"/>
  <c r="S19" i="119"/>
  <c r="S18" i="119"/>
  <c r="S17" i="119"/>
  <c r="S16" i="119"/>
  <c r="S15" i="119"/>
  <c r="S14" i="119"/>
  <c r="S13" i="119"/>
  <c r="S7" i="119"/>
  <c r="S6" i="119"/>
  <c r="S5" i="119"/>
  <c r="S4" i="119"/>
  <c r="S3" i="119"/>
  <c r="N1193" i="119"/>
  <c r="N1192" i="119"/>
  <c r="N1191" i="119"/>
  <c r="N1190" i="119"/>
  <c r="N1189" i="119"/>
  <c r="N1188" i="119"/>
  <c r="N1187" i="119"/>
  <c r="N1186" i="119"/>
  <c r="N1185" i="119"/>
  <c r="N1184" i="119"/>
  <c r="N1183" i="119"/>
  <c r="N1182" i="119"/>
  <c r="N1181" i="119"/>
  <c r="N1180" i="119"/>
  <c r="N1179" i="119"/>
  <c r="N1178" i="119"/>
  <c r="N1177" i="119"/>
  <c r="N1176" i="119"/>
  <c r="N1175" i="119"/>
  <c r="N1174" i="119"/>
  <c r="N1173" i="119"/>
  <c r="N1172" i="119"/>
  <c r="N1171" i="119"/>
  <c r="N1170" i="119"/>
  <c r="N1169" i="119"/>
  <c r="N1168" i="119"/>
  <c r="N1167" i="119"/>
  <c r="N1166" i="119"/>
  <c r="N1165" i="119"/>
  <c r="N1164" i="119"/>
  <c r="N1163" i="119"/>
  <c r="N1162" i="119"/>
  <c r="N1161" i="119"/>
  <c r="N1160" i="119"/>
  <c r="N1159" i="119"/>
  <c r="N1158" i="119"/>
  <c r="N1157" i="119"/>
  <c r="N1156" i="119"/>
  <c r="N1155" i="119"/>
  <c r="N1154" i="119"/>
  <c r="N1153" i="119"/>
  <c r="N1152" i="119"/>
  <c r="N1151" i="119"/>
  <c r="N1150" i="119"/>
  <c r="N1149" i="119"/>
  <c r="N1148" i="119"/>
  <c r="N1147" i="119"/>
  <c r="N1146" i="119"/>
  <c r="N1145" i="119"/>
  <c r="N1144" i="119"/>
  <c r="N1143" i="119"/>
  <c r="N1142" i="119"/>
  <c r="N1141" i="119"/>
  <c r="N1140" i="119"/>
  <c r="N1139" i="119"/>
  <c r="N1138" i="119"/>
  <c r="N1137" i="119"/>
  <c r="N1136" i="119"/>
  <c r="N1135" i="119"/>
  <c r="N1134" i="119"/>
  <c r="N1133" i="119"/>
  <c r="N1132" i="119"/>
  <c r="N1131" i="119"/>
  <c r="N1130" i="119"/>
  <c r="N1129" i="119"/>
  <c r="N1128" i="119"/>
  <c r="N1127" i="119"/>
  <c r="N1126" i="119"/>
  <c r="N1125" i="119"/>
  <c r="N1124" i="119"/>
  <c r="N1123" i="119"/>
  <c r="N1122" i="119"/>
  <c r="N1121" i="119"/>
  <c r="N1120" i="119"/>
  <c r="N1119" i="119"/>
  <c r="N1118" i="119"/>
  <c r="N1117" i="119"/>
  <c r="N1116" i="119"/>
  <c r="N1115" i="119"/>
  <c r="N1114" i="119"/>
  <c r="N1113" i="119"/>
  <c r="N1112" i="119"/>
  <c r="N1111" i="119"/>
  <c r="N1110" i="119"/>
  <c r="N1109" i="119"/>
  <c r="N1108" i="119"/>
  <c r="N1107" i="119"/>
  <c r="N1106" i="119"/>
  <c r="N1105" i="119"/>
  <c r="N1104" i="119"/>
  <c r="N1103" i="119"/>
  <c r="N1102" i="119"/>
  <c r="N1101" i="119"/>
  <c r="N1100" i="119"/>
  <c r="N1099" i="119"/>
  <c r="N1098" i="119"/>
  <c r="N1097" i="119"/>
  <c r="N1096" i="119"/>
  <c r="N1095" i="119"/>
  <c r="N1094" i="119"/>
  <c r="N1093" i="119"/>
  <c r="N1092" i="119"/>
  <c r="N1091" i="119"/>
  <c r="N1090" i="119"/>
  <c r="N1089" i="119"/>
  <c r="N1088" i="119"/>
  <c r="N1087" i="119"/>
  <c r="N1086" i="119"/>
  <c r="N1085" i="119"/>
  <c r="N1084" i="119"/>
  <c r="N1083" i="119"/>
  <c r="N1082" i="119"/>
  <c r="N1081" i="119"/>
  <c r="N1080" i="119"/>
  <c r="N1079" i="119"/>
  <c r="N1078" i="119"/>
  <c r="N1077" i="119"/>
  <c r="N1076" i="119"/>
  <c r="N1075" i="119"/>
  <c r="N1074" i="119"/>
  <c r="N1073" i="119"/>
  <c r="N1072" i="119"/>
  <c r="N1071" i="119"/>
  <c r="N1070" i="119"/>
  <c r="N1069" i="119"/>
  <c r="N1068" i="119"/>
  <c r="N1067" i="119"/>
  <c r="N1066" i="119"/>
  <c r="N1065" i="119"/>
  <c r="N1064" i="119"/>
  <c r="N1063" i="119"/>
  <c r="N1062" i="119"/>
  <c r="N1061" i="119"/>
  <c r="N1060" i="119"/>
  <c r="N1059" i="119"/>
  <c r="N1058" i="119"/>
  <c r="N1057" i="119"/>
  <c r="N1056" i="119"/>
  <c r="N1055" i="119"/>
  <c r="N1054" i="119"/>
  <c r="N1053" i="119"/>
  <c r="N1052" i="119"/>
  <c r="N1051" i="119"/>
  <c r="N1050" i="119"/>
  <c r="N1049" i="119"/>
  <c r="N1048" i="119"/>
  <c r="N1047" i="119"/>
  <c r="N1046" i="119"/>
  <c r="N1045" i="119"/>
  <c r="N1044" i="119"/>
  <c r="N1043" i="119"/>
  <c r="N1042" i="119"/>
  <c r="N1041" i="119"/>
  <c r="N1040" i="119"/>
  <c r="N1039" i="119"/>
  <c r="N1038" i="119"/>
  <c r="N1037" i="119"/>
  <c r="N1036" i="119"/>
  <c r="N1035" i="119"/>
  <c r="N1034" i="119"/>
  <c r="N1033" i="119"/>
  <c r="N1032" i="119"/>
  <c r="N1031" i="119"/>
  <c r="N1030" i="119"/>
  <c r="N1029" i="119"/>
  <c r="N1028" i="119"/>
  <c r="N1027" i="119"/>
  <c r="N1026" i="119"/>
  <c r="N1025" i="119"/>
  <c r="N1024" i="119"/>
  <c r="N1023" i="119"/>
  <c r="N1022" i="119"/>
  <c r="N1021" i="119"/>
  <c r="N1020" i="119"/>
  <c r="N1019" i="119"/>
  <c r="N1018" i="119"/>
  <c r="N1017" i="119"/>
  <c r="N1016" i="119"/>
  <c r="N1015" i="119"/>
  <c r="N1014" i="119"/>
  <c r="N1013" i="119"/>
  <c r="N1012" i="119"/>
  <c r="N1011" i="119"/>
  <c r="N1010" i="119"/>
  <c r="N1009" i="119"/>
  <c r="N1008" i="119"/>
  <c r="N1007" i="119"/>
  <c r="N1006" i="119"/>
  <c r="N1005" i="119"/>
  <c r="N1004" i="119"/>
  <c r="N1003" i="119"/>
  <c r="N1002" i="119"/>
  <c r="N1001" i="119"/>
  <c r="N1000" i="119"/>
  <c r="N999" i="119"/>
  <c r="N998" i="119"/>
  <c r="N997" i="119"/>
  <c r="N996" i="119"/>
  <c r="N995" i="119"/>
  <c r="N994" i="119"/>
  <c r="N993" i="119"/>
  <c r="N992" i="119"/>
  <c r="N991" i="119"/>
  <c r="N990" i="119"/>
  <c r="N989" i="119"/>
  <c r="N988" i="119"/>
  <c r="N987" i="119"/>
  <c r="N986" i="119"/>
  <c r="N985" i="119"/>
  <c r="N984" i="119"/>
  <c r="N983" i="119"/>
  <c r="N982" i="119"/>
  <c r="N981" i="119"/>
  <c r="N980" i="119"/>
  <c r="N979" i="119"/>
  <c r="N978" i="119"/>
  <c r="N83" i="128" s="1"/>
  <c r="N977" i="119"/>
  <c r="N976" i="119"/>
  <c r="N975" i="119"/>
  <c r="N974" i="119"/>
  <c r="N973" i="119"/>
  <c r="N972" i="119"/>
  <c r="N971" i="119"/>
  <c r="N970" i="119"/>
  <c r="N969" i="119"/>
  <c r="N968" i="119"/>
  <c r="N967" i="119"/>
  <c r="N966" i="119"/>
  <c r="N965" i="119"/>
  <c r="N964" i="119"/>
  <c r="N963" i="119"/>
  <c r="N962" i="119"/>
  <c r="N67" i="128" s="1"/>
  <c r="N961" i="119"/>
  <c r="N960" i="119"/>
  <c r="N959" i="119"/>
  <c r="N958" i="119"/>
  <c r="N957" i="119"/>
  <c r="N956" i="119"/>
  <c r="N955" i="119"/>
  <c r="N954" i="119"/>
  <c r="N59" i="128" s="1"/>
  <c r="N953" i="119"/>
  <c r="N952" i="119"/>
  <c r="N951" i="119"/>
  <c r="N950" i="119"/>
  <c r="N949" i="119"/>
  <c r="N948" i="119"/>
  <c r="N947" i="119"/>
  <c r="N946" i="119"/>
  <c r="N945" i="119"/>
  <c r="N944" i="119"/>
  <c r="N943" i="119"/>
  <c r="N942" i="119"/>
  <c r="N941" i="119"/>
  <c r="N940" i="119"/>
  <c r="N939" i="119"/>
  <c r="N938" i="119"/>
  <c r="N937" i="119"/>
  <c r="N936" i="119"/>
  <c r="N935" i="119"/>
  <c r="N934" i="119"/>
  <c r="N933" i="119"/>
  <c r="N932" i="119"/>
  <c r="N931" i="119"/>
  <c r="N930" i="119"/>
  <c r="N929" i="119"/>
  <c r="N928" i="119"/>
  <c r="N927" i="119"/>
  <c r="N926" i="119"/>
  <c r="N925" i="119"/>
  <c r="N924" i="119"/>
  <c r="N923" i="119"/>
  <c r="N922" i="119"/>
  <c r="N921" i="119"/>
  <c r="N920" i="119"/>
  <c r="N919" i="119"/>
  <c r="N918" i="119"/>
  <c r="N917" i="119"/>
  <c r="N916" i="119"/>
  <c r="N915" i="119"/>
  <c r="N914" i="119"/>
  <c r="N913" i="119"/>
  <c r="N912" i="119"/>
  <c r="N911" i="119"/>
  <c r="N910" i="119"/>
  <c r="N909" i="119"/>
  <c r="N908" i="119"/>
  <c r="N907" i="119"/>
  <c r="N906" i="119"/>
  <c r="N11" i="128" s="1"/>
  <c r="N905" i="119"/>
  <c r="N904" i="119"/>
  <c r="N903" i="119"/>
  <c r="N902" i="119"/>
  <c r="N7" i="128" s="1"/>
  <c r="N901" i="119"/>
  <c r="N900" i="119"/>
  <c r="N899" i="119"/>
  <c r="N898" i="119"/>
  <c r="N897" i="119"/>
  <c r="N896" i="119"/>
  <c r="N895" i="119"/>
  <c r="N894" i="119"/>
  <c r="N893" i="119"/>
  <c r="N892" i="119"/>
  <c r="N891" i="119"/>
  <c r="N890" i="119"/>
  <c r="N889" i="119"/>
  <c r="N888" i="119"/>
  <c r="N887" i="119"/>
  <c r="N886" i="119"/>
  <c r="N885" i="119"/>
  <c r="N884" i="119"/>
  <c r="N883" i="119"/>
  <c r="N882" i="119"/>
  <c r="N881" i="119"/>
  <c r="N880" i="119"/>
  <c r="N879" i="119"/>
  <c r="N878" i="119"/>
  <c r="N877" i="119"/>
  <c r="N876" i="119"/>
  <c r="N875" i="119"/>
  <c r="N874" i="119"/>
  <c r="N873" i="119"/>
  <c r="N872" i="119"/>
  <c r="N871" i="119"/>
  <c r="N870" i="119"/>
  <c r="N869" i="119"/>
  <c r="N868" i="119"/>
  <c r="N867" i="119"/>
  <c r="N866" i="119"/>
  <c r="N865" i="119"/>
  <c r="N864" i="119"/>
  <c r="N863" i="119"/>
  <c r="N862" i="119"/>
  <c r="N861" i="119"/>
  <c r="N860" i="119"/>
  <c r="N859" i="119"/>
  <c r="N858" i="119"/>
  <c r="N857" i="119"/>
  <c r="N856" i="119"/>
  <c r="N855" i="119"/>
  <c r="N854" i="119"/>
  <c r="N853" i="119"/>
  <c r="N852" i="119"/>
  <c r="N851" i="119"/>
  <c r="N850" i="119"/>
  <c r="N849" i="119"/>
  <c r="N848" i="119"/>
  <c r="N847" i="119"/>
  <c r="N846" i="119"/>
  <c r="N845" i="119"/>
  <c r="N844" i="119"/>
  <c r="N843" i="119"/>
  <c r="N842" i="119"/>
  <c r="N841" i="119"/>
  <c r="N840" i="119"/>
  <c r="N839" i="119"/>
  <c r="N838" i="119"/>
  <c r="N837" i="119"/>
  <c r="N836" i="119"/>
  <c r="N835" i="119"/>
  <c r="N834" i="119"/>
  <c r="N833" i="119"/>
  <c r="N832" i="119"/>
  <c r="N831" i="119"/>
  <c r="N830" i="119"/>
  <c r="N829" i="119"/>
  <c r="N828" i="119"/>
  <c r="N827" i="119"/>
  <c r="N826" i="119"/>
  <c r="N825" i="119"/>
  <c r="N824" i="119"/>
  <c r="N823" i="119"/>
  <c r="N822" i="119"/>
  <c r="N821" i="119"/>
  <c r="N820" i="119"/>
  <c r="N819" i="119"/>
  <c r="N818" i="119"/>
  <c r="N817" i="119"/>
  <c r="N816" i="119"/>
  <c r="N815" i="119"/>
  <c r="N814" i="119"/>
  <c r="N813" i="119"/>
  <c r="N812" i="119"/>
  <c r="N811" i="119"/>
  <c r="N810" i="119"/>
  <c r="N809" i="119"/>
  <c r="N808" i="119"/>
  <c r="N807" i="119"/>
  <c r="N806" i="119"/>
  <c r="N805" i="119"/>
  <c r="N804" i="119"/>
  <c r="N803" i="119"/>
  <c r="N802" i="119"/>
  <c r="N801" i="119"/>
  <c r="N800" i="119"/>
  <c r="N799" i="119"/>
  <c r="N798" i="119"/>
  <c r="N797" i="119"/>
  <c r="N796" i="119"/>
  <c r="N795" i="119"/>
  <c r="N794" i="119"/>
  <c r="N793" i="119"/>
  <c r="N792" i="119"/>
  <c r="N791" i="119"/>
  <c r="N790" i="119"/>
  <c r="N789" i="119"/>
  <c r="N788" i="119"/>
  <c r="N787" i="119"/>
  <c r="N786" i="119"/>
  <c r="N785" i="119"/>
  <c r="N784" i="119"/>
  <c r="N783" i="119"/>
  <c r="N782" i="119"/>
  <c r="N781" i="119"/>
  <c r="N780" i="119"/>
  <c r="N779" i="119"/>
  <c r="N778" i="119"/>
  <c r="N777" i="119"/>
  <c r="N776" i="119"/>
  <c r="N775" i="119"/>
  <c r="N774" i="119"/>
  <c r="N773" i="119"/>
  <c r="N772" i="119"/>
  <c r="N771" i="119"/>
  <c r="N770" i="119"/>
  <c r="N769" i="119"/>
  <c r="N768" i="119"/>
  <c r="N767" i="119"/>
  <c r="N766" i="119"/>
  <c r="N765" i="119"/>
  <c r="N764" i="119"/>
  <c r="N763" i="119"/>
  <c r="N762" i="119"/>
  <c r="N761" i="119"/>
  <c r="N760" i="119"/>
  <c r="N759" i="119"/>
  <c r="N758" i="119"/>
  <c r="N757" i="119"/>
  <c r="N756" i="119"/>
  <c r="N755" i="119"/>
  <c r="N754" i="119"/>
  <c r="N753" i="119"/>
  <c r="N752" i="119"/>
  <c r="N751" i="119"/>
  <c r="N750" i="119"/>
  <c r="N749" i="119"/>
  <c r="N748" i="119"/>
  <c r="N747" i="119"/>
  <c r="N746" i="119"/>
  <c r="N745" i="119"/>
  <c r="N744" i="119"/>
  <c r="N743" i="119"/>
  <c r="N742" i="119"/>
  <c r="N741" i="119"/>
  <c r="N740" i="119"/>
  <c r="N739" i="119"/>
  <c r="N738" i="119"/>
  <c r="N737" i="119"/>
  <c r="N736" i="119"/>
  <c r="N735" i="119"/>
  <c r="N734" i="119"/>
  <c r="N733" i="119"/>
  <c r="N732" i="119"/>
  <c r="N731" i="119"/>
  <c r="N730" i="119"/>
  <c r="N729" i="119"/>
  <c r="N728" i="119"/>
  <c r="N727" i="119"/>
  <c r="N726" i="119"/>
  <c r="N725" i="119"/>
  <c r="N724" i="119"/>
  <c r="N723" i="119"/>
  <c r="N722" i="119"/>
  <c r="N721" i="119"/>
  <c r="N720" i="119"/>
  <c r="N719" i="119"/>
  <c r="N718" i="119"/>
  <c r="N717" i="119"/>
  <c r="N716" i="119"/>
  <c r="N715" i="119"/>
  <c r="N714" i="119"/>
  <c r="N713" i="119"/>
  <c r="N712" i="119"/>
  <c r="N711" i="119"/>
  <c r="N710" i="119"/>
  <c r="N709" i="119"/>
  <c r="N708" i="119"/>
  <c r="N707" i="119"/>
  <c r="N706" i="119"/>
  <c r="N705" i="119"/>
  <c r="N704" i="119"/>
  <c r="N703" i="119"/>
  <c r="N702" i="119"/>
  <c r="N701" i="119"/>
  <c r="N700" i="119"/>
  <c r="N699" i="119"/>
  <c r="N698" i="119"/>
  <c r="N697" i="119"/>
  <c r="N696" i="119"/>
  <c r="N695" i="119"/>
  <c r="N694" i="119"/>
  <c r="N693" i="119"/>
  <c r="N692" i="119"/>
  <c r="N691" i="119"/>
  <c r="N690" i="119"/>
  <c r="N689" i="119"/>
  <c r="N688" i="119"/>
  <c r="N687" i="119"/>
  <c r="N686" i="119"/>
  <c r="N685" i="119"/>
  <c r="N684" i="119"/>
  <c r="N683" i="119"/>
  <c r="N682" i="119"/>
  <c r="N681" i="119"/>
  <c r="N680" i="119"/>
  <c r="N679" i="119"/>
  <c r="N678" i="119"/>
  <c r="N677" i="119"/>
  <c r="N676" i="119"/>
  <c r="N675" i="119"/>
  <c r="N674" i="119"/>
  <c r="N673" i="119"/>
  <c r="N672" i="119"/>
  <c r="N671" i="119"/>
  <c r="N670" i="119"/>
  <c r="N669" i="119"/>
  <c r="N668" i="119"/>
  <c r="N667" i="119"/>
  <c r="N666" i="119"/>
  <c r="N665" i="119"/>
  <c r="N664" i="119"/>
  <c r="N662" i="119"/>
  <c r="N661" i="119"/>
  <c r="N660" i="119"/>
  <c r="N659" i="119"/>
  <c r="N15" i="124" s="1"/>
  <c r="O15" i="124" s="1"/>
  <c r="N658" i="119"/>
  <c r="N14" i="124" s="1"/>
  <c r="O14" i="124" s="1"/>
  <c r="N657" i="119"/>
  <c r="N13" i="124" s="1"/>
  <c r="O13" i="124" s="1"/>
  <c r="N656" i="119"/>
  <c r="N12" i="124" s="1"/>
  <c r="O12" i="124" s="1"/>
  <c r="N655" i="119"/>
  <c r="N11" i="124" s="1"/>
  <c r="O11" i="124" s="1"/>
  <c r="N654" i="119"/>
  <c r="N10" i="124" s="1"/>
  <c r="O10" i="124" s="1"/>
  <c r="N653" i="119"/>
  <c r="N9" i="124" s="1"/>
  <c r="O9" i="124" s="1"/>
  <c r="N652" i="119"/>
  <c r="N8" i="124" s="1"/>
  <c r="O8" i="124" s="1"/>
  <c r="N651" i="119"/>
  <c r="N7" i="124" s="1"/>
  <c r="O7" i="124" s="1"/>
  <c r="N650" i="119"/>
  <c r="N6" i="124" s="1"/>
  <c r="O6" i="124" s="1"/>
  <c r="N649" i="119"/>
  <c r="N5" i="124" s="1"/>
  <c r="O5" i="124" s="1"/>
  <c r="N648" i="119"/>
  <c r="N4" i="124" s="1"/>
  <c r="O4" i="124" s="1"/>
  <c r="N647" i="119"/>
  <c r="N646" i="119"/>
  <c r="N645" i="119"/>
  <c r="N644" i="119"/>
  <c r="N643" i="119"/>
  <c r="N642" i="119"/>
  <c r="N641" i="119"/>
  <c r="N640" i="119"/>
  <c r="N639" i="119"/>
  <c r="N638" i="119"/>
  <c r="N637" i="119"/>
  <c r="N636" i="119"/>
  <c r="N635" i="119"/>
  <c r="N634" i="119"/>
  <c r="N633" i="119"/>
  <c r="N632" i="119"/>
  <c r="N631" i="119"/>
  <c r="N630" i="119"/>
  <c r="N629" i="119"/>
  <c r="N628" i="119"/>
  <c r="N627" i="119"/>
  <c r="N626" i="119"/>
  <c r="N625" i="119"/>
  <c r="N624" i="119"/>
  <c r="N623" i="119"/>
  <c r="N622" i="119"/>
  <c r="N621" i="119"/>
  <c r="N620" i="119"/>
  <c r="N619" i="119"/>
  <c r="N618" i="119"/>
  <c r="N617" i="119"/>
  <c r="N616" i="119"/>
  <c r="N615" i="119"/>
  <c r="N614" i="119"/>
  <c r="N613" i="119"/>
  <c r="N612" i="119"/>
  <c r="N611" i="119"/>
  <c r="N610" i="119"/>
  <c r="N609" i="119"/>
  <c r="N608" i="119"/>
  <c r="N607" i="119"/>
  <c r="N606" i="119"/>
  <c r="N605" i="119"/>
  <c r="N604" i="119"/>
  <c r="N603" i="119"/>
  <c r="N602" i="119"/>
  <c r="N601" i="119"/>
  <c r="N600" i="119"/>
  <c r="N599" i="119"/>
  <c r="N598" i="119"/>
  <c r="N597" i="119"/>
  <c r="N596" i="119"/>
  <c r="N595" i="119"/>
  <c r="N594" i="119"/>
  <c r="N593" i="119"/>
  <c r="N592" i="119"/>
  <c r="N591" i="119"/>
  <c r="N590" i="119"/>
  <c r="N589" i="119"/>
  <c r="N588" i="119"/>
  <c r="N587" i="119"/>
  <c r="N586" i="119"/>
  <c r="N585" i="119"/>
  <c r="N584" i="119"/>
  <c r="N583" i="119"/>
  <c r="N582" i="119"/>
  <c r="N581" i="119"/>
  <c r="N580" i="119"/>
  <c r="N579" i="119"/>
  <c r="N578" i="119"/>
  <c r="N577" i="119"/>
  <c r="N576" i="119"/>
  <c r="N575" i="119"/>
  <c r="N574" i="119"/>
  <c r="N573" i="119"/>
  <c r="N572" i="119"/>
  <c r="N571" i="119"/>
  <c r="N570" i="119"/>
  <c r="N569" i="119"/>
  <c r="N568" i="119"/>
  <c r="N567" i="119"/>
  <c r="N566" i="119"/>
  <c r="N565" i="119"/>
  <c r="N564" i="119"/>
  <c r="N563" i="119"/>
  <c r="N562" i="119"/>
  <c r="N561" i="119"/>
  <c r="N560" i="119"/>
  <c r="N559" i="119"/>
  <c r="N558" i="119"/>
  <c r="N557" i="119"/>
  <c r="N556" i="119"/>
  <c r="N555" i="119"/>
  <c r="N554" i="119"/>
  <c r="N553" i="119"/>
  <c r="N552" i="119"/>
  <c r="N551" i="119"/>
  <c r="N550" i="119"/>
  <c r="N549" i="119"/>
  <c r="N548" i="119"/>
  <c r="N547" i="119"/>
  <c r="N546" i="119"/>
  <c r="N545" i="119"/>
  <c r="N544" i="119"/>
  <c r="N543" i="119"/>
  <c r="N542" i="119"/>
  <c r="N541" i="119"/>
  <c r="N540" i="119"/>
  <c r="N539" i="119"/>
  <c r="N538" i="119"/>
  <c r="N537" i="119"/>
  <c r="N536" i="119"/>
  <c r="N535" i="119"/>
  <c r="N534" i="119"/>
  <c r="N533" i="119"/>
  <c r="N532" i="119"/>
  <c r="N531" i="119"/>
  <c r="N530" i="119"/>
  <c r="N529" i="119"/>
  <c r="N528" i="119"/>
  <c r="N527" i="119"/>
  <c r="N526" i="119"/>
  <c r="N525" i="119"/>
  <c r="N524" i="119"/>
  <c r="N523" i="119"/>
  <c r="N522" i="119"/>
  <c r="N521" i="119"/>
  <c r="N520" i="119"/>
  <c r="N519" i="119"/>
  <c r="N518" i="119"/>
  <c r="N517" i="119"/>
  <c r="N516" i="119"/>
  <c r="N515" i="119"/>
  <c r="N514" i="119"/>
  <c r="N513" i="119"/>
  <c r="N512" i="119"/>
  <c r="N511" i="119"/>
  <c r="N510" i="119"/>
  <c r="N509" i="119"/>
  <c r="N508" i="119"/>
  <c r="N507" i="119"/>
  <c r="N506" i="119"/>
  <c r="N505" i="119"/>
  <c r="N504" i="119"/>
  <c r="N503" i="119"/>
  <c r="N502" i="119"/>
  <c r="N501" i="119"/>
  <c r="N500" i="119"/>
  <c r="N499" i="119"/>
  <c r="N498" i="119"/>
  <c r="N497" i="119"/>
  <c r="N496" i="119"/>
  <c r="N495" i="119"/>
  <c r="N494" i="119"/>
  <c r="N493" i="119"/>
  <c r="N492" i="119"/>
  <c r="N491" i="119"/>
  <c r="N490" i="119"/>
  <c r="N489" i="119"/>
  <c r="N488" i="119"/>
  <c r="N487" i="119"/>
  <c r="N486" i="119"/>
  <c r="N485" i="119"/>
  <c r="N484" i="119"/>
  <c r="N483" i="119"/>
  <c r="N482" i="119"/>
  <c r="N481" i="119"/>
  <c r="N480" i="119"/>
  <c r="N479" i="119"/>
  <c r="N478" i="119"/>
  <c r="N477" i="119"/>
  <c r="N476" i="119"/>
  <c r="N475" i="119"/>
  <c r="N474" i="119"/>
  <c r="N473" i="119"/>
  <c r="N472" i="119"/>
  <c r="N471" i="119"/>
  <c r="N470" i="119"/>
  <c r="N469" i="119"/>
  <c r="N468" i="119"/>
  <c r="N467" i="119"/>
  <c r="N466" i="119"/>
  <c r="N465" i="119"/>
  <c r="N464" i="119"/>
  <c r="N463" i="119"/>
  <c r="N462" i="119"/>
  <c r="N461" i="119"/>
  <c r="N460" i="119"/>
  <c r="N459" i="119"/>
  <c r="N458" i="119"/>
  <c r="N457" i="119"/>
  <c r="N456" i="119"/>
  <c r="N455" i="119"/>
  <c r="N454" i="119"/>
  <c r="N453" i="119"/>
  <c r="N452" i="119"/>
  <c r="N451" i="119"/>
  <c r="N450" i="119"/>
  <c r="N449" i="119"/>
  <c r="N448" i="119"/>
  <c r="N447" i="119"/>
  <c r="N446" i="119"/>
  <c r="N445" i="119"/>
  <c r="N444" i="119"/>
  <c r="N443" i="119"/>
  <c r="N442" i="119"/>
  <c r="N441" i="119"/>
  <c r="N440" i="119"/>
  <c r="N439" i="119"/>
  <c r="N438" i="119"/>
  <c r="N437" i="119"/>
  <c r="N436" i="119"/>
  <c r="N435" i="119"/>
  <c r="N434" i="119"/>
  <c r="N433" i="119"/>
  <c r="N432" i="119"/>
  <c r="N431" i="119"/>
  <c r="N430" i="119"/>
  <c r="N429" i="119"/>
  <c r="N428" i="119"/>
  <c r="N427" i="119"/>
  <c r="N426" i="119"/>
  <c r="N425" i="119"/>
  <c r="N424" i="119"/>
  <c r="N423" i="119"/>
  <c r="N422" i="119"/>
  <c r="N421" i="119"/>
  <c r="N420" i="119"/>
  <c r="N419" i="119"/>
  <c r="N418" i="119"/>
  <c r="N48" i="121" s="1"/>
  <c r="O48" i="121" s="1"/>
  <c r="N417" i="119"/>
  <c r="N47" i="121" s="1"/>
  <c r="O47" i="121" s="1"/>
  <c r="N416" i="119"/>
  <c r="N46" i="121" s="1"/>
  <c r="O46" i="121" s="1"/>
  <c r="N415" i="119"/>
  <c r="N45" i="121" s="1"/>
  <c r="O45" i="121" s="1"/>
  <c r="N414" i="119"/>
  <c r="N413" i="119"/>
  <c r="N412" i="119"/>
  <c r="N42" i="121" s="1"/>
  <c r="O42" i="121" s="1"/>
  <c r="N411" i="119"/>
  <c r="N41" i="121" s="1"/>
  <c r="O41" i="121" s="1"/>
  <c r="N410" i="119"/>
  <c r="N409" i="119"/>
  <c r="N408" i="119"/>
  <c r="N407" i="119"/>
  <c r="N406" i="119"/>
  <c r="N405" i="119"/>
  <c r="N35" i="121" s="1"/>
  <c r="O35" i="121" s="1"/>
  <c r="N404" i="119"/>
  <c r="N34" i="121" s="1"/>
  <c r="O34" i="121" s="1"/>
  <c r="N403" i="119"/>
  <c r="N402" i="119"/>
  <c r="N401" i="119"/>
  <c r="N400" i="119"/>
  <c r="N30" i="121" s="1"/>
  <c r="O30" i="121" s="1"/>
  <c r="N399" i="119"/>
  <c r="N29" i="121" s="1"/>
  <c r="O29" i="121" s="1"/>
  <c r="N398" i="119"/>
  <c r="N397" i="119"/>
  <c r="N27" i="121" s="1"/>
  <c r="O27" i="121" s="1"/>
  <c r="N396" i="119"/>
  <c r="N26" i="121" s="1"/>
  <c r="O26" i="121" s="1"/>
  <c r="N395" i="119"/>
  <c r="N25" i="121" s="1"/>
  <c r="O25" i="121" s="1"/>
  <c r="N394" i="119"/>
  <c r="N24" i="121" s="1"/>
  <c r="O24" i="121" s="1"/>
  <c r="N393" i="119"/>
  <c r="N23" i="121" s="1"/>
  <c r="O23" i="121" s="1"/>
  <c r="N392" i="119"/>
  <c r="N22" i="121" s="1"/>
  <c r="O22" i="121" s="1"/>
  <c r="N391" i="119"/>
  <c r="N390" i="119"/>
  <c r="N20" i="121" s="1"/>
  <c r="O20" i="121" s="1"/>
  <c r="N389" i="119"/>
  <c r="N19" i="121" s="1"/>
  <c r="O19" i="121" s="1"/>
  <c r="N388" i="119"/>
  <c r="N18" i="121" s="1"/>
  <c r="O18" i="121" s="1"/>
  <c r="N387" i="119"/>
  <c r="N386" i="119"/>
  <c r="N16" i="121" s="1"/>
  <c r="O16" i="121" s="1"/>
  <c r="N385" i="119"/>
  <c r="N15" i="121" s="1"/>
  <c r="O15" i="121" s="1"/>
  <c r="N384" i="119"/>
  <c r="N14" i="121" s="1"/>
  <c r="O14" i="121" s="1"/>
  <c r="N383" i="119"/>
  <c r="N13" i="121" s="1"/>
  <c r="O13" i="121" s="1"/>
  <c r="N382" i="119"/>
  <c r="N381" i="119"/>
  <c r="N11" i="121" s="1"/>
  <c r="O11" i="121" s="1"/>
  <c r="N380" i="119"/>
  <c r="N10" i="121" s="1"/>
  <c r="O10" i="121" s="1"/>
  <c r="N379" i="119"/>
  <c r="N9" i="121" s="1"/>
  <c r="O9" i="121" s="1"/>
  <c r="N378" i="119"/>
  <c r="N377" i="119"/>
  <c r="N7" i="121" s="1"/>
  <c r="O7" i="121" s="1"/>
  <c r="N376" i="119"/>
  <c r="N6" i="121" s="1"/>
  <c r="O6" i="121" s="1"/>
  <c r="N375" i="119"/>
  <c r="N5" i="121" s="1"/>
  <c r="O5" i="121" s="1"/>
  <c r="N374" i="119"/>
  <c r="N4" i="121" s="1"/>
  <c r="O4" i="121" s="1"/>
  <c r="N373" i="119"/>
  <c r="N3" i="121" s="1"/>
  <c r="O3" i="121" s="1"/>
  <c r="N372" i="119"/>
  <c r="N371" i="119"/>
  <c r="N370" i="119"/>
  <c r="N84" i="120" s="1"/>
  <c r="O84" i="120" s="1"/>
  <c r="N369" i="119"/>
  <c r="N83" i="120" s="1"/>
  <c r="O83" i="120" s="1"/>
  <c r="N368" i="119"/>
  <c r="N367" i="119"/>
  <c r="N366" i="119"/>
  <c r="N365" i="119"/>
  <c r="N364" i="119"/>
  <c r="N363" i="119"/>
  <c r="N362" i="119"/>
  <c r="N361" i="119"/>
  <c r="N360" i="119"/>
  <c r="N359" i="119"/>
  <c r="N358" i="119"/>
  <c r="N357" i="119"/>
  <c r="N356" i="119"/>
  <c r="N355" i="119"/>
  <c r="N354" i="119"/>
  <c r="N353" i="119"/>
  <c r="N352" i="119"/>
  <c r="N351" i="119"/>
  <c r="N350" i="119"/>
  <c r="N349" i="119"/>
  <c r="N348" i="119"/>
  <c r="N347" i="119"/>
  <c r="N346" i="119"/>
  <c r="N345" i="119"/>
  <c r="N344" i="119"/>
  <c r="N343" i="119"/>
  <c r="N342" i="119"/>
  <c r="N341" i="119"/>
  <c r="N340" i="119"/>
  <c r="N339" i="119"/>
  <c r="N338" i="119"/>
  <c r="N337" i="119"/>
  <c r="N336" i="119"/>
  <c r="N335" i="119"/>
  <c r="N334" i="119"/>
  <c r="N333" i="119"/>
  <c r="N332" i="119"/>
  <c r="N331" i="119"/>
  <c r="N330" i="119"/>
  <c r="N329" i="119"/>
  <c r="N328" i="119"/>
  <c r="N327" i="119"/>
  <c r="N326" i="119"/>
  <c r="N325" i="119"/>
  <c r="N324" i="119"/>
  <c r="N323" i="119"/>
  <c r="N322" i="119"/>
  <c r="N321" i="119"/>
  <c r="N320" i="119"/>
  <c r="N319" i="119"/>
  <c r="N318" i="119"/>
  <c r="N317" i="119"/>
  <c r="N316" i="119"/>
  <c r="N315" i="119"/>
  <c r="N314" i="119"/>
  <c r="N313" i="119"/>
  <c r="N312" i="119"/>
  <c r="N311" i="119"/>
  <c r="N310" i="119"/>
  <c r="N309" i="119"/>
  <c r="N308" i="119"/>
  <c r="N307" i="119"/>
  <c r="N306" i="119"/>
  <c r="N305" i="119"/>
  <c r="N304" i="119"/>
  <c r="N303" i="119"/>
  <c r="N302" i="119"/>
  <c r="N301" i="119"/>
  <c r="N300" i="119"/>
  <c r="N299" i="119"/>
  <c r="N298" i="119"/>
  <c r="N297" i="119"/>
  <c r="N296" i="119"/>
  <c r="N295" i="119"/>
  <c r="N294" i="119"/>
  <c r="N293" i="119"/>
  <c r="N292" i="119"/>
  <c r="N291" i="119"/>
  <c r="N290" i="119"/>
  <c r="N289" i="119"/>
  <c r="N288" i="119"/>
  <c r="N287" i="119"/>
  <c r="N286" i="119"/>
  <c r="N285" i="119"/>
  <c r="N284" i="119"/>
  <c r="N283" i="119"/>
  <c r="N282" i="119"/>
  <c r="N164" i="122" s="1"/>
  <c r="O164" i="122" s="1"/>
  <c r="N281" i="119"/>
  <c r="N163" i="122" s="1"/>
  <c r="O163" i="122" s="1"/>
  <c r="N280" i="119"/>
  <c r="N279" i="119"/>
  <c r="N278" i="119"/>
  <c r="N277" i="119"/>
  <c r="N276" i="119"/>
  <c r="N275" i="119"/>
  <c r="N274" i="119"/>
  <c r="N273" i="119"/>
  <c r="N272" i="119"/>
  <c r="N271" i="119"/>
  <c r="N270" i="119"/>
  <c r="N269" i="119"/>
  <c r="N268" i="119"/>
  <c r="N267" i="119"/>
  <c r="N266" i="119"/>
  <c r="N265" i="119"/>
  <c r="N264" i="119"/>
  <c r="N263" i="119"/>
  <c r="N262" i="119"/>
  <c r="N261" i="119"/>
  <c r="N260" i="119"/>
  <c r="N259" i="119"/>
  <c r="N258" i="119"/>
  <c r="N257" i="119"/>
  <c r="N256" i="119"/>
  <c r="N255" i="119"/>
  <c r="N254" i="119"/>
  <c r="N253" i="119"/>
  <c r="N252" i="119"/>
  <c r="N251" i="119"/>
  <c r="N250" i="119"/>
  <c r="N249" i="119"/>
  <c r="N248" i="119"/>
  <c r="N247" i="119"/>
  <c r="N246" i="119"/>
  <c r="N245" i="119"/>
  <c r="N244" i="119"/>
  <c r="N243" i="119"/>
  <c r="N242" i="119"/>
  <c r="N241" i="119"/>
  <c r="N240" i="119"/>
  <c r="N239" i="119"/>
  <c r="N238" i="119"/>
  <c r="N237" i="119"/>
  <c r="N236" i="119"/>
  <c r="N235" i="119"/>
  <c r="N234" i="119"/>
  <c r="N233" i="119"/>
  <c r="N232" i="119"/>
  <c r="N231" i="119"/>
  <c r="N230" i="119"/>
  <c r="N229" i="119"/>
  <c r="N228" i="119"/>
  <c r="N227" i="119"/>
  <c r="N226" i="119"/>
  <c r="N225" i="119"/>
  <c r="N224" i="119"/>
  <c r="N223" i="119"/>
  <c r="N222" i="119"/>
  <c r="N221" i="119"/>
  <c r="N220" i="119"/>
  <c r="N219" i="119"/>
  <c r="N218" i="119"/>
  <c r="N217" i="119"/>
  <c r="N216" i="119"/>
  <c r="N215" i="119"/>
  <c r="N214" i="119"/>
  <c r="N213" i="119"/>
  <c r="N212" i="119"/>
  <c r="N211" i="119"/>
  <c r="N210" i="119"/>
  <c r="N209" i="119"/>
  <c r="N208" i="119"/>
  <c r="N207" i="119"/>
  <c r="N206" i="119"/>
  <c r="N205" i="119"/>
  <c r="N204" i="119"/>
  <c r="N203" i="119"/>
  <c r="N202" i="119"/>
  <c r="N201" i="119"/>
  <c r="N200" i="119"/>
  <c r="N199" i="119"/>
  <c r="N198" i="119"/>
  <c r="N197" i="119"/>
  <c r="N196" i="119"/>
  <c r="N195" i="119"/>
  <c r="N194" i="119"/>
  <c r="N193" i="119"/>
  <c r="N192" i="119"/>
  <c r="N191" i="119"/>
  <c r="N190" i="119"/>
  <c r="N189" i="119"/>
  <c r="N188" i="119"/>
  <c r="N187" i="119"/>
  <c r="N186" i="119"/>
  <c r="N185" i="119"/>
  <c r="N184" i="119"/>
  <c r="N183" i="119"/>
  <c r="N182" i="119"/>
  <c r="N181" i="119"/>
  <c r="N180" i="119"/>
  <c r="N179" i="119"/>
  <c r="N178" i="119"/>
  <c r="N177" i="119"/>
  <c r="N176" i="119"/>
  <c r="N175" i="119"/>
  <c r="N174" i="119"/>
  <c r="N173" i="119"/>
  <c r="N172" i="119"/>
  <c r="N171" i="119"/>
  <c r="N170" i="119"/>
  <c r="N169" i="119"/>
  <c r="N168" i="119"/>
  <c r="N167" i="119"/>
  <c r="N166" i="119"/>
  <c r="N165" i="119"/>
  <c r="N164" i="119"/>
  <c r="N163" i="119"/>
  <c r="N162" i="119"/>
  <c r="N161" i="119"/>
  <c r="N160" i="119"/>
  <c r="N159" i="119"/>
  <c r="N158" i="119"/>
  <c r="N157" i="119"/>
  <c r="N156" i="119"/>
  <c r="N155" i="119"/>
  <c r="N154" i="119"/>
  <c r="N153" i="119"/>
  <c r="N152" i="119"/>
  <c r="N151" i="119"/>
  <c r="N150" i="119"/>
  <c r="N149" i="119"/>
  <c r="N148" i="119"/>
  <c r="N147" i="119"/>
  <c r="N146" i="119"/>
  <c r="N145" i="119"/>
  <c r="N144" i="119"/>
  <c r="N143" i="119"/>
  <c r="N142" i="119"/>
  <c r="N141" i="119"/>
  <c r="N140" i="119"/>
  <c r="N139" i="119"/>
  <c r="N138" i="119"/>
  <c r="N137" i="119"/>
  <c r="N136" i="119"/>
  <c r="N135" i="119"/>
  <c r="N134" i="119"/>
  <c r="N133" i="119"/>
  <c r="N132" i="119"/>
  <c r="N131" i="119"/>
  <c r="N130" i="119"/>
  <c r="N129" i="119"/>
  <c r="N128" i="119"/>
  <c r="N127" i="119"/>
  <c r="N126" i="119"/>
  <c r="N125" i="119"/>
  <c r="N124" i="119"/>
  <c r="N123" i="119"/>
  <c r="N122" i="119"/>
  <c r="N121" i="119"/>
  <c r="N120" i="119"/>
  <c r="N119" i="119"/>
  <c r="N118" i="119"/>
  <c r="N117" i="119"/>
  <c r="N116" i="119"/>
  <c r="N115" i="119"/>
  <c r="N114" i="119"/>
  <c r="N113" i="119"/>
  <c r="N112" i="119"/>
  <c r="N111" i="119"/>
  <c r="N110" i="119"/>
  <c r="N109" i="119"/>
  <c r="N108" i="119"/>
  <c r="N107" i="119"/>
  <c r="N106" i="119"/>
  <c r="N105" i="119"/>
  <c r="N104" i="119"/>
  <c r="N103" i="119"/>
  <c r="N102" i="119"/>
  <c r="N101" i="119"/>
  <c r="N100" i="119"/>
  <c r="N99" i="119"/>
  <c r="N98" i="119"/>
  <c r="N97" i="119"/>
  <c r="N96" i="119"/>
  <c r="N95" i="119"/>
  <c r="N94" i="119"/>
  <c r="N93" i="119"/>
  <c r="N92" i="119"/>
  <c r="N91" i="119"/>
  <c r="N90" i="119"/>
  <c r="N89" i="119"/>
  <c r="N88" i="119"/>
  <c r="N87" i="119"/>
  <c r="N86" i="119"/>
  <c r="N85" i="119"/>
  <c r="N84" i="119"/>
  <c r="N83" i="119"/>
  <c r="N82" i="119"/>
  <c r="N81" i="119"/>
  <c r="N80" i="119"/>
  <c r="N79" i="119"/>
  <c r="N78" i="119"/>
  <c r="N77" i="119"/>
  <c r="N76" i="119"/>
  <c r="N75" i="119"/>
  <c r="N74" i="119"/>
  <c r="N73" i="119"/>
  <c r="N72" i="119"/>
  <c r="N71" i="119"/>
  <c r="N70" i="119"/>
  <c r="N69" i="119"/>
  <c r="N68" i="119"/>
  <c r="N67" i="119"/>
  <c r="N66" i="119"/>
  <c r="N65" i="119"/>
  <c r="N64" i="119"/>
  <c r="N63" i="119"/>
  <c r="N62" i="119"/>
  <c r="N61" i="119"/>
  <c r="N60" i="119"/>
  <c r="N59" i="119"/>
  <c r="N58" i="119"/>
  <c r="N57" i="119"/>
  <c r="N56" i="119"/>
  <c r="N55" i="119"/>
  <c r="N54" i="119"/>
  <c r="N53" i="119"/>
  <c r="N52" i="119"/>
  <c r="N51" i="119"/>
  <c r="N50" i="119"/>
  <c r="N49" i="119"/>
  <c r="N48" i="119"/>
  <c r="N47" i="119"/>
  <c r="N46" i="119"/>
  <c r="N45" i="119"/>
  <c r="N44" i="119"/>
  <c r="N43" i="119"/>
  <c r="N42" i="119"/>
  <c r="N41" i="119"/>
  <c r="N40" i="119"/>
  <c r="N39" i="119"/>
  <c r="N38" i="119"/>
  <c r="N37" i="119"/>
  <c r="N36" i="119"/>
  <c r="N35" i="119"/>
  <c r="N34" i="119"/>
  <c r="N33" i="119"/>
  <c r="N32" i="119"/>
  <c r="N31" i="119"/>
  <c r="N30" i="119"/>
  <c r="N29" i="119"/>
  <c r="N28" i="119"/>
  <c r="N27" i="119"/>
  <c r="N26" i="119"/>
  <c r="N25" i="119"/>
  <c r="N24" i="119"/>
  <c r="N23" i="119"/>
  <c r="N22" i="119"/>
  <c r="N21" i="119"/>
  <c r="N20" i="119"/>
  <c r="N19" i="119"/>
  <c r="N18" i="119"/>
  <c r="N17" i="119"/>
  <c r="N16" i="119"/>
  <c r="N15" i="119"/>
  <c r="N14" i="119"/>
  <c r="N13" i="119"/>
  <c r="N7" i="119"/>
  <c r="N6" i="119"/>
  <c r="N5" i="119"/>
  <c r="N4" i="119"/>
  <c r="N3" i="119"/>
  <c r="C4" i="129"/>
  <c r="Q20" i="127"/>
  <c r="P20" i="127"/>
  <c r="L20" i="127"/>
  <c r="K20" i="127"/>
  <c r="Q19" i="127"/>
  <c r="P19" i="127"/>
  <c r="L19" i="127"/>
  <c r="K19" i="127"/>
  <c r="Q18" i="127"/>
  <c r="P18" i="127"/>
  <c r="L18" i="127"/>
  <c r="K18" i="127"/>
  <c r="Q17" i="127"/>
  <c r="P17" i="127"/>
  <c r="L17" i="127"/>
  <c r="K17" i="127"/>
  <c r="Q84" i="128"/>
  <c r="P84" i="128"/>
  <c r="L84" i="128"/>
  <c r="K84" i="128"/>
  <c r="Q83" i="128"/>
  <c r="P83" i="128"/>
  <c r="L83" i="128"/>
  <c r="K83" i="128"/>
  <c r="Q82" i="128"/>
  <c r="P82" i="128"/>
  <c r="L82" i="128"/>
  <c r="K82" i="128"/>
  <c r="Q81" i="128"/>
  <c r="P81" i="128"/>
  <c r="L81" i="128"/>
  <c r="K81" i="128"/>
  <c r="Q80" i="128"/>
  <c r="P80" i="128"/>
  <c r="L80" i="128"/>
  <c r="K80" i="128"/>
  <c r="S79" i="128"/>
  <c r="Q79" i="128"/>
  <c r="P79" i="128"/>
  <c r="L79" i="128"/>
  <c r="K79" i="128"/>
  <c r="Q78" i="128"/>
  <c r="P78" i="128"/>
  <c r="L78" i="128"/>
  <c r="K78" i="128"/>
  <c r="S77" i="128"/>
  <c r="Q77" i="128"/>
  <c r="P77" i="128"/>
  <c r="L77" i="128"/>
  <c r="K77" i="128"/>
  <c r="Q76" i="128"/>
  <c r="P76" i="128"/>
  <c r="L76" i="128"/>
  <c r="K76" i="128"/>
  <c r="S75" i="128"/>
  <c r="Q75" i="128"/>
  <c r="P75" i="128"/>
  <c r="L75" i="128"/>
  <c r="K75" i="128"/>
  <c r="Q74" i="128"/>
  <c r="P74" i="128"/>
  <c r="L74" i="128"/>
  <c r="K74" i="128"/>
  <c r="S73" i="128"/>
  <c r="Q73" i="128"/>
  <c r="P73" i="128"/>
  <c r="L73" i="128"/>
  <c r="K73" i="128"/>
  <c r="Q72" i="128"/>
  <c r="P72" i="128"/>
  <c r="L72" i="128"/>
  <c r="K72" i="128"/>
  <c r="S71" i="128"/>
  <c r="Q71" i="128"/>
  <c r="P71" i="128"/>
  <c r="L71" i="128"/>
  <c r="K71" i="128"/>
  <c r="Q70" i="128"/>
  <c r="P70" i="128"/>
  <c r="L70" i="128"/>
  <c r="K70" i="128"/>
  <c r="S69" i="128"/>
  <c r="Q69" i="128"/>
  <c r="P69" i="128"/>
  <c r="L69" i="128"/>
  <c r="K69" i="128"/>
  <c r="Q68" i="128"/>
  <c r="P68" i="128"/>
  <c r="L68" i="128"/>
  <c r="K68" i="128"/>
  <c r="S67" i="128"/>
  <c r="Q67" i="128"/>
  <c r="P67" i="128"/>
  <c r="L67" i="128"/>
  <c r="K67" i="128"/>
  <c r="Q66" i="128"/>
  <c r="P66" i="128"/>
  <c r="L66" i="128"/>
  <c r="K66" i="128"/>
  <c r="S65" i="128"/>
  <c r="Q65" i="128"/>
  <c r="P65" i="128"/>
  <c r="L65" i="128"/>
  <c r="K65" i="128"/>
  <c r="Q64" i="128"/>
  <c r="P64" i="128"/>
  <c r="L64" i="128"/>
  <c r="K64" i="128"/>
  <c r="S63" i="128"/>
  <c r="Q63" i="128"/>
  <c r="P63" i="128"/>
  <c r="N63" i="128"/>
  <c r="L63" i="128"/>
  <c r="K63" i="128"/>
  <c r="Q62" i="128"/>
  <c r="P62" i="128"/>
  <c r="L62" i="128"/>
  <c r="K62" i="128"/>
  <c r="Q61" i="128"/>
  <c r="P61" i="128"/>
  <c r="L61" i="128"/>
  <c r="K61" i="128"/>
  <c r="Q60" i="128"/>
  <c r="P60" i="128"/>
  <c r="L60" i="128"/>
  <c r="K60" i="128"/>
  <c r="S59" i="128"/>
  <c r="Q59" i="128"/>
  <c r="P59" i="128"/>
  <c r="L59" i="128"/>
  <c r="K59" i="128"/>
  <c r="Q58" i="128"/>
  <c r="P58" i="128"/>
  <c r="L58" i="128"/>
  <c r="K58" i="128"/>
  <c r="S57" i="128"/>
  <c r="Q57" i="128"/>
  <c r="P57" i="128"/>
  <c r="L57" i="128"/>
  <c r="K57" i="128"/>
  <c r="Q56" i="128"/>
  <c r="P56" i="128"/>
  <c r="L56" i="128"/>
  <c r="K56" i="128"/>
  <c r="Q55" i="128"/>
  <c r="P55" i="128"/>
  <c r="N55" i="128"/>
  <c r="L55" i="128"/>
  <c r="K55" i="128"/>
  <c r="S54" i="128"/>
  <c r="Q54" i="128"/>
  <c r="P54" i="128"/>
  <c r="L54" i="128"/>
  <c r="K54" i="128"/>
  <c r="Q46" i="128"/>
  <c r="P46" i="128"/>
  <c r="L46" i="128"/>
  <c r="K46" i="128"/>
  <c r="Q45" i="128"/>
  <c r="P45" i="128"/>
  <c r="L45" i="128"/>
  <c r="K45" i="128"/>
  <c r="Q44" i="128"/>
  <c r="P44" i="128"/>
  <c r="L44" i="128"/>
  <c r="K44" i="128"/>
  <c r="Q43" i="128"/>
  <c r="P43" i="128"/>
  <c r="L43" i="128"/>
  <c r="K43" i="128"/>
  <c r="S42" i="128"/>
  <c r="Q42" i="128"/>
  <c r="P42" i="128"/>
  <c r="L42" i="128"/>
  <c r="K42" i="128"/>
  <c r="Q41" i="128"/>
  <c r="P41" i="128"/>
  <c r="L41" i="128"/>
  <c r="K41" i="128"/>
  <c r="Q40" i="128"/>
  <c r="P40" i="128"/>
  <c r="L40" i="128"/>
  <c r="K40" i="128"/>
  <c r="Q39" i="128"/>
  <c r="P39" i="128"/>
  <c r="L39" i="128"/>
  <c r="K39" i="128"/>
  <c r="Q38" i="128"/>
  <c r="P38" i="128"/>
  <c r="L38" i="128"/>
  <c r="K38" i="128"/>
  <c r="Q37" i="128"/>
  <c r="P37" i="128"/>
  <c r="N37" i="128"/>
  <c r="L37" i="128"/>
  <c r="K37" i="128"/>
  <c r="Q36" i="128"/>
  <c r="P36" i="128"/>
  <c r="N36" i="128"/>
  <c r="L36" i="128"/>
  <c r="K36" i="128"/>
  <c r="Q35" i="128"/>
  <c r="P35" i="128"/>
  <c r="L35" i="128"/>
  <c r="K35" i="128"/>
  <c r="Q34" i="128"/>
  <c r="P34" i="128"/>
  <c r="L34" i="128"/>
  <c r="K34" i="128"/>
  <c r="Q33" i="128"/>
  <c r="P33" i="128"/>
  <c r="L33" i="128"/>
  <c r="K33" i="128"/>
  <c r="Q32" i="128"/>
  <c r="P32" i="128"/>
  <c r="L32" i="128"/>
  <c r="K32" i="128"/>
  <c r="Q31" i="128"/>
  <c r="P31" i="128"/>
  <c r="L31" i="128"/>
  <c r="K31" i="128"/>
  <c r="Q30" i="128"/>
  <c r="P30" i="128"/>
  <c r="L30" i="128"/>
  <c r="K30" i="128"/>
  <c r="Q29" i="128"/>
  <c r="P29" i="128"/>
  <c r="N29" i="128"/>
  <c r="L29" i="128"/>
  <c r="K29" i="128"/>
  <c r="Q28" i="128"/>
  <c r="P28" i="128"/>
  <c r="L28" i="128"/>
  <c r="K28" i="128"/>
  <c r="Q27" i="128"/>
  <c r="P27" i="128"/>
  <c r="L27" i="128"/>
  <c r="K27" i="128"/>
  <c r="S26" i="128"/>
  <c r="Q26" i="128"/>
  <c r="P26" i="128"/>
  <c r="L26" i="128"/>
  <c r="K26" i="128"/>
  <c r="Q25" i="128"/>
  <c r="P25" i="128"/>
  <c r="L25" i="128"/>
  <c r="K25" i="128"/>
  <c r="Q24" i="128"/>
  <c r="P24" i="128"/>
  <c r="L24" i="128"/>
  <c r="K24" i="128"/>
  <c r="Q23" i="128"/>
  <c r="P23" i="128"/>
  <c r="L23" i="128"/>
  <c r="K23" i="128"/>
  <c r="Q22" i="128"/>
  <c r="P22" i="128"/>
  <c r="L22" i="128"/>
  <c r="K22" i="128"/>
  <c r="Q21" i="128"/>
  <c r="P21" i="128"/>
  <c r="N21" i="128"/>
  <c r="L21" i="128"/>
  <c r="K21" i="128"/>
  <c r="Q20" i="128"/>
  <c r="P20" i="128"/>
  <c r="L20" i="128"/>
  <c r="K20" i="128"/>
  <c r="Q19" i="128"/>
  <c r="P19" i="128"/>
  <c r="L19" i="128"/>
  <c r="K19" i="128"/>
  <c r="Q18" i="128"/>
  <c r="P18" i="128"/>
  <c r="L18" i="128"/>
  <c r="K18" i="128"/>
  <c r="Q17" i="128"/>
  <c r="P17" i="128"/>
  <c r="L17" i="128"/>
  <c r="K17" i="128"/>
  <c r="Q16" i="128"/>
  <c r="P16" i="128"/>
  <c r="L16" i="128"/>
  <c r="K16" i="128"/>
  <c r="Q15" i="128"/>
  <c r="P15" i="128"/>
  <c r="N15" i="128"/>
  <c r="L15" i="128"/>
  <c r="K15" i="128"/>
  <c r="Q14" i="128"/>
  <c r="P14" i="128"/>
  <c r="L14" i="128"/>
  <c r="K14" i="128"/>
  <c r="Q13" i="128"/>
  <c r="P13" i="128"/>
  <c r="N13" i="128"/>
  <c r="L13" i="128"/>
  <c r="K13" i="128"/>
  <c r="Q12" i="128"/>
  <c r="P12" i="128"/>
  <c r="L12" i="128"/>
  <c r="K12" i="128"/>
  <c r="S11" i="128"/>
  <c r="Q11" i="128"/>
  <c r="P11" i="128"/>
  <c r="L11" i="128"/>
  <c r="K11" i="128"/>
  <c r="Q10" i="128"/>
  <c r="P10" i="128"/>
  <c r="L10" i="128"/>
  <c r="K10" i="128"/>
  <c r="Q9" i="128"/>
  <c r="P9" i="128"/>
  <c r="L9" i="128"/>
  <c r="K9" i="128"/>
  <c r="Q8" i="128"/>
  <c r="P8" i="128"/>
  <c r="L8" i="128"/>
  <c r="K8" i="128"/>
  <c r="S7" i="128"/>
  <c r="Q7" i="128"/>
  <c r="P7" i="128"/>
  <c r="L7" i="128"/>
  <c r="K7" i="128"/>
  <c r="S6" i="128"/>
  <c r="Q6" i="128"/>
  <c r="P6" i="128"/>
  <c r="L6" i="128"/>
  <c r="K6" i="128"/>
  <c r="Q5" i="128"/>
  <c r="P5" i="128"/>
  <c r="L5" i="128"/>
  <c r="K5" i="128"/>
  <c r="Q4" i="128"/>
  <c r="P4" i="128"/>
  <c r="L4" i="128"/>
  <c r="K4" i="128"/>
  <c r="S3" i="128"/>
  <c r="Q3" i="128"/>
  <c r="P3" i="128"/>
  <c r="N3" i="128"/>
  <c r="L3" i="128"/>
  <c r="K3" i="128"/>
  <c r="S107" i="127"/>
  <c r="Q107" i="127"/>
  <c r="P107" i="127"/>
  <c r="L107" i="127"/>
  <c r="K107" i="127"/>
  <c r="S106" i="127"/>
  <c r="Q106" i="127"/>
  <c r="P106" i="127"/>
  <c r="L106" i="127"/>
  <c r="K106" i="127"/>
  <c r="Q105" i="127"/>
  <c r="P105" i="127"/>
  <c r="N105" i="127"/>
  <c r="L105" i="127"/>
  <c r="K105" i="127"/>
  <c r="S101" i="127"/>
  <c r="Q101" i="127"/>
  <c r="P101" i="127"/>
  <c r="N101" i="127"/>
  <c r="L101" i="127"/>
  <c r="K101" i="127"/>
  <c r="Q100" i="127"/>
  <c r="P100" i="127"/>
  <c r="L100" i="127"/>
  <c r="K100" i="127"/>
  <c r="Q99" i="127"/>
  <c r="P99" i="127"/>
  <c r="L99" i="127"/>
  <c r="K99" i="127"/>
  <c r="Q98" i="127"/>
  <c r="P98" i="127"/>
  <c r="L98" i="127"/>
  <c r="K98" i="127"/>
  <c r="S97" i="127"/>
  <c r="Q97" i="127"/>
  <c r="P97" i="127"/>
  <c r="N97" i="127"/>
  <c r="L97" i="127"/>
  <c r="K97" i="127"/>
  <c r="Q96" i="127"/>
  <c r="P96" i="127"/>
  <c r="L96" i="127"/>
  <c r="K96" i="127"/>
  <c r="S95" i="127"/>
  <c r="Q95" i="127"/>
  <c r="P95" i="127"/>
  <c r="L95" i="127"/>
  <c r="K95" i="127"/>
  <c r="Q94" i="127"/>
  <c r="P94" i="127"/>
  <c r="L94" i="127"/>
  <c r="K94" i="127"/>
  <c r="S93" i="127"/>
  <c r="Q93" i="127"/>
  <c r="P93" i="127"/>
  <c r="N93" i="127"/>
  <c r="L93" i="127"/>
  <c r="K93" i="127"/>
  <c r="S92" i="127"/>
  <c r="Q92" i="127"/>
  <c r="P92" i="127"/>
  <c r="L92" i="127"/>
  <c r="K92" i="127"/>
  <c r="Q91" i="127"/>
  <c r="P91" i="127"/>
  <c r="L91" i="127"/>
  <c r="K91" i="127"/>
  <c r="Q90" i="127"/>
  <c r="P90" i="127"/>
  <c r="L90" i="127"/>
  <c r="K90" i="127"/>
  <c r="S89" i="127"/>
  <c r="Q89" i="127"/>
  <c r="P89" i="127"/>
  <c r="N89" i="127"/>
  <c r="L89" i="127"/>
  <c r="K89" i="127"/>
  <c r="S88" i="127"/>
  <c r="Q88" i="127"/>
  <c r="P88" i="127"/>
  <c r="L88" i="127"/>
  <c r="K88" i="127"/>
  <c r="S87" i="127"/>
  <c r="Q87" i="127"/>
  <c r="P87" i="127"/>
  <c r="L87" i="127"/>
  <c r="K87" i="127"/>
  <c r="Q86" i="127"/>
  <c r="P86" i="127"/>
  <c r="N86" i="127"/>
  <c r="L86" i="127"/>
  <c r="K86" i="127"/>
  <c r="S85" i="127"/>
  <c r="Q85" i="127"/>
  <c r="P85" i="127"/>
  <c r="N85" i="127"/>
  <c r="L85" i="127"/>
  <c r="K85" i="127"/>
  <c r="S84" i="127"/>
  <c r="Q84" i="127"/>
  <c r="P84" i="127"/>
  <c r="L84" i="127"/>
  <c r="K84" i="127"/>
  <c r="Q83" i="127"/>
  <c r="P83" i="127"/>
  <c r="L83" i="127"/>
  <c r="K83" i="127"/>
  <c r="Q82" i="127"/>
  <c r="P82" i="127"/>
  <c r="N82" i="127"/>
  <c r="L82" i="127"/>
  <c r="K82" i="127"/>
  <c r="S81" i="127"/>
  <c r="Q81" i="127"/>
  <c r="P81" i="127"/>
  <c r="N81" i="127"/>
  <c r="L81" i="127"/>
  <c r="K81" i="127"/>
  <c r="S80" i="127"/>
  <c r="Q80" i="127"/>
  <c r="P80" i="127"/>
  <c r="N80" i="127"/>
  <c r="L80" i="127"/>
  <c r="K80" i="127"/>
  <c r="S79" i="127"/>
  <c r="Q79" i="127"/>
  <c r="P79" i="127"/>
  <c r="L79" i="127"/>
  <c r="K79" i="127"/>
  <c r="Q78" i="127"/>
  <c r="P78" i="127"/>
  <c r="L78" i="127"/>
  <c r="K78" i="127"/>
  <c r="S77" i="127"/>
  <c r="Q77" i="127"/>
  <c r="P77" i="127"/>
  <c r="N77" i="127"/>
  <c r="L77" i="127"/>
  <c r="K77" i="127"/>
  <c r="Q76" i="127"/>
  <c r="P76" i="127"/>
  <c r="N76" i="127"/>
  <c r="L76" i="127"/>
  <c r="K76" i="127"/>
  <c r="S75" i="127"/>
  <c r="Q75" i="127"/>
  <c r="P75" i="127"/>
  <c r="N75" i="127"/>
  <c r="L75" i="127"/>
  <c r="K75" i="127"/>
  <c r="Q74" i="127"/>
  <c r="P74" i="127"/>
  <c r="N74" i="127"/>
  <c r="L74" i="127"/>
  <c r="K74" i="127"/>
  <c r="S73" i="127"/>
  <c r="Q73" i="127"/>
  <c r="P73" i="127"/>
  <c r="N73" i="127"/>
  <c r="L73" i="127"/>
  <c r="K73" i="127"/>
  <c r="Q72" i="127"/>
  <c r="P72" i="127"/>
  <c r="N72" i="127"/>
  <c r="L72" i="127"/>
  <c r="K72" i="127"/>
  <c r="S71" i="127"/>
  <c r="Q71" i="127"/>
  <c r="P71" i="127"/>
  <c r="N71" i="127"/>
  <c r="L71" i="127"/>
  <c r="K71" i="127"/>
  <c r="Q70" i="127"/>
  <c r="P70" i="127"/>
  <c r="L70" i="127"/>
  <c r="K70" i="127"/>
  <c r="S69" i="127"/>
  <c r="Q69" i="127"/>
  <c r="P69" i="127"/>
  <c r="N69" i="127"/>
  <c r="L69" i="127"/>
  <c r="K69" i="127"/>
  <c r="S68" i="127"/>
  <c r="Q68" i="127"/>
  <c r="P68" i="127"/>
  <c r="N68" i="127"/>
  <c r="L68" i="127"/>
  <c r="K68" i="127"/>
  <c r="S67" i="127"/>
  <c r="Q67" i="127"/>
  <c r="P67" i="127"/>
  <c r="N67" i="127"/>
  <c r="L67" i="127"/>
  <c r="K67" i="127"/>
  <c r="Q66" i="127"/>
  <c r="P66" i="127"/>
  <c r="L66" i="127"/>
  <c r="K66" i="127"/>
  <c r="S65" i="127"/>
  <c r="Q65" i="127"/>
  <c r="P65" i="127"/>
  <c r="N65" i="127"/>
  <c r="L65" i="127"/>
  <c r="K65" i="127"/>
  <c r="S64" i="127"/>
  <c r="Q64" i="127"/>
  <c r="P64" i="127"/>
  <c r="N64" i="127"/>
  <c r="L64" i="127"/>
  <c r="K64" i="127"/>
  <c r="S63" i="127"/>
  <c r="Q63" i="127"/>
  <c r="P63" i="127"/>
  <c r="N63" i="127"/>
  <c r="L63" i="127"/>
  <c r="K63" i="127"/>
  <c r="Q62" i="127"/>
  <c r="P62" i="127"/>
  <c r="N62" i="127"/>
  <c r="L62" i="127"/>
  <c r="K62" i="127"/>
  <c r="S61" i="127"/>
  <c r="Q61" i="127"/>
  <c r="P61" i="127"/>
  <c r="N61" i="127"/>
  <c r="L61" i="127"/>
  <c r="K61" i="127"/>
  <c r="Q60" i="127"/>
  <c r="P60" i="127"/>
  <c r="N60" i="127"/>
  <c r="L60" i="127"/>
  <c r="K60" i="127"/>
  <c r="S59" i="127"/>
  <c r="Q59" i="127"/>
  <c r="P59" i="127"/>
  <c r="N59" i="127"/>
  <c r="L59" i="127"/>
  <c r="K59" i="127"/>
  <c r="Q58" i="127"/>
  <c r="P58" i="127"/>
  <c r="N58" i="127"/>
  <c r="L58" i="127"/>
  <c r="K58" i="127"/>
  <c r="S57" i="127"/>
  <c r="Q57" i="127"/>
  <c r="P57" i="127"/>
  <c r="N57" i="127"/>
  <c r="L57" i="127"/>
  <c r="K57" i="127"/>
  <c r="Q56" i="127"/>
  <c r="P56" i="127"/>
  <c r="N56" i="127"/>
  <c r="L56" i="127"/>
  <c r="K56" i="127"/>
  <c r="S55" i="127"/>
  <c r="Q55" i="127"/>
  <c r="P55" i="127"/>
  <c r="N55" i="127"/>
  <c r="L55" i="127"/>
  <c r="K55" i="127"/>
  <c r="Q54" i="127"/>
  <c r="P54" i="127"/>
  <c r="N54" i="127"/>
  <c r="L54" i="127"/>
  <c r="K54" i="127"/>
  <c r="S53" i="127"/>
  <c r="Q53" i="127"/>
  <c r="P53" i="127"/>
  <c r="N53" i="127"/>
  <c r="L53" i="127"/>
  <c r="K53" i="127"/>
  <c r="S52" i="127"/>
  <c r="Q52" i="127"/>
  <c r="P52" i="127"/>
  <c r="N52" i="127"/>
  <c r="L52" i="127"/>
  <c r="K52" i="127"/>
  <c r="Q51" i="127"/>
  <c r="P51" i="127"/>
  <c r="N51" i="127"/>
  <c r="L51" i="127"/>
  <c r="K51" i="127"/>
  <c r="Q50" i="127"/>
  <c r="P50" i="127"/>
  <c r="N50" i="127"/>
  <c r="L50" i="127"/>
  <c r="K50" i="127"/>
  <c r="S49" i="127"/>
  <c r="Q49" i="127"/>
  <c r="P49" i="127"/>
  <c r="N49" i="127"/>
  <c r="L49" i="127"/>
  <c r="K49" i="127"/>
  <c r="S48" i="127"/>
  <c r="Q48" i="127"/>
  <c r="P48" i="127"/>
  <c r="N48" i="127"/>
  <c r="L48" i="127"/>
  <c r="K48" i="127"/>
  <c r="S47" i="127"/>
  <c r="Q47" i="127"/>
  <c r="P47" i="127"/>
  <c r="N47" i="127"/>
  <c r="L47" i="127"/>
  <c r="K47" i="127"/>
  <c r="Q46" i="127"/>
  <c r="P46" i="127"/>
  <c r="L46" i="127"/>
  <c r="K46" i="127"/>
  <c r="S45" i="127"/>
  <c r="Q45" i="127"/>
  <c r="P45" i="127"/>
  <c r="N45" i="127"/>
  <c r="L45" i="127"/>
  <c r="K45" i="127"/>
  <c r="S44" i="127"/>
  <c r="Q44" i="127"/>
  <c r="P44" i="127"/>
  <c r="N44" i="127"/>
  <c r="L44" i="127"/>
  <c r="K44" i="127"/>
  <c r="S43" i="127"/>
  <c r="Q43" i="127"/>
  <c r="P43" i="127"/>
  <c r="N43" i="127"/>
  <c r="L43" i="127"/>
  <c r="K43" i="127"/>
  <c r="Q42" i="127"/>
  <c r="P42" i="127"/>
  <c r="N42" i="127"/>
  <c r="L42" i="127"/>
  <c r="K42" i="127"/>
  <c r="S41" i="127"/>
  <c r="Q41" i="127"/>
  <c r="P41" i="127"/>
  <c r="N41" i="127"/>
  <c r="L41" i="127"/>
  <c r="K41" i="127"/>
  <c r="S40" i="127"/>
  <c r="Q40" i="127"/>
  <c r="P40" i="127"/>
  <c r="N40" i="127"/>
  <c r="L40" i="127"/>
  <c r="K40" i="127"/>
  <c r="S39" i="127"/>
  <c r="Q39" i="127"/>
  <c r="P39" i="127"/>
  <c r="N39" i="127"/>
  <c r="L39" i="127"/>
  <c r="K39" i="127"/>
  <c r="Q38" i="127"/>
  <c r="P38" i="127"/>
  <c r="N38" i="127"/>
  <c r="L38" i="127"/>
  <c r="K38" i="127"/>
  <c r="S37" i="127"/>
  <c r="Q37" i="127"/>
  <c r="P37" i="127"/>
  <c r="N37" i="127"/>
  <c r="L37" i="127"/>
  <c r="K37" i="127"/>
  <c r="S36" i="127"/>
  <c r="Q36" i="127"/>
  <c r="P36" i="127"/>
  <c r="N36" i="127"/>
  <c r="L36" i="127"/>
  <c r="K36" i="127"/>
  <c r="S35" i="127"/>
  <c r="Q35" i="127"/>
  <c r="P35" i="127"/>
  <c r="N35" i="127"/>
  <c r="L35" i="127"/>
  <c r="K35" i="127"/>
  <c r="Q34" i="127"/>
  <c r="P34" i="127"/>
  <c r="N34" i="127"/>
  <c r="L34" i="127"/>
  <c r="K34" i="127"/>
  <c r="S33" i="127"/>
  <c r="Q33" i="127"/>
  <c r="P33" i="127"/>
  <c r="N33" i="127"/>
  <c r="L33" i="127"/>
  <c r="K33" i="127"/>
  <c r="S32" i="127"/>
  <c r="Q32" i="127"/>
  <c r="P32" i="127"/>
  <c r="N32" i="127"/>
  <c r="L32" i="127"/>
  <c r="K32" i="127"/>
  <c r="Q31" i="127"/>
  <c r="P31" i="127"/>
  <c r="N31" i="127"/>
  <c r="L31" i="127"/>
  <c r="K31" i="127"/>
  <c r="Q30" i="127"/>
  <c r="P30" i="127"/>
  <c r="N30" i="127"/>
  <c r="L30" i="127"/>
  <c r="K30" i="127"/>
  <c r="S29" i="127"/>
  <c r="Q29" i="127"/>
  <c r="P29" i="127"/>
  <c r="N29" i="127"/>
  <c r="L29" i="127"/>
  <c r="K29" i="127"/>
  <c r="S28" i="127"/>
  <c r="Q28" i="127"/>
  <c r="P28" i="127"/>
  <c r="N28" i="127"/>
  <c r="L28" i="127"/>
  <c r="K28" i="127"/>
  <c r="S27" i="127"/>
  <c r="Q27" i="127"/>
  <c r="P27" i="127"/>
  <c r="N27" i="127"/>
  <c r="L27" i="127"/>
  <c r="K27" i="127"/>
  <c r="Q26" i="127"/>
  <c r="P26" i="127"/>
  <c r="N26" i="127"/>
  <c r="L26" i="127"/>
  <c r="K26" i="127"/>
  <c r="S25" i="127"/>
  <c r="Q25" i="127"/>
  <c r="P25" i="127"/>
  <c r="N25" i="127"/>
  <c r="L25" i="127"/>
  <c r="K25" i="127"/>
  <c r="S24" i="127"/>
  <c r="Q24" i="127"/>
  <c r="P24" i="127"/>
  <c r="N24" i="127"/>
  <c r="L24" i="127"/>
  <c r="K24" i="127"/>
  <c r="S23" i="127"/>
  <c r="Q23" i="127"/>
  <c r="P23" i="127"/>
  <c r="N23" i="127"/>
  <c r="L23" i="127"/>
  <c r="K23" i="127"/>
  <c r="Q22" i="127"/>
  <c r="P22" i="127"/>
  <c r="N22" i="127"/>
  <c r="L22" i="127"/>
  <c r="K22" i="127"/>
  <c r="S21" i="127"/>
  <c r="Q21" i="127"/>
  <c r="P21" i="127"/>
  <c r="N21" i="127"/>
  <c r="L21" i="127"/>
  <c r="K21" i="127"/>
  <c r="S16" i="127"/>
  <c r="Q16" i="127"/>
  <c r="P16" i="127"/>
  <c r="N16" i="127"/>
  <c r="L16" i="127"/>
  <c r="K16" i="127"/>
  <c r="S15" i="127"/>
  <c r="Q15" i="127"/>
  <c r="P15" i="127"/>
  <c r="N15" i="127"/>
  <c r="L15" i="127"/>
  <c r="K15" i="127"/>
  <c r="Q14" i="127"/>
  <c r="P14" i="127"/>
  <c r="N14" i="127"/>
  <c r="L14" i="127"/>
  <c r="K14" i="127"/>
  <c r="S13" i="127"/>
  <c r="Q13" i="127"/>
  <c r="P13" i="127"/>
  <c r="N13" i="127"/>
  <c r="L13" i="127"/>
  <c r="K13" i="127"/>
  <c r="S12" i="127"/>
  <c r="Q12" i="127"/>
  <c r="P12" i="127"/>
  <c r="N12" i="127"/>
  <c r="L12" i="127"/>
  <c r="K12" i="127"/>
  <c r="S11" i="127"/>
  <c r="Q11" i="127"/>
  <c r="P11" i="127"/>
  <c r="N11" i="127"/>
  <c r="L11" i="127"/>
  <c r="K11" i="127"/>
  <c r="S10" i="127"/>
  <c r="Q10" i="127"/>
  <c r="P10" i="127"/>
  <c r="N10" i="127"/>
  <c r="L10" i="127"/>
  <c r="K10" i="127"/>
  <c r="S9" i="127"/>
  <c r="Q9" i="127"/>
  <c r="P9" i="127"/>
  <c r="N9" i="127"/>
  <c r="L9" i="127"/>
  <c r="K9" i="127"/>
  <c r="S8" i="127"/>
  <c r="Q8" i="127"/>
  <c r="P8" i="127"/>
  <c r="N8" i="127"/>
  <c r="L8" i="127"/>
  <c r="K8" i="127"/>
  <c r="S7" i="127"/>
  <c r="Q7" i="127"/>
  <c r="P7" i="127"/>
  <c r="N7" i="127"/>
  <c r="L7" i="127"/>
  <c r="K7" i="127"/>
  <c r="S4" i="127"/>
  <c r="Q4" i="127"/>
  <c r="P4" i="127"/>
  <c r="N4" i="127"/>
  <c r="L4" i="127"/>
  <c r="K4" i="127"/>
  <c r="S3" i="127"/>
  <c r="Q3" i="127"/>
  <c r="P3" i="127"/>
  <c r="N3" i="127"/>
  <c r="L3" i="127"/>
  <c r="K3" i="127"/>
  <c r="Q120" i="126"/>
  <c r="P120" i="126"/>
  <c r="N120" i="126"/>
  <c r="L120" i="126"/>
  <c r="K120" i="126"/>
  <c r="S119" i="126"/>
  <c r="Q119" i="126"/>
  <c r="P119" i="126"/>
  <c r="N119" i="126"/>
  <c r="L119" i="126"/>
  <c r="K119" i="126"/>
  <c r="S118" i="126"/>
  <c r="Q118" i="126"/>
  <c r="P118" i="126"/>
  <c r="N118" i="126"/>
  <c r="L118" i="126"/>
  <c r="K118" i="126"/>
  <c r="S117" i="126"/>
  <c r="Q117" i="126"/>
  <c r="P117" i="126"/>
  <c r="N117" i="126"/>
  <c r="L117" i="126"/>
  <c r="K117" i="126"/>
  <c r="Q116" i="126"/>
  <c r="P116" i="126"/>
  <c r="N116" i="126"/>
  <c r="L116" i="126"/>
  <c r="K116" i="126"/>
  <c r="S115" i="126"/>
  <c r="Q115" i="126"/>
  <c r="P115" i="126"/>
  <c r="N115" i="126"/>
  <c r="L115" i="126"/>
  <c r="K115" i="126"/>
  <c r="S114" i="126"/>
  <c r="Q114" i="126"/>
  <c r="P114" i="126"/>
  <c r="N114" i="126"/>
  <c r="L114" i="126"/>
  <c r="K114" i="126"/>
  <c r="S113" i="126"/>
  <c r="Q113" i="126"/>
  <c r="P113" i="126"/>
  <c r="N113" i="126"/>
  <c r="L113" i="126"/>
  <c r="K113" i="126"/>
  <c r="S112" i="126"/>
  <c r="Q112" i="126"/>
  <c r="P112" i="126"/>
  <c r="N112" i="126"/>
  <c r="L112" i="126"/>
  <c r="K112" i="126"/>
  <c r="S111" i="126"/>
  <c r="Q111" i="126"/>
  <c r="P111" i="126"/>
  <c r="N111" i="126"/>
  <c r="L111" i="126"/>
  <c r="K111" i="126"/>
  <c r="S110" i="126"/>
  <c r="Q110" i="126"/>
  <c r="P110" i="126"/>
  <c r="N110" i="126"/>
  <c r="L110" i="126"/>
  <c r="K110" i="126"/>
  <c r="S109" i="126"/>
  <c r="Q109" i="126"/>
  <c r="P109" i="126"/>
  <c r="N109" i="126"/>
  <c r="L109" i="126"/>
  <c r="K109" i="126"/>
  <c r="S108" i="126"/>
  <c r="Q108" i="126"/>
  <c r="P108" i="126"/>
  <c r="N108" i="126"/>
  <c r="L108" i="126"/>
  <c r="K108" i="126"/>
  <c r="S107" i="126"/>
  <c r="Q107" i="126"/>
  <c r="P107" i="126"/>
  <c r="N107" i="126"/>
  <c r="L107" i="126"/>
  <c r="K107" i="126"/>
  <c r="S106" i="126"/>
  <c r="Q106" i="126"/>
  <c r="P106" i="126"/>
  <c r="N106" i="126"/>
  <c r="L106" i="126"/>
  <c r="K106" i="126"/>
  <c r="S105" i="126"/>
  <c r="Q105" i="126"/>
  <c r="P105" i="126"/>
  <c r="N105" i="126"/>
  <c r="L105" i="126"/>
  <c r="K105" i="126"/>
  <c r="S104" i="126"/>
  <c r="Q104" i="126"/>
  <c r="P104" i="126"/>
  <c r="N104" i="126"/>
  <c r="L104" i="126"/>
  <c r="K104" i="126"/>
  <c r="S103" i="126"/>
  <c r="Q103" i="126"/>
  <c r="P103" i="126"/>
  <c r="N103" i="126"/>
  <c r="L103" i="126"/>
  <c r="K103" i="126"/>
  <c r="S102" i="126"/>
  <c r="Q102" i="126"/>
  <c r="P102" i="126"/>
  <c r="N102" i="126"/>
  <c r="L102" i="126"/>
  <c r="K102" i="126"/>
  <c r="S101" i="126"/>
  <c r="Q101" i="126"/>
  <c r="P101" i="126"/>
  <c r="N101" i="126"/>
  <c r="L101" i="126"/>
  <c r="K101" i="126"/>
  <c r="S100" i="126"/>
  <c r="Q100" i="126"/>
  <c r="P100" i="126"/>
  <c r="N100" i="126"/>
  <c r="L100" i="126"/>
  <c r="K100" i="126"/>
  <c r="S99" i="126"/>
  <c r="Q99" i="126"/>
  <c r="P99" i="126"/>
  <c r="N99" i="126"/>
  <c r="L99" i="126"/>
  <c r="K99" i="126"/>
  <c r="S98" i="126"/>
  <c r="Q98" i="126"/>
  <c r="P98" i="126"/>
  <c r="N98" i="126"/>
  <c r="L98" i="126"/>
  <c r="K98" i="126"/>
  <c r="S97" i="126"/>
  <c r="Q97" i="126"/>
  <c r="P97" i="126"/>
  <c r="N97" i="126"/>
  <c r="L97" i="126"/>
  <c r="K97" i="126"/>
  <c r="S96" i="126"/>
  <c r="Q96" i="126"/>
  <c r="P96" i="126"/>
  <c r="N96" i="126"/>
  <c r="L96" i="126"/>
  <c r="K96" i="126"/>
  <c r="S95" i="126"/>
  <c r="Q95" i="126"/>
  <c r="P95" i="126"/>
  <c r="N95" i="126"/>
  <c r="L95" i="126"/>
  <c r="K95" i="126"/>
  <c r="S94" i="126"/>
  <c r="Q94" i="126"/>
  <c r="P94" i="126"/>
  <c r="N94" i="126"/>
  <c r="L94" i="126"/>
  <c r="K94" i="126"/>
  <c r="S93" i="126"/>
  <c r="Q93" i="126"/>
  <c r="P93" i="126"/>
  <c r="N93" i="126"/>
  <c r="L93" i="126"/>
  <c r="K93" i="126"/>
  <c r="S92" i="126"/>
  <c r="Q92" i="126"/>
  <c r="P92" i="126"/>
  <c r="N92" i="126"/>
  <c r="L92" i="126"/>
  <c r="K92" i="126"/>
  <c r="S91" i="126"/>
  <c r="Q91" i="126"/>
  <c r="P91" i="126"/>
  <c r="N91" i="126"/>
  <c r="L91" i="126"/>
  <c r="K91" i="126"/>
  <c r="S90" i="126"/>
  <c r="Q90" i="126"/>
  <c r="P90" i="126"/>
  <c r="N90" i="126"/>
  <c r="L90" i="126"/>
  <c r="K90" i="126"/>
  <c r="S89" i="126"/>
  <c r="Q89" i="126"/>
  <c r="P89" i="126"/>
  <c r="N89" i="126"/>
  <c r="L89" i="126"/>
  <c r="K89" i="126"/>
  <c r="S88" i="126"/>
  <c r="Q88" i="126"/>
  <c r="P88" i="126"/>
  <c r="N88" i="126"/>
  <c r="L88" i="126"/>
  <c r="K88" i="126"/>
  <c r="S87" i="126"/>
  <c r="Q87" i="126"/>
  <c r="P87" i="126"/>
  <c r="N87" i="126"/>
  <c r="L87" i="126"/>
  <c r="K87" i="126"/>
  <c r="S86" i="126"/>
  <c r="Q86" i="126"/>
  <c r="P86" i="126"/>
  <c r="N86" i="126"/>
  <c r="L86" i="126"/>
  <c r="K86" i="126"/>
  <c r="S85" i="126"/>
  <c r="Q85" i="126"/>
  <c r="P85" i="126"/>
  <c r="N85" i="126"/>
  <c r="L85" i="126"/>
  <c r="K85" i="126"/>
  <c r="S84" i="126"/>
  <c r="Q84" i="126"/>
  <c r="P84" i="126"/>
  <c r="N84" i="126"/>
  <c r="L84" i="126"/>
  <c r="K84" i="126"/>
  <c r="S83" i="126"/>
  <c r="Q83" i="126"/>
  <c r="P83" i="126"/>
  <c r="N83" i="126"/>
  <c r="L83" i="126"/>
  <c r="K83" i="126"/>
  <c r="S82" i="126"/>
  <c r="Q82" i="126"/>
  <c r="P82" i="126"/>
  <c r="N82" i="126"/>
  <c r="L82" i="126"/>
  <c r="K82" i="126"/>
  <c r="S81" i="126"/>
  <c r="Q81" i="126"/>
  <c r="P81" i="126"/>
  <c r="N81" i="126"/>
  <c r="L81" i="126"/>
  <c r="K81" i="126"/>
  <c r="S80" i="126"/>
  <c r="Q80" i="126"/>
  <c r="P80" i="126"/>
  <c r="N80" i="126"/>
  <c r="L80" i="126"/>
  <c r="K80" i="126"/>
  <c r="S79" i="126"/>
  <c r="Q79" i="126"/>
  <c r="P79" i="126"/>
  <c r="N79" i="126"/>
  <c r="L79" i="126"/>
  <c r="K79" i="126"/>
  <c r="S78" i="126"/>
  <c r="Q78" i="126"/>
  <c r="P78" i="126"/>
  <c r="N78" i="126"/>
  <c r="L78" i="126"/>
  <c r="K78" i="126"/>
  <c r="S77" i="126"/>
  <c r="Q77" i="126"/>
  <c r="P77" i="126"/>
  <c r="N77" i="126"/>
  <c r="L77" i="126"/>
  <c r="K77" i="126"/>
  <c r="S76" i="126"/>
  <c r="Q76" i="126"/>
  <c r="P76" i="126"/>
  <c r="N76" i="126"/>
  <c r="L76" i="126"/>
  <c r="K76" i="126"/>
  <c r="S75" i="126"/>
  <c r="Q75" i="126"/>
  <c r="P75" i="126"/>
  <c r="N75" i="126"/>
  <c r="L75" i="126"/>
  <c r="K75" i="126"/>
  <c r="S74" i="126"/>
  <c r="Q74" i="126"/>
  <c r="P74" i="126"/>
  <c r="N74" i="126"/>
  <c r="L74" i="126"/>
  <c r="K74" i="126"/>
  <c r="S73" i="126"/>
  <c r="Q73" i="126"/>
  <c r="P73" i="126"/>
  <c r="N73" i="126"/>
  <c r="L73" i="126"/>
  <c r="K73" i="126"/>
  <c r="S72" i="126"/>
  <c r="Q72" i="126"/>
  <c r="P72" i="126"/>
  <c r="N72" i="126"/>
  <c r="L72" i="126"/>
  <c r="K72" i="126"/>
  <c r="S71" i="126"/>
  <c r="Q71" i="126"/>
  <c r="P71" i="126"/>
  <c r="N71" i="126"/>
  <c r="L71" i="126"/>
  <c r="K71" i="126"/>
  <c r="S70" i="126"/>
  <c r="Q70" i="126"/>
  <c r="P70" i="126"/>
  <c r="N70" i="126"/>
  <c r="L70" i="126"/>
  <c r="K70" i="126"/>
  <c r="S69" i="126"/>
  <c r="Q69" i="126"/>
  <c r="P69" i="126"/>
  <c r="N69" i="126"/>
  <c r="L69" i="126"/>
  <c r="K69" i="126"/>
  <c r="S68" i="126"/>
  <c r="Q68" i="126"/>
  <c r="P68" i="126"/>
  <c r="N68" i="126"/>
  <c r="L68" i="126"/>
  <c r="K68" i="126"/>
  <c r="S67" i="126"/>
  <c r="Q67" i="126"/>
  <c r="P67" i="126"/>
  <c r="N67" i="126"/>
  <c r="L67" i="126"/>
  <c r="K67" i="126"/>
  <c r="S66" i="126"/>
  <c r="Q66" i="126"/>
  <c r="P66" i="126"/>
  <c r="N66" i="126"/>
  <c r="L66" i="126"/>
  <c r="K66" i="126"/>
  <c r="S65" i="126"/>
  <c r="Q65" i="126"/>
  <c r="P65" i="126"/>
  <c r="N65" i="126"/>
  <c r="L65" i="126"/>
  <c r="K65" i="126"/>
  <c r="S64" i="126"/>
  <c r="Q64" i="126"/>
  <c r="P64" i="126"/>
  <c r="N64" i="126"/>
  <c r="L64" i="126"/>
  <c r="K64" i="126"/>
  <c r="S63" i="126"/>
  <c r="Q63" i="126"/>
  <c r="P63" i="126"/>
  <c r="N63" i="126"/>
  <c r="L63" i="126"/>
  <c r="K63" i="126"/>
  <c r="S62" i="126"/>
  <c r="Q62" i="126"/>
  <c r="P62" i="126"/>
  <c r="N62" i="126"/>
  <c r="L62" i="126"/>
  <c r="K62" i="126"/>
  <c r="S61" i="126"/>
  <c r="Q61" i="126"/>
  <c r="P61" i="126"/>
  <c r="N61" i="126"/>
  <c r="L61" i="126"/>
  <c r="K61" i="126"/>
  <c r="S60" i="126"/>
  <c r="Q60" i="126"/>
  <c r="P60" i="126"/>
  <c r="N60" i="126"/>
  <c r="L60" i="126"/>
  <c r="K60" i="126"/>
  <c r="S59" i="126"/>
  <c r="Q59" i="126"/>
  <c r="P59" i="126"/>
  <c r="N59" i="126"/>
  <c r="L59" i="126"/>
  <c r="K59" i="126"/>
  <c r="S58" i="126"/>
  <c r="Q58" i="126"/>
  <c r="P58" i="126"/>
  <c r="N58" i="126"/>
  <c r="L58" i="126"/>
  <c r="K58" i="126"/>
  <c r="S57" i="126"/>
  <c r="Q57" i="126"/>
  <c r="P57" i="126"/>
  <c r="N57" i="126"/>
  <c r="L57" i="126"/>
  <c r="K57" i="126"/>
  <c r="S56" i="126"/>
  <c r="Q56" i="126"/>
  <c r="P56" i="126"/>
  <c r="N56" i="126"/>
  <c r="L56" i="126"/>
  <c r="K56" i="126"/>
  <c r="S55" i="126"/>
  <c r="Q55" i="126"/>
  <c r="P55" i="126"/>
  <c r="N55" i="126"/>
  <c r="L55" i="126"/>
  <c r="K55" i="126"/>
  <c r="S54" i="126"/>
  <c r="Q54" i="126"/>
  <c r="P54" i="126"/>
  <c r="N54" i="126"/>
  <c r="L54" i="126"/>
  <c r="K54" i="126"/>
  <c r="S53" i="126"/>
  <c r="Q53" i="126"/>
  <c r="P53" i="126"/>
  <c r="N53" i="126"/>
  <c r="L53" i="126"/>
  <c r="K53" i="126"/>
  <c r="S52" i="126"/>
  <c r="Q52" i="126"/>
  <c r="P52" i="126"/>
  <c r="N52" i="126"/>
  <c r="L52" i="126"/>
  <c r="K52" i="126"/>
  <c r="S51" i="126"/>
  <c r="Q51" i="126"/>
  <c r="P51" i="126"/>
  <c r="N51" i="126"/>
  <c r="L51" i="126"/>
  <c r="K51" i="126"/>
  <c r="S50" i="126"/>
  <c r="Q50" i="126"/>
  <c r="P50" i="126"/>
  <c r="N50" i="126"/>
  <c r="L50" i="126"/>
  <c r="K50" i="126"/>
  <c r="S49" i="126"/>
  <c r="Q49" i="126"/>
  <c r="P49" i="126"/>
  <c r="N49" i="126"/>
  <c r="L49" i="126"/>
  <c r="K49" i="126"/>
  <c r="S48" i="126"/>
  <c r="Q48" i="126"/>
  <c r="P48" i="126"/>
  <c r="N48" i="126"/>
  <c r="L48" i="126"/>
  <c r="K48" i="126"/>
  <c r="S47" i="126"/>
  <c r="Q47" i="126"/>
  <c r="P47" i="126"/>
  <c r="N47" i="126"/>
  <c r="L47" i="126"/>
  <c r="K47" i="126"/>
  <c r="S46" i="126"/>
  <c r="Q46" i="126"/>
  <c r="P46" i="126"/>
  <c r="N46" i="126"/>
  <c r="L46" i="126"/>
  <c r="K46" i="126"/>
  <c r="S45" i="126"/>
  <c r="Q45" i="126"/>
  <c r="P45" i="126"/>
  <c r="N45" i="126"/>
  <c r="L45" i="126"/>
  <c r="K45" i="126"/>
  <c r="S44" i="126"/>
  <c r="Q44" i="126"/>
  <c r="P44" i="126"/>
  <c r="N44" i="126"/>
  <c r="L44" i="126"/>
  <c r="K44" i="126"/>
  <c r="S43" i="126"/>
  <c r="Q43" i="126"/>
  <c r="P43" i="126"/>
  <c r="N43" i="126"/>
  <c r="L43" i="126"/>
  <c r="K43" i="126"/>
  <c r="S42" i="126"/>
  <c r="Q42" i="126"/>
  <c r="P42" i="126"/>
  <c r="N42" i="126"/>
  <c r="L42" i="126"/>
  <c r="K42" i="126"/>
  <c r="S41" i="126"/>
  <c r="Q41" i="126"/>
  <c r="P41" i="126"/>
  <c r="N41" i="126"/>
  <c r="L41" i="126"/>
  <c r="K41" i="126"/>
  <c r="S40" i="126"/>
  <c r="Q40" i="126"/>
  <c r="P40" i="126"/>
  <c r="N40" i="126"/>
  <c r="L40" i="126"/>
  <c r="K40" i="126"/>
  <c r="S39" i="126"/>
  <c r="Q39" i="126"/>
  <c r="P39" i="126"/>
  <c r="N39" i="126"/>
  <c r="L39" i="126"/>
  <c r="K39" i="126"/>
  <c r="S38" i="126"/>
  <c r="Q38" i="126"/>
  <c r="P38" i="126"/>
  <c r="N38" i="126"/>
  <c r="L38" i="126"/>
  <c r="K38" i="126"/>
  <c r="S37" i="126"/>
  <c r="Q37" i="126"/>
  <c r="P37" i="126"/>
  <c r="N37" i="126"/>
  <c r="L37" i="126"/>
  <c r="K37" i="126"/>
  <c r="S36" i="126"/>
  <c r="Q36" i="126"/>
  <c r="P36" i="126"/>
  <c r="N36" i="126"/>
  <c r="L36" i="126"/>
  <c r="K36" i="126"/>
  <c r="S35" i="126"/>
  <c r="Q35" i="126"/>
  <c r="P35" i="126"/>
  <c r="N35" i="126"/>
  <c r="L35" i="126"/>
  <c r="K35" i="126"/>
  <c r="S34" i="126"/>
  <c r="Q34" i="126"/>
  <c r="P34" i="126"/>
  <c r="N34" i="126"/>
  <c r="L34" i="126"/>
  <c r="K34" i="126"/>
  <c r="S33" i="126"/>
  <c r="Q33" i="126"/>
  <c r="P33" i="126"/>
  <c r="N33" i="126"/>
  <c r="L33" i="126"/>
  <c r="K33" i="126"/>
  <c r="S32" i="126"/>
  <c r="Q32" i="126"/>
  <c r="P32" i="126"/>
  <c r="N32" i="126"/>
  <c r="L32" i="126"/>
  <c r="K32" i="126"/>
  <c r="S31" i="126"/>
  <c r="Q31" i="126"/>
  <c r="P31" i="126"/>
  <c r="N31" i="126"/>
  <c r="L31" i="126"/>
  <c r="K31" i="126"/>
  <c r="S30" i="126"/>
  <c r="Q30" i="126"/>
  <c r="P30" i="126"/>
  <c r="N30" i="126"/>
  <c r="L30" i="126"/>
  <c r="K30" i="126"/>
  <c r="S29" i="126"/>
  <c r="Q29" i="126"/>
  <c r="P29" i="126"/>
  <c r="N29" i="126"/>
  <c r="L29" i="126"/>
  <c r="K29" i="126"/>
  <c r="S28" i="126"/>
  <c r="Q28" i="126"/>
  <c r="P28" i="126"/>
  <c r="N28" i="126"/>
  <c r="L28" i="126"/>
  <c r="K28" i="126"/>
  <c r="S27" i="126"/>
  <c r="Q27" i="126"/>
  <c r="P27" i="126"/>
  <c r="N27" i="126"/>
  <c r="L27" i="126"/>
  <c r="K27" i="126"/>
  <c r="S26" i="126"/>
  <c r="Q26" i="126"/>
  <c r="P26" i="126"/>
  <c r="N26" i="126"/>
  <c r="L26" i="126"/>
  <c r="K26" i="126"/>
  <c r="S25" i="126"/>
  <c r="Q25" i="126"/>
  <c r="P25" i="126"/>
  <c r="N25" i="126"/>
  <c r="L25" i="126"/>
  <c r="K25" i="126"/>
  <c r="S24" i="126"/>
  <c r="Q24" i="126"/>
  <c r="P24" i="126"/>
  <c r="N24" i="126"/>
  <c r="L24" i="126"/>
  <c r="K24" i="126"/>
  <c r="S23" i="126"/>
  <c r="Q23" i="126"/>
  <c r="P23" i="126"/>
  <c r="N23" i="126"/>
  <c r="L23" i="126"/>
  <c r="K23" i="126"/>
  <c r="S22" i="126"/>
  <c r="Q22" i="126"/>
  <c r="P22" i="126"/>
  <c r="N22" i="126"/>
  <c r="L22" i="126"/>
  <c r="K22" i="126"/>
  <c r="S21" i="126"/>
  <c r="Q21" i="126"/>
  <c r="P21" i="126"/>
  <c r="N21" i="126"/>
  <c r="L21" i="126"/>
  <c r="K21" i="126"/>
  <c r="S20" i="126"/>
  <c r="Q20" i="126"/>
  <c r="P20" i="126"/>
  <c r="N20" i="126"/>
  <c r="L20" i="126"/>
  <c r="K20" i="126"/>
  <c r="S19" i="126"/>
  <c r="Q19" i="126"/>
  <c r="P19" i="126"/>
  <c r="N19" i="126"/>
  <c r="L19" i="126"/>
  <c r="K19" i="126"/>
  <c r="S18" i="126"/>
  <c r="Q18" i="126"/>
  <c r="P18" i="126"/>
  <c r="N18" i="126"/>
  <c r="L18" i="126"/>
  <c r="K18" i="126"/>
  <c r="S17" i="126"/>
  <c r="Q17" i="126"/>
  <c r="P17" i="126"/>
  <c r="N17" i="126"/>
  <c r="L17" i="126"/>
  <c r="K17" i="126"/>
  <c r="S16" i="126"/>
  <c r="Q16" i="126"/>
  <c r="P16" i="126"/>
  <c r="N16" i="126"/>
  <c r="L16" i="126"/>
  <c r="K16" i="126"/>
  <c r="S15" i="126"/>
  <c r="Q15" i="126"/>
  <c r="P15" i="126"/>
  <c r="N15" i="126"/>
  <c r="L15" i="126"/>
  <c r="K15" i="126"/>
  <c r="S14" i="126"/>
  <c r="Q14" i="126"/>
  <c r="P14" i="126"/>
  <c r="N14" i="126"/>
  <c r="L14" i="126"/>
  <c r="K14" i="126"/>
  <c r="S13" i="126"/>
  <c r="Q13" i="126"/>
  <c r="P13" i="126"/>
  <c r="N13" i="126"/>
  <c r="L13" i="126"/>
  <c r="K13" i="126"/>
  <c r="S12" i="126"/>
  <c r="Q12" i="126"/>
  <c r="P12" i="126"/>
  <c r="N12" i="126"/>
  <c r="L12" i="126"/>
  <c r="K12" i="126"/>
  <c r="S11" i="126"/>
  <c r="Q11" i="126"/>
  <c r="P11" i="126"/>
  <c r="N11" i="126"/>
  <c r="L11" i="126"/>
  <c r="K11" i="126"/>
  <c r="S10" i="126"/>
  <c r="Q10" i="126"/>
  <c r="P10" i="126"/>
  <c r="N10" i="126"/>
  <c r="L10" i="126"/>
  <c r="K10" i="126"/>
  <c r="S9" i="126"/>
  <c r="Q9" i="126"/>
  <c r="P9" i="126"/>
  <c r="N9" i="126"/>
  <c r="L9" i="126"/>
  <c r="K9" i="126"/>
  <c r="S8" i="126"/>
  <c r="Q8" i="126"/>
  <c r="P8" i="126"/>
  <c r="N8" i="126"/>
  <c r="L8" i="126"/>
  <c r="K8" i="126"/>
  <c r="S7" i="126"/>
  <c r="Q7" i="126"/>
  <c r="P7" i="126"/>
  <c r="N7" i="126"/>
  <c r="L7" i="126"/>
  <c r="K7" i="126"/>
  <c r="S6" i="126"/>
  <c r="Q6" i="126"/>
  <c r="P6" i="126"/>
  <c r="N6" i="126"/>
  <c r="L6" i="126"/>
  <c r="K6" i="126"/>
  <c r="S5" i="126"/>
  <c r="Q5" i="126"/>
  <c r="P5" i="126"/>
  <c r="N5" i="126"/>
  <c r="L5" i="126"/>
  <c r="K5" i="126"/>
  <c r="S4" i="126"/>
  <c r="Q4" i="126"/>
  <c r="P4" i="126"/>
  <c r="N4" i="126"/>
  <c r="L4" i="126"/>
  <c r="K4" i="126"/>
  <c r="S3" i="126"/>
  <c r="Q3" i="126"/>
  <c r="P3" i="126"/>
  <c r="N3" i="126"/>
  <c r="L3" i="126"/>
  <c r="K3" i="126"/>
  <c r="S166" i="125"/>
  <c r="Q166" i="125"/>
  <c r="P166" i="125"/>
  <c r="N166" i="125"/>
  <c r="L166" i="125"/>
  <c r="K166" i="125"/>
  <c r="S165" i="125"/>
  <c r="Q165" i="125"/>
  <c r="P165" i="125"/>
  <c r="N165" i="125"/>
  <c r="L165" i="125"/>
  <c r="K165" i="125"/>
  <c r="S164" i="125"/>
  <c r="Q164" i="125"/>
  <c r="P164" i="125"/>
  <c r="N164" i="125"/>
  <c r="L164" i="125"/>
  <c r="K164" i="125"/>
  <c r="S163" i="125"/>
  <c r="Q163" i="125"/>
  <c r="P163" i="125"/>
  <c r="N163" i="125"/>
  <c r="L163" i="125"/>
  <c r="K163" i="125"/>
  <c r="S162" i="125"/>
  <c r="Q162" i="125"/>
  <c r="P162" i="125"/>
  <c r="N162" i="125"/>
  <c r="L162" i="125"/>
  <c r="K162" i="125"/>
  <c r="S161" i="125"/>
  <c r="Q161" i="125"/>
  <c r="P161" i="125"/>
  <c r="N161" i="125"/>
  <c r="L161" i="125"/>
  <c r="K161" i="125"/>
  <c r="S160" i="125"/>
  <c r="Q160" i="125"/>
  <c r="P160" i="125"/>
  <c r="N160" i="125"/>
  <c r="L160" i="125"/>
  <c r="K160" i="125"/>
  <c r="S159" i="125"/>
  <c r="Q159" i="125"/>
  <c r="P159" i="125"/>
  <c r="N159" i="125"/>
  <c r="L159" i="125"/>
  <c r="K159" i="125"/>
  <c r="S158" i="125"/>
  <c r="Q158" i="125"/>
  <c r="P158" i="125"/>
  <c r="N158" i="125"/>
  <c r="L158" i="125"/>
  <c r="K158" i="125"/>
  <c r="S157" i="125"/>
  <c r="Q157" i="125"/>
  <c r="P157" i="125"/>
  <c r="N157" i="125"/>
  <c r="L157" i="125"/>
  <c r="K157" i="125"/>
  <c r="S156" i="125"/>
  <c r="Q156" i="125"/>
  <c r="P156" i="125"/>
  <c r="N156" i="125"/>
  <c r="L156" i="125"/>
  <c r="K156" i="125"/>
  <c r="S155" i="125"/>
  <c r="Q155" i="125"/>
  <c r="P155" i="125"/>
  <c r="N155" i="125"/>
  <c r="L155" i="125"/>
  <c r="K155" i="125"/>
  <c r="S154" i="125"/>
  <c r="Q154" i="125"/>
  <c r="P154" i="125"/>
  <c r="N154" i="125"/>
  <c r="L154" i="125"/>
  <c r="K154" i="125"/>
  <c r="S153" i="125"/>
  <c r="Q153" i="125"/>
  <c r="P153" i="125"/>
  <c r="N153" i="125"/>
  <c r="L153" i="125"/>
  <c r="K153" i="125"/>
  <c r="S152" i="125"/>
  <c r="Q152" i="125"/>
  <c r="P152" i="125"/>
  <c r="N152" i="125"/>
  <c r="L152" i="125"/>
  <c r="K152" i="125"/>
  <c r="S151" i="125"/>
  <c r="Q151" i="125"/>
  <c r="P151" i="125"/>
  <c r="N151" i="125"/>
  <c r="L151" i="125"/>
  <c r="K151" i="125"/>
  <c r="S150" i="125"/>
  <c r="Q150" i="125"/>
  <c r="P150" i="125"/>
  <c r="N150" i="125"/>
  <c r="L150" i="125"/>
  <c r="K150" i="125"/>
  <c r="S149" i="125"/>
  <c r="Q149" i="125"/>
  <c r="P149" i="125"/>
  <c r="N149" i="125"/>
  <c r="L149" i="125"/>
  <c r="K149" i="125"/>
  <c r="S148" i="125"/>
  <c r="Q148" i="125"/>
  <c r="P148" i="125"/>
  <c r="N148" i="125"/>
  <c r="L148" i="125"/>
  <c r="K148" i="125"/>
  <c r="S147" i="125"/>
  <c r="Q147" i="125"/>
  <c r="P147" i="125"/>
  <c r="N147" i="125"/>
  <c r="L147" i="125"/>
  <c r="K147" i="125"/>
  <c r="S146" i="125"/>
  <c r="Q146" i="125"/>
  <c r="P146" i="125"/>
  <c r="N146" i="125"/>
  <c r="L146" i="125"/>
  <c r="K146" i="125"/>
  <c r="S145" i="125"/>
  <c r="Q145" i="125"/>
  <c r="P145" i="125"/>
  <c r="N145" i="125"/>
  <c r="L145" i="125"/>
  <c r="K145" i="125"/>
  <c r="S144" i="125"/>
  <c r="Q144" i="125"/>
  <c r="P144" i="125"/>
  <c r="N144" i="125"/>
  <c r="L144" i="125"/>
  <c r="K144" i="125"/>
  <c r="S143" i="125"/>
  <c r="Q143" i="125"/>
  <c r="P143" i="125"/>
  <c r="N143" i="125"/>
  <c r="L143" i="125"/>
  <c r="K143" i="125"/>
  <c r="S142" i="125"/>
  <c r="Q142" i="125"/>
  <c r="P142" i="125"/>
  <c r="N142" i="125"/>
  <c r="L142" i="125"/>
  <c r="K142" i="125"/>
  <c r="S141" i="125"/>
  <c r="Q141" i="125"/>
  <c r="P141" i="125"/>
  <c r="N141" i="125"/>
  <c r="L141" i="125"/>
  <c r="K141" i="125"/>
  <c r="S140" i="125"/>
  <c r="Q140" i="125"/>
  <c r="P140" i="125"/>
  <c r="N140" i="125"/>
  <c r="L140" i="125"/>
  <c r="K140" i="125"/>
  <c r="S139" i="125"/>
  <c r="Q139" i="125"/>
  <c r="P139" i="125"/>
  <c r="N139" i="125"/>
  <c r="L139" i="125"/>
  <c r="K139" i="125"/>
  <c r="S138" i="125"/>
  <c r="Q138" i="125"/>
  <c r="P138" i="125"/>
  <c r="N138" i="125"/>
  <c r="L138" i="125"/>
  <c r="K138" i="125"/>
  <c r="S137" i="125"/>
  <c r="Q137" i="125"/>
  <c r="P137" i="125"/>
  <c r="N137" i="125"/>
  <c r="L137" i="125"/>
  <c r="K137" i="125"/>
  <c r="S136" i="125"/>
  <c r="Q136" i="125"/>
  <c r="P136" i="125"/>
  <c r="N136" i="125"/>
  <c r="L136" i="125"/>
  <c r="K136" i="125"/>
  <c r="S135" i="125"/>
  <c r="Q135" i="125"/>
  <c r="P135" i="125"/>
  <c r="N135" i="125"/>
  <c r="L135" i="125"/>
  <c r="K135" i="125"/>
  <c r="S134" i="125"/>
  <c r="Q134" i="125"/>
  <c r="P134" i="125"/>
  <c r="N134" i="125"/>
  <c r="L134" i="125"/>
  <c r="K134" i="125"/>
  <c r="S133" i="125"/>
  <c r="Q133" i="125"/>
  <c r="P133" i="125"/>
  <c r="N133" i="125"/>
  <c r="L133" i="125"/>
  <c r="K133" i="125"/>
  <c r="S132" i="125"/>
  <c r="Q132" i="125"/>
  <c r="P132" i="125"/>
  <c r="N132" i="125"/>
  <c r="L132" i="125"/>
  <c r="K132" i="125"/>
  <c r="S131" i="125"/>
  <c r="Q131" i="125"/>
  <c r="P131" i="125"/>
  <c r="N131" i="125"/>
  <c r="L131" i="125"/>
  <c r="K131" i="125"/>
  <c r="S130" i="125"/>
  <c r="Q130" i="125"/>
  <c r="P130" i="125"/>
  <c r="N130" i="125"/>
  <c r="L130" i="125"/>
  <c r="K130" i="125"/>
  <c r="S129" i="125"/>
  <c r="Q129" i="125"/>
  <c r="P129" i="125"/>
  <c r="N129" i="125"/>
  <c r="L129" i="125"/>
  <c r="K129" i="125"/>
  <c r="S128" i="125"/>
  <c r="Q128" i="125"/>
  <c r="P128" i="125"/>
  <c r="N128" i="125"/>
  <c r="L128" i="125"/>
  <c r="K128" i="125"/>
  <c r="S127" i="125"/>
  <c r="Q127" i="125"/>
  <c r="P127" i="125"/>
  <c r="N127" i="125"/>
  <c r="L127" i="125"/>
  <c r="K127" i="125"/>
  <c r="S126" i="125"/>
  <c r="Q126" i="125"/>
  <c r="P126" i="125"/>
  <c r="N126" i="125"/>
  <c r="L126" i="125"/>
  <c r="K126" i="125"/>
  <c r="S125" i="125"/>
  <c r="Q125" i="125"/>
  <c r="P125" i="125"/>
  <c r="N125" i="125"/>
  <c r="L125" i="125"/>
  <c r="K125" i="125"/>
  <c r="S124" i="125"/>
  <c r="Q124" i="125"/>
  <c r="P124" i="125"/>
  <c r="N124" i="125"/>
  <c r="L124" i="125"/>
  <c r="K124" i="125"/>
  <c r="S123" i="125"/>
  <c r="Q123" i="125"/>
  <c r="P123" i="125"/>
  <c r="N123" i="125"/>
  <c r="L123" i="125"/>
  <c r="K123" i="125"/>
  <c r="S122" i="125"/>
  <c r="Q122" i="125"/>
  <c r="P122" i="125"/>
  <c r="N122" i="125"/>
  <c r="L122" i="125"/>
  <c r="K122" i="125"/>
  <c r="S121" i="125"/>
  <c r="Q121" i="125"/>
  <c r="P121" i="125"/>
  <c r="N121" i="125"/>
  <c r="L121" i="125"/>
  <c r="K121" i="125"/>
  <c r="S120" i="125"/>
  <c r="Q120" i="125"/>
  <c r="P120" i="125"/>
  <c r="N120" i="125"/>
  <c r="L120" i="125"/>
  <c r="K120" i="125"/>
  <c r="S119" i="125"/>
  <c r="Q119" i="125"/>
  <c r="P119" i="125"/>
  <c r="N119" i="125"/>
  <c r="L119" i="125"/>
  <c r="K119" i="125"/>
  <c r="S118" i="125"/>
  <c r="Q118" i="125"/>
  <c r="P118" i="125"/>
  <c r="N118" i="125"/>
  <c r="L118" i="125"/>
  <c r="K118" i="125"/>
  <c r="S117" i="125"/>
  <c r="Q117" i="125"/>
  <c r="P117" i="125"/>
  <c r="N117" i="125"/>
  <c r="L117" i="125"/>
  <c r="K117" i="125"/>
  <c r="S116" i="125"/>
  <c r="Q116" i="125"/>
  <c r="P116" i="125"/>
  <c r="N116" i="125"/>
  <c r="L116" i="125"/>
  <c r="K116" i="125"/>
  <c r="S115" i="125"/>
  <c r="Q115" i="125"/>
  <c r="P115" i="125"/>
  <c r="N115" i="125"/>
  <c r="L115" i="125"/>
  <c r="K115" i="125"/>
  <c r="S114" i="125"/>
  <c r="Q114" i="125"/>
  <c r="P114" i="125"/>
  <c r="N114" i="125"/>
  <c r="L114" i="125"/>
  <c r="K114" i="125"/>
  <c r="S113" i="125"/>
  <c r="Q113" i="125"/>
  <c r="P113" i="125"/>
  <c r="N113" i="125"/>
  <c r="L113" i="125"/>
  <c r="K113" i="125"/>
  <c r="S112" i="125"/>
  <c r="Q112" i="125"/>
  <c r="P112" i="125"/>
  <c r="N112" i="125"/>
  <c r="L112" i="125"/>
  <c r="K112" i="125"/>
  <c r="S111" i="125"/>
  <c r="Q111" i="125"/>
  <c r="P111" i="125"/>
  <c r="N111" i="125"/>
  <c r="L111" i="125"/>
  <c r="K111" i="125"/>
  <c r="S110" i="125"/>
  <c r="Q110" i="125"/>
  <c r="P110" i="125"/>
  <c r="N110" i="125"/>
  <c r="L110" i="125"/>
  <c r="K110" i="125"/>
  <c r="S109" i="125"/>
  <c r="Q109" i="125"/>
  <c r="P109" i="125"/>
  <c r="N109" i="125"/>
  <c r="L109" i="125"/>
  <c r="K109" i="125"/>
  <c r="S108" i="125"/>
  <c r="Q108" i="125"/>
  <c r="P108" i="125"/>
  <c r="N108" i="125"/>
  <c r="L108" i="125"/>
  <c r="K108" i="125"/>
  <c r="S107" i="125"/>
  <c r="Q107" i="125"/>
  <c r="P107" i="125"/>
  <c r="N107" i="125"/>
  <c r="L107" i="125"/>
  <c r="K107" i="125"/>
  <c r="S106" i="125"/>
  <c r="Q106" i="125"/>
  <c r="P106" i="125"/>
  <c r="N106" i="125"/>
  <c r="L106" i="125"/>
  <c r="K106" i="125"/>
  <c r="S105" i="125"/>
  <c r="Q105" i="125"/>
  <c r="P105" i="125"/>
  <c r="N105" i="125"/>
  <c r="L105" i="125"/>
  <c r="K105" i="125"/>
  <c r="S104" i="125"/>
  <c r="Q104" i="125"/>
  <c r="P104" i="125"/>
  <c r="N104" i="125"/>
  <c r="L104" i="125"/>
  <c r="K104" i="125"/>
  <c r="S103" i="125"/>
  <c r="Q103" i="125"/>
  <c r="P103" i="125"/>
  <c r="N103" i="125"/>
  <c r="L103" i="125"/>
  <c r="K103" i="125"/>
  <c r="S102" i="125"/>
  <c r="Q102" i="125"/>
  <c r="P102" i="125"/>
  <c r="N102" i="125"/>
  <c r="L102" i="125"/>
  <c r="K102" i="125"/>
  <c r="S101" i="125"/>
  <c r="Q101" i="125"/>
  <c r="P101" i="125"/>
  <c r="N101" i="125"/>
  <c r="L101" i="125"/>
  <c r="K101" i="125"/>
  <c r="S100" i="125"/>
  <c r="Q100" i="125"/>
  <c r="P100" i="125"/>
  <c r="N100" i="125"/>
  <c r="L100" i="125"/>
  <c r="K100" i="125"/>
  <c r="S99" i="125"/>
  <c r="Q99" i="125"/>
  <c r="P99" i="125"/>
  <c r="N99" i="125"/>
  <c r="L99" i="125"/>
  <c r="K99" i="125"/>
  <c r="S98" i="125"/>
  <c r="Q98" i="125"/>
  <c r="P98" i="125"/>
  <c r="N98" i="125"/>
  <c r="L98" i="125"/>
  <c r="K98" i="125"/>
  <c r="S97" i="125"/>
  <c r="Q97" i="125"/>
  <c r="P97" i="125"/>
  <c r="N97" i="125"/>
  <c r="L97" i="125"/>
  <c r="K97" i="125"/>
  <c r="S96" i="125"/>
  <c r="Q96" i="125"/>
  <c r="P96" i="125"/>
  <c r="N96" i="125"/>
  <c r="L96" i="125"/>
  <c r="K96" i="125"/>
  <c r="S95" i="125"/>
  <c r="Q95" i="125"/>
  <c r="P95" i="125"/>
  <c r="N95" i="125"/>
  <c r="L95" i="125"/>
  <c r="K95" i="125"/>
  <c r="S94" i="125"/>
  <c r="Q94" i="125"/>
  <c r="P94" i="125"/>
  <c r="N94" i="125"/>
  <c r="L94" i="125"/>
  <c r="K94" i="125"/>
  <c r="S93" i="125"/>
  <c r="Q93" i="125"/>
  <c r="P93" i="125"/>
  <c r="N93" i="125"/>
  <c r="L93" i="125"/>
  <c r="K93" i="125"/>
  <c r="S92" i="125"/>
  <c r="Q92" i="125"/>
  <c r="P92" i="125"/>
  <c r="N92" i="125"/>
  <c r="L92" i="125"/>
  <c r="K92" i="125"/>
  <c r="S91" i="125"/>
  <c r="Q91" i="125"/>
  <c r="P91" i="125"/>
  <c r="N91" i="125"/>
  <c r="L91" i="125"/>
  <c r="K91" i="125"/>
  <c r="S90" i="125"/>
  <c r="Q90" i="125"/>
  <c r="P90" i="125"/>
  <c r="N90" i="125"/>
  <c r="L90" i="125"/>
  <c r="K90" i="125"/>
  <c r="S89" i="125"/>
  <c r="Q89" i="125"/>
  <c r="P89" i="125"/>
  <c r="N89" i="125"/>
  <c r="L89" i="125"/>
  <c r="K89" i="125"/>
  <c r="S88" i="125"/>
  <c r="Q88" i="125"/>
  <c r="P88" i="125"/>
  <c r="N88" i="125"/>
  <c r="L88" i="125"/>
  <c r="K88" i="125"/>
  <c r="S87" i="125"/>
  <c r="Q87" i="125"/>
  <c r="P87" i="125"/>
  <c r="N87" i="125"/>
  <c r="L87" i="125"/>
  <c r="K87" i="125"/>
  <c r="S86" i="125"/>
  <c r="Q86" i="125"/>
  <c r="P86" i="125"/>
  <c r="N86" i="125"/>
  <c r="L86" i="125"/>
  <c r="K86" i="125"/>
  <c r="S85" i="125"/>
  <c r="Q85" i="125"/>
  <c r="P85" i="125"/>
  <c r="N85" i="125"/>
  <c r="L85" i="125"/>
  <c r="K85" i="125"/>
  <c r="S84" i="125"/>
  <c r="Q84" i="125"/>
  <c r="P84" i="125"/>
  <c r="N84" i="125"/>
  <c r="L84" i="125"/>
  <c r="K84" i="125"/>
  <c r="S83" i="125"/>
  <c r="Q83" i="125"/>
  <c r="P83" i="125"/>
  <c r="N83" i="125"/>
  <c r="L83" i="125"/>
  <c r="K83" i="125"/>
  <c r="S82" i="125"/>
  <c r="Q82" i="125"/>
  <c r="P82" i="125"/>
  <c r="N82" i="125"/>
  <c r="L82" i="125"/>
  <c r="K82" i="125"/>
  <c r="S81" i="125"/>
  <c r="Q81" i="125"/>
  <c r="P81" i="125"/>
  <c r="N81" i="125"/>
  <c r="L81" i="125"/>
  <c r="K81" i="125"/>
  <c r="S80" i="125"/>
  <c r="Q80" i="125"/>
  <c r="P80" i="125"/>
  <c r="N80" i="125"/>
  <c r="L80" i="125"/>
  <c r="K80" i="125"/>
  <c r="S79" i="125"/>
  <c r="Q79" i="125"/>
  <c r="P79" i="125"/>
  <c r="N79" i="125"/>
  <c r="L79" i="125"/>
  <c r="K79" i="125"/>
  <c r="S78" i="125"/>
  <c r="Q78" i="125"/>
  <c r="P78" i="125"/>
  <c r="N78" i="125"/>
  <c r="L78" i="125"/>
  <c r="K78" i="125"/>
  <c r="S77" i="125"/>
  <c r="Q77" i="125"/>
  <c r="P77" i="125"/>
  <c r="N77" i="125"/>
  <c r="L77" i="125"/>
  <c r="K77" i="125"/>
  <c r="S76" i="125"/>
  <c r="Q76" i="125"/>
  <c r="P76" i="125"/>
  <c r="N76" i="125"/>
  <c r="L76" i="125"/>
  <c r="K76" i="125"/>
  <c r="S75" i="125"/>
  <c r="Q75" i="125"/>
  <c r="P75" i="125"/>
  <c r="N75" i="125"/>
  <c r="L75" i="125"/>
  <c r="K75" i="125"/>
  <c r="S74" i="125"/>
  <c r="Q74" i="125"/>
  <c r="P74" i="125"/>
  <c r="N74" i="125"/>
  <c r="L74" i="125"/>
  <c r="K74" i="125"/>
  <c r="S73" i="125"/>
  <c r="Q73" i="125"/>
  <c r="P73" i="125"/>
  <c r="N73" i="125"/>
  <c r="L73" i="125"/>
  <c r="K73" i="125"/>
  <c r="S72" i="125"/>
  <c r="Q72" i="125"/>
  <c r="P72" i="125"/>
  <c r="N72" i="125"/>
  <c r="L72" i="125"/>
  <c r="K72" i="125"/>
  <c r="S71" i="125"/>
  <c r="Q71" i="125"/>
  <c r="P71" i="125"/>
  <c r="N71" i="125"/>
  <c r="L71" i="125"/>
  <c r="K71" i="125"/>
  <c r="S70" i="125"/>
  <c r="Q70" i="125"/>
  <c r="P70" i="125"/>
  <c r="N70" i="125"/>
  <c r="L70" i="125"/>
  <c r="K70" i="125"/>
  <c r="S69" i="125"/>
  <c r="Q69" i="125"/>
  <c r="P69" i="125"/>
  <c r="N69" i="125"/>
  <c r="L69" i="125"/>
  <c r="K69" i="125"/>
  <c r="S68" i="125"/>
  <c r="Q68" i="125"/>
  <c r="P68" i="125"/>
  <c r="N68" i="125"/>
  <c r="L68" i="125"/>
  <c r="K68" i="125"/>
  <c r="S67" i="125"/>
  <c r="Q67" i="125"/>
  <c r="P67" i="125"/>
  <c r="N67" i="125"/>
  <c r="L67" i="125"/>
  <c r="K67" i="125"/>
  <c r="S66" i="125"/>
  <c r="Q66" i="125"/>
  <c r="P66" i="125"/>
  <c r="N66" i="125"/>
  <c r="L66" i="125"/>
  <c r="K66" i="125"/>
  <c r="S65" i="125"/>
  <c r="Q65" i="125"/>
  <c r="P65" i="125"/>
  <c r="N65" i="125"/>
  <c r="L65" i="125"/>
  <c r="K65" i="125"/>
  <c r="S64" i="125"/>
  <c r="Q64" i="125"/>
  <c r="P64" i="125"/>
  <c r="N64" i="125"/>
  <c r="L64" i="125"/>
  <c r="K64" i="125"/>
  <c r="S63" i="125"/>
  <c r="Q63" i="125"/>
  <c r="P63" i="125"/>
  <c r="N63" i="125"/>
  <c r="L63" i="125"/>
  <c r="K63" i="125"/>
  <c r="S62" i="125"/>
  <c r="Q62" i="125"/>
  <c r="P62" i="125"/>
  <c r="N62" i="125"/>
  <c r="L62" i="125"/>
  <c r="K62" i="125"/>
  <c r="S61" i="125"/>
  <c r="Q61" i="125"/>
  <c r="P61" i="125"/>
  <c r="N61" i="125"/>
  <c r="L61" i="125"/>
  <c r="K61" i="125"/>
  <c r="S60" i="125"/>
  <c r="Q60" i="125"/>
  <c r="P60" i="125"/>
  <c r="N60" i="125"/>
  <c r="L60" i="125"/>
  <c r="K60" i="125"/>
  <c r="S59" i="125"/>
  <c r="Q59" i="125"/>
  <c r="P59" i="125"/>
  <c r="N59" i="125"/>
  <c r="L59" i="125"/>
  <c r="K59" i="125"/>
  <c r="S58" i="125"/>
  <c r="Q58" i="125"/>
  <c r="P58" i="125"/>
  <c r="N58" i="125"/>
  <c r="L58" i="125"/>
  <c r="K58" i="125"/>
  <c r="S57" i="125"/>
  <c r="Q57" i="125"/>
  <c r="P57" i="125"/>
  <c r="N57" i="125"/>
  <c r="L57" i="125"/>
  <c r="K57" i="125"/>
  <c r="S56" i="125"/>
  <c r="Q56" i="125"/>
  <c r="P56" i="125"/>
  <c r="N56" i="125"/>
  <c r="L56" i="125"/>
  <c r="K56" i="125"/>
  <c r="S55" i="125"/>
  <c r="Q55" i="125"/>
  <c r="P55" i="125"/>
  <c r="N55" i="125"/>
  <c r="L55" i="125"/>
  <c r="K55" i="125"/>
  <c r="S54" i="125"/>
  <c r="Q54" i="125"/>
  <c r="P54" i="125"/>
  <c r="N54" i="125"/>
  <c r="L54" i="125"/>
  <c r="K54" i="125"/>
  <c r="S53" i="125"/>
  <c r="Q53" i="125"/>
  <c r="P53" i="125"/>
  <c r="N53" i="125"/>
  <c r="L53" i="125"/>
  <c r="K53" i="125"/>
  <c r="S52" i="125"/>
  <c r="Q52" i="125"/>
  <c r="P52" i="125"/>
  <c r="N52" i="125"/>
  <c r="L52" i="125"/>
  <c r="K52" i="125"/>
  <c r="S51" i="125"/>
  <c r="Q51" i="125"/>
  <c r="P51" i="125"/>
  <c r="N51" i="125"/>
  <c r="L51" i="125"/>
  <c r="K51" i="125"/>
  <c r="S50" i="125"/>
  <c r="Q50" i="125"/>
  <c r="P50" i="125"/>
  <c r="N50" i="125"/>
  <c r="L50" i="125"/>
  <c r="K50" i="125"/>
  <c r="S49" i="125"/>
  <c r="Q49" i="125"/>
  <c r="P49" i="125"/>
  <c r="N49" i="125"/>
  <c r="L49" i="125"/>
  <c r="K49" i="125"/>
  <c r="S48" i="125"/>
  <c r="Q48" i="125"/>
  <c r="P48" i="125"/>
  <c r="N48" i="125"/>
  <c r="L48" i="125"/>
  <c r="K48" i="125"/>
  <c r="S47" i="125"/>
  <c r="Q47" i="125"/>
  <c r="P47" i="125"/>
  <c r="N47" i="125"/>
  <c r="L47" i="125"/>
  <c r="K47" i="125"/>
  <c r="S46" i="125"/>
  <c r="Q46" i="125"/>
  <c r="P46" i="125"/>
  <c r="N46" i="125"/>
  <c r="L46" i="125"/>
  <c r="K46" i="125"/>
  <c r="S45" i="125"/>
  <c r="Q45" i="125"/>
  <c r="P45" i="125"/>
  <c r="N45" i="125"/>
  <c r="L45" i="125"/>
  <c r="K45" i="125"/>
  <c r="S44" i="125"/>
  <c r="Q44" i="125"/>
  <c r="P44" i="125"/>
  <c r="N44" i="125"/>
  <c r="L44" i="125"/>
  <c r="K44" i="125"/>
  <c r="S43" i="125"/>
  <c r="Q43" i="125"/>
  <c r="P43" i="125"/>
  <c r="N43" i="125"/>
  <c r="L43" i="125"/>
  <c r="K43" i="125"/>
  <c r="S42" i="125"/>
  <c r="Q42" i="125"/>
  <c r="P42" i="125"/>
  <c r="N42" i="125"/>
  <c r="L42" i="125"/>
  <c r="K42" i="125"/>
  <c r="S41" i="125"/>
  <c r="Q41" i="125"/>
  <c r="P41" i="125"/>
  <c r="N41" i="125"/>
  <c r="L41" i="125"/>
  <c r="K41" i="125"/>
  <c r="S40" i="125"/>
  <c r="Q40" i="125"/>
  <c r="P40" i="125"/>
  <c r="N40" i="125"/>
  <c r="L40" i="125"/>
  <c r="K40" i="125"/>
  <c r="S39" i="125"/>
  <c r="Q39" i="125"/>
  <c r="P39" i="125"/>
  <c r="N39" i="125"/>
  <c r="L39" i="125"/>
  <c r="K39" i="125"/>
  <c r="S38" i="125"/>
  <c r="Q38" i="125"/>
  <c r="P38" i="125"/>
  <c r="N38" i="125"/>
  <c r="L38" i="125"/>
  <c r="K38" i="125"/>
  <c r="S37" i="125"/>
  <c r="Q37" i="125"/>
  <c r="P37" i="125"/>
  <c r="N37" i="125"/>
  <c r="L37" i="125"/>
  <c r="K37" i="125"/>
  <c r="S36" i="125"/>
  <c r="Q36" i="125"/>
  <c r="P36" i="125"/>
  <c r="N36" i="125"/>
  <c r="L36" i="125"/>
  <c r="K36" i="125"/>
  <c r="S35" i="125"/>
  <c r="Q35" i="125"/>
  <c r="P35" i="125"/>
  <c r="N35" i="125"/>
  <c r="L35" i="125"/>
  <c r="K35" i="125"/>
  <c r="S34" i="125"/>
  <c r="Q34" i="125"/>
  <c r="P34" i="125"/>
  <c r="N34" i="125"/>
  <c r="L34" i="125"/>
  <c r="K34" i="125"/>
  <c r="S33" i="125"/>
  <c r="Q33" i="125"/>
  <c r="P33" i="125"/>
  <c r="N33" i="125"/>
  <c r="L33" i="125"/>
  <c r="K33" i="125"/>
  <c r="S32" i="125"/>
  <c r="Q32" i="125"/>
  <c r="P32" i="125"/>
  <c r="N32" i="125"/>
  <c r="L32" i="125"/>
  <c r="K32" i="125"/>
  <c r="S31" i="125"/>
  <c r="Q31" i="125"/>
  <c r="P31" i="125"/>
  <c r="N31" i="125"/>
  <c r="L31" i="125"/>
  <c r="K31" i="125"/>
  <c r="S30" i="125"/>
  <c r="Q30" i="125"/>
  <c r="P30" i="125"/>
  <c r="N30" i="125"/>
  <c r="L30" i="125"/>
  <c r="K30" i="125"/>
  <c r="S29" i="125"/>
  <c r="Q29" i="125"/>
  <c r="P29" i="125"/>
  <c r="N29" i="125"/>
  <c r="L29" i="125"/>
  <c r="K29" i="125"/>
  <c r="S28" i="125"/>
  <c r="Q28" i="125"/>
  <c r="P28" i="125"/>
  <c r="N28" i="125"/>
  <c r="L28" i="125"/>
  <c r="K28" i="125"/>
  <c r="S27" i="125"/>
  <c r="Q27" i="125"/>
  <c r="P27" i="125"/>
  <c r="N27" i="125"/>
  <c r="L27" i="125"/>
  <c r="K27" i="125"/>
  <c r="S26" i="125"/>
  <c r="Q26" i="125"/>
  <c r="P26" i="125"/>
  <c r="N26" i="125"/>
  <c r="L26" i="125"/>
  <c r="K26" i="125"/>
  <c r="S25" i="125"/>
  <c r="Q25" i="125"/>
  <c r="P25" i="125"/>
  <c r="N25" i="125"/>
  <c r="L25" i="125"/>
  <c r="K25" i="125"/>
  <c r="S24" i="125"/>
  <c r="Q24" i="125"/>
  <c r="P24" i="125"/>
  <c r="N24" i="125"/>
  <c r="L24" i="125"/>
  <c r="K24" i="125"/>
  <c r="S23" i="125"/>
  <c r="Q23" i="125"/>
  <c r="P23" i="125"/>
  <c r="N23" i="125"/>
  <c r="L23" i="125"/>
  <c r="K23" i="125"/>
  <c r="S22" i="125"/>
  <c r="Q22" i="125"/>
  <c r="P22" i="125"/>
  <c r="N22" i="125"/>
  <c r="L22" i="125"/>
  <c r="K22" i="125"/>
  <c r="S21" i="125"/>
  <c r="Q21" i="125"/>
  <c r="P21" i="125"/>
  <c r="N21" i="125"/>
  <c r="L21" i="125"/>
  <c r="K21" i="125"/>
  <c r="S20" i="125"/>
  <c r="Q20" i="125"/>
  <c r="P20" i="125"/>
  <c r="N20" i="125"/>
  <c r="L20" i="125"/>
  <c r="K20" i="125"/>
  <c r="S19" i="125"/>
  <c r="Q19" i="125"/>
  <c r="P19" i="125"/>
  <c r="N19" i="125"/>
  <c r="L19" i="125"/>
  <c r="K19" i="125"/>
  <c r="S18" i="125"/>
  <c r="Q18" i="125"/>
  <c r="P18" i="125"/>
  <c r="N18" i="125"/>
  <c r="L18" i="125"/>
  <c r="K18" i="125"/>
  <c r="S17" i="125"/>
  <c r="Q17" i="125"/>
  <c r="P17" i="125"/>
  <c r="N17" i="125"/>
  <c r="L17" i="125"/>
  <c r="K17" i="125"/>
  <c r="S16" i="125"/>
  <c r="Q16" i="125"/>
  <c r="P16" i="125"/>
  <c r="N16" i="125"/>
  <c r="L16" i="125"/>
  <c r="K16" i="125"/>
  <c r="S15" i="125"/>
  <c r="Q15" i="125"/>
  <c r="P15" i="125"/>
  <c r="N15" i="125"/>
  <c r="L15" i="125"/>
  <c r="K15" i="125"/>
  <c r="S14" i="125"/>
  <c r="Q14" i="125"/>
  <c r="P14" i="125"/>
  <c r="N14" i="125"/>
  <c r="L14" i="125"/>
  <c r="K14" i="125"/>
  <c r="S13" i="125"/>
  <c r="Q13" i="125"/>
  <c r="P13" i="125"/>
  <c r="N13" i="125"/>
  <c r="L13" i="125"/>
  <c r="K13" i="125"/>
  <c r="S12" i="125"/>
  <c r="Q12" i="125"/>
  <c r="P12" i="125"/>
  <c r="N12" i="125"/>
  <c r="L12" i="125"/>
  <c r="K12" i="125"/>
  <c r="S11" i="125"/>
  <c r="Q11" i="125"/>
  <c r="P11" i="125"/>
  <c r="N11" i="125"/>
  <c r="L11" i="125"/>
  <c r="K11" i="125"/>
  <c r="S10" i="125"/>
  <c r="Q10" i="125"/>
  <c r="P10" i="125"/>
  <c r="N10" i="125"/>
  <c r="L10" i="125"/>
  <c r="K10" i="125"/>
  <c r="S9" i="125"/>
  <c r="Q9" i="125"/>
  <c r="P9" i="125"/>
  <c r="N9" i="125"/>
  <c r="L9" i="125"/>
  <c r="K9" i="125"/>
  <c r="S8" i="125"/>
  <c r="Q8" i="125"/>
  <c r="P8" i="125"/>
  <c r="N8" i="125"/>
  <c r="L8" i="125"/>
  <c r="K8" i="125"/>
  <c r="S7" i="125"/>
  <c r="Q7" i="125"/>
  <c r="P7" i="125"/>
  <c r="N7" i="125"/>
  <c r="L7" i="125"/>
  <c r="K7" i="125"/>
  <c r="S6" i="125"/>
  <c r="Q6" i="125"/>
  <c r="P6" i="125"/>
  <c r="N6" i="125"/>
  <c r="L6" i="125"/>
  <c r="K6" i="125"/>
  <c r="S5" i="125"/>
  <c r="Q5" i="125"/>
  <c r="P5" i="125"/>
  <c r="N5" i="125"/>
  <c r="L5" i="125"/>
  <c r="K5" i="125"/>
  <c r="S4" i="125"/>
  <c r="Q4" i="125"/>
  <c r="P4" i="125"/>
  <c r="N4" i="125"/>
  <c r="L4" i="125"/>
  <c r="K4" i="125"/>
  <c r="S3" i="125"/>
  <c r="Q3" i="125"/>
  <c r="P3" i="125"/>
  <c r="N3" i="125"/>
  <c r="L3" i="125"/>
  <c r="K3" i="125"/>
  <c r="S253" i="124"/>
  <c r="Q253" i="124"/>
  <c r="P253" i="124"/>
  <c r="N253" i="124"/>
  <c r="L253" i="124"/>
  <c r="K253" i="124"/>
  <c r="S252" i="124"/>
  <c r="Q252" i="124"/>
  <c r="P252" i="124"/>
  <c r="N252" i="124"/>
  <c r="L252" i="124"/>
  <c r="K252" i="124"/>
  <c r="S251" i="124"/>
  <c r="Q251" i="124"/>
  <c r="P251" i="124"/>
  <c r="N251" i="124"/>
  <c r="L251" i="124"/>
  <c r="K251" i="124"/>
  <c r="S250" i="124"/>
  <c r="Q250" i="124"/>
  <c r="P250" i="124"/>
  <c r="N250" i="124"/>
  <c r="L250" i="124"/>
  <c r="K250" i="124"/>
  <c r="S249" i="124"/>
  <c r="Q249" i="124"/>
  <c r="P249" i="124"/>
  <c r="N249" i="124"/>
  <c r="L249" i="124"/>
  <c r="K249" i="124"/>
  <c r="S248" i="124"/>
  <c r="Q248" i="124"/>
  <c r="P248" i="124"/>
  <c r="N248" i="124"/>
  <c r="L248" i="124"/>
  <c r="K248" i="124"/>
  <c r="S247" i="124"/>
  <c r="Q247" i="124"/>
  <c r="P247" i="124"/>
  <c r="N247" i="124"/>
  <c r="L247" i="124"/>
  <c r="K247" i="124"/>
  <c r="S246" i="124"/>
  <c r="Q246" i="124"/>
  <c r="P246" i="124"/>
  <c r="N246" i="124"/>
  <c r="L246" i="124"/>
  <c r="K246" i="124"/>
  <c r="S245" i="124"/>
  <c r="Q245" i="124"/>
  <c r="P245" i="124"/>
  <c r="N245" i="124"/>
  <c r="L245" i="124"/>
  <c r="K245" i="124"/>
  <c r="S244" i="124"/>
  <c r="Q244" i="124"/>
  <c r="P244" i="124"/>
  <c r="N244" i="124"/>
  <c r="L244" i="124"/>
  <c r="K244" i="124"/>
  <c r="S238" i="124"/>
  <c r="Q238" i="124"/>
  <c r="P238" i="124"/>
  <c r="N238" i="124"/>
  <c r="L238" i="124"/>
  <c r="K238" i="124"/>
  <c r="S237" i="124"/>
  <c r="Q237" i="124"/>
  <c r="P237" i="124"/>
  <c r="N237" i="124"/>
  <c r="L237" i="124"/>
  <c r="K237" i="124"/>
  <c r="S236" i="124"/>
  <c r="Q236" i="124"/>
  <c r="P236" i="124"/>
  <c r="N236" i="124"/>
  <c r="L236" i="124"/>
  <c r="K236" i="124"/>
  <c r="S235" i="124"/>
  <c r="Q235" i="124"/>
  <c r="P235" i="124"/>
  <c r="N235" i="124"/>
  <c r="L235" i="124"/>
  <c r="K235" i="124"/>
  <c r="S234" i="124"/>
  <c r="Q234" i="124"/>
  <c r="P234" i="124"/>
  <c r="N234" i="124"/>
  <c r="L234" i="124"/>
  <c r="K234" i="124"/>
  <c r="S233" i="124"/>
  <c r="Q233" i="124"/>
  <c r="P233" i="124"/>
  <c r="N233" i="124"/>
  <c r="L233" i="124"/>
  <c r="K233" i="124"/>
  <c r="S232" i="124"/>
  <c r="Q232" i="124"/>
  <c r="P232" i="124"/>
  <c r="N232" i="124"/>
  <c r="L232" i="124"/>
  <c r="K232" i="124"/>
  <c r="S230" i="124"/>
  <c r="Q230" i="124"/>
  <c r="P230" i="124"/>
  <c r="N230" i="124"/>
  <c r="L230" i="124"/>
  <c r="K230" i="124"/>
  <c r="S229" i="124"/>
  <c r="Q229" i="124"/>
  <c r="P229" i="124"/>
  <c r="N229" i="124"/>
  <c r="L229" i="124"/>
  <c r="K229" i="124"/>
  <c r="S228" i="124"/>
  <c r="Q228" i="124"/>
  <c r="P228" i="124"/>
  <c r="N228" i="124"/>
  <c r="L228" i="124"/>
  <c r="K228" i="124"/>
  <c r="S227" i="124"/>
  <c r="Q227" i="124"/>
  <c r="P227" i="124"/>
  <c r="N227" i="124"/>
  <c r="L227" i="124"/>
  <c r="K227" i="124"/>
  <c r="S226" i="124"/>
  <c r="Q226" i="124"/>
  <c r="P226" i="124"/>
  <c r="N226" i="124"/>
  <c r="L226" i="124"/>
  <c r="K226" i="124"/>
  <c r="S225" i="124"/>
  <c r="Q225" i="124"/>
  <c r="P225" i="124"/>
  <c r="N225" i="124"/>
  <c r="L225" i="124"/>
  <c r="K225" i="124"/>
  <c r="S224" i="124"/>
  <c r="Q224" i="124"/>
  <c r="P224" i="124"/>
  <c r="N224" i="124"/>
  <c r="L224" i="124"/>
  <c r="K224" i="124"/>
  <c r="S223" i="124"/>
  <c r="Q223" i="124"/>
  <c r="P223" i="124"/>
  <c r="N223" i="124"/>
  <c r="L223" i="124"/>
  <c r="K223" i="124"/>
  <c r="S222" i="124"/>
  <c r="Q222" i="124"/>
  <c r="P222" i="124"/>
  <c r="N222" i="124"/>
  <c r="L222" i="124"/>
  <c r="K222" i="124"/>
  <c r="S221" i="124"/>
  <c r="Q221" i="124"/>
  <c r="P221" i="124"/>
  <c r="N221" i="124"/>
  <c r="L221" i="124"/>
  <c r="K221" i="124"/>
  <c r="S220" i="124"/>
  <c r="Q220" i="124"/>
  <c r="P220" i="124"/>
  <c r="N220" i="124"/>
  <c r="L220" i="124"/>
  <c r="K220" i="124"/>
  <c r="S219" i="124"/>
  <c r="Q219" i="124"/>
  <c r="P219" i="124"/>
  <c r="N219" i="124"/>
  <c r="L219" i="124"/>
  <c r="K219" i="124"/>
  <c r="S218" i="124"/>
  <c r="Q218" i="124"/>
  <c r="P218" i="124"/>
  <c r="N218" i="124"/>
  <c r="L218" i="124"/>
  <c r="K218" i="124"/>
  <c r="S217" i="124"/>
  <c r="Q217" i="124"/>
  <c r="P217" i="124"/>
  <c r="N217" i="124"/>
  <c r="L217" i="124"/>
  <c r="K217" i="124"/>
  <c r="S216" i="124"/>
  <c r="Q216" i="124"/>
  <c r="P216" i="124"/>
  <c r="N216" i="124"/>
  <c r="L216" i="124"/>
  <c r="K216" i="124"/>
  <c r="S215" i="124"/>
  <c r="Q215" i="124"/>
  <c r="P215" i="124"/>
  <c r="N215" i="124"/>
  <c r="L215" i="124"/>
  <c r="K215" i="124"/>
  <c r="S214" i="124"/>
  <c r="Q214" i="124"/>
  <c r="P214" i="124"/>
  <c r="N214" i="124"/>
  <c r="L214" i="124"/>
  <c r="K214" i="124"/>
  <c r="S213" i="124"/>
  <c r="Q213" i="124"/>
  <c r="P213" i="124"/>
  <c r="N213" i="124"/>
  <c r="L213" i="124"/>
  <c r="K213" i="124"/>
  <c r="S212" i="124"/>
  <c r="Q212" i="124"/>
  <c r="P212" i="124"/>
  <c r="N212" i="124"/>
  <c r="L212" i="124"/>
  <c r="K212" i="124"/>
  <c r="S211" i="124"/>
  <c r="Q211" i="124"/>
  <c r="P211" i="124"/>
  <c r="N211" i="124"/>
  <c r="L211" i="124"/>
  <c r="K211" i="124"/>
  <c r="S210" i="124"/>
  <c r="Q210" i="124"/>
  <c r="P210" i="124"/>
  <c r="N210" i="124"/>
  <c r="L210" i="124"/>
  <c r="K210" i="124"/>
  <c r="S209" i="124"/>
  <c r="Q209" i="124"/>
  <c r="P209" i="124"/>
  <c r="N209" i="124"/>
  <c r="L209" i="124"/>
  <c r="K209" i="124"/>
  <c r="S208" i="124"/>
  <c r="Q208" i="124"/>
  <c r="P208" i="124"/>
  <c r="N208" i="124"/>
  <c r="L208" i="124"/>
  <c r="K208" i="124"/>
  <c r="S207" i="124"/>
  <c r="Q207" i="124"/>
  <c r="P207" i="124"/>
  <c r="N207" i="124"/>
  <c r="L207" i="124"/>
  <c r="K207" i="124"/>
  <c r="S206" i="124"/>
  <c r="Q206" i="124"/>
  <c r="P206" i="124"/>
  <c r="N206" i="124"/>
  <c r="L206" i="124"/>
  <c r="K206" i="124"/>
  <c r="S205" i="124"/>
  <c r="Q205" i="124"/>
  <c r="P205" i="124"/>
  <c r="N205" i="124"/>
  <c r="L205" i="124"/>
  <c r="K205" i="124"/>
  <c r="S204" i="124"/>
  <c r="Q204" i="124"/>
  <c r="P204" i="124"/>
  <c r="N204" i="124"/>
  <c r="L204" i="124"/>
  <c r="K204" i="124"/>
  <c r="S203" i="124"/>
  <c r="Q203" i="124"/>
  <c r="P203" i="124"/>
  <c r="N203" i="124"/>
  <c r="L203" i="124"/>
  <c r="K203" i="124"/>
  <c r="S202" i="124"/>
  <c r="Q202" i="124"/>
  <c r="P202" i="124"/>
  <c r="N202" i="124"/>
  <c r="L202" i="124"/>
  <c r="K202" i="124"/>
  <c r="S201" i="124"/>
  <c r="Q201" i="124"/>
  <c r="P201" i="124"/>
  <c r="N201" i="124"/>
  <c r="L201" i="124"/>
  <c r="K201" i="124"/>
  <c r="S200" i="124"/>
  <c r="Q200" i="124"/>
  <c r="P200" i="124"/>
  <c r="N200" i="124"/>
  <c r="L200" i="124"/>
  <c r="K200" i="124"/>
  <c r="S199" i="124"/>
  <c r="Q199" i="124"/>
  <c r="P199" i="124"/>
  <c r="N199" i="124"/>
  <c r="L199" i="124"/>
  <c r="K199" i="124"/>
  <c r="S198" i="124"/>
  <c r="Q198" i="124"/>
  <c r="P198" i="124"/>
  <c r="N198" i="124"/>
  <c r="L198" i="124"/>
  <c r="K198" i="124"/>
  <c r="S197" i="124"/>
  <c r="Q197" i="124"/>
  <c r="P197" i="124"/>
  <c r="N197" i="124"/>
  <c r="L197" i="124"/>
  <c r="K197" i="124"/>
  <c r="S196" i="124"/>
  <c r="Q196" i="124"/>
  <c r="P196" i="124"/>
  <c r="N196" i="124"/>
  <c r="L196" i="124"/>
  <c r="K196" i="124"/>
  <c r="S195" i="124"/>
  <c r="Q195" i="124"/>
  <c r="P195" i="124"/>
  <c r="N195" i="124"/>
  <c r="L195" i="124"/>
  <c r="K195" i="124"/>
  <c r="S194" i="124"/>
  <c r="Q194" i="124"/>
  <c r="P194" i="124"/>
  <c r="N194" i="124"/>
  <c r="L194" i="124"/>
  <c r="K194" i="124"/>
  <c r="S193" i="124"/>
  <c r="Q193" i="124"/>
  <c r="P193" i="124"/>
  <c r="N193" i="124"/>
  <c r="L193" i="124"/>
  <c r="K193" i="124"/>
  <c r="S192" i="124"/>
  <c r="Q192" i="124"/>
  <c r="P192" i="124"/>
  <c r="N192" i="124"/>
  <c r="L192" i="124"/>
  <c r="K192" i="124"/>
  <c r="S191" i="124"/>
  <c r="Q191" i="124"/>
  <c r="P191" i="124"/>
  <c r="N191" i="124"/>
  <c r="L191" i="124"/>
  <c r="K191" i="124"/>
  <c r="S190" i="124"/>
  <c r="Q190" i="124"/>
  <c r="P190" i="124"/>
  <c r="N190" i="124"/>
  <c r="L190" i="124"/>
  <c r="K190" i="124"/>
  <c r="S189" i="124"/>
  <c r="Q189" i="124"/>
  <c r="P189" i="124"/>
  <c r="N189" i="124"/>
  <c r="L189" i="124"/>
  <c r="K189" i="124"/>
  <c r="S188" i="124"/>
  <c r="Q188" i="124"/>
  <c r="P188" i="124"/>
  <c r="N188" i="124"/>
  <c r="L188" i="124"/>
  <c r="K188" i="124"/>
  <c r="S187" i="124"/>
  <c r="Q187" i="124"/>
  <c r="P187" i="124"/>
  <c r="N187" i="124"/>
  <c r="L187" i="124"/>
  <c r="K187" i="124"/>
  <c r="S186" i="124"/>
  <c r="Q186" i="124"/>
  <c r="P186" i="124"/>
  <c r="N186" i="124"/>
  <c r="L186" i="124"/>
  <c r="K186" i="124"/>
  <c r="S185" i="124"/>
  <c r="Q185" i="124"/>
  <c r="P185" i="124"/>
  <c r="N185" i="124"/>
  <c r="L185" i="124"/>
  <c r="K185" i="124"/>
  <c r="S184" i="124"/>
  <c r="Q184" i="124"/>
  <c r="P184" i="124"/>
  <c r="N184" i="124"/>
  <c r="L184" i="124"/>
  <c r="K184" i="124"/>
  <c r="S183" i="124"/>
  <c r="Q183" i="124"/>
  <c r="P183" i="124"/>
  <c r="N183" i="124"/>
  <c r="L183" i="124"/>
  <c r="K183" i="124"/>
  <c r="S182" i="124"/>
  <c r="Q182" i="124"/>
  <c r="P182" i="124"/>
  <c r="N182" i="124"/>
  <c r="L182" i="124"/>
  <c r="K182" i="124"/>
  <c r="S181" i="124"/>
  <c r="Q181" i="124"/>
  <c r="P181" i="124"/>
  <c r="N181" i="124"/>
  <c r="L181" i="124"/>
  <c r="K181" i="124"/>
  <c r="S180" i="124"/>
  <c r="Q180" i="124"/>
  <c r="P180" i="124"/>
  <c r="N180" i="124"/>
  <c r="L180" i="124"/>
  <c r="K180" i="124"/>
  <c r="S179" i="124"/>
  <c r="Q179" i="124"/>
  <c r="P179" i="124"/>
  <c r="N179" i="124"/>
  <c r="L179" i="124"/>
  <c r="K179" i="124"/>
  <c r="S178" i="124"/>
  <c r="Q178" i="124"/>
  <c r="P178" i="124"/>
  <c r="N178" i="124"/>
  <c r="L178" i="124"/>
  <c r="K178" i="124"/>
  <c r="S177" i="124"/>
  <c r="Q177" i="124"/>
  <c r="P177" i="124"/>
  <c r="N177" i="124"/>
  <c r="L177" i="124"/>
  <c r="K177" i="124"/>
  <c r="S176" i="124"/>
  <c r="Q176" i="124"/>
  <c r="P176" i="124"/>
  <c r="N176" i="124"/>
  <c r="L176" i="124"/>
  <c r="K176" i="124"/>
  <c r="S175" i="124"/>
  <c r="Q175" i="124"/>
  <c r="P175" i="124"/>
  <c r="N175" i="124"/>
  <c r="L175" i="124"/>
  <c r="K175" i="124"/>
  <c r="S174" i="124"/>
  <c r="Q174" i="124"/>
  <c r="P174" i="124"/>
  <c r="N174" i="124"/>
  <c r="L174" i="124"/>
  <c r="K174" i="124"/>
  <c r="S173" i="124"/>
  <c r="Q173" i="124"/>
  <c r="P173" i="124"/>
  <c r="N173" i="124"/>
  <c r="L173" i="124"/>
  <c r="K173" i="124"/>
  <c r="S172" i="124"/>
  <c r="Q172" i="124"/>
  <c r="P172" i="124"/>
  <c r="N172" i="124"/>
  <c r="L172" i="124"/>
  <c r="K172" i="124"/>
  <c r="S171" i="124"/>
  <c r="Q171" i="124"/>
  <c r="P171" i="124"/>
  <c r="N171" i="124"/>
  <c r="L171" i="124"/>
  <c r="K171" i="124"/>
  <c r="S170" i="124"/>
  <c r="Q170" i="124"/>
  <c r="P170" i="124"/>
  <c r="N170" i="124"/>
  <c r="L170" i="124"/>
  <c r="K170" i="124"/>
  <c r="S169" i="124"/>
  <c r="Q169" i="124"/>
  <c r="P169" i="124"/>
  <c r="N169" i="124"/>
  <c r="L169" i="124"/>
  <c r="K169" i="124"/>
  <c r="S168" i="124"/>
  <c r="Q168" i="124"/>
  <c r="P168" i="124"/>
  <c r="N168" i="124"/>
  <c r="L168" i="124"/>
  <c r="K168" i="124"/>
  <c r="S167" i="124"/>
  <c r="Q167" i="124"/>
  <c r="P167" i="124"/>
  <c r="N167" i="124"/>
  <c r="L167" i="124"/>
  <c r="K167" i="124"/>
  <c r="S166" i="124"/>
  <c r="Q166" i="124"/>
  <c r="P166" i="124"/>
  <c r="N166" i="124"/>
  <c r="L166" i="124"/>
  <c r="K166" i="124"/>
  <c r="S165" i="124"/>
  <c r="Q165" i="124"/>
  <c r="P165" i="124"/>
  <c r="N165" i="124"/>
  <c r="L165" i="124"/>
  <c r="K165" i="124"/>
  <c r="S164" i="124"/>
  <c r="Q164" i="124"/>
  <c r="P164" i="124"/>
  <c r="N164" i="124"/>
  <c r="L164" i="124"/>
  <c r="K164" i="124"/>
  <c r="S163" i="124"/>
  <c r="Q163" i="124"/>
  <c r="P163" i="124"/>
  <c r="N163" i="124"/>
  <c r="L163" i="124"/>
  <c r="K163" i="124"/>
  <c r="S162" i="124"/>
  <c r="Q162" i="124"/>
  <c r="P162" i="124"/>
  <c r="N162" i="124"/>
  <c r="L162" i="124"/>
  <c r="K162" i="124"/>
  <c r="S161" i="124"/>
  <c r="Q161" i="124"/>
  <c r="P161" i="124"/>
  <c r="N161" i="124"/>
  <c r="L161" i="124"/>
  <c r="K161" i="124"/>
  <c r="S160" i="124"/>
  <c r="Q160" i="124"/>
  <c r="P160" i="124"/>
  <c r="N160" i="124"/>
  <c r="L160" i="124"/>
  <c r="K160" i="124"/>
  <c r="S159" i="124"/>
  <c r="Q159" i="124"/>
  <c r="P159" i="124"/>
  <c r="N159" i="124"/>
  <c r="L159" i="124"/>
  <c r="K159" i="124"/>
  <c r="S158" i="124"/>
  <c r="Q158" i="124"/>
  <c r="P158" i="124"/>
  <c r="N158" i="124"/>
  <c r="L158" i="124"/>
  <c r="K158" i="124"/>
  <c r="S157" i="124"/>
  <c r="Q157" i="124"/>
  <c r="P157" i="124"/>
  <c r="N157" i="124"/>
  <c r="L157" i="124"/>
  <c r="K157" i="124"/>
  <c r="S156" i="124"/>
  <c r="Q156" i="124"/>
  <c r="P156" i="124"/>
  <c r="N156" i="124"/>
  <c r="L156" i="124"/>
  <c r="K156" i="124"/>
  <c r="S155" i="124"/>
  <c r="Q155" i="124"/>
  <c r="P155" i="124"/>
  <c r="N155" i="124"/>
  <c r="L155" i="124"/>
  <c r="K155" i="124"/>
  <c r="S154" i="124"/>
  <c r="Q154" i="124"/>
  <c r="P154" i="124"/>
  <c r="N154" i="124"/>
  <c r="L154" i="124"/>
  <c r="K154" i="124"/>
  <c r="S153" i="124"/>
  <c r="Q153" i="124"/>
  <c r="P153" i="124"/>
  <c r="N153" i="124"/>
  <c r="L153" i="124"/>
  <c r="K153" i="124"/>
  <c r="S152" i="124"/>
  <c r="Q152" i="124"/>
  <c r="P152" i="124"/>
  <c r="N152" i="124"/>
  <c r="L152" i="124"/>
  <c r="K152" i="124"/>
  <c r="S151" i="124"/>
  <c r="Q151" i="124"/>
  <c r="P151" i="124"/>
  <c r="N151" i="124"/>
  <c r="L151" i="124"/>
  <c r="K151" i="124"/>
  <c r="S150" i="124"/>
  <c r="Q150" i="124"/>
  <c r="P150" i="124"/>
  <c r="N150" i="124"/>
  <c r="L150" i="124"/>
  <c r="K150" i="124"/>
  <c r="S149" i="124"/>
  <c r="Q149" i="124"/>
  <c r="P149" i="124"/>
  <c r="N149" i="124"/>
  <c r="L149" i="124"/>
  <c r="K149" i="124"/>
  <c r="S148" i="124"/>
  <c r="Q148" i="124"/>
  <c r="P148" i="124"/>
  <c r="N148" i="124"/>
  <c r="L148" i="124"/>
  <c r="K148" i="124"/>
  <c r="S147" i="124"/>
  <c r="Q147" i="124"/>
  <c r="P147" i="124"/>
  <c r="N147" i="124"/>
  <c r="L147" i="124"/>
  <c r="K147" i="124"/>
  <c r="S146" i="124"/>
  <c r="Q146" i="124"/>
  <c r="P146" i="124"/>
  <c r="N146" i="124"/>
  <c r="L146" i="124"/>
  <c r="K146" i="124"/>
  <c r="S145" i="124"/>
  <c r="Q145" i="124"/>
  <c r="P145" i="124"/>
  <c r="N145" i="124"/>
  <c r="L145" i="124"/>
  <c r="K145" i="124"/>
  <c r="S144" i="124"/>
  <c r="Q144" i="124"/>
  <c r="P144" i="124"/>
  <c r="N144" i="124"/>
  <c r="L144" i="124"/>
  <c r="K144" i="124"/>
  <c r="S143" i="124"/>
  <c r="Q143" i="124"/>
  <c r="P143" i="124"/>
  <c r="N143" i="124"/>
  <c r="L143" i="124"/>
  <c r="K143" i="124"/>
  <c r="S142" i="124"/>
  <c r="Q142" i="124"/>
  <c r="P142" i="124"/>
  <c r="N142" i="124"/>
  <c r="L142" i="124"/>
  <c r="K142" i="124"/>
  <c r="S141" i="124"/>
  <c r="Q141" i="124"/>
  <c r="P141" i="124"/>
  <c r="N141" i="124"/>
  <c r="L141" i="124"/>
  <c r="K141" i="124"/>
  <c r="S140" i="124"/>
  <c r="Q140" i="124"/>
  <c r="P140" i="124"/>
  <c r="N140" i="124"/>
  <c r="L140" i="124"/>
  <c r="K140" i="124"/>
  <c r="S139" i="124"/>
  <c r="Q139" i="124"/>
  <c r="P139" i="124"/>
  <c r="N139" i="124"/>
  <c r="L139" i="124"/>
  <c r="K139" i="124"/>
  <c r="S138" i="124"/>
  <c r="Q138" i="124"/>
  <c r="P138" i="124"/>
  <c r="N138" i="124"/>
  <c r="L138" i="124"/>
  <c r="K138" i="124"/>
  <c r="S137" i="124"/>
  <c r="Q137" i="124"/>
  <c r="P137" i="124"/>
  <c r="N137" i="124"/>
  <c r="L137" i="124"/>
  <c r="K137" i="124"/>
  <c r="S136" i="124"/>
  <c r="Q136" i="124"/>
  <c r="P136" i="124"/>
  <c r="N136" i="124"/>
  <c r="L136" i="124"/>
  <c r="K136" i="124"/>
  <c r="S135" i="124"/>
  <c r="Q135" i="124"/>
  <c r="P135" i="124"/>
  <c r="N135" i="124"/>
  <c r="L135" i="124"/>
  <c r="K135" i="124"/>
  <c r="S134" i="124"/>
  <c r="Q134" i="124"/>
  <c r="P134" i="124"/>
  <c r="N134" i="124"/>
  <c r="L134" i="124"/>
  <c r="K134" i="124"/>
  <c r="S133" i="124"/>
  <c r="Q133" i="124"/>
  <c r="P133" i="124"/>
  <c r="N133" i="124"/>
  <c r="L133" i="124"/>
  <c r="K133" i="124"/>
  <c r="S132" i="124"/>
  <c r="Q132" i="124"/>
  <c r="P132" i="124"/>
  <c r="N132" i="124"/>
  <c r="L132" i="124"/>
  <c r="K132" i="124"/>
  <c r="S131" i="124"/>
  <c r="Q131" i="124"/>
  <c r="P131" i="124"/>
  <c r="N131" i="124"/>
  <c r="L131" i="124"/>
  <c r="K131" i="124"/>
  <c r="S130" i="124"/>
  <c r="Q130" i="124"/>
  <c r="P130" i="124"/>
  <c r="N130" i="124"/>
  <c r="L130" i="124"/>
  <c r="K130" i="124"/>
  <c r="S129" i="124"/>
  <c r="Q129" i="124"/>
  <c r="P129" i="124"/>
  <c r="N129" i="124"/>
  <c r="L129" i="124"/>
  <c r="K129" i="124"/>
  <c r="S128" i="124"/>
  <c r="Q128" i="124"/>
  <c r="P128" i="124"/>
  <c r="N128" i="124"/>
  <c r="L128" i="124"/>
  <c r="K128" i="124"/>
  <c r="S127" i="124"/>
  <c r="Q127" i="124"/>
  <c r="P127" i="124"/>
  <c r="N127" i="124"/>
  <c r="L127" i="124"/>
  <c r="K127" i="124"/>
  <c r="S126" i="124"/>
  <c r="Q126" i="124"/>
  <c r="P126" i="124"/>
  <c r="N126" i="124"/>
  <c r="L126" i="124"/>
  <c r="K126" i="124"/>
  <c r="S125" i="124"/>
  <c r="Q125" i="124"/>
  <c r="P125" i="124"/>
  <c r="N125" i="124"/>
  <c r="L125" i="124"/>
  <c r="K125" i="124"/>
  <c r="S124" i="124"/>
  <c r="Q124" i="124"/>
  <c r="P124" i="124"/>
  <c r="N124" i="124"/>
  <c r="L124" i="124"/>
  <c r="K124" i="124"/>
  <c r="S123" i="124"/>
  <c r="Q123" i="124"/>
  <c r="P123" i="124"/>
  <c r="N123" i="124"/>
  <c r="L123" i="124"/>
  <c r="K123" i="124"/>
  <c r="S122" i="124"/>
  <c r="Q122" i="124"/>
  <c r="P122" i="124"/>
  <c r="N122" i="124"/>
  <c r="L122" i="124"/>
  <c r="K122" i="124"/>
  <c r="S121" i="124"/>
  <c r="Q121" i="124"/>
  <c r="P121" i="124"/>
  <c r="N121" i="124"/>
  <c r="L121" i="124"/>
  <c r="K121" i="124"/>
  <c r="S120" i="124"/>
  <c r="Q120" i="124"/>
  <c r="P120" i="124"/>
  <c r="N120" i="124"/>
  <c r="L120" i="124"/>
  <c r="K120" i="124"/>
  <c r="S119" i="124"/>
  <c r="Q119" i="124"/>
  <c r="P119" i="124"/>
  <c r="N119" i="124"/>
  <c r="L119" i="124"/>
  <c r="K119" i="124"/>
  <c r="S118" i="124"/>
  <c r="Q118" i="124"/>
  <c r="P118" i="124"/>
  <c r="N118" i="124"/>
  <c r="L118" i="124"/>
  <c r="K118" i="124"/>
  <c r="S117" i="124"/>
  <c r="Q117" i="124"/>
  <c r="P117" i="124"/>
  <c r="N117" i="124"/>
  <c r="L117" i="124"/>
  <c r="K117" i="124"/>
  <c r="S116" i="124"/>
  <c r="Q116" i="124"/>
  <c r="P116" i="124"/>
  <c r="N116" i="124"/>
  <c r="L116" i="124"/>
  <c r="K116" i="124"/>
  <c r="S115" i="124"/>
  <c r="Q115" i="124"/>
  <c r="P115" i="124"/>
  <c r="N115" i="124"/>
  <c r="L115" i="124"/>
  <c r="K115" i="124"/>
  <c r="S114" i="124"/>
  <c r="Q114" i="124"/>
  <c r="P114" i="124"/>
  <c r="N114" i="124"/>
  <c r="L114" i="124"/>
  <c r="K114" i="124"/>
  <c r="S113" i="124"/>
  <c r="Q113" i="124"/>
  <c r="P113" i="124"/>
  <c r="N113" i="124"/>
  <c r="L113" i="124"/>
  <c r="K113" i="124"/>
  <c r="S112" i="124"/>
  <c r="Q112" i="124"/>
  <c r="P112" i="124"/>
  <c r="N112" i="124"/>
  <c r="L112" i="124"/>
  <c r="K112" i="124"/>
  <c r="S111" i="124"/>
  <c r="Q111" i="124"/>
  <c r="P111" i="124"/>
  <c r="N111" i="124"/>
  <c r="L111" i="124"/>
  <c r="K111" i="124"/>
  <c r="S110" i="124"/>
  <c r="Q110" i="124"/>
  <c r="P110" i="124"/>
  <c r="N110" i="124"/>
  <c r="L110" i="124"/>
  <c r="K110" i="124"/>
  <c r="S109" i="124"/>
  <c r="Q109" i="124"/>
  <c r="P109" i="124"/>
  <c r="N109" i="124"/>
  <c r="L109" i="124"/>
  <c r="K109" i="124"/>
  <c r="S108" i="124"/>
  <c r="Q108" i="124"/>
  <c r="P108" i="124"/>
  <c r="N108" i="124"/>
  <c r="L108" i="124"/>
  <c r="K108" i="124"/>
  <c r="S107" i="124"/>
  <c r="Q107" i="124"/>
  <c r="P107" i="124"/>
  <c r="N107" i="124"/>
  <c r="L107" i="124"/>
  <c r="K107" i="124"/>
  <c r="S106" i="124"/>
  <c r="Q106" i="124"/>
  <c r="P106" i="124"/>
  <c r="N106" i="124"/>
  <c r="L106" i="124"/>
  <c r="K106" i="124"/>
  <c r="S105" i="124"/>
  <c r="Q105" i="124"/>
  <c r="P105" i="124"/>
  <c r="N105" i="124"/>
  <c r="L105" i="124"/>
  <c r="K105" i="124"/>
  <c r="S104" i="124"/>
  <c r="Q104" i="124"/>
  <c r="P104" i="124"/>
  <c r="N104" i="124"/>
  <c r="L104" i="124"/>
  <c r="K104" i="124"/>
  <c r="S103" i="124"/>
  <c r="Q103" i="124"/>
  <c r="P103" i="124"/>
  <c r="N103" i="124"/>
  <c r="L103" i="124"/>
  <c r="K103" i="124"/>
  <c r="S102" i="124"/>
  <c r="Q102" i="124"/>
  <c r="P102" i="124"/>
  <c r="N102" i="124"/>
  <c r="L102" i="124"/>
  <c r="K102" i="124"/>
  <c r="S101" i="124"/>
  <c r="Q101" i="124"/>
  <c r="P101" i="124"/>
  <c r="N101" i="124"/>
  <c r="L101" i="124"/>
  <c r="K101" i="124"/>
  <c r="S100" i="124"/>
  <c r="Q100" i="124"/>
  <c r="P100" i="124"/>
  <c r="N100" i="124"/>
  <c r="L100" i="124"/>
  <c r="K100" i="124"/>
  <c r="S99" i="124"/>
  <c r="Q99" i="124"/>
  <c r="P99" i="124"/>
  <c r="N99" i="124"/>
  <c r="L99" i="124"/>
  <c r="K99" i="124"/>
  <c r="S98" i="124"/>
  <c r="Q98" i="124"/>
  <c r="P98" i="124"/>
  <c r="N98" i="124"/>
  <c r="L98" i="124"/>
  <c r="K98" i="124"/>
  <c r="S97" i="124"/>
  <c r="Q97" i="124"/>
  <c r="P97" i="124"/>
  <c r="N97" i="124"/>
  <c r="L97" i="124"/>
  <c r="K97" i="124"/>
  <c r="S96" i="124"/>
  <c r="Q96" i="124"/>
  <c r="P96" i="124"/>
  <c r="N96" i="124"/>
  <c r="L96" i="124"/>
  <c r="K96" i="124"/>
  <c r="S95" i="124"/>
  <c r="Q95" i="124"/>
  <c r="P95" i="124"/>
  <c r="N95" i="124"/>
  <c r="L95" i="124"/>
  <c r="K95" i="124"/>
  <c r="S94" i="124"/>
  <c r="Q94" i="124"/>
  <c r="P94" i="124"/>
  <c r="N94" i="124"/>
  <c r="L94" i="124"/>
  <c r="K94" i="124"/>
  <c r="S93" i="124"/>
  <c r="Q93" i="124"/>
  <c r="P93" i="124"/>
  <c r="N93" i="124"/>
  <c r="L93" i="124"/>
  <c r="K93" i="124"/>
  <c r="S92" i="124"/>
  <c r="Q92" i="124"/>
  <c r="P92" i="124"/>
  <c r="N92" i="124"/>
  <c r="L92" i="124"/>
  <c r="K92" i="124"/>
  <c r="S91" i="124"/>
  <c r="Q91" i="124"/>
  <c r="P91" i="124"/>
  <c r="N91" i="124"/>
  <c r="L91" i="124"/>
  <c r="K91" i="124"/>
  <c r="S90" i="124"/>
  <c r="Q90" i="124"/>
  <c r="P90" i="124"/>
  <c r="N90" i="124"/>
  <c r="L90" i="124"/>
  <c r="K90" i="124"/>
  <c r="S89" i="124"/>
  <c r="Q89" i="124"/>
  <c r="P89" i="124"/>
  <c r="N89" i="124"/>
  <c r="L89" i="124"/>
  <c r="K89" i="124"/>
  <c r="S88" i="124"/>
  <c r="Q88" i="124"/>
  <c r="P88" i="124"/>
  <c r="N88" i="124"/>
  <c r="L88" i="124"/>
  <c r="K88" i="124"/>
  <c r="S87" i="124"/>
  <c r="Q87" i="124"/>
  <c r="P87" i="124"/>
  <c r="N87" i="124"/>
  <c r="L87" i="124"/>
  <c r="K87" i="124"/>
  <c r="S86" i="124"/>
  <c r="Q86" i="124"/>
  <c r="P86" i="124"/>
  <c r="N86" i="124"/>
  <c r="L86" i="124"/>
  <c r="K86" i="124"/>
  <c r="S85" i="124"/>
  <c r="Q85" i="124"/>
  <c r="P85" i="124"/>
  <c r="N85" i="124"/>
  <c r="L85" i="124"/>
  <c r="K85" i="124"/>
  <c r="S84" i="124"/>
  <c r="Q84" i="124"/>
  <c r="P84" i="124"/>
  <c r="N84" i="124"/>
  <c r="L84" i="124"/>
  <c r="K84" i="124"/>
  <c r="S83" i="124"/>
  <c r="Q83" i="124"/>
  <c r="P83" i="124"/>
  <c r="N83" i="124"/>
  <c r="L83" i="124"/>
  <c r="K83" i="124"/>
  <c r="S82" i="124"/>
  <c r="Q82" i="124"/>
  <c r="P82" i="124"/>
  <c r="N82" i="124"/>
  <c r="L82" i="124"/>
  <c r="K82" i="124"/>
  <c r="S81" i="124"/>
  <c r="Q81" i="124"/>
  <c r="P81" i="124"/>
  <c r="N81" i="124"/>
  <c r="L81" i="124"/>
  <c r="K81" i="124"/>
  <c r="S80" i="124"/>
  <c r="Q80" i="124"/>
  <c r="P80" i="124"/>
  <c r="N80" i="124"/>
  <c r="L80" i="124"/>
  <c r="K80" i="124"/>
  <c r="S79" i="124"/>
  <c r="Q79" i="124"/>
  <c r="P79" i="124"/>
  <c r="N79" i="124"/>
  <c r="L79" i="124"/>
  <c r="K79" i="124"/>
  <c r="S78" i="124"/>
  <c r="Q78" i="124"/>
  <c r="P78" i="124"/>
  <c r="N78" i="124"/>
  <c r="L78" i="124"/>
  <c r="K78" i="124"/>
  <c r="S77" i="124"/>
  <c r="Q77" i="124"/>
  <c r="P77" i="124"/>
  <c r="N77" i="124"/>
  <c r="L77" i="124"/>
  <c r="K77" i="124"/>
  <c r="S76" i="124"/>
  <c r="Q76" i="124"/>
  <c r="P76" i="124"/>
  <c r="N76" i="124"/>
  <c r="L76" i="124"/>
  <c r="K76" i="124"/>
  <c r="S75" i="124"/>
  <c r="Q75" i="124"/>
  <c r="P75" i="124"/>
  <c r="N75" i="124"/>
  <c r="L75" i="124"/>
  <c r="K75" i="124"/>
  <c r="S74" i="124"/>
  <c r="Q74" i="124"/>
  <c r="P74" i="124"/>
  <c r="N74" i="124"/>
  <c r="L74" i="124"/>
  <c r="K74" i="124"/>
  <c r="S73" i="124"/>
  <c r="Q73" i="124"/>
  <c r="P73" i="124"/>
  <c r="N73" i="124"/>
  <c r="L73" i="124"/>
  <c r="K73" i="124"/>
  <c r="S72" i="124"/>
  <c r="Q72" i="124"/>
  <c r="P72" i="124"/>
  <c r="N72" i="124"/>
  <c r="L72" i="124"/>
  <c r="K72" i="124"/>
  <c r="S71" i="124"/>
  <c r="Q71" i="124"/>
  <c r="P71" i="124"/>
  <c r="N71" i="124"/>
  <c r="L71" i="124"/>
  <c r="K71" i="124"/>
  <c r="S70" i="124"/>
  <c r="Q70" i="124"/>
  <c r="P70" i="124"/>
  <c r="N70" i="124"/>
  <c r="L70" i="124"/>
  <c r="K70" i="124"/>
  <c r="S69" i="124"/>
  <c r="Q69" i="124"/>
  <c r="P69" i="124"/>
  <c r="N69" i="124"/>
  <c r="L69" i="124"/>
  <c r="K69" i="124"/>
  <c r="S68" i="124"/>
  <c r="Q68" i="124"/>
  <c r="P68" i="124"/>
  <c r="N68" i="124"/>
  <c r="L68" i="124"/>
  <c r="K68" i="124"/>
  <c r="S67" i="124"/>
  <c r="Q67" i="124"/>
  <c r="P67" i="124"/>
  <c r="N67" i="124"/>
  <c r="L67" i="124"/>
  <c r="K67" i="124"/>
  <c r="S66" i="124"/>
  <c r="Q66" i="124"/>
  <c r="P66" i="124"/>
  <c r="N66" i="124"/>
  <c r="L66" i="124"/>
  <c r="K66" i="124"/>
  <c r="S65" i="124"/>
  <c r="Q65" i="124"/>
  <c r="P65" i="124"/>
  <c r="N65" i="124"/>
  <c r="L65" i="124"/>
  <c r="K65" i="124"/>
  <c r="S64" i="124"/>
  <c r="Q64" i="124"/>
  <c r="P64" i="124"/>
  <c r="N64" i="124"/>
  <c r="L64" i="124"/>
  <c r="K64" i="124"/>
  <c r="S63" i="124"/>
  <c r="Q63" i="124"/>
  <c r="P63" i="124"/>
  <c r="N63" i="124"/>
  <c r="L63" i="124"/>
  <c r="K63" i="124"/>
  <c r="S62" i="124"/>
  <c r="Q62" i="124"/>
  <c r="P62" i="124"/>
  <c r="N62" i="124"/>
  <c r="L62" i="124"/>
  <c r="K62" i="124"/>
  <c r="S61" i="124"/>
  <c r="Q61" i="124"/>
  <c r="P61" i="124"/>
  <c r="N61" i="124"/>
  <c r="L61" i="124"/>
  <c r="K61" i="124"/>
  <c r="S60" i="124"/>
  <c r="Q60" i="124"/>
  <c r="P60" i="124"/>
  <c r="N60" i="124"/>
  <c r="L60" i="124"/>
  <c r="K60" i="124"/>
  <c r="S59" i="124"/>
  <c r="Q59" i="124"/>
  <c r="P59" i="124"/>
  <c r="N59" i="124"/>
  <c r="L59" i="124"/>
  <c r="K59" i="124"/>
  <c r="S58" i="124"/>
  <c r="Q58" i="124"/>
  <c r="P58" i="124"/>
  <c r="N58" i="124"/>
  <c r="L58" i="124"/>
  <c r="K58" i="124"/>
  <c r="S57" i="124"/>
  <c r="Q57" i="124"/>
  <c r="P57" i="124"/>
  <c r="N57" i="124"/>
  <c r="L57" i="124"/>
  <c r="K57" i="124"/>
  <c r="S56" i="124"/>
  <c r="Q56" i="124"/>
  <c r="P56" i="124"/>
  <c r="N56" i="124"/>
  <c r="L56" i="124"/>
  <c r="K56" i="124"/>
  <c r="S55" i="124"/>
  <c r="Q55" i="124"/>
  <c r="P55" i="124"/>
  <c r="N55" i="124"/>
  <c r="L55" i="124"/>
  <c r="K55" i="124"/>
  <c r="S54" i="124"/>
  <c r="Q54" i="124"/>
  <c r="P54" i="124"/>
  <c r="N54" i="124"/>
  <c r="L54" i="124"/>
  <c r="K54" i="124"/>
  <c r="S53" i="124"/>
  <c r="Q53" i="124"/>
  <c r="P53" i="124"/>
  <c r="N53" i="124"/>
  <c r="L53" i="124"/>
  <c r="K53" i="124"/>
  <c r="S52" i="124"/>
  <c r="Q52" i="124"/>
  <c r="P52" i="124"/>
  <c r="N52" i="124"/>
  <c r="L52" i="124"/>
  <c r="K52" i="124"/>
  <c r="S51" i="124"/>
  <c r="Q51" i="124"/>
  <c r="P51" i="124"/>
  <c r="N51" i="124"/>
  <c r="L51" i="124"/>
  <c r="K51" i="124"/>
  <c r="S50" i="124"/>
  <c r="Q50" i="124"/>
  <c r="P50" i="124"/>
  <c r="N50" i="124"/>
  <c r="L50" i="124"/>
  <c r="K50" i="124"/>
  <c r="S49" i="124"/>
  <c r="Q49" i="124"/>
  <c r="P49" i="124"/>
  <c r="N49" i="124"/>
  <c r="L49" i="124"/>
  <c r="K49" i="124"/>
  <c r="S48" i="124"/>
  <c r="Q48" i="124"/>
  <c r="P48" i="124"/>
  <c r="N48" i="124"/>
  <c r="L48" i="124"/>
  <c r="K48" i="124"/>
  <c r="S47" i="124"/>
  <c r="Q47" i="124"/>
  <c r="P47" i="124"/>
  <c r="N47" i="124"/>
  <c r="L47" i="124"/>
  <c r="K47" i="124"/>
  <c r="S46" i="124"/>
  <c r="Q46" i="124"/>
  <c r="P46" i="124"/>
  <c r="N46" i="124"/>
  <c r="L46" i="124"/>
  <c r="K46" i="124"/>
  <c r="S45" i="124"/>
  <c r="Q45" i="124"/>
  <c r="P45" i="124"/>
  <c r="N45" i="124"/>
  <c r="L45" i="124"/>
  <c r="K45" i="124"/>
  <c r="S44" i="124"/>
  <c r="Q44" i="124"/>
  <c r="P44" i="124"/>
  <c r="N44" i="124"/>
  <c r="L44" i="124"/>
  <c r="K44" i="124"/>
  <c r="S43" i="124"/>
  <c r="Q43" i="124"/>
  <c r="P43" i="124"/>
  <c r="N43" i="124"/>
  <c r="L43" i="124"/>
  <c r="K43" i="124"/>
  <c r="S42" i="124"/>
  <c r="Q42" i="124"/>
  <c r="P42" i="124"/>
  <c r="N42" i="124"/>
  <c r="L42" i="124"/>
  <c r="K42" i="124"/>
  <c r="S41" i="124"/>
  <c r="Q41" i="124"/>
  <c r="P41" i="124"/>
  <c r="N41" i="124"/>
  <c r="L41" i="124"/>
  <c r="K41" i="124"/>
  <c r="S40" i="124"/>
  <c r="Q40" i="124"/>
  <c r="P40" i="124"/>
  <c r="N40" i="124"/>
  <c r="L40" i="124"/>
  <c r="K40" i="124"/>
  <c r="S39" i="124"/>
  <c r="Q39" i="124"/>
  <c r="P39" i="124"/>
  <c r="N39" i="124"/>
  <c r="L39" i="124"/>
  <c r="K39" i="124"/>
  <c r="S38" i="124"/>
  <c r="Q38" i="124"/>
  <c r="P38" i="124"/>
  <c r="N38" i="124"/>
  <c r="L38" i="124"/>
  <c r="K38" i="124"/>
  <c r="S37" i="124"/>
  <c r="Q37" i="124"/>
  <c r="P37" i="124"/>
  <c r="N37" i="124"/>
  <c r="L37" i="124"/>
  <c r="K37" i="124"/>
  <c r="S36" i="124"/>
  <c r="Q36" i="124"/>
  <c r="P36" i="124"/>
  <c r="N36" i="124"/>
  <c r="L36" i="124"/>
  <c r="K36" i="124"/>
  <c r="S35" i="124"/>
  <c r="Q35" i="124"/>
  <c r="P35" i="124"/>
  <c r="N35" i="124"/>
  <c r="L35" i="124"/>
  <c r="K35" i="124"/>
  <c r="S34" i="124"/>
  <c r="Q34" i="124"/>
  <c r="P34" i="124"/>
  <c r="N34" i="124"/>
  <c r="L34" i="124"/>
  <c r="K34" i="124"/>
  <c r="S33" i="124"/>
  <c r="Q33" i="124"/>
  <c r="P33" i="124"/>
  <c r="N33" i="124"/>
  <c r="L33" i="124"/>
  <c r="K33" i="124"/>
  <c r="S32" i="124"/>
  <c r="Q32" i="124"/>
  <c r="P32" i="124"/>
  <c r="N32" i="124"/>
  <c r="L32" i="124"/>
  <c r="K32" i="124"/>
  <c r="S31" i="124"/>
  <c r="Q31" i="124"/>
  <c r="P31" i="124"/>
  <c r="N31" i="124"/>
  <c r="L31" i="124"/>
  <c r="K31" i="124"/>
  <c r="S30" i="124"/>
  <c r="Q30" i="124"/>
  <c r="P30" i="124"/>
  <c r="N30" i="124"/>
  <c r="L30" i="124"/>
  <c r="K30" i="124"/>
  <c r="S29" i="124"/>
  <c r="Q29" i="124"/>
  <c r="P29" i="124"/>
  <c r="N29" i="124"/>
  <c r="L29" i="124"/>
  <c r="K29" i="124"/>
  <c r="S28" i="124"/>
  <c r="Q28" i="124"/>
  <c r="P28" i="124"/>
  <c r="N28" i="124"/>
  <c r="L28" i="124"/>
  <c r="K28" i="124"/>
  <c r="S27" i="124"/>
  <c r="Q27" i="124"/>
  <c r="P27" i="124"/>
  <c r="N27" i="124"/>
  <c r="L27" i="124"/>
  <c r="K27" i="124"/>
  <c r="S26" i="124"/>
  <c r="Q26" i="124"/>
  <c r="P26" i="124"/>
  <c r="N26" i="124"/>
  <c r="L26" i="124"/>
  <c r="K26" i="124"/>
  <c r="S25" i="124"/>
  <c r="Q25" i="124"/>
  <c r="P25" i="124"/>
  <c r="N25" i="124"/>
  <c r="L25" i="124"/>
  <c r="K25" i="124"/>
  <c r="S24" i="124"/>
  <c r="Q24" i="124"/>
  <c r="P24" i="124"/>
  <c r="N24" i="124"/>
  <c r="L24" i="124"/>
  <c r="K24" i="124"/>
  <c r="S23" i="124"/>
  <c r="Q23" i="124"/>
  <c r="P23" i="124"/>
  <c r="N23" i="124"/>
  <c r="L23" i="124"/>
  <c r="K23" i="124"/>
  <c r="S22" i="124"/>
  <c r="Q22" i="124"/>
  <c r="P22" i="124"/>
  <c r="N22" i="124"/>
  <c r="L22" i="124"/>
  <c r="K22" i="124"/>
  <c r="S21" i="124"/>
  <c r="Q21" i="124"/>
  <c r="P21" i="124"/>
  <c r="N21" i="124"/>
  <c r="L21" i="124"/>
  <c r="K21" i="124"/>
  <c r="S20" i="124"/>
  <c r="Q20" i="124"/>
  <c r="P20" i="124"/>
  <c r="N20" i="124"/>
  <c r="L20" i="124"/>
  <c r="K20" i="124"/>
  <c r="S19" i="124"/>
  <c r="Q19" i="124"/>
  <c r="P19" i="124"/>
  <c r="N19" i="124"/>
  <c r="L19" i="124"/>
  <c r="K19" i="124"/>
  <c r="S18" i="124"/>
  <c r="Q18" i="124"/>
  <c r="P18" i="124"/>
  <c r="N18" i="124"/>
  <c r="L18" i="124"/>
  <c r="K18" i="124"/>
  <c r="S17" i="124"/>
  <c r="Q17" i="124"/>
  <c r="P17" i="124"/>
  <c r="N17" i="124"/>
  <c r="L17" i="124"/>
  <c r="K17" i="124"/>
  <c r="S16" i="124"/>
  <c r="Q16" i="124"/>
  <c r="P16" i="124"/>
  <c r="N16" i="124"/>
  <c r="L16" i="124"/>
  <c r="K16" i="124"/>
  <c r="S3" i="124"/>
  <c r="Q3" i="124"/>
  <c r="P3" i="124"/>
  <c r="N3" i="124"/>
  <c r="L3" i="124"/>
  <c r="K3" i="124"/>
  <c r="L6" i="123"/>
  <c r="K6" i="123"/>
  <c r="L4" i="123"/>
  <c r="K4" i="123"/>
  <c r="S3" i="123"/>
  <c r="Q3" i="123"/>
  <c r="P3" i="123"/>
  <c r="L3" i="123"/>
  <c r="K3" i="123"/>
  <c r="S170" i="122"/>
  <c r="Q170" i="122"/>
  <c r="P170" i="122"/>
  <c r="N170" i="122"/>
  <c r="L170" i="122"/>
  <c r="K170" i="122"/>
  <c r="S169" i="122"/>
  <c r="Q169" i="122"/>
  <c r="P169" i="122"/>
  <c r="N169" i="122"/>
  <c r="L169" i="122"/>
  <c r="K169" i="122"/>
  <c r="S168" i="122"/>
  <c r="Q168" i="122"/>
  <c r="P168" i="122"/>
  <c r="N168" i="122"/>
  <c r="L168" i="122"/>
  <c r="K168" i="122"/>
  <c r="S167" i="122"/>
  <c r="Q167" i="122"/>
  <c r="P167" i="122"/>
  <c r="N167" i="122"/>
  <c r="L167" i="122"/>
  <c r="K167" i="122"/>
  <c r="S166" i="122"/>
  <c r="Q166" i="122"/>
  <c r="P166" i="122"/>
  <c r="N166" i="122"/>
  <c r="L166" i="122"/>
  <c r="K166" i="122"/>
  <c r="S165" i="122"/>
  <c r="Q165" i="122"/>
  <c r="P165" i="122"/>
  <c r="N165" i="122"/>
  <c r="L165" i="122"/>
  <c r="K165" i="122"/>
  <c r="S162" i="122"/>
  <c r="Q162" i="122"/>
  <c r="P162" i="122"/>
  <c r="N162" i="122"/>
  <c r="L162" i="122"/>
  <c r="K162" i="122"/>
  <c r="S157" i="122"/>
  <c r="Q157" i="122"/>
  <c r="P157" i="122"/>
  <c r="N157" i="122"/>
  <c r="L157" i="122"/>
  <c r="K157" i="122"/>
  <c r="S156" i="122"/>
  <c r="Q156" i="122"/>
  <c r="P156" i="122"/>
  <c r="N156" i="122"/>
  <c r="L156" i="122"/>
  <c r="K156" i="122"/>
  <c r="S155" i="122"/>
  <c r="Q155" i="122"/>
  <c r="P155" i="122"/>
  <c r="N155" i="122"/>
  <c r="L155" i="122"/>
  <c r="K155" i="122"/>
  <c r="S154" i="122"/>
  <c r="Q154" i="122"/>
  <c r="P154" i="122"/>
  <c r="N154" i="122"/>
  <c r="L154" i="122"/>
  <c r="K154" i="122"/>
  <c r="S153" i="122"/>
  <c r="Q153" i="122"/>
  <c r="P153" i="122"/>
  <c r="N153" i="122"/>
  <c r="L153" i="122"/>
  <c r="K153" i="122"/>
  <c r="S152" i="122"/>
  <c r="Q152" i="122"/>
  <c r="P152" i="122"/>
  <c r="N152" i="122"/>
  <c r="L152" i="122"/>
  <c r="K152" i="122"/>
  <c r="S151" i="122"/>
  <c r="Q151" i="122"/>
  <c r="P151" i="122"/>
  <c r="N151" i="122"/>
  <c r="L151" i="122"/>
  <c r="K151" i="122"/>
  <c r="S150" i="122"/>
  <c r="Q150" i="122"/>
  <c r="P150" i="122"/>
  <c r="N150" i="122"/>
  <c r="L150" i="122"/>
  <c r="K150" i="122"/>
  <c r="S149" i="122"/>
  <c r="Q149" i="122"/>
  <c r="P149" i="122"/>
  <c r="N149" i="122"/>
  <c r="L149" i="122"/>
  <c r="K149" i="122"/>
  <c r="S148" i="122"/>
  <c r="Q148" i="122"/>
  <c r="P148" i="122"/>
  <c r="N148" i="122"/>
  <c r="L148" i="122"/>
  <c r="K148" i="122"/>
  <c r="S147" i="122"/>
  <c r="Q147" i="122"/>
  <c r="P147" i="122"/>
  <c r="N147" i="122"/>
  <c r="L147" i="122"/>
  <c r="K147" i="122"/>
  <c r="S146" i="122"/>
  <c r="Q146" i="122"/>
  <c r="P146" i="122"/>
  <c r="N146" i="122"/>
  <c r="L146" i="122"/>
  <c r="K146" i="122"/>
  <c r="S145" i="122"/>
  <c r="Q145" i="122"/>
  <c r="P145" i="122"/>
  <c r="N145" i="122"/>
  <c r="L145" i="122"/>
  <c r="K145" i="122"/>
  <c r="S144" i="122"/>
  <c r="Q144" i="122"/>
  <c r="P144" i="122"/>
  <c r="N144" i="122"/>
  <c r="L144" i="122"/>
  <c r="K144" i="122"/>
  <c r="S143" i="122"/>
  <c r="Q143" i="122"/>
  <c r="P143" i="122"/>
  <c r="N143" i="122"/>
  <c r="L143" i="122"/>
  <c r="K143" i="122"/>
  <c r="S142" i="122"/>
  <c r="Q142" i="122"/>
  <c r="P142" i="122"/>
  <c r="N142" i="122"/>
  <c r="L142" i="122"/>
  <c r="K142" i="122"/>
  <c r="S141" i="122"/>
  <c r="Q141" i="122"/>
  <c r="P141" i="122"/>
  <c r="N141" i="122"/>
  <c r="L141" i="122"/>
  <c r="K141" i="122"/>
  <c r="S140" i="122"/>
  <c r="Q140" i="122"/>
  <c r="P140" i="122"/>
  <c r="N140" i="122"/>
  <c r="L140" i="122"/>
  <c r="K140" i="122"/>
  <c r="S139" i="122"/>
  <c r="Q139" i="122"/>
  <c r="P139" i="122"/>
  <c r="N139" i="122"/>
  <c r="L139" i="122"/>
  <c r="K139" i="122"/>
  <c r="S138" i="122"/>
  <c r="Q138" i="122"/>
  <c r="P138" i="122"/>
  <c r="N138" i="122"/>
  <c r="L138" i="122"/>
  <c r="K138" i="122"/>
  <c r="S137" i="122"/>
  <c r="Q137" i="122"/>
  <c r="P137" i="122"/>
  <c r="N137" i="122"/>
  <c r="L137" i="122"/>
  <c r="K137" i="122"/>
  <c r="S136" i="122"/>
  <c r="Q136" i="122"/>
  <c r="P136" i="122"/>
  <c r="N136" i="122"/>
  <c r="L136" i="122"/>
  <c r="K136" i="122"/>
  <c r="S135" i="122"/>
  <c r="Q135" i="122"/>
  <c r="P135" i="122"/>
  <c r="N135" i="122"/>
  <c r="L135" i="122"/>
  <c r="K135" i="122"/>
  <c r="S134" i="122"/>
  <c r="Q134" i="122"/>
  <c r="P134" i="122"/>
  <c r="N134" i="122"/>
  <c r="L134" i="122"/>
  <c r="K134" i="122"/>
  <c r="S133" i="122"/>
  <c r="Q133" i="122"/>
  <c r="P133" i="122"/>
  <c r="N133" i="122"/>
  <c r="L133" i="122"/>
  <c r="K133" i="122"/>
  <c r="S132" i="122"/>
  <c r="Q132" i="122"/>
  <c r="P132" i="122"/>
  <c r="N132" i="122"/>
  <c r="L132" i="122"/>
  <c r="K132" i="122"/>
  <c r="S131" i="122"/>
  <c r="Q131" i="122"/>
  <c r="P131" i="122"/>
  <c r="N131" i="122"/>
  <c r="L131" i="122"/>
  <c r="K131" i="122"/>
  <c r="S130" i="122"/>
  <c r="Q130" i="122"/>
  <c r="P130" i="122"/>
  <c r="N130" i="122"/>
  <c r="L130" i="122"/>
  <c r="K130" i="122"/>
  <c r="S129" i="122"/>
  <c r="Q129" i="122"/>
  <c r="P129" i="122"/>
  <c r="N129" i="122"/>
  <c r="L129" i="122"/>
  <c r="K129" i="122"/>
  <c r="S128" i="122"/>
  <c r="Q128" i="122"/>
  <c r="P128" i="122"/>
  <c r="N128" i="122"/>
  <c r="L128" i="122"/>
  <c r="K128" i="122"/>
  <c r="S127" i="122"/>
  <c r="Q127" i="122"/>
  <c r="P127" i="122"/>
  <c r="N127" i="122"/>
  <c r="L127" i="122"/>
  <c r="K127" i="122"/>
  <c r="S126" i="122"/>
  <c r="Q126" i="122"/>
  <c r="P126" i="122"/>
  <c r="N126" i="122"/>
  <c r="L126" i="122"/>
  <c r="K126" i="122"/>
  <c r="S125" i="122"/>
  <c r="Q125" i="122"/>
  <c r="P125" i="122"/>
  <c r="N125" i="122"/>
  <c r="L125" i="122"/>
  <c r="K125" i="122"/>
  <c r="S124" i="122"/>
  <c r="Q124" i="122"/>
  <c r="P124" i="122"/>
  <c r="N124" i="122"/>
  <c r="L124" i="122"/>
  <c r="K124" i="122"/>
  <c r="S123" i="122"/>
  <c r="Q123" i="122"/>
  <c r="P123" i="122"/>
  <c r="N123" i="122"/>
  <c r="L123" i="122"/>
  <c r="K123" i="122"/>
  <c r="S122" i="122"/>
  <c r="Q122" i="122"/>
  <c r="P122" i="122"/>
  <c r="N122" i="122"/>
  <c r="L122" i="122"/>
  <c r="K122" i="122"/>
  <c r="S121" i="122"/>
  <c r="Q121" i="122"/>
  <c r="P121" i="122"/>
  <c r="N121" i="122"/>
  <c r="L121" i="122"/>
  <c r="K121" i="122"/>
  <c r="S120" i="122"/>
  <c r="Q120" i="122"/>
  <c r="P120" i="122"/>
  <c r="N120" i="122"/>
  <c r="L120" i="122"/>
  <c r="K120" i="122"/>
  <c r="S119" i="122"/>
  <c r="Q119" i="122"/>
  <c r="P119" i="122"/>
  <c r="N119" i="122"/>
  <c r="L119" i="122"/>
  <c r="K119" i="122"/>
  <c r="S118" i="122"/>
  <c r="Q118" i="122"/>
  <c r="P118" i="122"/>
  <c r="N118" i="122"/>
  <c r="L118" i="122"/>
  <c r="K118" i="122"/>
  <c r="S117" i="122"/>
  <c r="Q117" i="122"/>
  <c r="P117" i="122"/>
  <c r="N117" i="122"/>
  <c r="L117" i="122"/>
  <c r="K117" i="122"/>
  <c r="S116" i="122"/>
  <c r="Q116" i="122"/>
  <c r="P116" i="122"/>
  <c r="N116" i="122"/>
  <c r="L116" i="122"/>
  <c r="K116" i="122"/>
  <c r="S115" i="122"/>
  <c r="Q115" i="122"/>
  <c r="P115" i="122"/>
  <c r="N115" i="122"/>
  <c r="L115" i="122"/>
  <c r="K115" i="122"/>
  <c r="S114" i="122"/>
  <c r="Q114" i="122"/>
  <c r="P114" i="122"/>
  <c r="N114" i="122"/>
  <c r="L114" i="122"/>
  <c r="K114" i="122"/>
  <c r="S113" i="122"/>
  <c r="Q113" i="122"/>
  <c r="P113" i="122"/>
  <c r="N113" i="122"/>
  <c r="L113" i="122"/>
  <c r="K113" i="122"/>
  <c r="S112" i="122"/>
  <c r="Q112" i="122"/>
  <c r="P112" i="122"/>
  <c r="N112" i="122"/>
  <c r="L112" i="122"/>
  <c r="K112" i="122"/>
  <c r="S111" i="122"/>
  <c r="Q111" i="122"/>
  <c r="P111" i="122"/>
  <c r="N111" i="122"/>
  <c r="L111" i="122"/>
  <c r="K111" i="122"/>
  <c r="S110" i="122"/>
  <c r="Q110" i="122"/>
  <c r="P110" i="122"/>
  <c r="N110" i="122"/>
  <c r="L110" i="122"/>
  <c r="K110" i="122"/>
  <c r="S109" i="122"/>
  <c r="Q109" i="122"/>
  <c r="P109" i="122"/>
  <c r="N109" i="122"/>
  <c r="L109" i="122"/>
  <c r="K109" i="122"/>
  <c r="S108" i="122"/>
  <c r="Q108" i="122"/>
  <c r="P108" i="122"/>
  <c r="N108" i="122"/>
  <c r="L108" i="122"/>
  <c r="K108" i="122"/>
  <c r="S107" i="122"/>
  <c r="Q107" i="122"/>
  <c r="P107" i="122"/>
  <c r="N107" i="122"/>
  <c r="L107" i="122"/>
  <c r="K107" i="122"/>
  <c r="S106" i="122"/>
  <c r="Q106" i="122"/>
  <c r="P106" i="122"/>
  <c r="N106" i="122"/>
  <c r="L106" i="122"/>
  <c r="K106" i="122"/>
  <c r="S105" i="122"/>
  <c r="Q105" i="122"/>
  <c r="P105" i="122"/>
  <c r="N105" i="122"/>
  <c r="L105" i="122"/>
  <c r="K105" i="122"/>
  <c r="S104" i="122"/>
  <c r="Q104" i="122"/>
  <c r="P104" i="122"/>
  <c r="N104" i="122"/>
  <c r="L104" i="122"/>
  <c r="K104" i="122"/>
  <c r="S103" i="122"/>
  <c r="Q103" i="122"/>
  <c r="P103" i="122"/>
  <c r="N103" i="122"/>
  <c r="L103" i="122"/>
  <c r="K103" i="122"/>
  <c r="S102" i="122"/>
  <c r="Q102" i="122"/>
  <c r="P102" i="122"/>
  <c r="N102" i="122"/>
  <c r="L102" i="122"/>
  <c r="K102" i="122"/>
  <c r="S101" i="122"/>
  <c r="Q101" i="122"/>
  <c r="P101" i="122"/>
  <c r="N101" i="122"/>
  <c r="L101" i="122"/>
  <c r="K101" i="122"/>
  <c r="S100" i="122"/>
  <c r="Q100" i="122"/>
  <c r="P100" i="122"/>
  <c r="N100" i="122"/>
  <c r="L100" i="122"/>
  <c r="K100" i="122"/>
  <c r="S99" i="122"/>
  <c r="Q99" i="122"/>
  <c r="P99" i="122"/>
  <c r="N99" i="122"/>
  <c r="L99" i="122"/>
  <c r="K99" i="122"/>
  <c r="S98" i="122"/>
  <c r="Q98" i="122"/>
  <c r="P98" i="122"/>
  <c r="N98" i="122"/>
  <c r="L98" i="122"/>
  <c r="K98" i="122"/>
  <c r="S97" i="122"/>
  <c r="Q97" i="122"/>
  <c r="P97" i="122"/>
  <c r="N97" i="122"/>
  <c r="L97" i="122"/>
  <c r="K97" i="122"/>
  <c r="S96" i="122"/>
  <c r="Q96" i="122"/>
  <c r="P96" i="122"/>
  <c r="N96" i="122"/>
  <c r="L96" i="122"/>
  <c r="K96" i="122"/>
  <c r="S95" i="122"/>
  <c r="Q95" i="122"/>
  <c r="P95" i="122"/>
  <c r="N95" i="122"/>
  <c r="L95" i="122"/>
  <c r="K95" i="122"/>
  <c r="S94" i="122"/>
  <c r="Q94" i="122"/>
  <c r="P94" i="122"/>
  <c r="N94" i="122"/>
  <c r="L94" i="122"/>
  <c r="K94" i="122"/>
  <c r="S93" i="122"/>
  <c r="Q93" i="122"/>
  <c r="P93" i="122"/>
  <c r="N93" i="122"/>
  <c r="L93" i="122"/>
  <c r="K93" i="122"/>
  <c r="S92" i="122"/>
  <c r="Q92" i="122"/>
  <c r="P92" i="122"/>
  <c r="N92" i="122"/>
  <c r="L92" i="122"/>
  <c r="K92" i="122"/>
  <c r="S91" i="122"/>
  <c r="Q91" i="122"/>
  <c r="P91" i="122"/>
  <c r="N91" i="122"/>
  <c r="L91" i="122"/>
  <c r="K91" i="122"/>
  <c r="S90" i="122"/>
  <c r="Q90" i="122"/>
  <c r="P90" i="122"/>
  <c r="N90" i="122"/>
  <c r="L90" i="122"/>
  <c r="K90" i="122"/>
  <c r="S89" i="122"/>
  <c r="Q89" i="122"/>
  <c r="P89" i="122"/>
  <c r="N89" i="122"/>
  <c r="L89" i="122"/>
  <c r="K89" i="122"/>
  <c r="S88" i="122"/>
  <c r="Q88" i="122"/>
  <c r="P88" i="122"/>
  <c r="N88" i="122"/>
  <c r="L88" i="122"/>
  <c r="K88" i="122"/>
  <c r="S87" i="122"/>
  <c r="Q87" i="122"/>
  <c r="P87" i="122"/>
  <c r="N87" i="122"/>
  <c r="L87" i="122"/>
  <c r="K87" i="122"/>
  <c r="S86" i="122"/>
  <c r="Q86" i="122"/>
  <c r="P86" i="122"/>
  <c r="N86" i="122"/>
  <c r="L86" i="122"/>
  <c r="K86" i="122"/>
  <c r="S85" i="122"/>
  <c r="Q85" i="122"/>
  <c r="P85" i="122"/>
  <c r="N85" i="122"/>
  <c r="L85" i="122"/>
  <c r="K85" i="122"/>
  <c r="S84" i="122"/>
  <c r="Q84" i="122"/>
  <c r="P84" i="122"/>
  <c r="N84" i="122"/>
  <c r="L84" i="122"/>
  <c r="K84" i="122"/>
  <c r="S83" i="122"/>
  <c r="Q83" i="122"/>
  <c r="P83" i="122"/>
  <c r="N83" i="122"/>
  <c r="L83" i="122"/>
  <c r="K83" i="122"/>
  <c r="S82" i="122"/>
  <c r="Q82" i="122"/>
  <c r="P82" i="122"/>
  <c r="N82" i="122"/>
  <c r="L82" i="122"/>
  <c r="K82" i="122"/>
  <c r="S81" i="122"/>
  <c r="Q81" i="122"/>
  <c r="P81" i="122"/>
  <c r="N81" i="122"/>
  <c r="L81" i="122"/>
  <c r="K81" i="122"/>
  <c r="S80" i="122"/>
  <c r="Q80" i="122"/>
  <c r="P80" i="122"/>
  <c r="N80" i="122"/>
  <c r="L80" i="122"/>
  <c r="K80" i="122"/>
  <c r="S79" i="122"/>
  <c r="Q79" i="122"/>
  <c r="P79" i="122"/>
  <c r="N79" i="122"/>
  <c r="L79" i="122"/>
  <c r="K79" i="122"/>
  <c r="S78" i="122"/>
  <c r="Q78" i="122"/>
  <c r="P78" i="122"/>
  <c r="N78" i="122"/>
  <c r="L78" i="122"/>
  <c r="K78" i="122"/>
  <c r="S77" i="122"/>
  <c r="Q77" i="122"/>
  <c r="P77" i="122"/>
  <c r="N77" i="122"/>
  <c r="L77" i="122"/>
  <c r="K77" i="122"/>
  <c r="S76" i="122"/>
  <c r="Q76" i="122"/>
  <c r="P76" i="122"/>
  <c r="N76" i="122"/>
  <c r="L76" i="122"/>
  <c r="K76" i="122"/>
  <c r="S75" i="122"/>
  <c r="Q75" i="122"/>
  <c r="P75" i="122"/>
  <c r="N75" i="122"/>
  <c r="L75" i="122"/>
  <c r="K75" i="122"/>
  <c r="S74" i="122"/>
  <c r="Q74" i="122"/>
  <c r="P74" i="122"/>
  <c r="N74" i="122"/>
  <c r="L74" i="122"/>
  <c r="K74" i="122"/>
  <c r="S73" i="122"/>
  <c r="Q73" i="122"/>
  <c r="P73" i="122"/>
  <c r="N73" i="122"/>
  <c r="L73" i="122"/>
  <c r="K73" i="122"/>
  <c r="S72" i="122"/>
  <c r="Q72" i="122"/>
  <c r="P72" i="122"/>
  <c r="N72" i="122"/>
  <c r="L72" i="122"/>
  <c r="K72" i="122"/>
  <c r="S71" i="122"/>
  <c r="Q71" i="122"/>
  <c r="P71" i="122"/>
  <c r="N71" i="122"/>
  <c r="L71" i="122"/>
  <c r="K71" i="122"/>
  <c r="S70" i="122"/>
  <c r="Q70" i="122"/>
  <c r="P70" i="122"/>
  <c r="N70" i="122"/>
  <c r="L70" i="122"/>
  <c r="K70" i="122"/>
  <c r="S69" i="122"/>
  <c r="Q69" i="122"/>
  <c r="P69" i="122"/>
  <c r="N69" i="122"/>
  <c r="L69" i="122"/>
  <c r="K69" i="122"/>
  <c r="S68" i="122"/>
  <c r="Q68" i="122"/>
  <c r="P68" i="122"/>
  <c r="N68" i="122"/>
  <c r="L68" i="122"/>
  <c r="K68" i="122"/>
  <c r="S67" i="122"/>
  <c r="Q67" i="122"/>
  <c r="P67" i="122"/>
  <c r="N67" i="122"/>
  <c r="L67" i="122"/>
  <c r="K67" i="122"/>
  <c r="S66" i="122"/>
  <c r="Q66" i="122"/>
  <c r="P66" i="122"/>
  <c r="N66" i="122"/>
  <c r="L66" i="122"/>
  <c r="K66" i="122"/>
  <c r="S65" i="122"/>
  <c r="Q65" i="122"/>
  <c r="P65" i="122"/>
  <c r="N65" i="122"/>
  <c r="L65" i="122"/>
  <c r="K65" i="122"/>
  <c r="S64" i="122"/>
  <c r="Q64" i="122"/>
  <c r="P64" i="122"/>
  <c r="N64" i="122"/>
  <c r="L64" i="122"/>
  <c r="K64" i="122"/>
  <c r="S63" i="122"/>
  <c r="Q63" i="122"/>
  <c r="P63" i="122"/>
  <c r="N63" i="122"/>
  <c r="L63" i="122"/>
  <c r="K63" i="122"/>
  <c r="S62" i="122"/>
  <c r="Q62" i="122"/>
  <c r="P62" i="122"/>
  <c r="N62" i="122"/>
  <c r="L62" i="122"/>
  <c r="K62" i="122"/>
  <c r="S61" i="122"/>
  <c r="Q61" i="122"/>
  <c r="P61" i="122"/>
  <c r="N61" i="122"/>
  <c r="L61" i="122"/>
  <c r="K61" i="122"/>
  <c r="S60" i="122"/>
  <c r="Q60" i="122"/>
  <c r="P60" i="122"/>
  <c r="N60" i="122"/>
  <c r="L60" i="122"/>
  <c r="K60" i="122"/>
  <c r="S59" i="122"/>
  <c r="Q59" i="122"/>
  <c r="P59" i="122"/>
  <c r="N59" i="122"/>
  <c r="L59" i="122"/>
  <c r="K59" i="122"/>
  <c r="S58" i="122"/>
  <c r="Q58" i="122"/>
  <c r="P58" i="122"/>
  <c r="N58" i="122"/>
  <c r="L58" i="122"/>
  <c r="K58" i="122"/>
  <c r="S57" i="122"/>
  <c r="Q57" i="122"/>
  <c r="P57" i="122"/>
  <c r="N57" i="122"/>
  <c r="L57" i="122"/>
  <c r="K57" i="122"/>
  <c r="S56" i="122"/>
  <c r="Q56" i="122"/>
  <c r="P56" i="122"/>
  <c r="N56" i="122"/>
  <c r="L56" i="122"/>
  <c r="K56" i="122"/>
  <c r="S55" i="122"/>
  <c r="Q55" i="122"/>
  <c r="P55" i="122"/>
  <c r="N55" i="122"/>
  <c r="L55" i="122"/>
  <c r="K55" i="122"/>
  <c r="S54" i="122"/>
  <c r="Q54" i="122"/>
  <c r="P54" i="122"/>
  <c r="N54" i="122"/>
  <c r="L54" i="122"/>
  <c r="K54" i="122"/>
  <c r="S53" i="122"/>
  <c r="Q53" i="122"/>
  <c r="P53" i="122"/>
  <c r="N53" i="122"/>
  <c r="L53" i="122"/>
  <c r="K53" i="122"/>
  <c r="S52" i="122"/>
  <c r="Q52" i="122"/>
  <c r="P52" i="122"/>
  <c r="N52" i="122"/>
  <c r="L52" i="122"/>
  <c r="K52" i="122"/>
  <c r="S51" i="122"/>
  <c r="Q51" i="122"/>
  <c r="P51" i="122"/>
  <c r="N51" i="122"/>
  <c r="L51" i="122"/>
  <c r="K51" i="122"/>
  <c r="S50" i="122"/>
  <c r="Q50" i="122"/>
  <c r="P50" i="122"/>
  <c r="N50" i="122"/>
  <c r="L50" i="122"/>
  <c r="K50" i="122"/>
  <c r="S49" i="122"/>
  <c r="Q49" i="122"/>
  <c r="P49" i="122"/>
  <c r="N49" i="122"/>
  <c r="L49" i="122"/>
  <c r="K49" i="122"/>
  <c r="S48" i="122"/>
  <c r="Q48" i="122"/>
  <c r="P48" i="122"/>
  <c r="N48" i="122"/>
  <c r="L48" i="122"/>
  <c r="K48" i="122"/>
  <c r="S47" i="122"/>
  <c r="Q47" i="122"/>
  <c r="P47" i="122"/>
  <c r="N47" i="122"/>
  <c r="L47" i="122"/>
  <c r="K47" i="122"/>
  <c r="S46" i="122"/>
  <c r="Q46" i="122"/>
  <c r="P46" i="122"/>
  <c r="N46" i="122"/>
  <c r="L46" i="122"/>
  <c r="K46" i="122"/>
  <c r="S45" i="122"/>
  <c r="Q45" i="122"/>
  <c r="P45" i="122"/>
  <c r="N45" i="122"/>
  <c r="L45" i="122"/>
  <c r="K45" i="122"/>
  <c r="S44" i="122"/>
  <c r="Q44" i="122"/>
  <c r="P44" i="122"/>
  <c r="N44" i="122"/>
  <c r="L44" i="122"/>
  <c r="K44" i="122"/>
  <c r="S43" i="122"/>
  <c r="Q43" i="122"/>
  <c r="P43" i="122"/>
  <c r="N43" i="122"/>
  <c r="L43" i="122"/>
  <c r="K43" i="122"/>
  <c r="S42" i="122"/>
  <c r="Q42" i="122"/>
  <c r="P42" i="122"/>
  <c r="N42" i="122"/>
  <c r="L42" i="122"/>
  <c r="K42" i="122"/>
  <c r="S41" i="122"/>
  <c r="Q41" i="122"/>
  <c r="P41" i="122"/>
  <c r="N41" i="122"/>
  <c r="L41" i="122"/>
  <c r="K41" i="122"/>
  <c r="S40" i="122"/>
  <c r="Q40" i="122"/>
  <c r="P40" i="122"/>
  <c r="N40" i="122"/>
  <c r="L40" i="122"/>
  <c r="K40" i="122"/>
  <c r="S39" i="122"/>
  <c r="Q39" i="122"/>
  <c r="P39" i="122"/>
  <c r="N39" i="122"/>
  <c r="L39" i="122"/>
  <c r="K39" i="122"/>
  <c r="S38" i="122"/>
  <c r="Q38" i="122"/>
  <c r="P38" i="122"/>
  <c r="N38" i="122"/>
  <c r="L38" i="122"/>
  <c r="K38" i="122"/>
  <c r="S37" i="122"/>
  <c r="Q37" i="122"/>
  <c r="P37" i="122"/>
  <c r="N37" i="122"/>
  <c r="L37" i="122"/>
  <c r="K37" i="122"/>
  <c r="S36" i="122"/>
  <c r="Q36" i="122"/>
  <c r="P36" i="122"/>
  <c r="N36" i="122"/>
  <c r="L36" i="122"/>
  <c r="K36" i="122"/>
  <c r="S35" i="122"/>
  <c r="Q35" i="122"/>
  <c r="P35" i="122"/>
  <c r="N35" i="122"/>
  <c r="L35" i="122"/>
  <c r="K35" i="122"/>
  <c r="S34" i="122"/>
  <c r="Q34" i="122"/>
  <c r="P34" i="122"/>
  <c r="N34" i="122"/>
  <c r="L34" i="122"/>
  <c r="K34" i="122"/>
  <c r="S33" i="122"/>
  <c r="Q33" i="122"/>
  <c r="P33" i="122"/>
  <c r="N33" i="122"/>
  <c r="L33" i="122"/>
  <c r="K33" i="122"/>
  <c r="S32" i="122"/>
  <c r="Q32" i="122"/>
  <c r="P32" i="122"/>
  <c r="N32" i="122"/>
  <c r="L32" i="122"/>
  <c r="K32" i="122"/>
  <c r="S31" i="122"/>
  <c r="Q31" i="122"/>
  <c r="P31" i="122"/>
  <c r="N31" i="122"/>
  <c r="L31" i="122"/>
  <c r="K31" i="122"/>
  <c r="S30" i="122"/>
  <c r="Q30" i="122"/>
  <c r="P30" i="122"/>
  <c r="N30" i="122"/>
  <c r="L30" i="122"/>
  <c r="K30" i="122"/>
  <c r="S29" i="122"/>
  <c r="Q29" i="122"/>
  <c r="P29" i="122"/>
  <c r="N29" i="122"/>
  <c r="L29" i="122"/>
  <c r="K29" i="122"/>
  <c r="S28" i="122"/>
  <c r="Q28" i="122"/>
  <c r="P28" i="122"/>
  <c r="N28" i="122"/>
  <c r="L28" i="122"/>
  <c r="K28" i="122"/>
  <c r="S27" i="122"/>
  <c r="Q27" i="122"/>
  <c r="P27" i="122"/>
  <c r="N27" i="122"/>
  <c r="L27" i="122"/>
  <c r="K27" i="122"/>
  <c r="S26" i="122"/>
  <c r="Q26" i="122"/>
  <c r="P26" i="122"/>
  <c r="N26" i="122"/>
  <c r="L26" i="122"/>
  <c r="K26" i="122"/>
  <c r="S25" i="122"/>
  <c r="Q25" i="122"/>
  <c r="P25" i="122"/>
  <c r="N25" i="122"/>
  <c r="L25" i="122"/>
  <c r="K25" i="122"/>
  <c r="S24" i="122"/>
  <c r="Q24" i="122"/>
  <c r="P24" i="122"/>
  <c r="N24" i="122"/>
  <c r="L24" i="122"/>
  <c r="K24" i="122"/>
  <c r="S23" i="122"/>
  <c r="Q23" i="122"/>
  <c r="P23" i="122"/>
  <c r="N23" i="122"/>
  <c r="L23" i="122"/>
  <c r="K23" i="122"/>
  <c r="S22" i="122"/>
  <c r="Q22" i="122"/>
  <c r="P22" i="122"/>
  <c r="N22" i="122"/>
  <c r="L22" i="122"/>
  <c r="K22" i="122"/>
  <c r="S21" i="122"/>
  <c r="Q21" i="122"/>
  <c r="P21" i="122"/>
  <c r="N21" i="122"/>
  <c r="L21" i="122"/>
  <c r="K21" i="122"/>
  <c r="S20" i="122"/>
  <c r="Q20" i="122"/>
  <c r="P20" i="122"/>
  <c r="N20" i="122"/>
  <c r="L20" i="122"/>
  <c r="K20" i="122"/>
  <c r="S19" i="122"/>
  <c r="Q19" i="122"/>
  <c r="P19" i="122"/>
  <c r="N19" i="122"/>
  <c r="L19" i="122"/>
  <c r="K19" i="122"/>
  <c r="S18" i="122"/>
  <c r="Q18" i="122"/>
  <c r="P18" i="122"/>
  <c r="N18" i="122"/>
  <c r="L18" i="122"/>
  <c r="K18" i="122"/>
  <c r="S17" i="122"/>
  <c r="Q17" i="122"/>
  <c r="P17" i="122"/>
  <c r="N17" i="122"/>
  <c r="L17" i="122"/>
  <c r="K17" i="122"/>
  <c r="S16" i="122"/>
  <c r="Q16" i="122"/>
  <c r="P16" i="122"/>
  <c r="N16" i="122"/>
  <c r="L16" i="122"/>
  <c r="K16" i="122"/>
  <c r="S15" i="122"/>
  <c r="Q15" i="122"/>
  <c r="P15" i="122"/>
  <c r="N15" i="122"/>
  <c r="L15" i="122"/>
  <c r="K15" i="122"/>
  <c r="S14" i="122"/>
  <c r="Q14" i="122"/>
  <c r="P14" i="122"/>
  <c r="N14" i="122"/>
  <c r="L14" i="122"/>
  <c r="K14" i="122"/>
  <c r="S13" i="122"/>
  <c r="Q13" i="122"/>
  <c r="P13" i="122"/>
  <c r="N13" i="122"/>
  <c r="L13" i="122"/>
  <c r="K13" i="122"/>
  <c r="S12" i="122"/>
  <c r="Q12" i="122"/>
  <c r="P12" i="122"/>
  <c r="N12" i="122"/>
  <c r="L12" i="122"/>
  <c r="K12" i="122"/>
  <c r="S11" i="122"/>
  <c r="Q11" i="122"/>
  <c r="P11" i="122"/>
  <c r="N11" i="122"/>
  <c r="L11" i="122"/>
  <c r="K11" i="122"/>
  <c r="S10" i="122"/>
  <c r="Q10" i="122"/>
  <c r="P10" i="122"/>
  <c r="N10" i="122"/>
  <c r="L10" i="122"/>
  <c r="K10" i="122"/>
  <c r="S9" i="122"/>
  <c r="Q9" i="122"/>
  <c r="P9" i="122"/>
  <c r="N9" i="122"/>
  <c r="L9" i="122"/>
  <c r="K9" i="122"/>
  <c r="S8" i="122"/>
  <c r="Q8" i="122"/>
  <c r="P8" i="122"/>
  <c r="N8" i="122"/>
  <c r="L8" i="122"/>
  <c r="K8" i="122"/>
  <c r="S7" i="122"/>
  <c r="Q7" i="122"/>
  <c r="P7" i="122"/>
  <c r="N7" i="122"/>
  <c r="L7" i="122"/>
  <c r="K7" i="122"/>
  <c r="S6" i="122"/>
  <c r="Q6" i="122"/>
  <c r="P6" i="122"/>
  <c r="N6" i="122"/>
  <c r="L6" i="122"/>
  <c r="K6" i="122"/>
  <c r="S5" i="122"/>
  <c r="Q5" i="122"/>
  <c r="P5" i="122"/>
  <c r="N5" i="122"/>
  <c r="L5" i="122"/>
  <c r="K5" i="122"/>
  <c r="S4" i="122"/>
  <c r="Q4" i="122"/>
  <c r="P4" i="122"/>
  <c r="N4" i="122"/>
  <c r="L4" i="122"/>
  <c r="K4" i="122"/>
  <c r="S3" i="122"/>
  <c r="Q3" i="122"/>
  <c r="P3" i="122"/>
  <c r="N3" i="122"/>
  <c r="L3" i="122"/>
  <c r="K3" i="122"/>
  <c r="S108" i="121"/>
  <c r="Q108" i="121"/>
  <c r="P108" i="121"/>
  <c r="N108" i="121"/>
  <c r="L108" i="121"/>
  <c r="K108" i="121"/>
  <c r="S107" i="121"/>
  <c r="Q107" i="121"/>
  <c r="P107" i="121"/>
  <c r="N107" i="121"/>
  <c r="L107" i="121"/>
  <c r="K107" i="121"/>
  <c r="S106" i="121"/>
  <c r="Q106" i="121"/>
  <c r="P106" i="121"/>
  <c r="N106" i="121"/>
  <c r="L106" i="121"/>
  <c r="K106" i="121"/>
  <c r="S105" i="121"/>
  <c r="Q105" i="121"/>
  <c r="P105" i="121"/>
  <c r="N105" i="121"/>
  <c r="L105" i="121"/>
  <c r="K105" i="121"/>
  <c r="S104" i="121"/>
  <c r="Q104" i="121"/>
  <c r="P104" i="121"/>
  <c r="N104" i="121"/>
  <c r="L104" i="121"/>
  <c r="K104" i="121"/>
  <c r="S103" i="121"/>
  <c r="Q103" i="121"/>
  <c r="P103" i="121"/>
  <c r="N103" i="121"/>
  <c r="L103" i="121"/>
  <c r="K103" i="121"/>
  <c r="S102" i="121"/>
  <c r="Q102" i="121"/>
  <c r="P102" i="121"/>
  <c r="N102" i="121"/>
  <c r="L102" i="121"/>
  <c r="K102" i="121"/>
  <c r="S101" i="121"/>
  <c r="Q101" i="121"/>
  <c r="P101" i="121"/>
  <c r="N101" i="121"/>
  <c r="L101" i="121"/>
  <c r="K101" i="121"/>
  <c r="S100" i="121"/>
  <c r="Q100" i="121"/>
  <c r="P100" i="121"/>
  <c r="N100" i="121"/>
  <c r="L100" i="121"/>
  <c r="K100" i="121"/>
  <c r="S99" i="121"/>
  <c r="Q99" i="121"/>
  <c r="P99" i="121"/>
  <c r="N99" i="121"/>
  <c r="L99" i="121"/>
  <c r="K99" i="121"/>
  <c r="S98" i="121"/>
  <c r="Q98" i="121"/>
  <c r="P98" i="121"/>
  <c r="N98" i="121"/>
  <c r="L98" i="121"/>
  <c r="K98" i="121"/>
  <c r="S97" i="121"/>
  <c r="Q97" i="121"/>
  <c r="P97" i="121"/>
  <c r="N97" i="121"/>
  <c r="L97" i="121"/>
  <c r="K97" i="121"/>
  <c r="S96" i="121"/>
  <c r="Q96" i="121"/>
  <c r="P96" i="121"/>
  <c r="N96" i="121"/>
  <c r="L96" i="121"/>
  <c r="K96" i="121"/>
  <c r="S95" i="121"/>
  <c r="Q95" i="121"/>
  <c r="P95" i="121"/>
  <c r="N95" i="121"/>
  <c r="L95" i="121"/>
  <c r="K95" i="121"/>
  <c r="S94" i="121"/>
  <c r="Q94" i="121"/>
  <c r="P94" i="121"/>
  <c r="N94" i="121"/>
  <c r="L94" i="121"/>
  <c r="K94" i="121"/>
  <c r="S93" i="121"/>
  <c r="Q93" i="121"/>
  <c r="P93" i="121"/>
  <c r="N93" i="121"/>
  <c r="L93" i="121"/>
  <c r="K93" i="121"/>
  <c r="S92" i="121"/>
  <c r="Q92" i="121"/>
  <c r="P92" i="121"/>
  <c r="N92" i="121"/>
  <c r="L92" i="121"/>
  <c r="K92" i="121"/>
  <c r="S91" i="121"/>
  <c r="Q91" i="121"/>
  <c r="P91" i="121"/>
  <c r="N91" i="121"/>
  <c r="L91" i="121"/>
  <c r="K91" i="121"/>
  <c r="S90" i="121"/>
  <c r="Q90" i="121"/>
  <c r="P90" i="121"/>
  <c r="N90" i="121"/>
  <c r="L90" i="121"/>
  <c r="K90" i="121"/>
  <c r="S89" i="121"/>
  <c r="Q89" i="121"/>
  <c r="P89" i="121"/>
  <c r="N89" i="121"/>
  <c r="L89" i="121"/>
  <c r="K89" i="121"/>
  <c r="S88" i="121"/>
  <c r="Q88" i="121"/>
  <c r="P88" i="121"/>
  <c r="N88" i="121"/>
  <c r="L88" i="121"/>
  <c r="K88" i="121"/>
  <c r="S87" i="121"/>
  <c r="Q87" i="121"/>
  <c r="P87" i="121"/>
  <c r="N87" i="121"/>
  <c r="L87" i="121"/>
  <c r="K87" i="121"/>
  <c r="S86" i="121"/>
  <c r="Q86" i="121"/>
  <c r="P86" i="121"/>
  <c r="N86" i="121"/>
  <c r="L86" i="121"/>
  <c r="K86" i="121"/>
  <c r="S85" i="121"/>
  <c r="Q85" i="121"/>
  <c r="P85" i="121"/>
  <c r="N85" i="121"/>
  <c r="L85" i="121"/>
  <c r="K85" i="121"/>
  <c r="S84" i="121"/>
  <c r="Q84" i="121"/>
  <c r="P84" i="121"/>
  <c r="N84" i="121"/>
  <c r="L84" i="121"/>
  <c r="K84" i="121"/>
  <c r="S83" i="121"/>
  <c r="Q83" i="121"/>
  <c r="P83" i="121"/>
  <c r="N83" i="121"/>
  <c r="L83" i="121"/>
  <c r="K83" i="121"/>
  <c r="S82" i="121"/>
  <c r="Q82" i="121"/>
  <c r="P82" i="121"/>
  <c r="N82" i="121"/>
  <c r="L82" i="121"/>
  <c r="K82" i="121"/>
  <c r="S81" i="121"/>
  <c r="Q81" i="121"/>
  <c r="P81" i="121"/>
  <c r="N81" i="121"/>
  <c r="L81" i="121"/>
  <c r="K81" i="121"/>
  <c r="S80" i="121"/>
  <c r="Q80" i="121"/>
  <c r="P80" i="121"/>
  <c r="N80" i="121"/>
  <c r="L80" i="121"/>
  <c r="K80" i="121"/>
  <c r="S79" i="121"/>
  <c r="Q79" i="121"/>
  <c r="P79" i="121"/>
  <c r="N79" i="121"/>
  <c r="L79" i="121"/>
  <c r="K79" i="121"/>
  <c r="S78" i="121"/>
  <c r="Q78" i="121"/>
  <c r="P78" i="121"/>
  <c r="N78" i="121"/>
  <c r="L78" i="121"/>
  <c r="K78" i="121"/>
  <c r="S77" i="121"/>
  <c r="Q77" i="121"/>
  <c r="P77" i="121"/>
  <c r="N77" i="121"/>
  <c r="L77" i="121"/>
  <c r="K77" i="121"/>
  <c r="S76" i="121"/>
  <c r="Q76" i="121"/>
  <c r="P76" i="121"/>
  <c r="N76" i="121"/>
  <c r="L76" i="121"/>
  <c r="K76" i="121"/>
  <c r="S75" i="121"/>
  <c r="Q75" i="121"/>
  <c r="P75" i="121"/>
  <c r="N75" i="121"/>
  <c r="L75" i="121"/>
  <c r="K75" i="121"/>
  <c r="S74" i="121"/>
  <c r="Q74" i="121"/>
  <c r="P74" i="121"/>
  <c r="N74" i="121"/>
  <c r="L74" i="121"/>
  <c r="K74" i="121"/>
  <c r="S73" i="121"/>
  <c r="Q73" i="121"/>
  <c r="P73" i="121"/>
  <c r="N73" i="121"/>
  <c r="L73" i="121"/>
  <c r="K73" i="121"/>
  <c r="S72" i="121"/>
  <c r="Q72" i="121"/>
  <c r="P72" i="121"/>
  <c r="N72" i="121"/>
  <c r="L72" i="121"/>
  <c r="K72" i="121"/>
  <c r="S71" i="121"/>
  <c r="Q71" i="121"/>
  <c r="P71" i="121"/>
  <c r="N71" i="121"/>
  <c r="L71" i="121"/>
  <c r="K71" i="121"/>
  <c r="S70" i="121"/>
  <c r="Q70" i="121"/>
  <c r="P70" i="121"/>
  <c r="N70" i="121"/>
  <c r="L70" i="121"/>
  <c r="K70" i="121"/>
  <c r="S69" i="121"/>
  <c r="Q69" i="121"/>
  <c r="P69" i="121"/>
  <c r="N69" i="121"/>
  <c r="L69" i="121"/>
  <c r="K69" i="121"/>
  <c r="S68" i="121"/>
  <c r="Q68" i="121"/>
  <c r="P68" i="121"/>
  <c r="N68" i="121"/>
  <c r="L68" i="121"/>
  <c r="K68" i="121"/>
  <c r="S67" i="121"/>
  <c r="Q67" i="121"/>
  <c r="P67" i="121"/>
  <c r="N67" i="121"/>
  <c r="L67" i="121"/>
  <c r="K67" i="121"/>
  <c r="S66" i="121"/>
  <c r="Q66" i="121"/>
  <c r="P66" i="121"/>
  <c r="N66" i="121"/>
  <c r="L66" i="121"/>
  <c r="K66" i="121"/>
  <c r="S65" i="121"/>
  <c r="Q65" i="121"/>
  <c r="P65" i="121"/>
  <c r="N65" i="121"/>
  <c r="L65" i="121"/>
  <c r="K65" i="121"/>
  <c r="S64" i="121"/>
  <c r="Q64" i="121"/>
  <c r="P64" i="121"/>
  <c r="N64" i="121"/>
  <c r="L64" i="121"/>
  <c r="K64" i="121"/>
  <c r="S63" i="121"/>
  <c r="Q63" i="121"/>
  <c r="P63" i="121"/>
  <c r="N63" i="121"/>
  <c r="L63" i="121"/>
  <c r="K63" i="121"/>
  <c r="S62" i="121"/>
  <c r="Q62" i="121"/>
  <c r="P62" i="121"/>
  <c r="N62" i="121"/>
  <c r="L62" i="121"/>
  <c r="K62" i="121"/>
  <c r="S61" i="121"/>
  <c r="Q61" i="121"/>
  <c r="P61" i="121"/>
  <c r="N61" i="121"/>
  <c r="L61" i="121"/>
  <c r="K61" i="121"/>
  <c r="S60" i="121"/>
  <c r="Q60" i="121"/>
  <c r="P60" i="121"/>
  <c r="N60" i="121"/>
  <c r="L60" i="121"/>
  <c r="K60" i="121"/>
  <c r="S59" i="121"/>
  <c r="Q59" i="121"/>
  <c r="P59" i="121"/>
  <c r="N59" i="121"/>
  <c r="L59" i="121"/>
  <c r="K59" i="121"/>
  <c r="S58" i="121"/>
  <c r="Q58" i="121"/>
  <c r="P58" i="121"/>
  <c r="N58" i="121"/>
  <c r="L58" i="121"/>
  <c r="K58" i="121"/>
  <c r="S57" i="121"/>
  <c r="Q57" i="121"/>
  <c r="P57" i="121"/>
  <c r="N57" i="121"/>
  <c r="L57" i="121"/>
  <c r="K57" i="121"/>
  <c r="S56" i="121"/>
  <c r="Q56" i="121"/>
  <c r="P56" i="121"/>
  <c r="N56" i="121"/>
  <c r="L56" i="121"/>
  <c r="K56" i="121"/>
  <c r="S55" i="121"/>
  <c r="Q55" i="121"/>
  <c r="P55" i="121"/>
  <c r="N55" i="121"/>
  <c r="L55" i="121"/>
  <c r="K55" i="121"/>
  <c r="S54" i="121"/>
  <c r="Q54" i="121"/>
  <c r="P54" i="121"/>
  <c r="N54" i="121"/>
  <c r="L54" i="121"/>
  <c r="K54" i="121"/>
  <c r="S53" i="121"/>
  <c r="Q53" i="121"/>
  <c r="P53" i="121"/>
  <c r="N53" i="121"/>
  <c r="L53" i="121"/>
  <c r="K53" i="121"/>
  <c r="S52" i="121"/>
  <c r="Q52" i="121"/>
  <c r="P52" i="121"/>
  <c r="N52" i="121"/>
  <c r="L52" i="121"/>
  <c r="K52" i="121"/>
  <c r="S51" i="121"/>
  <c r="Q51" i="121"/>
  <c r="P51" i="121"/>
  <c r="N51" i="121"/>
  <c r="L51" i="121"/>
  <c r="K51" i="121"/>
  <c r="S32" i="121"/>
  <c r="Q32" i="121"/>
  <c r="P32" i="121"/>
  <c r="N32" i="121"/>
  <c r="L32" i="121"/>
  <c r="K32" i="121"/>
  <c r="S31" i="121"/>
  <c r="Q31" i="121"/>
  <c r="P31" i="121"/>
  <c r="N31" i="121"/>
  <c r="L31" i="121"/>
  <c r="K31" i="121"/>
  <c r="W90" i="120"/>
  <c r="V90" i="120"/>
  <c r="U90" i="120"/>
  <c r="S90" i="120"/>
  <c r="Q90" i="120"/>
  <c r="P90" i="120"/>
  <c r="N90" i="120"/>
  <c r="L90" i="120"/>
  <c r="K90" i="120"/>
  <c r="W89" i="120"/>
  <c r="V89" i="120"/>
  <c r="U89" i="120"/>
  <c r="S89" i="120"/>
  <c r="Q89" i="120"/>
  <c r="P89" i="120"/>
  <c r="N89" i="120"/>
  <c r="L89" i="120"/>
  <c r="K89" i="120"/>
  <c r="W88" i="120"/>
  <c r="V88" i="120"/>
  <c r="U88" i="120"/>
  <c r="S88" i="120"/>
  <c r="Q88" i="120"/>
  <c r="P88" i="120"/>
  <c r="N88" i="120"/>
  <c r="L88" i="120"/>
  <c r="K88" i="120"/>
  <c r="W87" i="120"/>
  <c r="V87" i="120"/>
  <c r="U87" i="120"/>
  <c r="S87" i="120"/>
  <c r="Q87" i="120"/>
  <c r="P87" i="120"/>
  <c r="N87" i="120"/>
  <c r="L87" i="120"/>
  <c r="K87" i="120"/>
  <c r="W86" i="120"/>
  <c r="V86" i="120"/>
  <c r="U86" i="120"/>
  <c r="S86" i="120"/>
  <c r="Q86" i="120"/>
  <c r="P86" i="120"/>
  <c r="N86" i="120"/>
  <c r="L86" i="120"/>
  <c r="K86" i="120"/>
  <c r="W85" i="120"/>
  <c r="V85" i="120"/>
  <c r="U85" i="120"/>
  <c r="S85" i="120"/>
  <c r="Q85" i="120"/>
  <c r="P85" i="120"/>
  <c r="N85" i="120"/>
  <c r="L85" i="120"/>
  <c r="K85" i="120"/>
  <c r="W82" i="120"/>
  <c r="V82" i="120"/>
  <c r="U82" i="120"/>
  <c r="S82" i="120"/>
  <c r="Q82" i="120"/>
  <c r="P82" i="120"/>
  <c r="N82" i="120"/>
  <c r="L82" i="120"/>
  <c r="K82" i="120"/>
  <c r="W81" i="120"/>
  <c r="V81" i="120"/>
  <c r="U81" i="120"/>
  <c r="S81" i="120"/>
  <c r="Q81" i="120"/>
  <c r="P81" i="120"/>
  <c r="N81" i="120"/>
  <c r="L81" i="120"/>
  <c r="K81" i="120"/>
  <c r="W80" i="120"/>
  <c r="V80" i="120"/>
  <c r="U80" i="120"/>
  <c r="S80" i="120"/>
  <c r="Q80" i="120"/>
  <c r="P80" i="120"/>
  <c r="N80" i="120"/>
  <c r="L80" i="120"/>
  <c r="K80" i="120"/>
  <c r="W79" i="120"/>
  <c r="V79" i="120"/>
  <c r="U79" i="120"/>
  <c r="S79" i="120"/>
  <c r="Q79" i="120"/>
  <c r="P79" i="120"/>
  <c r="N79" i="120"/>
  <c r="L79" i="120"/>
  <c r="K79" i="120"/>
  <c r="W78" i="120"/>
  <c r="V78" i="120"/>
  <c r="U78" i="120"/>
  <c r="S78" i="120"/>
  <c r="Q78" i="120"/>
  <c r="P78" i="120"/>
  <c r="N78" i="120"/>
  <c r="L78" i="120"/>
  <c r="K78" i="120"/>
  <c r="W77" i="120"/>
  <c r="V77" i="120"/>
  <c r="U77" i="120"/>
  <c r="S77" i="120"/>
  <c r="Q77" i="120"/>
  <c r="P77" i="120"/>
  <c r="N77" i="120"/>
  <c r="L77" i="120"/>
  <c r="K77" i="120"/>
  <c r="W76" i="120"/>
  <c r="V76" i="120"/>
  <c r="U76" i="120"/>
  <c r="S76" i="120"/>
  <c r="Q76" i="120"/>
  <c r="P76" i="120"/>
  <c r="N76" i="120"/>
  <c r="L76" i="120"/>
  <c r="K76" i="120"/>
  <c r="W75" i="120"/>
  <c r="V75" i="120"/>
  <c r="U75" i="120"/>
  <c r="S75" i="120"/>
  <c r="Q75" i="120"/>
  <c r="P75" i="120"/>
  <c r="N75" i="120"/>
  <c r="L75" i="120"/>
  <c r="K75" i="120"/>
  <c r="W74" i="120"/>
  <c r="V74" i="120"/>
  <c r="U74" i="120"/>
  <c r="S74" i="120"/>
  <c r="Q74" i="120"/>
  <c r="P74" i="120"/>
  <c r="N74" i="120"/>
  <c r="L74" i="120"/>
  <c r="K74" i="120"/>
  <c r="W73" i="120"/>
  <c r="V73" i="120"/>
  <c r="U73" i="120"/>
  <c r="S73" i="120"/>
  <c r="Q73" i="120"/>
  <c r="P73" i="120"/>
  <c r="N73" i="120"/>
  <c r="L73" i="120"/>
  <c r="K73" i="120"/>
  <c r="W72" i="120"/>
  <c r="V72" i="120"/>
  <c r="U72" i="120"/>
  <c r="S72" i="120"/>
  <c r="Q72" i="120"/>
  <c r="P72" i="120"/>
  <c r="N72" i="120"/>
  <c r="L72" i="120"/>
  <c r="K72" i="120"/>
  <c r="W71" i="120"/>
  <c r="V71" i="120"/>
  <c r="U71" i="120"/>
  <c r="S71" i="120"/>
  <c r="Q71" i="120"/>
  <c r="P71" i="120"/>
  <c r="N71" i="120"/>
  <c r="L71" i="120"/>
  <c r="K71" i="120"/>
  <c r="W70" i="120"/>
  <c r="V70" i="120"/>
  <c r="U70" i="120"/>
  <c r="S70" i="120"/>
  <c r="Q70" i="120"/>
  <c r="P70" i="120"/>
  <c r="N70" i="120"/>
  <c r="L70" i="120"/>
  <c r="K70" i="120"/>
  <c r="W69" i="120"/>
  <c r="V69" i="120"/>
  <c r="U69" i="120"/>
  <c r="S69" i="120"/>
  <c r="Q69" i="120"/>
  <c r="P69" i="120"/>
  <c r="N69" i="120"/>
  <c r="L69" i="120"/>
  <c r="K69" i="120"/>
  <c r="W68" i="120"/>
  <c r="V68" i="120"/>
  <c r="U68" i="120"/>
  <c r="S68" i="120"/>
  <c r="Q68" i="120"/>
  <c r="P68" i="120"/>
  <c r="N68" i="120"/>
  <c r="L68" i="120"/>
  <c r="K68" i="120"/>
  <c r="W67" i="120"/>
  <c r="V67" i="120"/>
  <c r="U67" i="120"/>
  <c r="S67" i="120"/>
  <c r="Q67" i="120"/>
  <c r="P67" i="120"/>
  <c r="N67" i="120"/>
  <c r="L67" i="120"/>
  <c r="K67" i="120"/>
  <c r="W66" i="120"/>
  <c r="V66" i="120"/>
  <c r="U66" i="120"/>
  <c r="S66" i="120"/>
  <c r="Q66" i="120"/>
  <c r="P66" i="120"/>
  <c r="N66" i="120"/>
  <c r="L66" i="120"/>
  <c r="K66" i="120"/>
  <c r="W65" i="120"/>
  <c r="V65" i="120"/>
  <c r="U65" i="120"/>
  <c r="S65" i="120"/>
  <c r="Q65" i="120"/>
  <c r="P65" i="120"/>
  <c r="N65" i="120"/>
  <c r="L65" i="120"/>
  <c r="K65" i="120"/>
  <c r="W64" i="120"/>
  <c r="V64" i="120"/>
  <c r="U64" i="120"/>
  <c r="S64" i="120"/>
  <c r="Q64" i="120"/>
  <c r="P64" i="120"/>
  <c r="N64" i="120"/>
  <c r="L64" i="120"/>
  <c r="K64" i="120"/>
  <c r="W63" i="120"/>
  <c r="V63" i="120"/>
  <c r="U63" i="120"/>
  <c r="S63" i="120"/>
  <c r="Q63" i="120"/>
  <c r="P63" i="120"/>
  <c r="N63" i="120"/>
  <c r="L63" i="120"/>
  <c r="K63" i="120"/>
  <c r="W62" i="120"/>
  <c r="V62" i="120"/>
  <c r="U62" i="120"/>
  <c r="S62" i="120"/>
  <c r="Q62" i="120"/>
  <c r="P62" i="120"/>
  <c r="N62" i="120"/>
  <c r="L62" i="120"/>
  <c r="K62" i="120"/>
  <c r="W61" i="120"/>
  <c r="V61" i="120"/>
  <c r="U61" i="120"/>
  <c r="S61" i="120"/>
  <c r="Q61" i="120"/>
  <c r="P61" i="120"/>
  <c r="N61" i="120"/>
  <c r="L61" i="120"/>
  <c r="K61" i="120"/>
  <c r="W60" i="120"/>
  <c r="V60" i="120"/>
  <c r="U60" i="120"/>
  <c r="S60" i="120"/>
  <c r="Q60" i="120"/>
  <c r="P60" i="120"/>
  <c r="N60" i="120"/>
  <c r="L60" i="120"/>
  <c r="K60" i="120"/>
  <c r="W59" i="120"/>
  <c r="V59" i="120"/>
  <c r="U59" i="120"/>
  <c r="S59" i="120"/>
  <c r="Q59" i="120"/>
  <c r="P59" i="120"/>
  <c r="N59" i="120"/>
  <c r="L59" i="120"/>
  <c r="K59" i="120"/>
  <c r="W58" i="120"/>
  <c r="V58" i="120"/>
  <c r="U58" i="120"/>
  <c r="S58" i="120"/>
  <c r="Q58" i="120"/>
  <c r="P58" i="120"/>
  <c r="N58" i="120"/>
  <c r="L58" i="120"/>
  <c r="K58" i="120"/>
  <c r="W57" i="120"/>
  <c r="V57" i="120"/>
  <c r="U57" i="120"/>
  <c r="S57" i="120"/>
  <c r="Q57" i="120"/>
  <c r="P57" i="120"/>
  <c r="N57" i="120"/>
  <c r="L57" i="120"/>
  <c r="K57" i="120"/>
  <c r="W56" i="120"/>
  <c r="V56" i="120"/>
  <c r="U56" i="120"/>
  <c r="S56" i="120"/>
  <c r="Q56" i="120"/>
  <c r="P56" i="120"/>
  <c r="N56" i="120"/>
  <c r="L56" i="120"/>
  <c r="K56" i="120"/>
  <c r="W55" i="120"/>
  <c r="V55" i="120"/>
  <c r="U55" i="120"/>
  <c r="S55" i="120"/>
  <c r="Q55" i="120"/>
  <c r="P55" i="120"/>
  <c r="N55" i="120"/>
  <c r="L55" i="120"/>
  <c r="K55" i="120"/>
  <c r="W54" i="120"/>
  <c r="V54" i="120"/>
  <c r="U54" i="120"/>
  <c r="S54" i="120"/>
  <c r="Q54" i="120"/>
  <c r="P54" i="120"/>
  <c r="N54" i="120"/>
  <c r="L54" i="120"/>
  <c r="K54" i="120"/>
  <c r="W53" i="120"/>
  <c r="V53" i="120"/>
  <c r="U53" i="120"/>
  <c r="S53" i="120"/>
  <c r="Q53" i="120"/>
  <c r="P53" i="120"/>
  <c r="N53" i="120"/>
  <c r="L53" i="120"/>
  <c r="K53" i="120"/>
  <c r="W52" i="120"/>
  <c r="V52" i="120"/>
  <c r="U52" i="120"/>
  <c r="S52" i="120"/>
  <c r="Q52" i="120"/>
  <c r="P52" i="120"/>
  <c r="N52" i="120"/>
  <c r="L52" i="120"/>
  <c r="K52" i="120"/>
  <c r="W51" i="120"/>
  <c r="V51" i="120"/>
  <c r="U51" i="120"/>
  <c r="S51" i="120"/>
  <c r="Q51" i="120"/>
  <c r="P51" i="120"/>
  <c r="N51" i="120"/>
  <c r="L51" i="120"/>
  <c r="K51" i="120"/>
  <c r="W50" i="120"/>
  <c r="V50" i="120"/>
  <c r="U50" i="120"/>
  <c r="S50" i="120"/>
  <c r="Q50" i="120"/>
  <c r="P50" i="120"/>
  <c r="N50" i="120"/>
  <c r="L50" i="120"/>
  <c r="K50" i="120"/>
  <c r="W49" i="120"/>
  <c r="V49" i="120"/>
  <c r="U49" i="120"/>
  <c r="S49" i="120"/>
  <c r="Q49" i="120"/>
  <c r="P49" i="120"/>
  <c r="N49" i="120"/>
  <c r="L49" i="120"/>
  <c r="K49" i="120"/>
  <c r="W48" i="120"/>
  <c r="V48" i="120"/>
  <c r="U48" i="120"/>
  <c r="S48" i="120"/>
  <c r="Q48" i="120"/>
  <c r="P48" i="120"/>
  <c r="N48" i="120"/>
  <c r="L48" i="120"/>
  <c r="K48" i="120"/>
  <c r="W47" i="120"/>
  <c r="V47" i="120"/>
  <c r="U47" i="120"/>
  <c r="S47" i="120"/>
  <c r="Q47" i="120"/>
  <c r="P47" i="120"/>
  <c r="N47" i="120"/>
  <c r="L47" i="120"/>
  <c r="K47" i="120"/>
  <c r="W46" i="120"/>
  <c r="V46" i="120"/>
  <c r="U46" i="120"/>
  <c r="S46" i="120"/>
  <c r="Q46" i="120"/>
  <c r="P46" i="120"/>
  <c r="N46" i="120"/>
  <c r="L46" i="120"/>
  <c r="K46" i="120"/>
  <c r="W45" i="120"/>
  <c r="V45" i="120"/>
  <c r="U45" i="120"/>
  <c r="S45" i="120"/>
  <c r="Q45" i="120"/>
  <c r="P45" i="120"/>
  <c r="N45" i="120"/>
  <c r="L45" i="120"/>
  <c r="K45" i="120"/>
  <c r="W44" i="120"/>
  <c r="V44" i="120"/>
  <c r="U44" i="120"/>
  <c r="S44" i="120"/>
  <c r="Q44" i="120"/>
  <c r="P44" i="120"/>
  <c r="N44" i="120"/>
  <c r="L44" i="120"/>
  <c r="K44" i="120"/>
  <c r="W43" i="120"/>
  <c r="V43" i="120"/>
  <c r="U43" i="120"/>
  <c r="S43" i="120"/>
  <c r="Q43" i="120"/>
  <c r="P43" i="120"/>
  <c r="N43" i="120"/>
  <c r="L43" i="120"/>
  <c r="K43" i="120"/>
  <c r="W42" i="120"/>
  <c r="V42" i="120"/>
  <c r="U42" i="120"/>
  <c r="S42" i="120"/>
  <c r="Q42" i="120"/>
  <c r="P42" i="120"/>
  <c r="N42" i="120"/>
  <c r="L42" i="120"/>
  <c r="K42" i="120"/>
  <c r="W41" i="120"/>
  <c r="V41" i="120"/>
  <c r="U41" i="120"/>
  <c r="S41" i="120"/>
  <c r="Q41" i="120"/>
  <c r="P41" i="120"/>
  <c r="N41" i="120"/>
  <c r="L41" i="120"/>
  <c r="K41" i="120"/>
  <c r="W40" i="120"/>
  <c r="V40" i="120"/>
  <c r="U40" i="120"/>
  <c r="S40" i="120"/>
  <c r="Q40" i="120"/>
  <c r="P40" i="120"/>
  <c r="N40" i="120"/>
  <c r="L40" i="120"/>
  <c r="K40" i="120"/>
  <c r="W39" i="120"/>
  <c r="V39" i="120"/>
  <c r="U39" i="120"/>
  <c r="S39" i="120"/>
  <c r="Q39" i="120"/>
  <c r="P39" i="120"/>
  <c r="N39" i="120"/>
  <c r="L39" i="120"/>
  <c r="K39" i="120"/>
  <c r="W38" i="120"/>
  <c r="V38" i="120"/>
  <c r="U38" i="120"/>
  <c r="S38" i="120"/>
  <c r="Q38" i="120"/>
  <c r="P38" i="120"/>
  <c r="N38" i="120"/>
  <c r="L38" i="120"/>
  <c r="K38" i="120"/>
  <c r="W37" i="120"/>
  <c r="V37" i="120"/>
  <c r="U37" i="120"/>
  <c r="S37" i="120"/>
  <c r="Q37" i="120"/>
  <c r="P37" i="120"/>
  <c r="N37" i="120"/>
  <c r="L37" i="120"/>
  <c r="K37" i="120"/>
  <c r="W36" i="120"/>
  <c r="V36" i="120"/>
  <c r="U36" i="120"/>
  <c r="S36" i="120"/>
  <c r="Q36" i="120"/>
  <c r="P36" i="120"/>
  <c r="N36" i="120"/>
  <c r="L36" i="120"/>
  <c r="K36" i="120"/>
  <c r="W35" i="120"/>
  <c r="V35" i="120"/>
  <c r="U35" i="120"/>
  <c r="S35" i="120"/>
  <c r="Q35" i="120"/>
  <c r="P35" i="120"/>
  <c r="N35" i="120"/>
  <c r="L35" i="120"/>
  <c r="K35" i="120"/>
  <c r="W34" i="120"/>
  <c r="V34" i="120"/>
  <c r="U34" i="120"/>
  <c r="S34" i="120"/>
  <c r="Q34" i="120"/>
  <c r="P34" i="120"/>
  <c r="N34" i="120"/>
  <c r="L34" i="120"/>
  <c r="K34" i="120"/>
  <c r="W33" i="120"/>
  <c r="V33" i="120"/>
  <c r="U33" i="120"/>
  <c r="S33" i="120"/>
  <c r="Q33" i="120"/>
  <c r="P33" i="120"/>
  <c r="N33" i="120"/>
  <c r="L33" i="120"/>
  <c r="K33" i="120"/>
  <c r="W32" i="120"/>
  <c r="V32" i="120"/>
  <c r="U32" i="120"/>
  <c r="S32" i="120"/>
  <c r="Q32" i="120"/>
  <c r="P32" i="120"/>
  <c r="N32" i="120"/>
  <c r="L32" i="120"/>
  <c r="K32" i="120"/>
  <c r="W31" i="120"/>
  <c r="V31" i="120"/>
  <c r="U31" i="120"/>
  <c r="S31" i="120"/>
  <c r="Q31" i="120"/>
  <c r="P31" i="120"/>
  <c r="N31" i="120"/>
  <c r="L31" i="120"/>
  <c r="K31" i="120"/>
  <c r="W30" i="120"/>
  <c r="V30" i="120"/>
  <c r="U30" i="120"/>
  <c r="S30" i="120"/>
  <c r="Q30" i="120"/>
  <c r="P30" i="120"/>
  <c r="N30" i="120"/>
  <c r="L30" i="120"/>
  <c r="K30" i="120"/>
  <c r="W29" i="120"/>
  <c r="V29" i="120"/>
  <c r="U29" i="120"/>
  <c r="S29" i="120"/>
  <c r="Q29" i="120"/>
  <c r="P29" i="120"/>
  <c r="N29" i="120"/>
  <c r="L29" i="120"/>
  <c r="K29" i="120"/>
  <c r="W28" i="120"/>
  <c r="V28" i="120"/>
  <c r="U28" i="120"/>
  <c r="S28" i="120"/>
  <c r="Q28" i="120"/>
  <c r="P28" i="120"/>
  <c r="N28" i="120"/>
  <c r="L28" i="120"/>
  <c r="K28" i="120"/>
  <c r="W27" i="120"/>
  <c r="V27" i="120"/>
  <c r="U27" i="120"/>
  <c r="S27" i="120"/>
  <c r="Q27" i="120"/>
  <c r="P27" i="120"/>
  <c r="N27" i="120"/>
  <c r="L27" i="120"/>
  <c r="K27" i="120"/>
  <c r="W26" i="120"/>
  <c r="V26" i="120"/>
  <c r="U26" i="120"/>
  <c r="S26" i="120"/>
  <c r="Q26" i="120"/>
  <c r="P26" i="120"/>
  <c r="N26" i="120"/>
  <c r="L26" i="120"/>
  <c r="K26" i="120"/>
  <c r="W25" i="120"/>
  <c r="V25" i="120"/>
  <c r="U25" i="120"/>
  <c r="S25" i="120"/>
  <c r="Q25" i="120"/>
  <c r="P25" i="120"/>
  <c r="N25" i="120"/>
  <c r="L25" i="120"/>
  <c r="K25" i="120"/>
  <c r="W24" i="120"/>
  <c r="V24" i="120"/>
  <c r="U24" i="120"/>
  <c r="S24" i="120"/>
  <c r="Q24" i="120"/>
  <c r="P24" i="120"/>
  <c r="N24" i="120"/>
  <c r="L24" i="120"/>
  <c r="K24" i="120"/>
  <c r="W23" i="120"/>
  <c r="V23" i="120"/>
  <c r="U23" i="120"/>
  <c r="S23" i="120"/>
  <c r="Q23" i="120"/>
  <c r="P23" i="120"/>
  <c r="N23" i="120"/>
  <c r="L23" i="120"/>
  <c r="K23" i="120"/>
  <c r="W22" i="120"/>
  <c r="V22" i="120"/>
  <c r="U22" i="120"/>
  <c r="S22" i="120"/>
  <c r="Q22" i="120"/>
  <c r="P22" i="120"/>
  <c r="N22" i="120"/>
  <c r="L22" i="120"/>
  <c r="K22" i="120"/>
  <c r="W21" i="120"/>
  <c r="V21" i="120"/>
  <c r="U21" i="120"/>
  <c r="S21" i="120"/>
  <c r="Q21" i="120"/>
  <c r="P21" i="120"/>
  <c r="N21" i="120"/>
  <c r="L21" i="120"/>
  <c r="K21" i="120"/>
  <c r="W20" i="120"/>
  <c r="V20" i="120"/>
  <c r="U20" i="120"/>
  <c r="S20" i="120"/>
  <c r="Q20" i="120"/>
  <c r="P20" i="120"/>
  <c r="N20" i="120"/>
  <c r="L20" i="120"/>
  <c r="K20" i="120"/>
  <c r="W19" i="120"/>
  <c r="V19" i="120"/>
  <c r="U19" i="120"/>
  <c r="S19" i="120"/>
  <c r="Q19" i="120"/>
  <c r="P19" i="120"/>
  <c r="N19" i="120"/>
  <c r="L19" i="120"/>
  <c r="K19" i="120"/>
  <c r="W18" i="120"/>
  <c r="V18" i="120"/>
  <c r="U18" i="120"/>
  <c r="S18" i="120"/>
  <c r="Q18" i="120"/>
  <c r="P18" i="120"/>
  <c r="N18" i="120"/>
  <c r="L18" i="120"/>
  <c r="K18" i="120"/>
  <c r="W17" i="120"/>
  <c r="V17" i="120"/>
  <c r="U17" i="120"/>
  <c r="S17" i="120"/>
  <c r="Q17" i="120"/>
  <c r="P17" i="120"/>
  <c r="N17" i="120"/>
  <c r="L17" i="120"/>
  <c r="K17" i="120"/>
  <c r="W16" i="120"/>
  <c r="V16" i="120"/>
  <c r="U16" i="120"/>
  <c r="S16" i="120"/>
  <c r="Q16" i="120"/>
  <c r="P16" i="120"/>
  <c r="N16" i="120"/>
  <c r="L16" i="120"/>
  <c r="K16" i="120"/>
  <c r="W15" i="120"/>
  <c r="V15" i="120"/>
  <c r="U15" i="120"/>
  <c r="S15" i="120"/>
  <c r="Q15" i="120"/>
  <c r="P15" i="120"/>
  <c r="N15" i="120"/>
  <c r="L15" i="120"/>
  <c r="K15" i="120"/>
  <c r="W14" i="120"/>
  <c r="V14" i="120"/>
  <c r="U14" i="120"/>
  <c r="S14" i="120"/>
  <c r="Q14" i="120"/>
  <c r="P14" i="120"/>
  <c r="N14" i="120"/>
  <c r="L14" i="120"/>
  <c r="K14" i="120"/>
  <c r="W13" i="120"/>
  <c r="V13" i="120"/>
  <c r="U13" i="120"/>
  <c r="S13" i="120"/>
  <c r="Q13" i="120"/>
  <c r="P13" i="120"/>
  <c r="N13" i="120"/>
  <c r="L13" i="120"/>
  <c r="K13" i="120"/>
  <c r="W12" i="120"/>
  <c r="V12" i="120"/>
  <c r="U12" i="120"/>
  <c r="S12" i="120"/>
  <c r="Q12" i="120"/>
  <c r="P12" i="120"/>
  <c r="N12" i="120"/>
  <c r="L12" i="120"/>
  <c r="K12" i="120"/>
  <c r="W11" i="120"/>
  <c r="V11" i="120"/>
  <c r="U11" i="120"/>
  <c r="S11" i="120"/>
  <c r="Q11" i="120"/>
  <c r="P11" i="120"/>
  <c r="N11" i="120"/>
  <c r="L11" i="120"/>
  <c r="K11" i="120"/>
  <c r="W10" i="120"/>
  <c r="V10" i="120"/>
  <c r="U10" i="120"/>
  <c r="S10" i="120"/>
  <c r="Q10" i="120"/>
  <c r="P10" i="120"/>
  <c r="N10" i="120"/>
  <c r="L10" i="120"/>
  <c r="K10" i="120"/>
  <c r="W9" i="120"/>
  <c r="V9" i="120"/>
  <c r="U9" i="120"/>
  <c r="S9" i="120"/>
  <c r="Q9" i="120"/>
  <c r="P9" i="120"/>
  <c r="N9" i="120"/>
  <c r="L9" i="120"/>
  <c r="K9" i="120"/>
  <c r="W8" i="120"/>
  <c r="V8" i="120"/>
  <c r="U8" i="120"/>
  <c r="S8" i="120"/>
  <c r="Q8" i="120"/>
  <c r="P8" i="120"/>
  <c r="N8" i="120"/>
  <c r="L8" i="120"/>
  <c r="K8" i="120"/>
  <c r="W7" i="120"/>
  <c r="V7" i="120"/>
  <c r="U7" i="120"/>
  <c r="S7" i="120"/>
  <c r="Q7" i="120"/>
  <c r="P7" i="120"/>
  <c r="N7" i="120"/>
  <c r="L7" i="120"/>
  <c r="K7" i="120"/>
  <c r="W5" i="120"/>
  <c r="V5" i="120"/>
  <c r="U5" i="120"/>
  <c r="S5" i="120"/>
  <c r="Q5" i="120"/>
  <c r="P5" i="120"/>
  <c r="N5" i="120"/>
  <c r="L5" i="120"/>
  <c r="K5" i="120"/>
  <c r="W4" i="120"/>
  <c r="V4" i="120"/>
  <c r="U4" i="120"/>
  <c r="S4" i="120"/>
  <c r="Q4" i="120"/>
  <c r="P4" i="120"/>
  <c r="N4" i="120"/>
  <c r="L4" i="120"/>
  <c r="K4" i="120"/>
  <c r="W3" i="120"/>
  <c r="U3" i="120"/>
  <c r="S3" i="120"/>
  <c r="Q3" i="120"/>
  <c r="N3" i="120"/>
  <c r="L3" i="120"/>
  <c r="P3" i="120"/>
  <c r="K3" i="120"/>
  <c r="P1" i="119"/>
  <c r="S8" i="121" l="1"/>
  <c r="S12" i="121"/>
  <c r="S28" i="121"/>
  <c r="S36" i="121"/>
  <c r="S40" i="121"/>
  <c r="S17" i="121"/>
  <c r="S21" i="121"/>
  <c r="S33" i="121"/>
  <c r="S37" i="121"/>
  <c r="S49" i="121"/>
  <c r="S38" i="121"/>
  <c r="S50" i="121"/>
  <c r="S31" i="127"/>
  <c r="S7" i="121"/>
  <c r="S39" i="121"/>
  <c r="S43" i="121"/>
  <c r="S47" i="121"/>
  <c r="N17" i="121"/>
  <c r="O17" i="121" s="1"/>
  <c r="N21" i="121"/>
  <c r="O21" i="121" s="1"/>
  <c r="N33" i="121"/>
  <c r="O33" i="121" s="1"/>
  <c r="N37" i="121"/>
  <c r="O37" i="121" s="1"/>
  <c r="N49" i="121"/>
  <c r="O49" i="121" s="1"/>
  <c r="N38" i="121"/>
  <c r="O38" i="121" s="1"/>
  <c r="N50" i="121"/>
  <c r="O50" i="121" s="1"/>
  <c r="N39" i="121"/>
  <c r="O39" i="121" s="1"/>
  <c r="N43" i="121"/>
  <c r="O43" i="121" s="1"/>
  <c r="N54" i="128"/>
  <c r="N8" i="121"/>
  <c r="O8" i="121" s="1"/>
  <c r="N12" i="121"/>
  <c r="O12" i="121" s="1"/>
  <c r="N28" i="121"/>
  <c r="O28" i="121" s="1"/>
  <c r="N36" i="121"/>
  <c r="O36" i="121" s="1"/>
  <c r="N40" i="121"/>
  <c r="O40" i="121" s="1"/>
  <c r="N44" i="121"/>
  <c r="O44" i="121" s="1"/>
  <c r="N58" i="128"/>
  <c r="N62" i="128"/>
  <c r="O62" i="128" s="1"/>
  <c r="N66" i="128"/>
  <c r="N70" i="128"/>
  <c r="N74" i="128"/>
  <c r="S51" i="127"/>
  <c r="N71" i="128"/>
  <c r="N75" i="128"/>
  <c r="N79" i="128"/>
  <c r="S239" i="124"/>
  <c r="S243" i="124"/>
  <c r="S10" i="128"/>
  <c r="S46" i="128"/>
  <c r="S58" i="128"/>
  <c r="S62" i="128"/>
  <c r="S66" i="128"/>
  <c r="S70" i="128"/>
  <c r="S74" i="128"/>
  <c r="S78" i="128"/>
  <c r="S82" i="128"/>
  <c r="S56" i="127"/>
  <c r="S60" i="127"/>
  <c r="S72" i="127"/>
  <c r="S76" i="127"/>
  <c r="S96" i="127"/>
  <c r="N231" i="124"/>
  <c r="O231" i="124" s="1"/>
  <c r="N4" i="128"/>
  <c r="N32" i="128"/>
  <c r="N56" i="128"/>
  <c r="N64" i="128"/>
  <c r="N76" i="128"/>
  <c r="N46" i="127"/>
  <c r="N66" i="127"/>
  <c r="N70" i="127"/>
  <c r="O70" i="127" s="1"/>
  <c r="N78" i="127"/>
  <c r="N90" i="127"/>
  <c r="N94" i="127"/>
  <c r="N98" i="127"/>
  <c r="N3" i="123"/>
  <c r="N7" i="123"/>
  <c r="O7" i="123" s="1"/>
  <c r="N11" i="123"/>
  <c r="O11" i="123" s="1"/>
  <c r="N15" i="123"/>
  <c r="O15" i="123" s="1"/>
  <c r="N19" i="123"/>
  <c r="O19" i="123" s="1"/>
  <c r="N23" i="123"/>
  <c r="O23" i="123" s="1"/>
  <c r="N27" i="123"/>
  <c r="O27" i="123" s="1"/>
  <c r="N31" i="123"/>
  <c r="O31" i="123" s="1"/>
  <c r="N35" i="123"/>
  <c r="O35" i="123" s="1"/>
  <c r="N39" i="123"/>
  <c r="O39" i="123" s="1"/>
  <c r="N43" i="123"/>
  <c r="O43" i="123" s="1"/>
  <c r="N47" i="123"/>
  <c r="O47" i="123" s="1"/>
  <c r="N51" i="123"/>
  <c r="O51" i="123" s="1"/>
  <c r="N55" i="123"/>
  <c r="O55" i="123" s="1"/>
  <c r="N59" i="123"/>
  <c r="O59" i="123" s="1"/>
  <c r="N63" i="123"/>
  <c r="O63" i="123" s="1"/>
  <c r="N67" i="123"/>
  <c r="O67" i="123" s="1"/>
  <c r="N71" i="123"/>
  <c r="O71" i="123" s="1"/>
  <c r="N75" i="123"/>
  <c r="O75" i="123" s="1"/>
  <c r="N79" i="123"/>
  <c r="O79" i="123" s="1"/>
  <c r="N83" i="123"/>
  <c r="O83" i="123" s="1"/>
  <c r="N87" i="123"/>
  <c r="O87" i="123" s="1"/>
  <c r="N91" i="123"/>
  <c r="O91" i="123" s="1"/>
  <c r="N95" i="123"/>
  <c r="O95" i="123" s="1"/>
  <c r="N99" i="123"/>
  <c r="O99" i="123" s="1"/>
  <c r="N103" i="123"/>
  <c r="O103" i="123" s="1"/>
  <c r="N107" i="123"/>
  <c r="O107" i="123" s="1"/>
  <c r="S6" i="123"/>
  <c r="S10" i="123"/>
  <c r="S14" i="123"/>
  <c r="S18" i="123"/>
  <c r="S22" i="123"/>
  <c r="S26" i="123"/>
  <c r="S30" i="123"/>
  <c r="S34" i="123"/>
  <c r="S38" i="123"/>
  <c r="S42" i="123"/>
  <c r="S46" i="123"/>
  <c r="S50" i="123"/>
  <c r="S54" i="123"/>
  <c r="S58" i="123"/>
  <c r="S62" i="123"/>
  <c r="S66" i="123"/>
  <c r="S70" i="123"/>
  <c r="S74" i="123"/>
  <c r="S78" i="123"/>
  <c r="S82" i="123"/>
  <c r="S86" i="123"/>
  <c r="S90" i="123"/>
  <c r="S94" i="123"/>
  <c r="S98" i="123"/>
  <c r="S102" i="123"/>
  <c r="S106" i="123"/>
  <c r="P1" i="121"/>
  <c r="N45" i="128"/>
  <c r="N4" i="123"/>
  <c r="N8" i="123"/>
  <c r="O8" i="123" s="1"/>
  <c r="N12" i="123"/>
  <c r="O12" i="123" s="1"/>
  <c r="N16" i="123"/>
  <c r="O16" i="123" s="1"/>
  <c r="N20" i="123"/>
  <c r="O20" i="123" s="1"/>
  <c r="N24" i="123"/>
  <c r="O24" i="123" s="1"/>
  <c r="N28" i="123"/>
  <c r="O28" i="123" s="1"/>
  <c r="N32" i="123"/>
  <c r="O32" i="123" s="1"/>
  <c r="N36" i="123"/>
  <c r="O36" i="123" s="1"/>
  <c r="N40" i="123"/>
  <c r="O40" i="123" s="1"/>
  <c r="N44" i="123"/>
  <c r="O44" i="123" s="1"/>
  <c r="N48" i="123"/>
  <c r="O48" i="123" s="1"/>
  <c r="N52" i="123"/>
  <c r="O52" i="123" s="1"/>
  <c r="N56" i="123"/>
  <c r="O56" i="123" s="1"/>
  <c r="N60" i="123"/>
  <c r="O60" i="123" s="1"/>
  <c r="N64" i="123"/>
  <c r="O64" i="123" s="1"/>
  <c r="N68" i="123"/>
  <c r="O68" i="123" s="1"/>
  <c r="N72" i="123"/>
  <c r="O72" i="123" s="1"/>
  <c r="N76" i="123"/>
  <c r="O76" i="123" s="1"/>
  <c r="N80" i="123"/>
  <c r="O80" i="123" s="1"/>
  <c r="N84" i="123"/>
  <c r="O84" i="123" s="1"/>
  <c r="N88" i="123"/>
  <c r="O88" i="123" s="1"/>
  <c r="N92" i="123"/>
  <c r="O92" i="123" s="1"/>
  <c r="N96" i="123"/>
  <c r="O96" i="123" s="1"/>
  <c r="N100" i="123"/>
  <c r="O100" i="123" s="1"/>
  <c r="N104" i="123"/>
  <c r="O104" i="123" s="1"/>
  <c r="N108" i="123"/>
  <c r="O108" i="123" s="1"/>
  <c r="S231" i="124"/>
  <c r="S7" i="123"/>
  <c r="S11" i="123"/>
  <c r="S15" i="123"/>
  <c r="S19" i="123"/>
  <c r="S23" i="123"/>
  <c r="S27" i="123"/>
  <c r="S31" i="123"/>
  <c r="S35" i="123"/>
  <c r="S39" i="123"/>
  <c r="S43" i="123"/>
  <c r="S47" i="123"/>
  <c r="S51" i="123"/>
  <c r="S55" i="123"/>
  <c r="S59" i="123"/>
  <c r="S63" i="123"/>
  <c r="S67" i="123"/>
  <c r="S71" i="123"/>
  <c r="S75" i="123"/>
  <c r="S79" i="123"/>
  <c r="S83" i="123"/>
  <c r="S87" i="123"/>
  <c r="S91" i="123"/>
  <c r="S95" i="123"/>
  <c r="S99" i="123"/>
  <c r="S103" i="123"/>
  <c r="S107" i="123"/>
  <c r="N5" i="123"/>
  <c r="O5" i="123" s="1"/>
  <c r="N9" i="123"/>
  <c r="O9" i="123" s="1"/>
  <c r="N13" i="123"/>
  <c r="O13" i="123" s="1"/>
  <c r="N17" i="123"/>
  <c r="O17" i="123" s="1"/>
  <c r="N21" i="123"/>
  <c r="O21" i="123" s="1"/>
  <c r="N25" i="123"/>
  <c r="O25" i="123" s="1"/>
  <c r="N29" i="123"/>
  <c r="O29" i="123" s="1"/>
  <c r="N33" i="123"/>
  <c r="O33" i="123" s="1"/>
  <c r="N37" i="123"/>
  <c r="O37" i="123" s="1"/>
  <c r="N41" i="123"/>
  <c r="O41" i="123" s="1"/>
  <c r="N45" i="123"/>
  <c r="O45" i="123" s="1"/>
  <c r="N49" i="123"/>
  <c r="O49" i="123" s="1"/>
  <c r="N53" i="123"/>
  <c r="O53" i="123" s="1"/>
  <c r="N57" i="123"/>
  <c r="O57" i="123" s="1"/>
  <c r="N61" i="123"/>
  <c r="O61" i="123" s="1"/>
  <c r="N65" i="123"/>
  <c r="O65" i="123" s="1"/>
  <c r="N69" i="123"/>
  <c r="O69" i="123" s="1"/>
  <c r="N73" i="123"/>
  <c r="O73" i="123" s="1"/>
  <c r="N77" i="123"/>
  <c r="O77" i="123" s="1"/>
  <c r="N81" i="123"/>
  <c r="O81" i="123" s="1"/>
  <c r="N85" i="123"/>
  <c r="O85" i="123" s="1"/>
  <c r="N89" i="123"/>
  <c r="O89" i="123" s="1"/>
  <c r="N93" i="123"/>
  <c r="O93" i="123" s="1"/>
  <c r="N97" i="123"/>
  <c r="O97" i="123" s="1"/>
  <c r="N101" i="123"/>
  <c r="O101" i="123" s="1"/>
  <c r="N105" i="123"/>
  <c r="O105" i="123" s="1"/>
  <c r="S4" i="123"/>
  <c r="S8" i="123"/>
  <c r="S12" i="123"/>
  <c r="S16" i="123"/>
  <c r="S20" i="123"/>
  <c r="S24" i="123"/>
  <c r="S28" i="123"/>
  <c r="S32" i="123"/>
  <c r="S36" i="123"/>
  <c r="S40" i="123"/>
  <c r="S44" i="123"/>
  <c r="S48" i="123"/>
  <c r="S52" i="123"/>
  <c r="S56" i="123"/>
  <c r="S60" i="123"/>
  <c r="S64" i="123"/>
  <c r="S68" i="123"/>
  <c r="S72" i="123"/>
  <c r="S76" i="123"/>
  <c r="S80" i="123"/>
  <c r="S84" i="123"/>
  <c r="S88" i="123"/>
  <c r="S92" i="123"/>
  <c r="S96" i="123"/>
  <c r="S100" i="123"/>
  <c r="S104" i="123"/>
  <c r="S108" i="123"/>
  <c r="N6" i="123"/>
  <c r="O6" i="123" s="1"/>
  <c r="N10" i="123"/>
  <c r="O10" i="123" s="1"/>
  <c r="N14" i="123"/>
  <c r="O14" i="123" s="1"/>
  <c r="N18" i="123"/>
  <c r="O18" i="123" s="1"/>
  <c r="N22" i="123"/>
  <c r="O22" i="123" s="1"/>
  <c r="N26" i="123"/>
  <c r="O26" i="123" s="1"/>
  <c r="N30" i="123"/>
  <c r="O30" i="123" s="1"/>
  <c r="N34" i="123"/>
  <c r="O34" i="123" s="1"/>
  <c r="N38" i="123"/>
  <c r="O38" i="123" s="1"/>
  <c r="N42" i="123"/>
  <c r="O42" i="123" s="1"/>
  <c r="N46" i="123"/>
  <c r="O46" i="123" s="1"/>
  <c r="N50" i="123"/>
  <c r="O50" i="123" s="1"/>
  <c r="N54" i="123"/>
  <c r="O54" i="123" s="1"/>
  <c r="N58" i="123"/>
  <c r="O58" i="123" s="1"/>
  <c r="N62" i="123"/>
  <c r="O62" i="123" s="1"/>
  <c r="N66" i="123"/>
  <c r="O66" i="123" s="1"/>
  <c r="N70" i="123"/>
  <c r="O70" i="123" s="1"/>
  <c r="N74" i="123"/>
  <c r="O74" i="123" s="1"/>
  <c r="N78" i="123"/>
  <c r="O78" i="123" s="1"/>
  <c r="N82" i="123"/>
  <c r="O82" i="123" s="1"/>
  <c r="N86" i="123"/>
  <c r="O86" i="123" s="1"/>
  <c r="N90" i="123"/>
  <c r="O90" i="123" s="1"/>
  <c r="N94" i="123"/>
  <c r="O94" i="123" s="1"/>
  <c r="N98" i="123"/>
  <c r="O98" i="123" s="1"/>
  <c r="N102" i="123"/>
  <c r="O102" i="123" s="1"/>
  <c r="N106" i="123"/>
  <c r="O106" i="123" s="1"/>
  <c r="S15" i="128"/>
  <c r="S19" i="128"/>
  <c r="S23" i="128"/>
  <c r="S27" i="128"/>
  <c r="S31" i="128"/>
  <c r="S35" i="128"/>
  <c r="S39" i="128"/>
  <c r="S43" i="128"/>
  <c r="S55" i="128"/>
  <c r="S100" i="127"/>
  <c r="S5" i="123"/>
  <c r="S9" i="123"/>
  <c r="S13" i="123"/>
  <c r="S17" i="123"/>
  <c r="S21" i="123"/>
  <c r="S25" i="123"/>
  <c r="S29" i="123"/>
  <c r="S33" i="123"/>
  <c r="S37" i="123"/>
  <c r="S41" i="123"/>
  <c r="S45" i="123"/>
  <c r="S49" i="123"/>
  <c r="S53" i="123"/>
  <c r="S57" i="123"/>
  <c r="S61" i="123"/>
  <c r="S65" i="123"/>
  <c r="S69" i="123"/>
  <c r="S73" i="123"/>
  <c r="S77" i="123"/>
  <c r="S81" i="123"/>
  <c r="S85" i="123"/>
  <c r="S89" i="123"/>
  <c r="S93" i="123"/>
  <c r="S97" i="123"/>
  <c r="S101" i="123"/>
  <c r="S105" i="123"/>
  <c r="K1" i="121"/>
  <c r="S34" i="128"/>
  <c r="S242" i="124"/>
  <c r="N239" i="124"/>
  <c r="O239" i="124" s="1"/>
  <c r="N243" i="124"/>
  <c r="O243" i="124" s="1"/>
  <c r="N19" i="128"/>
  <c r="N23" i="128"/>
  <c r="O23" i="128" s="1"/>
  <c r="N8" i="128"/>
  <c r="N12" i="128"/>
  <c r="O12" i="128" s="1"/>
  <c r="N60" i="128"/>
  <c r="N68" i="128"/>
  <c r="O68" i="128" s="1"/>
  <c r="S87" i="128"/>
  <c r="S18" i="128"/>
  <c r="S30" i="128"/>
  <c r="S14" i="128"/>
  <c r="S22" i="128"/>
  <c r="S38" i="128"/>
  <c r="S61" i="128"/>
  <c r="S81" i="128"/>
  <c r="O3" i="123"/>
  <c r="M6" i="123"/>
  <c r="O4" i="123"/>
  <c r="M4" i="123"/>
  <c r="N6" i="120"/>
  <c r="O6" i="120" s="1"/>
  <c r="N16" i="128"/>
  <c r="O16" i="128" s="1"/>
  <c r="N20" i="128"/>
  <c r="N24" i="128"/>
  <c r="O24" i="128" s="1"/>
  <c r="N28" i="128"/>
  <c r="O28" i="128" s="1"/>
  <c r="N40" i="128"/>
  <c r="O40" i="128" s="1"/>
  <c r="N44" i="128"/>
  <c r="N104" i="127"/>
  <c r="O104" i="127" s="1"/>
  <c r="S6" i="120"/>
  <c r="N102" i="127"/>
  <c r="O102" i="127" s="1"/>
  <c r="S104" i="127"/>
  <c r="N27" i="128"/>
  <c r="O27" i="128" s="1"/>
  <c r="N31" i="128"/>
  <c r="N35" i="128"/>
  <c r="O35" i="128" s="1"/>
  <c r="N43" i="128"/>
  <c r="O43" i="128" s="1"/>
  <c r="N86" i="128"/>
  <c r="O86" i="128" s="1"/>
  <c r="S241" i="124"/>
  <c r="S86" i="128"/>
  <c r="N5" i="128"/>
  <c r="N39" i="128"/>
  <c r="O39" i="128" s="1"/>
  <c r="S159" i="122"/>
  <c r="S160" i="122"/>
  <c r="S240" i="124"/>
  <c r="S85" i="128"/>
  <c r="S161" i="122"/>
  <c r="S102" i="127"/>
  <c r="S158" i="122"/>
  <c r="S103" i="127"/>
  <c r="N159" i="122"/>
  <c r="O159" i="122" s="1"/>
  <c r="N160" i="122"/>
  <c r="O160" i="122" s="1"/>
  <c r="N240" i="124"/>
  <c r="O240" i="124" s="1"/>
  <c r="N85" i="128"/>
  <c r="O85" i="128" s="1"/>
  <c r="N161" i="122"/>
  <c r="O161" i="122" s="1"/>
  <c r="N158" i="122"/>
  <c r="O158" i="122" s="1"/>
  <c r="N242" i="124"/>
  <c r="O242" i="124" s="1"/>
  <c r="N87" i="128"/>
  <c r="O87" i="128" s="1"/>
  <c r="N103" i="127"/>
  <c r="O103" i="127" s="1"/>
  <c r="N78" i="128"/>
  <c r="O78" i="128" s="1"/>
  <c r="S82" i="127"/>
  <c r="N18" i="127"/>
  <c r="O18" i="127" s="1"/>
  <c r="N87" i="127"/>
  <c r="S19" i="127"/>
  <c r="S91" i="127"/>
  <c r="S99" i="127"/>
  <c r="N107" i="127"/>
  <c r="S12" i="128"/>
  <c r="S16" i="128"/>
  <c r="S20" i="128"/>
  <c r="S24" i="128"/>
  <c r="S28" i="128"/>
  <c r="S32" i="128"/>
  <c r="S40" i="128"/>
  <c r="N9" i="128"/>
  <c r="N241" i="124"/>
  <c r="O241" i="124" s="1"/>
  <c r="N25" i="128"/>
  <c r="S98" i="127"/>
  <c r="S5" i="127"/>
  <c r="S86" i="127"/>
  <c r="S83" i="127"/>
  <c r="S4" i="128"/>
  <c r="S8" i="128"/>
  <c r="S36" i="128"/>
  <c r="S44" i="128"/>
  <c r="S6" i="127"/>
  <c r="N106" i="127"/>
  <c r="N84" i="127"/>
  <c r="O84" i="127" s="1"/>
  <c r="N88" i="127"/>
  <c r="O88" i="127" s="1"/>
  <c r="N92" i="127"/>
  <c r="O92" i="127" s="1"/>
  <c r="N96" i="127"/>
  <c r="N100" i="127"/>
  <c r="O100" i="127" s="1"/>
  <c r="N17" i="128"/>
  <c r="O17" i="128" s="1"/>
  <c r="N33" i="128"/>
  <c r="O33" i="128" s="1"/>
  <c r="N41" i="128"/>
  <c r="N5" i="127"/>
  <c r="O5" i="127" s="1"/>
  <c r="N6" i="127"/>
  <c r="O6" i="127" s="1"/>
  <c r="N47" i="128"/>
  <c r="O47" i="128" s="1"/>
  <c r="N51" i="128"/>
  <c r="O51" i="128" s="1"/>
  <c r="S50" i="128"/>
  <c r="N48" i="128"/>
  <c r="O48" i="128" s="1"/>
  <c r="N52" i="128"/>
  <c r="O52" i="128" s="1"/>
  <c r="N72" i="128"/>
  <c r="N80" i="128"/>
  <c r="O80" i="128" s="1"/>
  <c r="N84" i="128"/>
  <c r="S47" i="128"/>
  <c r="S51" i="128"/>
  <c r="N6" i="128"/>
  <c r="O6" i="128" s="1"/>
  <c r="N10" i="128"/>
  <c r="O10" i="128" s="1"/>
  <c r="N14" i="128"/>
  <c r="N18" i="128"/>
  <c r="O18" i="128" s="1"/>
  <c r="N22" i="128"/>
  <c r="O22" i="128" s="1"/>
  <c r="N26" i="128"/>
  <c r="O26" i="128" s="1"/>
  <c r="N30" i="128"/>
  <c r="N34" i="128"/>
  <c r="O34" i="128" s="1"/>
  <c r="N38" i="128"/>
  <c r="O38" i="128" s="1"/>
  <c r="N42" i="128"/>
  <c r="O42" i="128" s="1"/>
  <c r="N61" i="128"/>
  <c r="N65" i="128"/>
  <c r="O65" i="128" s="1"/>
  <c r="N69" i="128"/>
  <c r="O69" i="128" s="1"/>
  <c r="N73" i="128"/>
  <c r="O73" i="128" s="1"/>
  <c r="N77" i="128"/>
  <c r="N81" i="128"/>
  <c r="O81" i="128" s="1"/>
  <c r="N49" i="128"/>
  <c r="O49" i="128" s="1"/>
  <c r="N53" i="128"/>
  <c r="O53" i="128" s="1"/>
  <c r="S5" i="128"/>
  <c r="S9" i="128"/>
  <c r="S13" i="128"/>
  <c r="S17" i="128"/>
  <c r="S21" i="128"/>
  <c r="S25" i="128"/>
  <c r="S29" i="128"/>
  <c r="S33" i="128"/>
  <c r="S37" i="128"/>
  <c r="S41" i="128"/>
  <c r="S60" i="128"/>
  <c r="S64" i="128"/>
  <c r="S68" i="128"/>
  <c r="S72" i="128"/>
  <c r="S76" i="128"/>
  <c r="S80" i="128"/>
  <c r="S84" i="128"/>
  <c r="S48" i="128"/>
  <c r="S52" i="128"/>
  <c r="N50" i="128"/>
  <c r="O50" i="128" s="1"/>
  <c r="S49" i="128"/>
  <c r="S53" i="128"/>
  <c r="N91" i="127"/>
  <c r="O91" i="127" s="1"/>
  <c r="N95" i="127"/>
  <c r="O95" i="127" s="1"/>
  <c r="N99" i="127"/>
  <c r="O99" i="127" s="1"/>
  <c r="N83" i="127"/>
  <c r="O83" i="127" s="1"/>
  <c r="S116" i="126"/>
  <c r="S120" i="126"/>
  <c r="S46" i="127"/>
  <c r="S105" i="127"/>
  <c r="S62" i="127"/>
  <c r="S66" i="127"/>
  <c r="S70" i="127"/>
  <c r="S74" i="127"/>
  <c r="S78" i="127"/>
  <c r="K1" i="125"/>
  <c r="Q1" i="125"/>
  <c r="L1" i="125"/>
  <c r="S20" i="127"/>
  <c r="S83" i="128"/>
  <c r="S17" i="127"/>
  <c r="S45" i="128"/>
  <c r="S56" i="128"/>
  <c r="S14" i="127"/>
  <c r="S18" i="127"/>
  <c r="S22" i="127"/>
  <c r="S26" i="127"/>
  <c r="S30" i="127"/>
  <c r="S34" i="127"/>
  <c r="S38" i="127"/>
  <c r="S42" i="127"/>
  <c r="S50" i="127"/>
  <c r="S54" i="127"/>
  <c r="S58" i="127"/>
  <c r="S90" i="127"/>
  <c r="S94" i="127"/>
  <c r="N46" i="128"/>
  <c r="O46" i="128" s="1"/>
  <c r="N57" i="128"/>
  <c r="O57" i="128" s="1"/>
  <c r="N19" i="127"/>
  <c r="O19" i="127" s="1"/>
  <c r="N79" i="127"/>
  <c r="O79" i="127" s="1"/>
  <c r="N82" i="128"/>
  <c r="O82" i="128" s="1"/>
  <c r="N20" i="127"/>
  <c r="O20" i="127" s="1"/>
  <c r="N17" i="127"/>
  <c r="O17" i="127" s="1"/>
  <c r="C18" i="129"/>
  <c r="E18" i="129"/>
  <c r="D22" i="129" s="1"/>
  <c r="K18" i="129"/>
  <c r="D26" i="129" s="1"/>
  <c r="L18" i="129"/>
  <c r="M54" i="124"/>
  <c r="M214" i="124"/>
  <c r="M216" i="124"/>
  <c r="M218" i="124"/>
  <c r="M226" i="124"/>
  <c r="M230" i="124"/>
  <c r="M233" i="124"/>
  <c r="M237" i="124"/>
  <c r="M244" i="124"/>
  <c r="M246" i="124"/>
  <c r="M68" i="120"/>
  <c r="M72" i="120"/>
  <c r="M74" i="120"/>
  <c r="M86" i="120"/>
  <c r="M90" i="120"/>
  <c r="M56" i="121"/>
  <c r="M60" i="121"/>
  <c r="M89" i="122"/>
  <c r="M93" i="122"/>
  <c r="M105" i="122"/>
  <c r="M55" i="121"/>
  <c r="O155" i="122"/>
  <c r="O156" i="122"/>
  <c r="O166" i="122"/>
  <c r="O167" i="122"/>
  <c r="M113" i="122"/>
  <c r="M121" i="122"/>
  <c r="O218" i="124"/>
  <c r="O225" i="124"/>
  <c r="M34" i="120"/>
  <c r="M90" i="122"/>
  <c r="M94" i="122"/>
  <c r="M96" i="122"/>
  <c r="M106" i="122"/>
  <c r="M108" i="122"/>
  <c r="M114" i="122"/>
  <c r="M116" i="122"/>
  <c r="M118" i="122"/>
  <c r="M122" i="122"/>
  <c r="M124" i="122"/>
  <c r="M154" i="122"/>
  <c r="M252" i="124"/>
  <c r="M6" i="125"/>
  <c r="M8" i="125"/>
  <c r="M10" i="125"/>
  <c r="M12" i="125"/>
  <c r="M20" i="125"/>
  <c r="M73" i="128"/>
  <c r="M77" i="128"/>
  <c r="M81" i="128"/>
  <c r="O226" i="124"/>
  <c r="O230" i="124"/>
  <c r="O233" i="124"/>
  <c r="O237" i="124"/>
  <c r="O244" i="124"/>
  <c r="O252" i="124"/>
  <c r="O32" i="120"/>
  <c r="M163" i="124"/>
  <c r="M165" i="124"/>
  <c r="M167" i="124"/>
  <c r="M183" i="124"/>
  <c r="M185" i="124"/>
  <c r="M46" i="124"/>
  <c r="M78" i="124"/>
  <c r="O187" i="124"/>
  <c r="O193" i="124"/>
  <c r="O195" i="124"/>
  <c r="O197" i="124"/>
  <c r="O199" i="124"/>
  <c r="M206" i="124"/>
  <c r="O207" i="124"/>
  <c r="M212" i="124"/>
  <c r="M56" i="124"/>
  <c r="M58" i="124"/>
  <c r="M60" i="124"/>
  <c r="M62" i="124"/>
  <c r="M86" i="124"/>
  <c r="O27" i="125"/>
  <c r="O29" i="125"/>
  <c r="O31" i="125"/>
  <c r="O33" i="125"/>
  <c r="O111" i="125"/>
  <c r="O113" i="125"/>
  <c r="O115" i="125"/>
  <c r="O117" i="125"/>
  <c r="O119" i="125"/>
  <c r="O121" i="125"/>
  <c r="O6" i="126"/>
  <c r="O14" i="126"/>
  <c r="O16" i="126"/>
  <c r="O20" i="126"/>
  <c r="O30" i="126"/>
  <c r="O38" i="126"/>
  <c r="M49" i="126"/>
  <c r="O54" i="126"/>
  <c r="O64" i="126"/>
  <c r="O66" i="126"/>
  <c r="M71" i="126"/>
  <c r="O72" i="126"/>
  <c r="O78" i="126"/>
  <c r="M95" i="126"/>
  <c r="M113" i="126"/>
  <c r="M119" i="126"/>
  <c r="O58" i="128"/>
  <c r="M67" i="120"/>
  <c r="M85" i="120"/>
  <c r="M89" i="120"/>
  <c r="R56" i="121"/>
  <c r="M57" i="121"/>
  <c r="R60" i="121"/>
  <c r="M61" i="121"/>
  <c r="O3" i="122"/>
  <c r="O5" i="122"/>
  <c r="O7" i="122"/>
  <c r="O71" i="122"/>
  <c r="O73" i="122"/>
  <c r="M84" i="122"/>
  <c r="M88" i="122"/>
  <c r="O105" i="122"/>
  <c r="O107" i="122"/>
  <c r="O109" i="122"/>
  <c r="O111" i="122"/>
  <c r="O113" i="122"/>
  <c r="O117" i="122"/>
  <c r="O119" i="122"/>
  <c r="O210" i="124"/>
  <c r="M46" i="120"/>
  <c r="M50" i="120"/>
  <c r="M62" i="120"/>
  <c r="M66" i="120"/>
  <c r="O79" i="120"/>
  <c r="O89" i="120"/>
  <c r="M3" i="125"/>
  <c r="M13" i="125"/>
  <c r="M15" i="125"/>
  <c r="M19" i="125"/>
  <c r="M26" i="126"/>
  <c r="M30" i="126"/>
  <c r="M38" i="126"/>
  <c r="M48" i="126"/>
  <c r="M74" i="126"/>
  <c r="M82" i="126"/>
  <c r="M86" i="126"/>
  <c r="M90" i="126"/>
  <c r="M94" i="126"/>
  <c r="M102" i="126"/>
  <c r="M20" i="127"/>
  <c r="R105" i="122"/>
  <c r="R188" i="124"/>
  <c r="R45" i="124"/>
  <c r="R53" i="124"/>
  <c r="R171" i="124"/>
  <c r="R179" i="124"/>
  <c r="J18" i="129"/>
  <c r="D25" i="129" s="1"/>
  <c r="H18" i="129"/>
  <c r="D23" i="129" s="1"/>
  <c r="G18" i="129"/>
  <c r="R213" i="124"/>
  <c r="R229" i="124"/>
  <c r="R105" i="125"/>
  <c r="R149" i="125"/>
  <c r="R159" i="125"/>
  <c r="R165" i="125"/>
  <c r="R52" i="126"/>
  <c r="R72" i="126"/>
  <c r="R76" i="126"/>
  <c r="R61" i="120"/>
  <c r="R65" i="120"/>
  <c r="R87" i="122"/>
  <c r="R30" i="127"/>
  <c r="R38" i="127"/>
  <c r="R46" i="127"/>
  <c r="R54" i="127"/>
  <c r="R58" i="127"/>
  <c r="R74" i="127"/>
  <c r="O61" i="126"/>
  <c r="M36" i="120"/>
  <c r="M40" i="120"/>
  <c r="M42" i="120"/>
  <c r="M52" i="120"/>
  <c r="M56" i="120"/>
  <c r="M58" i="120"/>
  <c r="M78" i="120"/>
  <c r="M82" i="120"/>
  <c r="M31" i="121"/>
  <c r="M4" i="122"/>
  <c r="R5" i="122"/>
  <c r="M6" i="122"/>
  <c r="M8" i="122"/>
  <c r="M24" i="122"/>
  <c r="R25" i="122"/>
  <c r="M26" i="122"/>
  <c r="M28" i="122"/>
  <c r="M30" i="122"/>
  <c r="M32" i="122"/>
  <c r="M34" i="122"/>
  <c r="R35" i="122"/>
  <c r="M36" i="122"/>
  <c r="M38" i="122"/>
  <c r="R39" i="122"/>
  <c r="M40" i="122"/>
  <c r="M42" i="122"/>
  <c r="M44" i="122"/>
  <c r="M46" i="122"/>
  <c r="M48" i="122"/>
  <c r="R49" i="122"/>
  <c r="M50" i="122"/>
  <c r="M52" i="122"/>
  <c r="M54" i="122"/>
  <c r="M56" i="122"/>
  <c r="M58" i="122"/>
  <c r="M60" i="122"/>
  <c r="M62" i="122"/>
  <c r="R63" i="122"/>
  <c r="M64" i="122"/>
  <c r="M66" i="122"/>
  <c r="M68" i="122"/>
  <c r="R69" i="122"/>
  <c r="M78" i="122"/>
  <c r="M80" i="122"/>
  <c r="O36" i="120"/>
  <c r="O40" i="120"/>
  <c r="O60" i="120"/>
  <c r="O64" i="120"/>
  <c r="O51" i="121"/>
  <c r="O53" i="121"/>
  <c r="O82" i="122"/>
  <c r="O86" i="122"/>
  <c r="O87" i="122"/>
  <c r="O68" i="120"/>
  <c r="O72" i="120"/>
  <c r="R77" i="120"/>
  <c r="O57" i="121"/>
  <c r="O61" i="121"/>
  <c r="O63" i="121"/>
  <c r="O65" i="121"/>
  <c r="O67" i="121"/>
  <c r="O69" i="121"/>
  <c r="O71" i="121"/>
  <c r="O73" i="121"/>
  <c r="O75" i="121"/>
  <c r="O77" i="121"/>
  <c r="O79" i="121"/>
  <c r="O81" i="121"/>
  <c r="O83" i="121"/>
  <c r="O85" i="121"/>
  <c r="O87" i="121"/>
  <c r="O89" i="121"/>
  <c r="O91" i="121"/>
  <c r="O93" i="121"/>
  <c r="O95" i="121"/>
  <c r="O97" i="121"/>
  <c r="O99" i="121"/>
  <c r="O101" i="121"/>
  <c r="O103" i="121"/>
  <c r="O105" i="121"/>
  <c r="O107" i="121"/>
  <c r="M3" i="122"/>
  <c r="M5" i="122"/>
  <c r="M7" i="122"/>
  <c r="R8" i="122"/>
  <c r="M23" i="122"/>
  <c r="M25" i="122"/>
  <c r="M27" i="122"/>
  <c r="M29" i="122"/>
  <c r="M31" i="122"/>
  <c r="M33" i="122"/>
  <c r="M35" i="122"/>
  <c r="M49" i="122"/>
  <c r="M51" i="122"/>
  <c r="M53" i="122"/>
  <c r="M55" i="122"/>
  <c r="R56" i="122"/>
  <c r="M57" i="122"/>
  <c r="R58" i="122"/>
  <c r="M59" i="122"/>
  <c r="M61" i="122"/>
  <c r="M63" i="122"/>
  <c r="M65" i="122"/>
  <c r="M67" i="122"/>
  <c r="M69" i="122"/>
  <c r="M77" i="122"/>
  <c r="O90" i="122"/>
  <c r="O94" i="122"/>
  <c r="M88" i="124"/>
  <c r="M90" i="124"/>
  <c r="M92" i="124"/>
  <c r="M94" i="124"/>
  <c r="M96" i="124"/>
  <c r="M98" i="124"/>
  <c r="M100" i="124"/>
  <c r="M102" i="124"/>
  <c r="M104" i="124"/>
  <c r="M106" i="124"/>
  <c r="M108" i="124"/>
  <c r="M110" i="124"/>
  <c r="M112" i="124"/>
  <c r="M162" i="124"/>
  <c r="M164" i="124"/>
  <c r="M166" i="124"/>
  <c r="M168" i="124"/>
  <c r="M170" i="124"/>
  <c r="M172" i="124"/>
  <c r="M174" i="124"/>
  <c r="M176" i="124"/>
  <c r="M178" i="124"/>
  <c r="M180" i="124"/>
  <c r="M182" i="124"/>
  <c r="M184" i="124"/>
  <c r="M186" i="124"/>
  <c r="M188" i="124"/>
  <c r="M190" i="124"/>
  <c r="M249" i="124"/>
  <c r="M54" i="127"/>
  <c r="M88" i="127"/>
  <c r="M92" i="127"/>
  <c r="M96" i="127"/>
  <c r="M100" i="127"/>
  <c r="O95" i="122"/>
  <c r="R103" i="122"/>
  <c r="O126" i="122"/>
  <c r="R127" i="122"/>
  <c r="O128" i="122"/>
  <c r="R129" i="122"/>
  <c r="O130" i="122"/>
  <c r="O134" i="122"/>
  <c r="O136" i="122"/>
  <c r="R137" i="122"/>
  <c r="O139" i="122"/>
  <c r="O140" i="122"/>
  <c r="O144" i="122"/>
  <c r="R145" i="122"/>
  <c r="O147" i="122"/>
  <c r="O148" i="122"/>
  <c r="O152" i="122"/>
  <c r="O153" i="122"/>
  <c r="R153" i="122"/>
  <c r="M156" i="122"/>
  <c r="M162" i="122"/>
  <c r="M166" i="122"/>
  <c r="M168" i="122"/>
  <c r="M38" i="124"/>
  <c r="M48" i="124"/>
  <c r="M50" i="124"/>
  <c r="M52" i="124"/>
  <c r="R113" i="124"/>
  <c r="O190" i="124"/>
  <c r="R201" i="124"/>
  <c r="R203" i="124"/>
  <c r="R205" i="124"/>
  <c r="O215" i="124"/>
  <c r="O223" i="124"/>
  <c r="M224" i="124"/>
  <c r="M4" i="125"/>
  <c r="M27" i="125"/>
  <c r="M29" i="125"/>
  <c r="M31" i="125"/>
  <c r="M33" i="125"/>
  <c r="R36" i="125"/>
  <c r="R40" i="125"/>
  <c r="R44" i="125"/>
  <c r="R48" i="125"/>
  <c r="R52" i="125"/>
  <c r="R56" i="125"/>
  <c r="R60" i="125"/>
  <c r="R66" i="125"/>
  <c r="R70" i="125"/>
  <c r="R74" i="125"/>
  <c r="R78" i="125"/>
  <c r="R84" i="125"/>
  <c r="R92" i="125"/>
  <c r="R98" i="125"/>
  <c r="R102" i="125"/>
  <c r="R106" i="125"/>
  <c r="M111" i="125"/>
  <c r="R124" i="125"/>
  <c r="R128" i="125"/>
  <c r="R132" i="125"/>
  <c r="R136" i="125"/>
  <c r="R142" i="125"/>
  <c r="R146" i="125"/>
  <c r="R150" i="125"/>
  <c r="O28" i="127"/>
  <c r="O54" i="127"/>
  <c r="O60" i="127"/>
  <c r="O76" i="127"/>
  <c r="M100" i="122"/>
  <c r="M104" i="122"/>
  <c r="R126" i="122"/>
  <c r="R128" i="122"/>
  <c r="R130" i="122"/>
  <c r="M132" i="122"/>
  <c r="M138" i="122"/>
  <c r="M142" i="122"/>
  <c r="M146" i="122"/>
  <c r="M150" i="122"/>
  <c r="M64" i="124"/>
  <c r="M66" i="124"/>
  <c r="M68" i="124"/>
  <c r="M70" i="124"/>
  <c r="M80" i="124"/>
  <c r="M82" i="124"/>
  <c r="M84" i="124"/>
  <c r="R3" i="125"/>
  <c r="R19" i="125"/>
  <c r="M22" i="125"/>
  <c r="M24" i="125"/>
  <c r="M82" i="125"/>
  <c r="M84" i="125"/>
  <c r="M86" i="125"/>
  <c r="M88" i="125"/>
  <c r="M90" i="125"/>
  <c r="M92" i="125"/>
  <c r="M94" i="125"/>
  <c r="M96" i="125"/>
  <c r="M98" i="125"/>
  <c r="M100" i="125"/>
  <c r="M102" i="125"/>
  <c r="M104" i="125"/>
  <c r="M106" i="125"/>
  <c r="M108" i="125"/>
  <c r="M110" i="125"/>
  <c r="M124" i="125"/>
  <c r="M126" i="125"/>
  <c r="M128" i="125"/>
  <c r="M130" i="125"/>
  <c r="M132" i="125"/>
  <c r="M134" i="125"/>
  <c r="M136" i="125"/>
  <c r="M138" i="125"/>
  <c r="M140" i="125"/>
  <c r="M142" i="125"/>
  <c r="M144" i="125"/>
  <c r="M146" i="125"/>
  <c r="M148" i="125"/>
  <c r="M150" i="125"/>
  <c r="M152" i="125"/>
  <c r="M154" i="125"/>
  <c r="M156" i="125"/>
  <c r="M158" i="125"/>
  <c r="M160" i="125"/>
  <c r="M162" i="125"/>
  <c r="M164" i="125"/>
  <c r="M166" i="125"/>
  <c r="M9" i="120"/>
  <c r="M11" i="120"/>
  <c r="M13" i="120"/>
  <c r="M15" i="120"/>
  <c r="M44" i="120"/>
  <c r="M48" i="120"/>
  <c r="M54" i="120"/>
  <c r="M76" i="120"/>
  <c r="M80" i="120"/>
  <c r="M88" i="120"/>
  <c r="M32" i="121"/>
  <c r="R64" i="121"/>
  <c r="R68" i="121"/>
  <c r="R72" i="121"/>
  <c r="R76" i="121"/>
  <c r="R80" i="121"/>
  <c r="R12" i="122"/>
  <c r="R16" i="122"/>
  <c r="R22" i="122"/>
  <c r="M76" i="122"/>
  <c r="M81" i="122"/>
  <c r="M85" i="122"/>
  <c r="R95" i="122"/>
  <c r="M98" i="122"/>
  <c r="M102" i="122"/>
  <c r="R108" i="122"/>
  <c r="M112" i="122"/>
  <c r="M120" i="122"/>
  <c r="M139" i="122"/>
  <c r="M143" i="122"/>
  <c r="M147" i="122"/>
  <c r="M151" i="122"/>
  <c r="R167" i="122"/>
  <c r="M170" i="122"/>
  <c r="M4" i="120"/>
  <c r="O7" i="120"/>
  <c r="O11" i="120"/>
  <c r="O15" i="120"/>
  <c r="O19" i="120"/>
  <c r="O21" i="120"/>
  <c r="O23" i="120"/>
  <c r="O25" i="120"/>
  <c r="O27" i="120"/>
  <c r="O29" i="120"/>
  <c r="O44" i="120"/>
  <c r="O48" i="120"/>
  <c r="O63" i="120"/>
  <c r="O76" i="120"/>
  <c r="O80" i="120"/>
  <c r="O98" i="122"/>
  <c r="O102" i="122"/>
  <c r="O103" i="122"/>
  <c r="O125" i="122"/>
  <c r="O127" i="122"/>
  <c r="O131" i="122"/>
  <c r="O135" i="122"/>
  <c r="M155" i="122"/>
  <c r="M165" i="122"/>
  <c r="O169" i="122"/>
  <c r="O170" i="122"/>
  <c r="O16" i="124"/>
  <c r="O18" i="124"/>
  <c r="O20" i="124"/>
  <c r="R21" i="124"/>
  <c r="M7" i="120"/>
  <c r="O4" i="120"/>
  <c r="O9" i="120"/>
  <c r="O13" i="120"/>
  <c r="O17" i="120"/>
  <c r="M5" i="120"/>
  <c r="R7" i="120"/>
  <c r="M8" i="120"/>
  <c r="M10" i="120"/>
  <c r="M12" i="120"/>
  <c r="R13" i="120"/>
  <c r="M14" i="120"/>
  <c r="R15" i="120"/>
  <c r="M16" i="120"/>
  <c r="M18" i="120"/>
  <c r="R19" i="120"/>
  <c r="M20" i="120"/>
  <c r="M22" i="120"/>
  <c r="M24" i="120"/>
  <c r="M26" i="120"/>
  <c r="R27" i="120"/>
  <c r="M28" i="120"/>
  <c r="M30" i="120"/>
  <c r="M32" i="120"/>
  <c r="M38" i="120"/>
  <c r="O52" i="120"/>
  <c r="O56" i="120"/>
  <c r="M60" i="120"/>
  <c r="M64" i="120"/>
  <c r="M70" i="120"/>
  <c r="O71" i="120"/>
  <c r="M75" i="120"/>
  <c r="M79" i="120"/>
  <c r="O86" i="120"/>
  <c r="R87" i="120"/>
  <c r="O90" i="120"/>
  <c r="R32" i="121"/>
  <c r="M51" i="121"/>
  <c r="M53" i="121"/>
  <c r="M59" i="121"/>
  <c r="O10" i="122"/>
  <c r="O12" i="122"/>
  <c r="O14" i="122"/>
  <c r="O16" i="122"/>
  <c r="O18" i="122"/>
  <c r="O20" i="122"/>
  <c r="O22" i="122"/>
  <c r="O24" i="122"/>
  <c r="O26" i="122"/>
  <c r="O28" i="122"/>
  <c r="O30" i="122"/>
  <c r="O32" i="122"/>
  <c r="O34" i="122"/>
  <c r="O36" i="122"/>
  <c r="O38" i="122"/>
  <c r="O40" i="122"/>
  <c r="O42" i="122"/>
  <c r="O44" i="122"/>
  <c r="O46" i="122"/>
  <c r="O48" i="122"/>
  <c r="O50" i="122"/>
  <c r="O52" i="122"/>
  <c r="O54" i="122"/>
  <c r="O56" i="122"/>
  <c r="O58" i="122"/>
  <c r="O60" i="122"/>
  <c r="O62" i="122"/>
  <c r="O64" i="122"/>
  <c r="O68" i="122"/>
  <c r="R73" i="122"/>
  <c r="O78" i="122"/>
  <c r="O79" i="122"/>
  <c r="R79" i="122"/>
  <c r="M82" i="122"/>
  <c r="M86" i="122"/>
  <c r="M92" i="122"/>
  <c r="M97" i="122"/>
  <c r="M101" i="122"/>
  <c r="O108" i="122"/>
  <c r="O116" i="122"/>
  <c r="O118" i="122"/>
  <c r="O121" i="122"/>
  <c r="O122" i="122"/>
  <c r="R123" i="122"/>
  <c r="M126" i="122"/>
  <c r="M128" i="122"/>
  <c r="M130" i="122"/>
  <c r="M134" i="122"/>
  <c r="M136" i="122"/>
  <c r="M140" i="122"/>
  <c r="M144" i="122"/>
  <c r="M148" i="122"/>
  <c r="M152" i="122"/>
  <c r="M169" i="122"/>
  <c r="O22" i="124"/>
  <c r="O24" i="124"/>
  <c r="O26" i="124"/>
  <c r="O28" i="124"/>
  <c r="R29" i="124"/>
  <c r="O30" i="124"/>
  <c r="R31" i="124"/>
  <c r="O32" i="124"/>
  <c r="M35" i="124"/>
  <c r="R35" i="124"/>
  <c r="R37" i="124"/>
  <c r="M40" i="124"/>
  <c r="M42" i="124"/>
  <c r="M44" i="124"/>
  <c r="M72" i="124"/>
  <c r="M74" i="124"/>
  <c r="M76" i="124"/>
  <c r="M101" i="124"/>
  <c r="M103" i="124"/>
  <c r="M105" i="124"/>
  <c r="M107" i="124"/>
  <c r="M109" i="124"/>
  <c r="R110" i="124"/>
  <c r="M111" i="124"/>
  <c r="M113" i="124"/>
  <c r="O114" i="124"/>
  <c r="O116" i="124"/>
  <c r="O118" i="124"/>
  <c r="O120" i="124"/>
  <c r="R121" i="124"/>
  <c r="O122" i="124"/>
  <c r="O124" i="124"/>
  <c r="O126" i="124"/>
  <c r="O128" i="124"/>
  <c r="R129" i="124"/>
  <c r="O130" i="124"/>
  <c r="O132" i="124"/>
  <c r="O134" i="124"/>
  <c r="O136" i="124"/>
  <c r="R137" i="124"/>
  <c r="O138" i="124"/>
  <c r="R139" i="124"/>
  <c r="O140" i="124"/>
  <c r="O142" i="124"/>
  <c r="R143" i="124"/>
  <c r="O144" i="124"/>
  <c r="O146" i="124"/>
  <c r="O148" i="124"/>
  <c r="O150" i="124"/>
  <c r="R151" i="124"/>
  <c r="O152" i="124"/>
  <c r="O154" i="124"/>
  <c r="O156" i="124"/>
  <c r="O158" i="124"/>
  <c r="O160" i="124"/>
  <c r="R161" i="124"/>
  <c r="O162" i="124"/>
  <c r="O164" i="124"/>
  <c r="O166" i="124"/>
  <c r="O168" i="124"/>
  <c r="O170" i="124"/>
  <c r="O172" i="124"/>
  <c r="O174" i="124"/>
  <c r="O176" i="124"/>
  <c r="O178" i="124"/>
  <c r="O180" i="124"/>
  <c r="O182" i="124"/>
  <c r="O184" i="124"/>
  <c r="O185" i="124"/>
  <c r="O186" i="124"/>
  <c r="O188" i="124"/>
  <c r="M192" i="124"/>
  <c r="R193" i="124"/>
  <c r="M196" i="124"/>
  <c r="M200" i="124"/>
  <c r="O212" i="124"/>
  <c r="O214" i="124"/>
  <c r="O216" i="124"/>
  <c r="M220" i="124"/>
  <c r="O227" i="124"/>
  <c r="O91" i="124"/>
  <c r="O93" i="124"/>
  <c r="O95" i="124"/>
  <c r="O97" i="124"/>
  <c r="O99" i="124"/>
  <c r="O101" i="124"/>
  <c r="O103" i="124"/>
  <c r="O105" i="124"/>
  <c r="O107" i="124"/>
  <c r="O109" i="124"/>
  <c r="O111" i="124"/>
  <c r="O113" i="124"/>
  <c r="O192" i="124"/>
  <c r="O200" i="124"/>
  <c r="O202" i="124"/>
  <c r="O204" i="124"/>
  <c r="O205" i="124"/>
  <c r="O220" i="124"/>
  <c r="R99" i="124"/>
  <c r="R101" i="124"/>
  <c r="R103" i="124"/>
  <c r="R105" i="124"/>
  <c r="R107" i="124"/>
  <c r="R109" i="124"/>
  <c r="M199" i="124"/>
  <c r="O206" i="124"/>
  <c r="M208" i="124"/>
  <c r="M223" i="124"/>
  <c r="O224" i="124"/>
  <c r="R245" i="124"/>
  <c r="O105" i="126"/>
  <c r="O106" i="126"/>
  <c r="O111" i="126"/>
  <c r="O113" i="126"/>
  <c r="M84" i="127"/>
  <c r="M5" i="125"/>
  <c r="M7" i="125"/>
  <c r="M11" i="125"/>
  <c r="R11" i="125"/>
  <c r="M14" i="125"/>
  <c r="M16" i="125"/>
  <c r="M18" i="125"/>
  <c r="R34" i="125"/>
  <c r="M6" i="126"/>
  <c r="M14" i="126"/>
  <c r="M20" i="126"/>
  <c r="O14" i="128"/>
  <c r="O246" i="124"/>
  <c r="O250" i="124"/>
  <c r="M21" i="125"/>
  <c r="M23" i="125"/>
  <c r="O36" i="125"/>
  <c r="O38" i="125"/>
  <c r="O40" i="125"/>
  <c r="O42" i="125"/>
  <c r="O44" i="125"/>
  <c r="O46" i="125"/>
  <c r="O48" i="125"/>
  <c r="O50" i="125"/>
  <c r="O52" i="125"/>
  <c r="O54" i="125"/>
  <c r="O56" i="125"/>
  <c r="O58" i="125"/>
  <c r="O60" i="125"/>
  <c r="O62" i="125"/>
  <c r="R63" i="125"/>
  <c r="O64" i="125"/>
  <c r="R65" i="125"/>
  <c r="O66" i="125"/>
  <c r="R67" i="125"/>
  <c r="O68" i="125"/>
  <c r="O70" i="125"/>
  <c r="R71" i="125"/>
  <c r="O72" i="125"/>
  <c r="O74" i="125"/>
  <c r="O76" i="125"/>
  <c r="R77" i="125"/>
  <c r="O78" i="125"/>
  <c r="O80" i="125"/>
  <c r="R81" i="125"/>
  <c r="O82" i="125"/>
  <c r="O84" i="125"/>
  <c r="O86" i="125"/>
  <c r="O88" i="125"/>
  <c r="O90" i="125"/>
  <c r="O92" i="125"/>
  <c r="O94" i="125"/>
  <c r="O96" i="125"/>
  <c r="O98" i="125"/>
  <c r="O100" i="125"/>
  <c r="O102" i="125"/>
  <c r="O104" i="125"/>
  <c r="O106" i="125"/>
  <c r="O108" i="125"/>
  <c r="O110" i="125"/>
  <c r="O124" i="125"/>
  <c r="O126" i="125"/>
  <c r="O128" i="125"/>
  <c r="O130" i="125"/>
  <c r="O132" i="125"/>
  <c r="O134" i="125"/>
  <c r="O136" i="125"/>
  <c r="O138" i="125"/>
  <c r="O140" i="125"/>
  <c r="O142" i="125"/>
  <c r="O144" i="125"/>
  <c r="O146" i="125"/>
  <c r="O148" i="125"/>
  <c r="O150" i="125"/>
  <c r="O152" i="125"/>
  <c r="O154" i="125"/>
  <c r="O156" i="125"/>
  <c r="O158" i="125"/>
  <c r="O160" i="125"/>
  <c r="O162" i="125"/>
  <c r="O164" i="125"/>
  <c r="O166" i="125"/>
  <c r="M103" i="126"/>
  <c r="O5" i="120"/>
  <c r="O8" i="120"/>
  <c r="O10" i="120"/>
  <c r="O12" i="120"/>
  <c r="O14" i="120"/>
  <c r="O16" i="120"/>
  <c r="O18" i="120"/>
  <c r="O20" i="120"/>
  <c r="O22" i="120"/>
  <c r="O24" i="120"/>
  <c r="O26" i="120"/>
  <c r="O28" i="120"/>
  <c r="R29" i="120"/>
  <c r="O30" i="120"/>
  <c r="R33" i="120"/>
  <c r="O38" i="120"/>
  <c r="R41" i="120"/>
  <c r="O46" i="120"/>
  <c r="R49" i="120"/>
  <c r="O54" i="120"/>
  <c r="R57" i="120"/>
  <c r="O62" i="120"/>
  <c r="O67" i="120"/>
  <c r="O70" i="120"/>
  <c r="R71" i="120"/>
  <c r="O75" i="120"/>
  <c r="O78" i="120"/>
  <c r="R79" i="120"/>
  <c r="O85" i="120"/>
  <c r="O88" i="120"/>
  <c r="M52" i="121"/>
  <c r="M58" i="121"/>
  <c r="O59" i="121"/>
  <c r="M63" i="121"/>
  <c r="M65" i="121"/>
  <c r="M67" i="121"/>
  <c r="M69" i="121"/>
  <c r="M71" i="121"/>
  <c r="M73" i="121"/>
  <c r="M75" i="121"/>
  <c r="M77" i="121"/>
  <c r="M79" i="121"/>
  <c r="M81" i="121"/>
  <c r="M83" i="121"/>
  <c r="M85" i="121"/>
  <c r="M87" i="121"/>
  <c r="M89" i="121"/>
  <c r="M91" i="121"/>
  <c r="M93" i="121"/>
  <c r="M95" i="121"/>
  <c r="M97" i="121"/>
  <c r="M99" i="121"/>
  <c r="M101" i="121"/>
  <c r="M103" i="121"/>
  <c r="M105" i="121"/>
  <c r="M107" i="121"/>
  <c r="O4" i="122"/>
  <c r="O6" i="122"/>
  <c r="O8" i="122"/>
  <c r="R9" i="122"/>
  <c r="M10" i="122"/>
  <c r="R11" i="122"/>
  <c r="M12" i="122"/>
  <c r="R13" i="122"/>
  <c r="M14" i="122"/>
  <c r="R12" i="120"/>
  <c r="R14" i="120"/>
  <c r="R18" i="120"/>
  <c r="O34" i="120"/>
  <c r="R37" i="120"/>
  <c r="O42" i="120"/>
  <c r="R45" i="120"/>
  <c r="O50" i="120"/>
  <c r="R53" i="120"/>
  <c r="O58" i="120"/>
  <c r="O66" i="120"/>
  <c r="R67" i="120"/>
  <c r="O74" i="120"/>
  <c r="O82" i="120"/>
  <c r="R85" i="120"/>
  <c r="O31" i="121"/>
  <c r="M54" i="121"/>
  <c r="O55" i="121"/>
  <c r="M64" i="121"/>
  <c r="M66" i="121"/>
  <c r="M68" i="121"/>
  <c r="M70" i="121"/>
  <c r="M72" i="121"/>
  <c r="M74" i="121"/>
  <c r="M76" i="121"/>
  <c r="M78" i="121"/>
  <c r="M80" i="121"/>
  <c r="M82" i="121"/>
  <c r="M84" i="121"/>
  <c r="M86" i="121"/>
  <c r="M88" i="121"/>
  <c r="M90" i="121"/>
  <c r="M92" i="121"/>
  <c r="M94" i="121"/>
  <c r="M96" i="121"/>
  <c r="M98" i="121"/>
  <c r="M100" i="121"/>
  <c r="M102" i="121"/>
  <c r="M104" i="121"/>
  <c r="M106" i="121"/>
  <c r="M108" i="121"/>
  <c r="M9" i="122"/>
  <c r="M11" i="122"/>
  <c r="M13" i="122"/>
  <c r="O65" i="120"/>
  <c r="O73" i="120"/>
  <c r="O77" i="120"/>
  <c r="O64" i="121"/>
  <c r="O66" i="121"/>
  <c r="O68" i="121"/>
  <c r="O70" i="121"/>
  <c r="O72" i="121"/>
  <c r="O74" i="121"/>
  <c r="O76" i="121"/>
  <c r="O78" i="121"/>
  <c r="O80" i="121"/>
  <c r="O82" i="121"/>
  <c r="O84" i="121"/>
  <c r="O86" i="121"/>
  <c r="O88" i="121"/>
  <c r="O90" i="121"/>
  <c r="O92" i="121"/>
  <c r="O94" i="121"/>
  <c r="O96" i="121"/>
  <c r="O98" i="121"/>
  <c r="O100" i="121"/>
  <c r="O102" i="121"/>
  <c r="O104" i="121"/>
  <c r="O106" i="121"/>
  <c r="O108" i="121"/>
  <c r="O9" i="122"/>
  <c r="O11" i="122"/>
  <c r="O13" i="122"/>
  <c r="O15" i="122"/>
  <c r="M15" i="122"/>
  <c r="M17" i="122"/>
  <c r="M19" i="122"/>
  <c r="M21" i="122"/>
  <c r="R37" i="122"/>
  <c r="R53" i="122"/>
  <c r="R59" i="122"/>
  <c r="R61" i="122"/>
  <c r="O66" i="122"/>
  <c r="M70" i="122"/>
  <c r="R71" i="122"/>
  <c r="M72" i="122"/>
  <c r="M74" i="122"/>
  <c r="M79" i="122"/>
  <c r="O80" i="122"/>
  <c r="M87" i="122"/>
  <c r="O88" i="122"/>
  <c r="M95" i="122"/>
  <c r="O96" i="122"/>
  <c r="M103" i="122"/>
  <c r="O104" i="122"/>
  <c r="O106" i="122"/>
  <c r="R107" i="122"/>
  <c r="M110" i="122"/>
  <c r="O124" i="122"/>
  <c r="M135" i="122"/>
  <c r="M141" i="122"/>
  <c r="O142" i="122"/>
  <c r="M149" i="122"/>
  <c r="O150" i="122"/>
  <c r="M157" i="122"/>
  <c r="O162" i="122"/>
  <c r="M3" i="123"/>
  <c r="O17" i="122"/>
  <c r="O19" i="122"/>
  <c r="O21" i="122"/>
  <c r="O70" i="122"/>
  <c r="O72" i="122"/>
  <c r="O74" i="122"/>
  <c r="O110" i="122"/>
  <c r="O137" i="122"/>
  <c r="O145" i="122"/>
  <c r="M16" i="122"/>
  <c r="M18" i="122"/>
  <c r="R19" i="122"/>
  <c r="M20" i="122"/>
  <c r="M22" i="122"/>
  <c r="O23" i="122"/>
  <c r="R24" i="122"/>
  <c r="O25" i="122"/>
  <c r="O27" i="122"/>
  <c r="O29" i="122"/>
  <c r="R30" i="122"/>
  <c r="O31" i="122"/>
  <c r="R32" i="122"/>
  <c r="O33" i="122"/>
  <c r="O35" i="122"/>
  <c r="O37" i="122"/>
  <c r="R38" i="122"/>
  <c r="O39" i="122"/>
  <c r="O41" i="122"/>
  <c r="R42" i="122"/>
  <c r="O43" i="122"/>
  <c r="O45" i="122"/>
  <c r="O47" i="122"/>
  <c r="O49" i="122"/>
  <c r="O51" i="122"/>
  <c r="O53" i="122"/>
  <c r="O55" i="122"/>
  <c r="O57" i="122"/>
  <c r="O59" i="122"/>
  <c r="O61" i="122"/>
  <c r="O63" i="122"/>
  <c r="O65" i="122"/>
  <c r="O67" i="122"/>
  <c r="R68" i="122"/>
  <c r="O69" i="122"/>
  <c r="M71" i="122"/>
  <c r="M73" i="122"/>
  <c r="M75" i="122"/>
  <c r="O76" i="122"/>
  <c r="O77" i="122"/>
  <c r="M83" i="122"/>
  <c r="O84" i="122"/>
  <c r="O85" i="122"/>
  <c r="M91" i="122"/>
  <c r="O92" i="122"/>
  <c r="O93" i="122"/>
  <c r="M99" i="122"/>
  <c r="O100" i="122"/>
  <c r="O101" i="122"/>
  <c r="R104" i="122"/>
  <c r="M109" i="122"/>
  <c r="O112" i="122"/>
  <c r="R113" i="122"/>
  <c r="O114" i="122"/>
  <c r="M119" i="122"/>
  <c r="O120" i="122"/>
  <c r="R121" i="122"/>
  <c r="M127" i="122"/>
  <c r="M131" i="122"/>
  <c r="O132" i="122"/>
  <c r="O138" i="122"/>
  <c r="R139" i="122"/>
  <c r="M145" i="122"/>
  <c r="O146" i="122"/>
  <c r="R147" i="122"/>
  <c r="M153" i="122"/>
  <c r="O154" i="122"/>
  <c r="R155" i="122"/>
  <c r="M167" i="122"/>
  <c r="O168" i="122"/>
  <c r="R169" i="122"/>
  <c r="M16" i="124"/>
  <c r="M18" i="124"/>
  <c r="M20" i="124"/>
  <c r="M22" i="124"/>
  <c r="M24" i="124"/>
  <c r="R25" i="124"/>
  <c r="M26" i="124"/>
  <c r="M28" i="124"/>
  <c r="M30" i="124"/>
  <c r="M32" i="124"/>
  <c r="R33" i="124"/>
  <c r="M34" i="124"/>
  <c r="M36" i="124"/>
  <c r="R43" i="124"/>
  <c r="R51" i="124"/>
  <c r="O92" i="124"/>
  <c r="R93" i="124"/>
  <c r="O94" i="124"/>
  <c r="O96" i="124"/>
  <c r="O98" i="124"/>
  <c r="O100" i="124"/>
  <c r="O102" i="124"/>
  <c r="O104" i="124"/>
  <c r="O106" i="124"/>
  <c r="O108" i="124"/>
  <c r="O110" i="124"/>
  <c r="O112" i="124"/>
  <c r="M114" i="124"/>
  <c r="M116" i="124"/>
  <c r="M118" i="124"/>
  <c r="M120" i="124"/>
  <c r="M122" i="124"/>
  <c r="M124" i="124"/>
  <c r="R125" i="124"/>
  <c r="M126" i="124"/>
  <c r="M128" i="124"/>
  <c r="M130" i="124"/>
  <c r="M132" i="124"/>
  <c r="R133" i="124"/>
  <c r="M134" i="124"/>
  <c r="M136" i="124"/>
  <c r="M138" i="124"/>
  <c r="M140" i="124"/>
  <c r="R141" i="124"/>
  <c r="M142" i="124"/>
  <c r="M144" i="124"/>
  <c r="M146" i="124"/>
  <c r="M148" i="124"/>
  <c r="R149" i="124"/>
  <c r="M150" i="124"/>
  <c r="M152" i="124"/>
  <c r="R153" i="124"/>
  <c r="M154" i="124"/>
  <c r="M156" i="124"/>
  <c r="M158" i="124"/>
  <c r="M160" i="124"/>
  <c r="O163" i="124"/>
  <c r="O165" i="124"/>
  <c r="O167" i="124"/>
  <c r="O169" i="124"/>
  <c r="R170" i="124"/>
  <c r="O171" i="124"/>
  <c r="O173" i="124"/>
  <c r="O175" i="124"/>
  <c r="O177" i="124"/>
  <c r="R178" i="124"/>
  <c r="O179" i="124"/>
  <c r="O181" i="124"/>
  <c r="O183" i="124"/>
  <c r="M187" i="124"/>
  <c r="O191" i="124"/>
  <c r="M195" i="124"/>
  <c r="O196" i="124"/>
  <c r="O198" i="124"/>
  <c r="R199" i="124"/>
  <c r="M202" i="124"/>
  <c r="M204" i="124"/>
  <c r="R219" i="124"/>
  <c r="M222" i="124"/>
  <c r="M232" i="124"/>
  <c r="M211" i="124"/>
  <c r="R228" i="124"/>
  <c r="O232" i="124"/>
  <c r="M238" i="124"/>
  <c r="M248" i="124"/>
  <c r="M250" i="124"/>
  <c r="M3" i="124"/>
  <c r="M17" i="124"/>
  <c r="M19" i="124"/>
  <c r="M21" i="124"/>
  <c r="M23" i="124"/>
  <c r="M25" i="124"/>
  <c r="M27" i="124"/>
  <c r="M29" i="124"/>
  <c r="M31" i="124"/>
  <c r="M33" i="124"/>
  <c r="R39" i="124"/>
  <c r="R47" i="124"/>
  <c r="R114" i="124"/>
  <c r="M115" i="124"/>
  <c r="M117" i="124"/>
  <c r="R118" i="124"/>
  <c r="M119" i="124"/>
  <c r="M121" i="124"/>
  <c r="M123" i="124"/>
  <c r="M125" i="124"/>
  <c r="M127" i="124"/>
  <c r="M129" i="124"/>
  <c r="R130" i="124"/>
  <c r="M131" i="124"/>
  <c r="M133" i="124"/>
  <c r="M135" i="124"/>
  <c r="M137" i="124"/>
  <c r="R138" i="124"/>
  <c r="M139" i="124"/>
  <c r="M141" i="124"/>
  <c r="R142" i="124"/>
  <c r="M143" i="124"/>
  <c r="M145" i="124"/>
  <c r="R146" i="124"/>
  <c r="M147" i="124"/>
  <c r="M149" i="124"/>
  <c r="R150" i="124"/>
  <c r="M151" i="124"/>
  <c r="M153" i="124"/>
  <c r="R154" i="124"/>
  <c r="M155" i="124"/>
  <c r="M157" i="124"/>
  <c r="R158" i="124"/>
  <c r="M159" i="124"/>
  <c r="M161" i="124"/>
  <c r="R183" i="124"/>
  <c r="M189" i="124"/>
  <c r="M194" i="124"/>
  <c r="M203" i="124"/>
  <c r="O211" i="124"/>
  <c r="R225" i="124"/>
  <c r="M228" i="124"/>
  <c r="O3" i="124"/>
  <c r="O17" i="124"/>
  <c r="O19" i="124"/>
  <c r="O21" i="124"/>
  <c r="O23" i="124"/>
  <c r="O25" i="124"/>
  <c r="O27" i="124"/>
  <c r="O29" i="124"/>
  <c r="O31" i="124"/>
  <c r="O33" i="124"/>
  <c r="O35" i="124"/>
  <c r="R41" i="124"/>
  <c r="R49" i="124"/>
  <c r="O115" i="124"/>
  <c r="O117" i="124"/>
  <c r="O119" i="124"/>
  <c r="O121" i="124"/>
  <c r="O123" i="124"/>
  <c r="O125" i="124"/>
  <c r="O127" i="124"/>
  <c r="O129" i="124"/>
  <c r="O131" i="124"/>
  <c r="O133" i="124"/>
  <c r="O135" i="124"/>
  <c r="O137" i="124"/>
  <c r="O139" i="124"/>
  <c r="O141" i="124"/>
  <c r="O143" i="124"/>
  <c r="O145" i="124"/>
  <c r="O147" i="124"/>
  <c r="O149" i="124"/>
  <c r="O151" i="124"/>
  <c r="O153" i="124"/>
  <c r="O155" i="124"/>
  <c r="O157" i="124"/>
  <c r="O159" i="124"/>
  <c r="O161" i="124"/>
  <c r="M191" i="124"/>
  <c r="O194" i="124"/>
  <c r="M198" i="124"/>
  <c r="O201" i="124"/>
  <c r="O203" i="124"/>
  <c r="M207" i="124"/>
  <c r="M210" i="124"/>
  <c r="M235" i="124"/>
  <c r="M251" i="124"/>
  <c r="O208" i="124"/>
  <c r="O209" i="124"/>
  <c r="R209" i="124"/>
  <c r="R212" i="124"/>
  <c r="M215" i="124"/>
  <c r="O219" i="124"/>
  <c r="O222" i="124"/>
  <c r="M227" i="124"/>
  <c r="O228" i="124"/>
  <c r="O235" i="124"/>
  <c r="R244" i="124"/>
  <c r="M247" i="124"/>
  <c r="O248" i="124"/>
  <c r="R252" i="124"/>
  <c r="R4" i="125"/>
  <c r="M9" i="125"/>
  <c r="R12" i="125"/>
  <c r="M17" i="125"/>
  <c r="R20" i="125"/>
  <c r="M25" i="125"/>
  <c r="O26" i="125"/>
  <c r="O28" i="125"/>
  <c r="O30" i="125"/>
  <c r="O32" i="125"/>
  <c r="R33" i="125"/>
  <c r="O34" i="125"/>
  <c r="M38" i="125"/>
  <c r="M40" i="125"/>
  <c r="M42" i="125"/>
  <c r="M44" i="125"/>
  <c r="M46" i="125"/>
  <c r="M48" i="125"/>
  <c r="M50" i="125"/>
  <c r="M52" i="125"/>
  <c r="M54" i="125"/>
  <c r="M56" i="125"/>
  <c r="M58" i="125"/>
  <c r="M60" i="125"/>
  <c r="M62" i="125"/>
  <c r="M64" i="125"/>
  <c r="M66" i="125"/>
  <c r="M68" i="125"/>
  <c r="M70" i="125"/>
  <c r="M72" i="125"/>
  <c r="R73" i="125"/>
  <c r="M74" i="125"/>
  <c r="M76" i="125"/>
  <c r="M78" i="125"/>
  <c r="M80" i="125"/>
  <c r="O83" i="125"/>
  <c r="O85" i="125"/>
  <c r="O87" i="125"/>
  <c r="O89" i="125"/>
  <c r="O91" i="125"/>
  <c r="O93" i="125"/>
  <c r="O95" i="125"/>
  <c r="O97" i="125"/>
  <c r="O99" i="125"/>
  <c r="O101" i="125"/>
  <c r="O103" i="125"/>
  <c r="O105" i="125"/>
  <c r="O107" i="125"/>
  <c r="O109" i="125"/>
  <c r="R112" i="125"/>
  <c r="M113" i="125"/>
  <c r="M115" i="125"/>
  <c r="R116" i="125"/>
  <c r="M117" i="125"/>
  <c r="M119" i="125"/>
  <c r="R120" i="125"/>
  <c r="M121" i="125"/>
  <c r="M123" i="125"/>
  <c r="O10" i="125"/>
  <c r="O18" i="125"/>
  <c r="R26" i="125"/>
  <c r="R30" i="125"/>
  <c r="M35" i="125"/>
  <c r="M37" i="125"/>
  <c r="M39" i="125"/>
  <c r="M41" i="125"/>
  <c r="M43" i="125"/>
  <c r="M45" i="125"/>
  <c r="M47" i="125"/>
  <c r="M49" i="125"/>
  <c r="M51" i="125"/>
  <c r="M53" i="125"/>
  <c r="M55" i="125"/>
  <c r="M57" i="125"/>
  <c r="M59" i="125"/>
  <c r="M61" i="125"/>
  <c r="M63" i="125"/>
  <c r="M65" i="125"/>
  <c r="M67" i="125"/>
  <c r="M69" i="125"/>
  <c r="M71" i="125"/>
  <c r="M73" i="125"/>
  <c r="M75" i="125"/>
  <c r="M77" i="125"/>
  <c r="M79" i="125"/>
  <c r="M81" i="125"/>
  <c r="R89" i="125"/>
  <c r="R91" i="125"/>
  <c r="R95" i="125"/>
  <c r="R97" i="125"/>
  <c r="R99" i="125"/>
  <c r="R103" i="125"/>
  <c r="R109" i="125"/>
  <c r="M112" i="125"/>
  <c r="M114" i="125"/>
  <c r="M116" i="125"/>
  <c r="M118" i="125"/>
  <c r="M120" i="125"/>
  <c r="M122" i="125"/>
  <c r="M219" i="124"/>
  <c r="O221" i="124"/>
  <c r="R221" i="124"/>
  <c r="M253" i="124"/>
  <c r="O35" i="125"/>
  <c r="O37" i="125"/>
  <c r="O39" i="125"/>
  <c r="O41" i="125"/>
  <c r="O43" i="125"/>
  <c r="O45" i="125"/>
  <c r="O47" i="125"/>
  <c r="O49" i="125"/>
  <c r="O51" i="125"/>
  <c r="O53" i="125"/>
  <c r="O55" i="125"/>
  <c r="O57" i="125"/>
  <c r="O59" i="125"/>
  <c r="O61" i="125"/>
  <c r="O63" i="125"/>
  <c r="O65" i="125"/>
  <c r="O67" i="125"/>
  <c r="O69" i="125"/>
  <c r="O71" i="125"/>
  <c r="O73" i="125"/>
  <c r="O75" i="125"/>
  <c r="O77" i="125"/>
  <c r="O79" i="125"/>
  <c r="O81" i="125"/>
  <c r="M83" i="125"/>
  <c r="M85" i="125"/>
  <c r="M87" i="125"/>
  <c r="M89" i="125"/>
  <c r="M91" i="125"/>
  <c r="M93" i="125"/>
  <c r="M95" i="125"/>
  <c r="M97" i="125"/>
  <c r="M99" i="125"/>
  <c r="M101" i="125"/>
  <c r="M103" i="125"/>
  <c r="M105" i="125"/>
  <c r="M107" i="125"/>
  <c r="M109" i="125"/>
  <c r="O112" i="125"/>
  <c r="O114" i="125"/>
  <c r="O116" i="125"/>
  <c r="O118" i="125"/>
  <c r="O120" i="125"/>
  <c r="O122" i="125"/>
  <c r="R135" i="125"/>
  <c r="R139" i="125"/>
  <c r="R141" i="125"/>
  <c r="R143" i="125"/>
  <c r="R147" i="125"/>
  <c r="R33" i="126"/>
  <c r="R37" i="126"/>
  <c r="R93" i="126"/>
  <c r="R101" i="126"/>
  <c r="M112" i="126"/>
  <c r="M118" i="126"/>
  <c r="R57" i="127"/>
  <c r="R73" i="127"/>
  <c r="O30" i="128"/>
  <c r="M125" i="125"/>
  <c r="M127" i="125"/>
  <c r="M129" i="125"/>
  <c r="M131" i="125"/>
  <c r="M133" i="125"/>
  <c r="M135" i="125"/>
  <c r="M137" i="125"/>
  <c r="M139" i="125"/>
  <c r="M141" i="125"/>
  <c r="M143" i="125"/>
  <c r="M145" i="125"/>
  <c r="M147" i="125"/>
  <c r="M149" i="125"/>
  <c r="M151" i="125"/>
  <c r="M153" i="125"/>
  <c r="M155" i="125"/>
  <c r="M157" i="125"/>
  <c r="M159" i="125"/>
  <c r="M161" i="125"/>
  <c r="M163" i="125"/>
  <c r="M165" i="125"/>
  <c r="M7" i="126"/>
  <c r="M15" i="126"/>
  <c r="M19" i="126"/>
  <c r="M21" i="126"/>
  <c r="M25" i="126"/>
  <c r="M29" i="126"/>
  <c r="M37" i="126"/>
  <c r="M43" i="126"/>
  <c r="M53" i="126"/>
  <c r="M55" i="126"/>
  <c r="M63" i="126"/>
  <c r="M73" i="126"/>
  <c r="M75" i="126"/>
  <c r="M77" i="126"/>
  <c r="M79" i="126"/>
  <c r="M83" i="126"/>
  <c r="M87" i="126"/>
  <c r="M91" i="126"/>
  <c r="M97" i="126"/>
  <c r="M59" i="127"/>
  <c r="M75" i="127"/>
  <c r="O123" i="125"/>
  <c r="O125" i="125"/>
  <c r="O127" i="125"/>
  <c r="O129" i="125"/>
  <c r="O131" i="125"/>
  <c r="O133" i="125"/>
  <c r="O135" i="125"/>
  <c r="O137" i="125"/>
  <c r="O139" i="125"/>
  <c r="O141" i="125"/>
  <c r="O143" i="125"/>
  <c r="O145" i="125"/>
  <c r="O147" i="125"/>
  <c r="O149" i="125"/>
  <c r="O151" i="125"/>
  <c r="O153" i="125"/>
  <c r="O155" i="125"/>
  <c r="R156" i="125"/>
  <c r="O157" i="125"/>
  <c r="R158" i="125"/>
  <c r="O159" i="125"/>
  <c r="O161" i="125"/>
  <c r="R162" i="125"/>
  <c r="O163" i="125"/>
  <c r="R164" i="125"/>
  <c r="O165" i="125"/>
  <c r="R166" i="125"/>
  <c r="O7" i="126"/>
  <c r="R14" i="126"/>
  <c r="O15" i="126"/>
  <c r="O19" i="126"/>
  <c r="O21" i="126"/>
  <c r="O29" i="126"/>
  <c r="O37" i="126"/>
  <c r="O39" i="126"/>
  <c r="R42" i="126"/>
  <c r="M44" i="126"/>
  <c r="M56" i="126"/>
  <c r="M58" i="126"/>
  <c r="R58" i="126"/>
  <c r="R62" i="126"/>
  <c r="O73" i="126"/>
  <c r="O75" i="126"/>
  <c r="O77" i="126"/>
  <c r="R82" i="126"/>
  <c r="R90" i="126"/>
  <c r="O97" i="126"/>
  <c r="M107" i="126"/>
  <c r="M109" i="126"/>
  <c r="M111" i="126"/>
  <c r="R112" i="126"/>
  <c r="O7" i="127"/>
  <c r="O11" i="127"/>
  <c r="O15" i="127"/>
  <c r="O23" i="127"/>
  <c r="R28" i="127"/>
  <c r="O29" i="127"/>
  <c r="R36" i="127"/>
  <c r="R44" i="127"/>
  <c r="O45" i="127"/>
  <c r="R52" i="127"/>
  <c r="M56" i="127"/>
  <c r="M72" i="127"/>
  <c r="R8" i="120"/>
  <c r="R17" i="120"/>
  <c r="R21" i="120"/>
  <c r="R28" i="120"/>
  <c r="O35" i="120"/>
  <c r="O43" i="120"/>
  <c r="O51" i="120"/>
  <c r="R52" i="120"/>
  <c r="O59" i="120"/>
  <c r="R60" i="120"/>
  <c r="R62" i="120"/>
  <c r="R73" i="120"/>
  <c r="R89" i="120"/>
  <c r="R31" i="121"/>
  <c r="O54" i="121"/>
  <c r="R55" i="121"/>
  <c r="R62" i="121"/>
  <c r="R66" i="121"/>
  <c r="R70" i="121"/>
  <c r="R74" i="121"/>
  <c r="R78" i="121"/>
  <c r="R82" i="121"/>
  <c r="R86" i="121"/>
  <c r="R90" i="121"/>
  <c r="R94" i="121"/>
  <c r="R98" i="121"/>
  <c r="R102" i="121"/>
  <c r="R106" i="121"/>
  <c r="R14" i="122"/>
  <c r="R57" i="122"/>
  <c r="O75" i="122"/>
  <c r="R75" i="122"/>
  <c r="O83" i="122"/>
  <c r="R83" i="122"/>
  <c r="O91" i="122"/>
  <c r="R91" i="122"/>
  <c r="O99" i="122"/>
  <c r="R99" i="122"/>
  <c r="R106" i="122"/>
  <c r="R111" i="122"/>
  <c r="R112" i="122"/>
  <c r="R119" i="122"/>
  <c r="O133" i="122"/>
  <c r="R133" i="122"/>
  <c r="R135" i="122"/>
  <c r="O143" i="122"/>
  <c r="R143" i="122"/>
  <c r="O151" i="122"/>
  <c r="R151" i="122"/>
  <c r="O165" i="122"/>
  <c r="R165" i="122"/>
  <c r="R25" i="120"/>
  <c r="R36" i="120"/>
  <c r="R44" i="120"/>
  <c r="R4" i="120"/>
  <c r="R5" i="120"/>
  <c r="R9" i="120"/>
  <c r="R10" i="120"/>
  <c r="R31" i="120"/>
  <c r="O33" i="120"/>
  <c r="R39" i="120"/>
  <c r="O41" i="120"/>
  <c r="R47" i="120"/>
  <c r="O49" i="120"/>
  <c r="R55" i="120"/>
  <c r="O57" i="120"/>
  <c r="R69" i="120"/>
  <c r="R72" i="120"/>
  <c r="R81" i="120"/>
  <c r="R86" i="120"/>
  <c r="R88" i="120"/>
  <c r="R52" i="121"/>
  <c r="R58" i="121"/>
  <c r="O60" i="121"/>
  <c r="R65" i="121"/>
  <c r="R69" i="121"/>
  <c r="R73" i="121"/>
  <c r="R77" i="121"/>
  <c r="R81" i="121"/>
  <c r="R3" i="122"/>
  <c r="R4" i="122"/>
  <c r="R17" i="122"/>
  <c r="R27" i="122"/>
  <c r="R28" i="122"/>
  <c r="R33" i="122"/>
  <c r="R50" i="122"/>
  <c r="R51" i="122"/>
  <c r="R55" i="122"/>
  <c r="R65" i="122"/>
  <c r="R70" i="122"/>
  <c r="O81" i="122"/>
  <c r="R81" i="122"/>
  <c r="O89" i="122"/>
  <c r="R89" i="122"/>
  <c r="O97" i="122"/>
  <c r="R97" i="122"/>
  <c r="R109" i="122"/>
  <c r="R110" i="122"/>
  <c r="O115" i="122"/>
  <c r="R115" i="122"/>
  <c r="R117" i="122"/>
  <c r="R125" i="122"/>
  <c r="R131" i="122"/>
  <c r="O141" i="122"/>
  <c r="R141" i="122"/>
  <c r="O123" i="122"/>
  <c r="R63" i="120"/>
  <c r="R75" i="120"/>
  <c r="R63" i="121"/>
  <c r="R67" i="121"/>
  <c r="R71" i="121"/>
  <c r="R75" i="121"/>
  <c r="R79" i="121"/>
  <c r="R6" i="122"/>
  <c r="R20" i="122"/>
  <c r="R26" i="122"/>
  <c r="R36" i="122"/>
  <c r="R41" i="122"/>
  <c r="R45" i="122"/>
  <c r="R67" i="122"/>
  <c r="R77" i="122"/>
  <c r="R85" i="122"/>
  <c r="R93" i="122"/>
  <c r="R101" i="122"/>
  <c r="R3" i="124"/>
  <c r="R19" i="124"/>
  <c r="R24" i="124"/>
  <c r="R28" i="124"/>
  <c r="O37" i="124"/>
  <c r="O39" i="124"/>
  <c r="O41" i="124"/>
  <c r="O43" i="124"/>
  <c r="O45" i="124"/>
  <c r="O47" i="124"/>
  <c r="O49" i="124"/>
  <c r="O51" i="124"/>
  <c r="O53" i="124"/>
  <c r="O55" i="124"/>
  <c r="O63" i="124"/>
  <c r="O71" i="124"/>
  <c r="O79" i="124"/>
  <c r="O87" i="124"/>
  <c r="R98" i="124"/>
  <c r="R115" i="124"/>
  <c r="R119" i="124"/>
  <c r="O149" i="122"/>
  <c r="R149" i="122"/>
  <c r="O157" i="122"/>
  <c r="R157" i="122"/>
  <c r="R3" i="123"/>
  <c r="R17" i="124"/>
  <c r="R23" i="124"/>
  <c r="R27" i="124"/>
  <c r="R32" i="124"/>
  <c r="O36" i="124"/>
  <c r="R36" i="124"/>
  <c r="R38" i="124"/>
  <c r="R40" i="124"/>
  <c r="R42" i="124"/>
  <c r="R44" i="124"/>
  <c r="R46" i="124"/>
  <c r="R48" i="124"/>
  <c r="R50" i="124"/>
  <c r="R52" i="124"/>
  <c r="R54" i="124"/>
  <c r="O60" i="124"/>
  <c r="O61" i="124"/>
  <c r="R61" i="124"/>
  <c r="R62" i="124"/>
  <c r="O68" i="124"/>
  <c r="O69" i="124"/>
  <c r="R69" i="124"/>
  <c r="R70" i="124"/>
  <c r="O76" i="124"/>
  <c r="O77" i="124"/>
  <c r="R77" i="124"/>
  <c r="R78" i="124"/>
  <c r="O84" i="124"/>
  <c r="O85" i="124"/>
  <c r="R85" i="124"/>
  <c r="R86" i="124"/>
  <c r="R91" i="124"/>
  <c r="R92" i="124"/>
  <c r="R97" i="124"/>
  <c r="R117" i="124"/>
  <c r="R122" i="124"/>
  <c r="R123" i="124"/>
  <c r="R126" i="124"/>
  <c r="R127" i="124"/>
  <c r="R145" i="124"/>
  <c r="R16" i="124"/>
  <c r="R20" i="124"/>
  <c r="O56" i="124"/>
  <c r="R57" i="124"/>
  <c r="R58" i="124"/>
  <c r="O64" i="124"/>
  <c r="R65" i="124"/>
  <c r="R66" i="124"/>
  <c r="O72" i="124"/>
  <c r="R73" i="124"/>
  <c r="R74" i="124"/>
  <c r="O80" i="124"/>
  <c r="R81" i="124"/>
  <c r="R82" i="124"/>
  <c r="O88" i="124"/>
  <c r="R89" i="124"/>
  <c r="R90" i="124"/>
  <c r="R111" i="124"/>
  <c r="R147" i="124"/>
  <c r="R155" i="124"/>
  <c r="R159" i="124"/>
  <c r="R165" i="124"/>
  <c r="R169" i="124"/>
  <c r="R177" i="124"/>
  <c r="R189" i="124"/>
  <c r="R190" i="124"/>
  <c r="R195" i="124"/>
  <c r="R236" i="124"/>
  <c r="O238" i="124"/>
  <c r="R249" i="124"/>
  <c r="O251" i="124"/>
  <c r="R62" i="125"/>
  <c r="R76" i="125"/>
  <c r="R90" i="125"/>
  <c r="R94" i="125"/>
  <c r="R108" i="125"/>
  <c r="R114" i="125"/>
  <c r="R118" i="125"/>
  <c r="R122" i="125"/>
  <c r="R126" i="125"/>
  <c r="R130" i="125"/>
  <c r="R134" i="125"/>
  <c r="R138" i="125"/>
  <c r="R152" i="125"/>
  <c r="R157" i="125"/>
  <c r="R161" i="125"/>
  <c r="O82" i="126"/>
  <c r="O73" i="127"/>
  <c r="R168" i="124"/>
  <c r="R176" i="124"/>
  <c r="R187" i="124"/>
  <c r="R204" i="124"/>
  <c r="R206" i="124"/>
  <c r="R207" i="124"/>
  <c r="R217" i="124"/>
  <c r="R220" i="124"/>
  <c r="R222" i="124"/>
  <c r="R223" i="124"/>
  <c r="R235" i="124"/>
  <c r="R248" i="124"/>
  <c r="R61" i="125"/>
  <c r="R75" i="125"/>
  <c r="R79" i="125"/>
  <c r="R93" i="125"/>
  <c r="R107" i="125"/>
  <c r="R151" i="125"/>
  <c r="R160" i="125"/>
  <c r="R84" i="126"/>
  <c r="O88" i="126"/>
  <c r="R88" i="126"/>
  <c r="R131" i="124"/>
  <c r="R134" i="124"/>
  <c r="R135" i="124"/>
  <c r="R157" i="124"/>
  <c r="R162" i="124"/>
  <c r="R163" i="124"/>
  <c r="R166" i="124"/>
  <c r="R167" i="124"/>
  <c r="R175" i="124"/>
  <c r="R184" i="124"/>
  <c r="R191" i="124"/>
  <c r="R197" i="124"/>
  <c r="R211" i="124"/>
  <c r="O213" i="124"/>
  <c r="R214" i="124"/>
  <c r="R215" i="124"/>
  <c r="R227" i="124"/>
  <c r="O229" i="124"/>
  <c r="R230" i="124"/>
  <c r="R232" i="124"/>
  <c r="O4" i="125"/>
  <c r="R5" i="125"/>
  <c r="R6" i="125"/>
  <c r="O12" i="125"/>
  <c r="R13" i="125"/>
  <c r="R14" i="125"/>
  <c r="O20" i="125"/>
  <c r="R21" i="125"/>
  <c r="R22" i="125"/>
  <c r="R39" i="125"/>
  <c r="R43" i="125"/>
  <c r="R47" i="125"/>
  <c r="R51" i="125"/>
  <c r="R55" i="125"/>
  <c r="R59" i="125"/>
  <c r="R68" i="125"/>
  <c r="R69" i="125"/>
  <c r="R82" i="125"/>
  <c r="R83" i="125"/>
  <c r="R86" i="125"/>
  <c r="R87" i="125"/>
  <c r="R100" i="125"/>
  <c r="R110" i="125"/>
  <c r="R111" i="125"/>
  <c r="R115" i="125"/>
  <c r="R119" i="125"/>
  <c r="R123" i="125"/>
  <c r="R127" i="125"/>
  <c r="R131" i="125"/>
  <c r="R144" i="125"/>
  <c r="R145" i="125"/>
  <c r="R153" i="125"/>
  <c r="R154" i="125"/>
  <c r="R6" i="126"/>
  <c r="R19" i="126"/>
  <c r="R26" i="126"/>
  <c r="R30" i="126"/>
  <c r="R34" i="126"/>
  <c r="O63" i="126"/>
  <c r="R74" i="126"/>
  <c r="R75" i="126"/>
  <c r="R78" i="126"/>
  <c r="R86" i="126"/>
  <c r="R98" i="126"/>
  <c r="R66" i="127"/>
  <c r="R83" i="127"/>
  <c r="R87" i="127"/>
  <c r="R91" i="127"/>
  <c r="R95" i="127"/>
  <c r="R99" i="127"/>
  <c r="R39" i="128"/>
  <c r="R16" i="120"/>
  <c r="R11" i="120"/>
  <c r="R23" i="120"/>
  <c r="R24" i="120"/>
  <c r="R30" i="120"/>
  <c r="R35" i="120"/>
  <c r="O37" i="120"/>
  <c r="R38" i="120"/>
  <c r="R43" i="120"/>
  <c r="O45" i="120"/>
  <c r="R46" i="120"/>
  <c r="R51" i="120"/>
  <c r="O53" i="120"/>
  <c r="R54" i="120"/>
  <c r="R59" i="120"/>
  <c r="O61" i="120"/>
  <c r="R68" i="120"/>
  <c r="R70" i="120"/>
  <c r="R80" i="120"/>
  <c r="R82" i="120"/>
  <c r="O87" i="120"/>
  <c r="O32" i="121"/>
  <c r="R51" i="121"/>
  <c r="R54" i="121"/>
  <c r="O56" i="121"/>
  <c r="R57" i="121"/>
  <c r="R83" i="121"/>
  <c r="R87" i="121"/>
  <c r="R91" i="121"/>
  <c r="R95" i="121"/>
  <c r="R99" i="121"/>
  <c r="R103" i="121"/>
  <c r="R107" i="121"/>
  <c r="R22" i="120"/>
  <c r="R34" i="120"/>
  <c r="R42" i="120"/>
  <c r="R50" i="120"/>
  <c r="R58" i="120"/>
  <c r="R64" i="120"/>
  <c r="R74" i="120"/>
  <c r="R90" i="120"/>
  <c r="R53" i="121"/>
  <c r="R61" i="121"/>
  <c r="R85" i="121"/>
  <c r="R89" i="121"/>
  <c r="R93" i="121"/>
  <c r="R97" i="121"/>
  <c r="R101" i="121"/>
  <c r="R105" i="121"/>
  <c r="R18" i="122"/>
  <c r="R21" i="122"/>
  <c r="R34" i="122"/>
  <c r="R20" i="120"/>
  <c r="R26" i="120"/>
  <c r="O31" i="120"/>
  <c r="R32" i="120"/>
  <c r="O39" i="120"/>
  <c r="R40" i="120"/>
  <c r="O47" i="120"/>
  <c r="R48" i="120"/>
  <c r="O55" i="120"/>
  <c r="R56" i="120"/>
  <c r="R66" i="120"/>
  <c r="O69" i="120"/>
  <c r="R76" i="120"/>
  <c r="R78" i="120"/>
  <c r="O81" i="120"/>
  <c r="O52" i="121"/>
  <c r="O58" i="121"/>
  <c r="R59" i="121"/>
  <c r="R84" i="121"/>
  <c r="R88" i="121"/>
  <c r="R92" i="121"/>
  <c r="R96" i="121"/>
  <c r="R100" i="121"/>
  <c r="R104" i="121"/>
  <c r="R108" i="121"/>
  <c r="R10" i="122"/>
  <c r="R29" i="122"/>
  <c r="R47" i="122"/>
  <c r="R52" i="122"/>
  <c r="R60" i="122"/>
  <c r="O129" i="122"/>
  <c r="R40" i="122"/>
  <c r="R46" i="122"/>
  <c r="R66" i="122"/>
  <c r="R74" i="122"/>
  <c r="R76" i="122"/>
  <c r="R78" i="122"/>
  <c r="R80" i="122"/>
  <c r="R82" i="122"/>
  <c r="R84" i="122"/>
  <c r="R86" i="122"/>
  <c r="R88" i="122"/>
  <c r="R90" i="122"/>
  <c r="R92" i="122"/>
  <c r="R94" i="122"/>
  <c r="R96" i="122"/>
  <c r="R98" i="122"/>
  <c r="R100" i="122"/>
  <c r="R102" i="122"/>
  <c r="R132" i="122"/>
  <c r="R134" i="122"/>
  <c r="R7" i="122"/>
  <c r="R15" i="122"/>
  <c r="R23" i="122"/>
  <c r="R31" i="122"/>
  <c r="R43" i="122"/>
  <c r="R44" i="122"/>
  <c r="R48" i="122"/>
  <c r="R54" i="122"/>
  <c r="R62" i="122"/>
  <c r="R64" i="122"/>
  <c r="R72" i="122"/>
  <c r="R118" i="122"/>
  <c r="R120" i="122"/>
  <c r="R122" i="122"/>
  <c r="R124" i="122"/>
  <c r="R136" i="122"/>
  <c r="R138" i="122"/>
  <c r="R140" i="122"/>
  <c r="R142" i="122"/>
  <c r="R144" i="122"/>
  <c r="R146" i="122"/>
  <c r="R148" i="122"/>
  <c r="R150" i="122"/>
  <c r="R152" i="122"/>
  <c r="R154" i="122"/>
  <c r="R156" i="122"/>
  <c r="R162" i="122"/>
  <c r="R166" i="122"/>
  <c r="R168" i="122"/>
  <c r="R170" i="122"/>
  <c r="O217" i="124"/>
  <c r="O234" i="124"/>
  <c r="O247" i="124"/>
  <c r="R18" i="124"/>
  <c r="R26" i="124"/>
  <c r="O34" i="124"/>
  <c r="R34" i="124"/>
  <c r="O58" i="124"/>
  <c r="O59" i="124"/>
  <c r="R59" i="124"/>
  <c r="R60" i="124"/>
  <c r="O66" i="124"/>
  <c r="O67" i="124"/>
  <c r="R67" i="124"/>
  <c r="R68" i="124"/>
  <c r="O74" i="124"/>
  <c r="O75" i="124"/>
  <c r="R75" i="124"/>
  <c r="R76" i="124"/>
  <c r="O82" i="124"/>
  <c r="O83" i="124"/>
  <c r="R83" i="124"/>
  <c r="R84" i="124"/>
  <c r="O90" i="124"/>
  <c r="R95" i="124"/>
  <c r="R96" i="124"/>
  <c r="R100" i="124"/>
  <c r="R104" i="124"/>
  <c r="R108" i="124"/>
  <c r="R116" i="124"/>
  <c r="R124" i="124"/>
  <c r="R132" i="124"/>
  <c r="R140" i="124"/>
  <c r="R148" i="124"/>
  <c r="R156" i="124"/>
  <c r="R164" i="124"/>
  <c r="R172" i="124"/>
  <c r="R181" i="124"/>
  <c r="R182" i="124"/>
  <c r="O189" i="124"/>
  <c r="R194" i="124"/>
  <c r="R198" i="124"/>
  <c r="R202" i="124"/>
  <c r="R216" i="124"/>
  <c r="R218" i="124"/>
  <c r="R233" i="124"/>
  <c r="R238" i="124"/>
  <c r="O245" i="124"/>
  <c r="R246" i="124"/>
  <c r="R251" i="124"/>
  <c r="O253" i="124"/>
  <c r="P1" i="125"/>
  <c r="R27" i="125"/>
  <c r="R85" i="125"/>
  <c r="O57" i="124"/>
  <c r="O65" i="124"/>
  <c r="O73" i="124"/>
  <c r="O81" i="124"/>
  <c r="O89" i="124"/>
  <c r="R137" i="125"/>
  <c r="R22" i="124"/>
  <c r="R30" i="124"/>
  <c r="O38" i="124"/>
  <c r="O40" i="124"/>
  <c r="O42" i="124"/>
  <c r="O44" i="124"/>
  <c r="O46" i="124"/>
  <c r="O48" i="124"/>
  <c r="O50" i="124"/>
  <c r="O52" i="124"/>
  <c r="O54" i="124"/>
  <c r="R55" i="124"/>
  <c r="R56" i="124"/>
  <c r="O62" i="124"/>
  <c r="R63" i="124"/>
  <c r="R64" i="124"/>
  <c r="O70" i="124"/>
  <c r="R71" i="124"/>
  <c r="R72" i="124"/>
  <c r="O78" i="124"/>
  <c r="R79" i="124"/>
  <c r="R80" i="124"/>
  <c r="O86" i="124"/>
  <c r="R87" i="124"/>
  <c r="R88" i="124"/>
  <c r="R94" i="124"/>
  <c r="R102" i="124"/>
  <c r="R106" i="124"/>
  <c r="R112" i="124"/>
  <c r="R120" i="124"/>
  <c r="R128" i="124"/>
  <c r="R136" i="124"/>
  <c r="R144" i="124"/>
  <c r="R152" i="124"/>
  <c r="R160" i="124"/>
  <c r="R173" i="124"/>
  <c r="R174" i="124"/>
  <c r="R180" i="124"/>
  <c r="R185" i="124"/>
  <c r="R186" i="124"/>
  <c r="R208" i="124"/>
  <c r="R210" i="124"/>
  <c r="R224" i="124"/>
  <c r="R226" i="124"/>
  <c r="R234" i="124"/>
  <c r="O236" i="124"/>
  <c r="R237" i="124"/>
  <c r="R247" i="124"/>
  <c r="O249" i="124"/>
  <c r="R250" i="124"/>
  <c r="R32" i="125"/>
  <c r="R37" i="125"/>
  <c r="R41" i="125"/>
  <c r="R45" i="125"/>
  <c r="R49" i="125"/>
  <c r="R53" i="125"/>
  <c r="R57" i="125"/>
  <c r="R101" i="125"/>
  <c r="R10" i="126"/>
  <c r="R36" i="126"/>
  <c r="R92" i="126"/>
  <c r="R117" i="126"/>
  <c r="R76" i="128"/>
  <c r="O8" i="125"/>
  <c r="R9" i="125"/>
  <c r="R10" i="125"/>
  <c r="O16" i="125"/>
  <c r="R17" i="125"/>
  <c r="R18" i="125"/>
  <c r="O24" i="125"/>
  <c r="R25" i="125"/>
  <c r="R31" i="125"/>
  <c r="R27" i="126"/>
  <c r="R31" i="126"/>
  <c r="R35" i="126"/>
  <c r="R60" i="126"/>
  <c r="R73" i="126"/>
  <c r="R77" i="126"/>
  <c r="R81" i="126"/>
  <c r="O90" i="126"/>
  <c r="O116" i="126"/>
  <c r="R26" i="127"/>
  <c r="R42" i="127"/>
  <c r="R76" i="127"/>
  <c r="R3" i="128"/>
  <c r="R11" i="128"/>
  <c r="R253" i="124"/>
  <c r="O6" i="125"/>
  <c r="R7" i="125"/>
  <c r="R8" i="125"/>
  <c r="O14" i="125"/>
  <c r="R15" i="125"/>
  <c r="R16" i="125"/>
  <c r="O22" i="125"/>
  <c r="R23" i="125"/>
  <c r="R24" i="125"/>
  <c r="R28" i="125"/>
  <c r="R29" i="125"/>
  <c r="R35" i="125"/>
  <c r="R38" i="125"/>
  <c r="R42" i="125"/>
  <c r="R46" i="125"/>
  <c r="R50" i="125"/>
  <c r="R54" i="125"/>
  <c r="R58" i="125"/>
  <c r="R64" i="125"/>
  <c r="R72" i="125"/>
  <c r="R80" i="125"/>
  <c r="R88" i="125"/>
  <c r="R96" i="125"/>
  <c r="R104" i="125"/>
  <c r="R113" i="125"/>
  <c r="R117" i="125"/>
  <c r="R121" i="125"/>
  <c r="R125" i="125"/>
  <c r="R129" i="125"/>
  <c r="R133" i="125"/>
  <c r="R140" i="125"/>
  <c r="R148" i="125"/>
  <c r="R155" i="125"/>
  <c r="R163" i="125"/>
  <c r="R4" i="126"/>
  <c r="R7" i="126"/>
  <c r="R8" i="126"/>
  <c r="R11" i="126"/>
  <c r="R12" i="126"/>
  <c r="R21" i="126"/>
  <c r="R25" i="126"/>
  <c r="R54" i="126"/>
  <c r="R64" i="126"/>
  <c r="O68" i="126"/>
  <c r="O80" i="126"/>
  <c r="R80" i="126"/>
  <c r="R85" i="126"/>
  <c r="R89" i="126"/>
  <c r="R111" i="126"/>
  <c r="R114" i="126"/>
  <c r="R8" i="127"/>
  <c r="O57" i="127"/>
  <c r="O87" i="127"/>
  <c r="R17" i="127"/>
  <c r="O37" i="128"/>
  <c r="M40" i="128"/>
  <c r="O41" i="128"/>
  <c r="R43" i="128"/>
  <c r="M44" i="128"/>
  <c r="M71" i="128"/>
  <c r="M79" i="128"/>
  <c r="M83" i="128"/>
  <c r="O44" i="128"/>
  <c r="O83" i="128"/>
  <c r="R84" i="128"/>
  <c r="R16" i="128"/>
  <c r="R20" i="128"/>
  <c r="R24" i="128"/>
  <c r="M25" i="128"/>
  <c r="R37" i="128"/>
  <c r="M38" i="128"/>
  <c r="R57" i="128"/>
  <c r="M58" i="128"/>
  <c r="R58" i="128"/>
  <c r="M59" i="128"/>
  <c r="R62" i="128"/>
  <c r="M63" i="128"/>
  <c r="M67" i="128"/>
  <c r="R80" i="128"/>
  <c r="O7" i="128"/>
  <c r="O11" i="128"/>
  <c r="O21" i="128"/>
  <c r="O25" i="128"/>
  <c r="O29" i="128"/>
  <c r="R41" i="128"/>
  <c r="M42" i="128"/>
  <c r="R45" i="128"/>
  <c r="M46" i="128"/>
  <c r="O54" i="128"/>
  <c r="R56" i="128"/>
  <c r="O63" i="128"/>
  <c r="M75" i="128"/>
  <c r="R14" i="128"/>
  <c r="R18" i="128"/>
  <c r="R22" i="128"/>
  <c r="R25" i="128"/>
  <c r="M55" i="128"/>
  <c r="O66" i="128"/>
  <c r="R68" i="128"/>
  <c r="M69" i="128"/>
  <c r="R82" i="128"/>
  <c r="M4" i="128"/>
  <c r="R7" i="128"/>
  <c r="M8" i="128"/>
  <c r="M12" i="128"/>
  <c r="R15" i="128"/>
  <c r="R19" i="128"/>
  <c r="R23" i="128"/>
  <c r="R27" i="128"/>
  <c r="R31" i="128"/>
  <c r="R35" i="128"/>
  <c r="M36" i="128"/>
  <c r="R54" i="128"/>
  <c r="M57" i="128"/>
  <c r="R66" i="128"/>
  <c r="R74" i="128"/>
  <c r="O8" i="128"/>
  <c r="O36" i="128"/>
  <c r="O45" i="128"/>
  <c r="O56" i="128"/>
  <c r="O60" i="128"/>
  <c r="R60" i="128"/>
  <c r="M61" i="128"/>
  <c r="O64" i="128"/>
  <c r="R64" i="128"/>
  <c r="M65" i="128"/>
  <c r="R72" i="128"/>
  <c r="O4" i="128"/>
  <c r="O5" i="128"/>
  <c r="R5" i="128"/>
  <c r="M6" i="128"/>
  <c r="O9" i="128"/>
  <c r="R9" i="128"/>
  <c r="M10" i="128"/>
  <c r="O13" i="128"/>
  <c r="M14" i="128"/>
  <c r="M18" i="128"/>
  <c r="M22" i="128"/>
  <c r="R29" i="128"/>
  <c r="M30" i="128"/>
  <c r="R33" i="128"/>
  <c r="M34" i="128"/>
  <c r="R40" i="128"/>
  <c r="R70" i="128"/>
  <c r="R78" i="128"/>
  <c r="R79" i="128"/>
  <c r="M80" i="128"/>
  <c r="R81" i="128"/>
  <c r="M82" i="128"/>
  <c r="R12" i="128"/>
  <c r="M13" i="128"/>
  <c r="M15" i="128"/>
  <c r="M16" i="128"/>
  <c r="M19" i="128"/>
  <c r="M20" i="128"/>
  <c r="M24" i="128"/>
  <c r="R42" i="128"/>
  <c r="M43" i="128"/>
  <c r="O55" i="128"/>
  <c r="R59" i="128"/>
  <c r="R61" i="128"/>
  <c r="M62" i="128"/>
  <c r="O67" i="128"/>
  <c r="O71" i="128"/>
  <c r="O75" i="128"/>
  <c r="O77" i="128"/>
  <c r="O79" i="128"/>
  <c r="O84" i="128"/>
  <c r="O3" i="128"/>
  <c r="M7" i="128"/>
  <c r="R8" i="128"/>
  <c r="M9" i="128"/>
  <c r="R10" i="128"/>
  <c r="M11" i="128"/>
  <c r="O15" i="128"/>
  <c r="O19" i="128"/>
  <c r="O20" i="128"/>
  <c r="M28" i="128"/>
  <c r="M32" i="128"/>
  <c r="R34" i="128"/>
  <c r="M35" i="128"/>
  <c r="R36" i="128"/>
  <c r="R44" i="128"/>
  <c r="R46" i="128"/>
  <c r="R63" i="128"/>
  <c r="R65" i="128"/>
  <c r="M66" i="128"/>
  <c r="O70" i="128"/>
  <c r="O72" i="128"/>
  <c r="O74" i="128"/>
  <c r="O76" i="128"/>
  <c r="R83" i="128"/>
  <c r="M84" i="128"/>
  <c r="R4" i="128"/>
  <c r="M5" i="128"/>
  <c r="R6" i="128"/>
  <c r="M3" i="128"/>
  <c r="R13" i="128"/>
  <c r="R17" i="128"/>
  <c r="R21" i="128"/>
  <c r="M26" i="128"/>
  <c r="O31" i="128"/>
  <c r="O32" i="128"/>
  <c r="R38" i="128"/>
  <c r="R55" i="128"/>
  <c r="O59" i="128"/>
  <c r="O61" i="128"/>
  <c r="R67" i="128"/>
  <c r="R69" i="128"/>
  <c r="M70" i="128"/>
  <c r="R71" i="128"/>
  <c r="M72" i="128"/>
  <c r="R73" i="128"/>
  <c r="M74" i="128"/>
  <c r="R75" i="128"/>
  <c r="M76" i="128"/>
  <c r="R77" i="128"/>
  <c r="M78" i="128"/>
  <c r="R4" i="127"/>
  <c r="R10" i="127"/>
  <c r="R14" i="127"/>
  <c r="O38" i="127"/>
  <c r="R78" i="127"/>
  <c r="M4" i="127"/>
  <c r="R13" i="127"/>
  <c r="M14" i="127"/>
  <c r="R21" i="127"/>
  <c r="M22" i="127"/>
  <c r="M26" i="127"/>
  <c r="M27" i="127"/>
  <c r="R34" i="127"/>
  <c r="R60" i="127"/>
  <c r="R68" i="127"/>
  <c r="M105" i="127"/>
  <c r="M10" i="127"/>
  <c r="O4" i="127"/>
  <c r="R7" i="127"/>
  <c r="O10" i="127"/>
  <c r="R11" i="127"/>
  <c r="O14" i="127"/>
  <c r="R23" i="127"/>
  <c r="M38" i="127"/>
  <c r="O39" i="127"/>
  <c r="M42" i="127"/>
  <c r="M43" i="127"/>
  <c r="O44" i="127"/>
  <c r="R50" i="127"/>
  <c r="R62" i="127"/>
  <c r="O67" i="127"/>
  <c r="R70" i="127"/>
  <c r="M107" i="127"/>
  <c r="M18" i="127"/>
  <c r="M13" i="127"/>
  <c r="R16" i="127"/>
  <c r="M31" i="127"/>
  <c r="R35" i="127"/>
  <c r="M36" i="127"/>
  <c r="M37" i="127"/>
  <c r="R40" i="127"/>
  <c r="M47" i="127"/>
  <c r="R51" i="127"/>
  <c r="M52" i="127"/>
  <c r="M53" i="127"/>
  <c r="R56" i="127"/>
  <c r="M63" i="127"/>
  <c r="R67" i="127"/>
  <c r="M69" i="127"/>
  <c r="R72" i="127"/>
  <c r="M79" i="127"/>
  <c r="R82" i="127"/>
  <c r="R86" i="127"/>
  <c r="R90" i="127"/>
  <c r="R94" i="127"/>
  <c r="R98" i="127"/>
  <c r="R19" i="127"/>
  <c r="R20" i="127"/>
  <c r="M9" i="127"/>
  <c r="M30" i="127"/>
  <c r="O31" i="127"/>
  <c r="R33" i="127"/>
  <c r="M34" i="127"/>
  <c r="M35" i="127"/>
  <c r="O36" i="127"/>
  <c r="O37" i="127"/>
  <c r="M46" i="127"/>
  <c r="O47" i="127"/>
  <c r="R49" i="127"/>
  <c r="M50" i="127"/>
  <c r="M51" i="127"/>
  <c r="O52" i="127"/>
  <c r="O53" i="127"/>
  <c r="O65" i="127"/>
  <c r="R65" i="127"/>
  <c r="M67" i="127"/>
  <c r="O68" i="127"/>
  <c r="R77" i="127"/>
  <c r="O81" i="127"/>
  <c r="R81" i="127"/>
  <c r="M82" i="127"/>
  <c r="O85" i="127"/>
  <c r="R85" i="127"/>
  <c r="M86" i="127"/>
  <c r="O89" i="127"/>
  <c r="R89" i="127"/>
  <c r="M90" i="127"/>
  <c r="O93" i="127"/>
  <c r="R93" i="127"/>
  <c r="M94" i="127"/>
  <c r="O97" i="127"/>
  <c r="R97" i="127"/>
  <c r="M98" i="127"/>
  <c r="R101" i="127"/>
  <c r="R105" i="127"/>
  <c r="M106" i="127"/>
  <c r="O107" i="127"/>
  <c r="M17" i="127"/>
  <c r="R18" i="127"/>
  <c r="M19" i="127"/>
  <c r="M23" i="127"/>
  <c r="O24" i="127"/>
  <c r="M28" i="127"/>
  <c r="M29" i="127"/>
  <c r="O30" i="127"/>
  <c r="R32" i="127"/>
  <c r="M39" i="127"/>
  <c r="R43" i="127"/>
  <c r="M44" i="127"/>
  <c r="M45" i="127"/>
  <c r="O46" i="127"/>
  <c r="R48" i="127"/>
  <c r="M55" i="127"/>
  <c r="O59" i="127"/>
  <c r="R59" i="127"/>
  <c r="M61" i="127"/>
  <c r="O62" i="127"/>
  <c r="M64" i="127"/>
  <c r="R64" i="127"/>
  <c r="M71" i="127"/>
  <c r="O75" i="127"/>
  <c r="R75" i="127"/>
  <c r="M77" i="127"/>
  <c r="O78" i="127"/>
  <c r="M80" i="127"/>
  <c r="R80" i="127"/>
  <c r="R84" i="127"/>
  <c r="R88" i="127"/>
  <c r="R92" i="127"/>
  <c r="R96" i="127"/>
  <c r="R100" i="127"/>
  <c r="M101" i="127"/>
  <c r="O3" i="127"/>
  <c r="M8" i="127"/>
  <c r="O9" i="127"/>
  <c r="M12" i="127"/>
  <c r="O13" i="127"/>
  <c r="R15" i="127"/>
  <c r="M21" i="127"/>
  <c r="O22" i="127"/>
  <c r="R24" i="127"/>
  <c r="M3" i="127"/>
  <c r="R3" i="127"/>
  <c r="M7" i="127"/>
  <c r="O8" i="127"/>
  <c r="R12" i="127"/>
  <c r="R25" i="127"/>
  <c r="R9" i="127"/>
  <c r="M11" i="127"/>
  <c r="O12" i="127"/>
  <c r="M15" i="127"/>
  <c r="O16" i="127"/>
  <c r="O21" i="127"/>
  <c r="R22" i="127"/>
  <c r="M24" i="127"/>
  <c r="M25" i="127"/>
  <c r="O26" i="127"/>
  <c r="O27" i="127"/>
  <c r="R31" i="127"/>
  <c r="M32" i="127"/>
  <c r="M33" i="127"/>
  <c r="O34" i="127"/>
  <c r="O35" i="127"/>
  <c r="R39" i="127"/>
  <c r="M40" i="127"/>
  <c r="M41" i="127"/>
  <c r="O42" i="127"/>
  <c r="O43" i="127"/>
  <c r="R47" i="127"/>
  <c r="M48" i="127"/>
  <c r="M49" i="127"/>
  <c r="O50" i="127"/>
  <c r="O51" i="127"/>
  <c r="O55" i="127"/>
  <c r="R55" i="127"/>
  <c r="M57" i="127"/>
  <c r="O58" i="127"/>
  <c r="M62" i="127"/>
  <c r="O63" i="127"/>
  <c r="R63" i="127"/>
  <c r="M65" i="127"/>
  <c r="O66" i="127"/>
  <c r="M70" i="127"/>
  <c r="O71" i="127"/>
  <c r="R71" i="127"/>
  <c r="M73" i="127"/>
  <c r="O74" i="127"/>
  <c r="M78" i="127"/>
  <c r="R79" i="127"/>
  <c r="M81" i="127"/>
  <c r="M83" i="127"/>
  <c r="M85" i="127"/>
  <c r="M87" i="127"/>
  <c r="M89" i="127"/>
  <c r="M91" i="127"/>
  <c r="M93" i="127"/>
  <c r="M95" i="127"/>
  <c r="M97" i="127"/>
  <c r="M99" i="127"/>
  <c r="O25" i="127"/>
  <c r="R27" i="127"/>
  <c r="O32" i="127"/>
  <c r="O33" i="127"/>
  <c r="O40" i="127"/>
  <c r="O41" i="127"/>
  <c r="O48" i="127"/>
  <c r="O49" i="127"/>
  <c r="O56" i="127"/>
  <c r="M60" i="127"/>
  <c r="O61" i="127"/>
  <c r="O64" i="127"/>
  <c r="M68" i="127"/>
  <c r="O69" i="127"/>
  <c r="O72" i="127"/>
  <c r="M76" i="127"/>
  <c r="O77" i="127"/>
  <c r="O80" i="127"/>
  <c r="O82" i="127"/>
  <c r="O86" i="127"/>
  <c r="O90" i="127"/>
  <c r="O94" i="127"/>
  <c r="O96" i="127"/>
  <c r="O98" i="127"/>
  <c r="O105" i="127"/>
  <c r="O106" i="127"/>
  <c r="R106" i="127"/>
  <c r="R107" i="127"/>
  <c r="M58" i="127"/>
  <c r="M66" i="127"/>
  <c r="M74" i="127"/>
  <c r="O101" i="127"/>
  <c r="O9" i="126"/>
  <c r="R15" i="126"/>
  <c r="M22" i="126"/>
  <c r="O28" i="126"/>
  <c r="R29" i="126"/>
  <c r="O32" i="126"/>
  <c r="O43" i="126"/>
  <c r="R44" i="126"/>
  <c r="M45" i="126"/>
  <c r="O46" i="126"/>
  <c r="O59" i="126"/>
  <c r="M61" i="126"/>
  <c r="M66" i="126"/>
  <c r="O70" i="126"/>
  <c r="R79" i="126"/>
  <c r="M80" i="126"/>
  <c r="M81" i="126"/>
  <c r="O86" i="126"/>
  <c r="R87" i="126"/>
  <c r="M88" i="126"/>
  <c r="M89" i="126"/>
  <c r="O94" i="126"/>
  <c r="R95" i="126"/>
  <c r="M96" i="126"/>
  <c r="O100" i="126"/>
  <c r="M101" i="126"/>
  <c r="O103" i="126"/>
  <c r="R104" i="126"/>
  <c r="M105" i="126"/>
  <c r="R109" i="126"/>
  <c r="M110" i="126"/>
  <c r="O114" i="126"/>
  <c r="M115" i="126"/>
  <c r="R119" i="126"/>
  <c r="M120" i="126"/>
  <c r="O8" i="126"/>
  <c r="R9" i="126"/>
  <c r="O22" i="126"/>
  <c r="O27" i="126"/>
  <c r="R32" i="126"/>
  <c r="O40" i="126"/>
  <c r="O51" i="126"/>
  <c r="O56" i="126"/>
  <c r="O84" i="126"/>
  <c r="O92" i="126"/>
  <c r="O108" i="126"/>
  <c r="R3" i="126"/>
  <c r="R17" i="126"/>
  <c r="R22" i="126"/>
  <c r="O44" i="126"/>
  <c r="M46" i="126"/>
  <c r="M51" i="126"/>
  <c r="R63" i="126"/>
  <c r="M65" i="126"/>
  <c r="R68" i="126"/>
  <c r="M69" i="126"/>
  <c r="O71" i="126"/>
  <c r="R83" i="126"/>
  <c r="M84" i="126"/>
  <c r="M85" i="126"/>
  <c r="R91" i="126"/>
  <c r="M92" i="126"/>
  <c r="M93" i="126"/>
  <c r="O95" i="126"/>
  <c r="R96" i="126"/>
  <c r="M99" i="126"/>
  <c r="R103" i="126"/>
  <c r="M104" i="126"/>
  <c r="R106" i="126"/>
  <c r="M117" i="126"/>
  <c r="O119" i="126"/>
  <c r="R120" i="126"/>
  <c r="M4" i="126"/>
  <c r="M3" i="126"/>
  <c r="O4" i="126"/>
  <c r="O5" i="126"/>
  <c r="M10" i="126"/>
  <c r="M11" i="126"/>
  <c r="O12" i="126"/>
  <c r="O13" i="126"/>
  <c r="R16" i="126"/>
  <c r="O24" i="126"/>
  <c r="O31" i="126"/>
  <c r="M35" i="126"/>
  <c r="M36" i="126"/>
  <c r="R49" i="126"/>
  <c r="M50" i="126"/>
  <c r="R56" i="126"/>
  <c r="M5" i="126"/>
  <c r="O3" i="126"/>
  <c r="R5" i="126"/>
  <c r="M8" i="126"/>
  <c r="M9" i="126"/>
  <c r="O10" i="126"/>
  <c r="O11" i="126"/>
  <c r="O17" i="126"/>
  <c r="R18" i="126"/>
  <c r="O23" i="126"/>
  <c r="R24" i="126"/>
  <c r="M27" i="126"/>
  <c r="M28" i="126"/>
  <c r="M33" i="126"/>
  <c r="M34" i="126"/>
  <c r="R39" i="126"/>
  <c r="O48" i="126"/>
  <c r="R66" i="126"/>
  <c r="R70" i="126"/>
  <c r="M12" i="126"/>
  <c r="M13" i="126"/>
  <c r="M18" i="126"/>
  <c r="R23" i="126"/>
  <c r="R41" i="126"/>
  <c r="R46" i="126"/>
  <c r="R50" i="126"/>
  <c r="O35" i="126"/>
  <c r="O36" i="126"/>
  <c r="R40" i="126"/>
  <c r="M41" i="126"/>
  <c r="M42" i="126"/>
  <c r="O47" i="126"/>
  <c r="R47" i="126"/>
  <c r="R48" i="126"/>
  <c r="O57" i="126"/>
  <c r="M59" i="126"/>
  <c r="O62" i="126"/>
  <c r="O67" i="126"/>
  <c r="R69" i="126"/>
  <c r="O98" i="126"/>
  <c r="R99" i="126"/>
  <c r="M100" i="126"/>
  <c r="R107" i="126"/>
  <c r="M108" i="126"/>
  <c r="R115" i="126"/>
  <c r="M116" i="126"/>
  <c r="R13" i="126"/>
  <c r="M16" i="126"/>
  <c r="M17" i="126"/>
  <c r="O18" i="126"/>
  <c r="R20" i="126"/>
  <c r="M23" i="126"/>
  <c r="M24" i="126"/>
  <c r="O25" i="126"/>
  <c r="O26" i="126"/>
  <c r="R28" i="126"/>
  <c r="M31" i="126"/>
  <c r="M32" i="126"/>
  <c r="O33" i="126"/>
  <c r="O34" i="126"/>
  <c r="R38" i="126"/>
  <c r="M39" i="126"/>
  <c r="M40" i="126"/>
  <c r="O41" i="126"/>
  <c r="O42" i="126"/>
  <c r="O45" i="126"/>
  <c r="M47" i="126"/>
  <c r="O50" i="126"/>
  <c r="M52" i="126"/>
  <c r="O53" i="126"/>
  <c r="M54" i="126"/>
  <c r="O55" i="126"/>
  <c r="R55" i="126"/>
  <c r="M57" i="126"/>
  <c r="O58" i="126"/>
  <c r="M64" i="126"/>
  <c r="O65" i="126"/>
  <c r="M67" i="126"/>
  <c r="R71" i="126"/>
  <c r="M72" i="126"/>
  <c r="O74" i="126"/>
  <c r="O76" i="126"/>
  <c r="O79" i="126"/>
  <c r="O81" i="126"/>
  <c r="O83" i="126"/>
  <c r="O85" i="126"/>
  <c r="O87" i="126"/>
  <c r="O89" i="126"/>
  <c r="O91" i="126"/>
  <c r="O93" i="126"/>
  <c r="R94" i="126"/>
  <c r="O96" i="126"/>
  <c r="R97" i="126"/>
  <c r="M98" i="126"/>
  <c r="O101" i="126"/>
  <c r="R102" i="126"/>
  <c r="O104" i="126"/>
  <c r="R105" i="126"/>
  <c r="M106" i="126"/>
  <c r="O109" i="126"/>
  <c r="R110" i="126"/>
  <c r="O112" i="126"/>
  <c r="R113" i="126"/>
  <c r="M114" i="126"/>
  <c r="O117" i="126"/>
  <c r="R118" i="126"/>
  <c r="O120" i="126"/>
  <c r="M60" i="126"/>
  <c r="M62" i="126"/>
  <c r="O69" i="126"/>
  <c r="O99" i="126"/>
  <c r="R100" i="126"/>
  <c r="O102" i="126"/>
  <c r="O107" i="126"/>
  <c r="R108" i="126"/>
  <c r="O110" i="126"/>
  <c r="O115" i="126"/>
  <c r="R116" i="126"/>
  <c r="O118" i="126"/>
  <c r="M23" i="128"/>
  <c r="R28" i="128"/>
  <c r="M29" i="128"/>
  <c r="M37" i="128"/>
  <c r="M45" i="128"/>
  <c r="M60" i="128"/>
  <c r="M68" i="128"/>
  <c r="R30" i="128"/>
  <c r="M31" i="128"/>
  <c r="M39" i="128"/>
  <c r="M54" i="128"/>
  <c r="M17" i="128"/>
  <c r="M21" i="128"/>
  <c r="R32" i="128"/>
  <c r="M33" i="128"/>
  <c r="M41" i="128"/>
  <c r="M56" i="128"/>
  <c r="M64" i="128"/>
  <c r="R26" i="128"/>
  <c r="M27" i="128"/>
  <c r="M16" i="127"/>
  <c r="R41" i="127"/>
  <c r="R29" i="127"/>
  <c r="R37" i="127"/>
  <c r="R45" i="127"/>
  <c r="R53" i="127"/>
  <c r="R61" i="127"/>
  <c r="R69" i="127"/>
  <c r="R45" i="126"/>
  <c r="O49" i="126"/>
  <c r="R51" i="126"/>
  <c r="R59" i="126"/>
  <c r="R67" i="126"/>
  <c r="M68" i="126"/>
  <c r="M76" i="126"/>
  <c r="R43" i="126"/>
  <c r="R53" i="126"/>
  <c r="R61" i="126"/>
  <c r="M70" i="126"/>
  <c r="M78" i="126"/>
  <c r="O52" i="126"/>
  <c r="O60" i="126"/>
  <c r="R57" i="126"/>
  <c r="R65" i="126"/>
  <c r="O3" i="125"/>
  <c r="O5" i="125"/>
  <c r="O7" i="125"/>
  <c r="O11" i="125"/>
  <c r="O15" i="125"/>
  <c r="O19" i="125"/>
  <c r="O23" i="125"/>
  <c r="O25" i="125"/>
  <c r="O9" i="125"/>
  <c r="O13" i="125"/>
  <c r="O17" i="125"/>
  <c r="O21" i="125"/>
  <c r="M28" i="125"/>
  <c r="M32" i="125"/>
  <c r="M36" i="125"/>
  <c r="M26" i="125"/>
  <c r="M30" i="125"/>
  <c r="M34" i="125"/>
  <c r="M37" i="124"/>
  <c r="M39" i="124"/>
  <c r="M41" i="124"/>
  <c r="M43" i="124"/>
  <c r="M45" i="124"/>
  <c r="M47" i="124"/>
  <c r="M49" i="124"/>
  <c r="M51" i="124"/>
  <c r="M53" i="124"/>
  <c r="M55" i="124"/>
  <c r="M57" i="124"/>
  <c r="M59" i="124"/>
  <c r="M61" i="124"/>
  <c r="M63" i="124"/>
  <c r="M65" i="124"/>
  <c r="M67" i="124"/>
  <c r="M69" i="124"/>
  <c r="M71" i="124"/>
  <c r="M73" i="124"/>
  <c r="M75" i="124"/>
  <c r="M77" i="124"/>
  <c r="M79" i="124"/>
  <c r="M81" i="124"/>
  <c r="M83" i="124"/>
  <c r="M85" i="124"/>
  <c r="M87" i="124"/>
  <c r="M89" i="124"/>
  <c r="M93" i="124"/>
  <c r="M97" i="124"/>
  <c r="M91" i="124"/>
  <c r="M95" i="124"/>
  <c r="M99" i="124"/>
  <c r="M169" i="124"/>
  <c r="M173" i="124"/>
  <c r="M177" i="124"/>
  <c r="M181" i="124"/>
  <c r="R196" i="124"/>
  <c r="M197" i="124"/>
  <c r="M205" i="124"/>
  <c r="M213" i="124"/>
  <c r="M221" i="124"/>
  <c r="M229" i="124"/>
  <c r="M171" i="124"/>
  <c r="M175" i="124"/>
  <c r="M179" i="124"/>
  <c r="R192" i="124"/>
  <c r="M193" i="124"/>
  <c r="R200" i="124"/>
  <c r="M201" i="124"/>
  <c r="M209" i="124"/>
  <c r="M217" i="124"/>
  <c r="M225" i="124"/>
  <c r="M234" i="124"/>
  <c r="M236" i="124"/>
  <c r="M245" i="124"/>
  <c r="M37" i="122"/>
  <c r="M41" i="122"/>
  <c r="M45" i="122"/>
  <c r="M39" i="122"/>
  <c r="M43" i="122"/>
  <c r="M47" i="122"/>
  <c r="R114" i="122"/>
  <c r="M115" i="122"/>
  <c r="M123" i="122"/>
  <c r="M107" i="122"/>
  <c r="M111" i="122"/>
  <c r="R116" i="122"/>
  <c r="M117" i="122"/>
  <c r="M125" i="122"/>
  <c r="M133" i="122"/>
  <c r="M129" i="122"/>
  <c r="M137" i="122"/>
  <c r="M62" i="121"/>
  <c r="O62" i="121"/>
  <c r="P1" i="120"/>
  <c r="M19" i="120"/>
  <c r="M23" i="120"/>
  <c r="M27" i="120"/>
  <c r="M31" i="120"/>
  <c r="M33" i="120"/>
  <c r="M35" i="120"/>
  <c r="M37" i="120"/>
  <c r="M39" i="120"/>
  <c r="M41" i="120"/>
  <c r="M43" i="120"/>
  <c r="M45" i="120"/>
  <c r="M47" i="120"/>
  <c r="M49" i="120"/>
  <c r="M51" i="120"/>
  <c r="M53" i="120"/>
  <c r="M55" i="120"/>
  <c r="M57" i="120"/>
  <c r="M59" i="120"/>
  <c r="M61" i="120"/>
  <c r="M69" i="120"/>
  <c r="M77" i="120"/>
  <c r="M87" i="120"/>
  <c r="M63" i="120"/>
  <c r="M71" i="120"/>
  <c r="M17" i="120"/>
  <c r="M21" i="120"/>
  <c r="M25" i="120"/>
  <c r="M29" i="120"/>
  <c r="M65" i="120"/>
  <c r="M73" i="120"/>
  <c r="M81" i="120"/>
  <c r="K1" i="120"/>
  <c r="W1" i="119"/>
  <c r="V1" i="119"/>
  <c r="U1" i="119"/>
  <c r="Q1" i="119"/>
  <c r="S1" i="119" s="1"/>
  <c r="L1" i="119"/>
  <c r="N1" i="119" s="1"/>
  <c r="K1" i="119"/>
  <c r="D27" i="129" l="1"/>
  <c r="E27" i="129" s="1"/>
  <c r="E25" i="129"/>
  <c r="E24" i="129" l="1"/>
  <c r="E21" i="129"/>
  <c r="E23" i="129" l="1"/>
  <c r="D18" i="129" l="1"/>
  <c r="I18" i="129" l="1"/>
  <c r="I17" i="129"/>
  <c r="I16" i="129"/>
  <c r="I15" i="129"/>
  <c r="I14" i="129"/>
  <c r="I13" i="129"/>
  <c r="I12" i="129"/>
  <c r="I11" i="129"/>
  <c r="I10" i="129"/>
  <c r="I9" i="129"/>
  <c r="F10" i="129"/>
  <c r="F11" i="129"/>
  <c r="F12" i="129"/>
  <c r="F13" i="129"/>
  <c r="F14" i="129"/>
  <c r="F15" i="129"/>
  <c r="F16" i="129"/>
  <c r="F17" i="129"/>
  <c r="F18" i="129"/>
  <c r="F9" i="129"/>
  <c r="O3" i="119"/>
  <c r="E22" i="129"/>
  <c r="E26" i="129" l="1"/>
  <c r="E28" i="129"/>
  <c r="N14" i="129" l="1"/>
  <c r="N9" i="129"/>
  <c r="N13" i="129" l="1"/>
  <c r="N17" i="129"/>
  <c r="N11" i="129"/>
  <c r="N15" i="129"/>
  <c r="N10" i="129"/>
  <c r="N12" i="129"/>
  <c r="N16" i="129"/>
  <c r="Q2" i="128"/>
  <c r="L2" i="128"/>
  <c r="Q2" i="127"/>
  <c r="L2" i="127"/>
  <c r="Q2" i="126"/>
  <c r="L2" i="126"/>
  <c r="Q2" i="125"/>
  <c r="L2" i="125"/>
  <c r="Q2" i="124"/>
  <c r="L2" i="124"/>
  <c r="Q2" i="123"/>
  <c r="L2" i="123"/>
  <c r="U1" i="122"/>
  <c r="Q1" i="122"/>
  <c r="Q2" i="122"/>
  <c r="L2" i="122"/>
  <c r="Q2" i="121"/>
  <c r="L2" i="121"/>
  <c r="L2" i="120"/>
  <c r="Q2" i="120"/>
  <c r="T1193" i="119"/>
  <c r="T1192" i="119"/>
  <c r="T1191" i="119"/>
  <c r="T1190" i="119"/>
  <c r="T105" i="123" s="1"/>
  <c r="T1189" i="119"/>
  <c r="T1188" i="119"/>
  <c r="T1187" i="119"/>
  <c r="T1186" i="119"/>
  <c r="T1185" i="119"/>
  <c r="T1184" i="119"/>
  <c r="T1183" i="119"/>
  <c r="T1182" i="119"/>
  <c r="T1181" i="119"/>
  <c r="T1180" i="119"/>
  <c r="T102" i="123" s="1"/>
  <c r="T1179" i="119"/>
  <c r="T1178" i="119"/>
  <c r="T1177" i="119"/>
  <c r="T1176" i="119"/>
  <c r="T1175" i="119"/>
  <c r="T1174" i="119"/>
  <c r="T1173" i="119"/>
  <c r="T1172" i="119"/>
  <c r="T1171" i="119"/>
  <c r="T1170" i="119"/>
  <c r="T1169" i="119"/>
  <c r="T1168" i="119"/>
  <c r="T1167" i="119"/>
  <c r="T1166" i="119"/>
  <c r="T1165" i="119"/>
  <c r="T1164" i="119"/>
  <c r="T1163" i="119"/>
  <c r="T1162" i="119"/>
  <c r="T1161" i="119"/>
  <c r="T1160" i="119"/>
  <c r="T65" i="123" s="1"/>
  <c r="T1159" i="119"/>
  <c r="T1158" i="119"/>
  <c r="T1157" i="119"/>
  <c r="T1156" i="119"/>
  <c r="T1155" i="119"/>
  <c r="T1154" i="119"/>
  <c r="T1153" i="119"/>
  <c r="T1152" i="119"/>
  <c r="T1151" i="119"/>
  <c r="T1150" i="119"/>
  <c r="T1149" i="119"/>
  <c r="T1148" i="119"/>
  <c r="T1147" i="119"/>
  <c r="T1146" i="119"/>
  <c r="T1145" i="119"/>
  <c r="T1144" i="119"/>
  <c r="T1143" i="119"/>
  <c r="T1142" i="119"/>
  <c r="T1141" i="119"/>
  <c r="T1140" i="119"/>
  <c r="T1139" i="119"/>
  <c r="T1138" i="119"/>
  <c r="T1137" i="119"/>
  <c r="T1136" i="119"/>
  <c r="T1135" i="119"/>
  <c r="T1134" i="119"/>
  <c r="T1133" i="119"/>
  <c r="T1132" i="119"/>
  <c r="T1131" i="119"/>
  <c r="T1130" i="119"/>
  <c r="T1129" i="119"/>
  <c r="T1128" i="119"/>
  <c r="T1127" i="119"/>
  <c r="T1126" i="119"/>
  <c r="T1125" i="119"/>
  <c r="T1124" i="119"/>
  <c r="T1123" i="119"/>
  <c r="T1122" i="119"/>
  <c r="T1121" i="119"/>
  <c r="T1120" i="119"/>
  <c r="T1119" i="119"/>
  <c r="T1118" i="119"/>
  <c r="T1117" i="119"/>
  <c r="T1116" i="119"/>
  <c r="T1115" i="119"/>
  <c r="T1114" i="119"/>
  <c r="T1113" i="119"/>
  <c r="T1112" i="119"/>
  <c r="T1111" i="119"/>
  <c r="T1110" i="119"/>
  <c r="T1109" i="119"/>
  <c r="T1108" i="119"/>
  <c r="T1107" i="119"/>
  <c r="T1106" i="119"/>
  <c r="T1105" i="119"/>
  <c r="T1104" i="119"/>
  <c r="T1103" i="119"/>
  <c r="T1102" i="119"/>
  <c r="T1101" i="119"/>
  <c r="T1100" i="119"/>
  <c r="T1099" i="119"/>
  <c r="T1098" i="119"/>
  <c r="T1097" i="119"/>
  <c r="T1096" i="119"/>
  <c r="T1095" i="119"/>
  <c r="T1094" i="119"/>
  <c r="T1093" i="119"/>
  <c r="T1092" i="119"/>
  <c r="T1091" i="119"/>
  <c r="T1090" i="119"/>
  <c r="T1089" i="119"/>
  <c r="T1088" i="119"/>
  <c r="T1087" i="119"/>
  <c r="T1086" i="119"/>
  <c r="T1085" i="119"/>
  <c r="T1084" i="119"/>
  <c r="T1083" i="119"/>
  <c r="T1082" i="119"/>
  <c r="T1081" i="119"/>
  <c r="T1080" i="119"/>
  <c r="T1079" i="119"/>
  <c r="T1078" i="119"/>
  <c r="T1077" i="119"/>
  <c r="T1076" i="119"/>
  <c r="T1075" i="119"/>
  <c r="T1074" i="119"/>
  <c r="T1073" i="119"/>
  <c r="T1072" i="119"/>
  <c r="T1071" i="119"/>
  <c r="T1070" i="119"/>
  <c r="T1069" i="119"/>
  <c r="T1068" i="119"/>
  <c r="T1067" i="119"/>
  <c r="T1066" i="119"/>
  <c r="T1065" i="119"/>
  <c r="T1064" i="119"/>
  <c r="T1063" i="119"/>
  <c r="T1062" i="119"/>
  <c r="T1061" i="119"/>
  <c r="T1060" i="119"/>
  <c r="T1059" i="119"/>
  <c r="T1058" i="119"/>
  <c r="T1057" i="119"/>
  <c r="T1056" i="119"/>
  <c r="T1055" i="119"/>
  <c r="T1054" i="119"/>
  <c r="T1053" i="119"/>
  <c r="T1052" i="119"/>
  <c r="T1051" i="119"/>
  <c r="T1050" i="119"/>
  <c r="T1049" i="119"/>
  <c r="T1048" i="119"/>
  <c r="T1047" i="119"/>
  <c r="T1046" i="119"/>
  <c r="T1045" i="119"/>
  <c r="T1044" i="119"/>
  <c r="T1043" i="119"/>
  <c r="T1042" i="119"/>
  <c r="T1041" i="119"/>
  <c r="T1040" i="119"/>
  <c r="T1039" i="119"/>
  <c r="T1038" i="119"/>
  <c r="T1037" i="119"/>
  <c r="T1036" i="119"/>
  <c r="T1035" i="119"/>
  <c r="T1034" i="119"/>
  <c r="T1033" i="119"/>
  <c r="T1032" i="119"/>
  <c r="T1031" i="119"/>
  <c r="T1030" i="119"/>
  <c r="T1029" i="119"/>
  <c r="T1028" i="119"/>
  <c r="T1027" i="119"/>
  <c r="T1026" i="119"/>
  <c r="T1025" i="119"/>
  <c r="T1024" i="119"/>
  <c r="T1023" i="119"/>
  <c r="T1022" i="119"/>
  <c r="T1021" i="119"/>
  <c r="T1020" i="119"/>
  <c r="T1019" i="119"/>
  <c r="T1018" i="119"/>
  <c r="T1017" i="119"/>
  <c r="T1016" i="119"/>
  <c r="T1015" i="119"/>
  <c r="T1014" i="119"/>
  <c r="T1013" i="119"/>
  <c r="T1012" i="119"/>
  <c r="T1011" i="119"/>
  <c r="T1010" i="119"/>
  <c r="T1009" i="119"/>
  <c r="T1008" i="119"/>
  <c r="T1007" i="119"/>
  <c r="T1006" i="119"/>
  <c r="T1005" i="119"/>
  <c r="T1004" i="119"/>
  <c r="T1003" i="119"/>
  <c r="T1002" i="119"/>
  <c r="T1001" i="119"/>
  <c r="T1000" i="119"/>
  <c r="T999" i="119"/>
  <c r="T998" i="119"/>
  <c r="T997" i="119"/>
  <c r="T996" i="119"/>
  <c r="T995" i="119"/>
  <c r="T994" i="119"/>
  <c r="T993" i="119"/>
  <c r="T992" i="119"/>
  <c r="T991" i="119"/>
  <c r="T990" i="119"/>
  <c r="T989" i="119"/>
  <c r="T988" i="119"/>
  <c r="T987" i="119"/>
  <c r="T986" i="119"/>
  <c r="T985" i="119"/>
  <c r="T984" i="119"/>
  <c r="T983" i="119"/>
  <c r="T982" i="119"/>
  <c r="T981" i="119"/>
  <c r="T980" i="119"/>
  <c r="T979" i="119"/>
  <c r="T978" i="119"/>
  <c r="T977" i="119"/>
  <c r="T976" i="119"/>
  <c r="T975" i="119"/>
  <c r="T974" i="119"/>
  <c r="T973" i="119"/>
  <c r="T972" i="119"/>
  <c r="T971" i="119"/>
  <c r="T970" i="119"/>
  <c r="T969" i="119"/>
  <c r="T968" i="119"/>
  <c r="T967" i="119"/>
  <c r="T966" i="119"/>
  <c r="T965" i="119"/>
  <c r="T964" i="119"/>
  <c r="T963" i="119"/>
  <c r="T962" i="119"/>
  <c r="T961" i="119"/>
  <c r="T960" i="119"/>
  <c r="T959" i="119"/>
  <c r="T958" i="119"/>
  <c r="T957" i="119"/>
  <c r="T956" i="119"/>
  <c r="T955" i="119"/>
  <c r="T954" i="119"/>
  <c r="T953" i="119"/>
  <c r="T952" i="119"/>
  <c r="T951" i="119"/>
  <c r="T950" i="119"/>
  <c r="T949" i="119"/>
  <c r="T948" i="119"/>
  <c r="T947" i="119"/>
  <c r="T946" i="119"/>
  <c r="T945" i="119"/>
  <c r="T944" i="119"/>
  <c r="T943" i="119"/>
  <c r="T942" i="119"/>
  <c r="T941" i="119"/>
  <c r="T940" i="119"/>
  <c r="T939" i="119"/>
  <c r="T938" i="119"/>
  <c r="T937" i="119"/>
  <c r="T936" i="119"/>
  <c r="T935" i="119"/>
  <c r="T934" i="119"/>
  <c r="T933" i="119"/>
  <c r="T932" i="119"/>
  <c r="T931" i="119"/>
  <c r="T930" i="119"/>
  <c r="T929" i="119"/>
  <c r="T928" i="119"/>
  <c r="T927" i="119"/>
  <c r="T926" i="119"/>
  <c r="T925" i="119"/>
  <c r="T924" i="119"/>
  <c r="T923" i="119"/>
  <c r="T922" i="119"/>
  <c r="T921" i="119"/>
  <c r="T920" i="119"/>
  <c r="T919" i="119"/>
  <c r="T918" i="119"/>
  <c r="T917" i="119"/>
  <c r="T916" i="119"/>
  <c r="T915" i="119"/>
  <c r="T914" i="119"/>
  <c r="T913" i="119"/>
  <c r="T912" i="119"/>
  <c r="T911" i="119"/>
  <c r="T910" i="119"/>
  <c r="T909" i="119"/>
  <c r="T908" i="119"/>
  <c r="T907" i="119"/>
  <c r="T906" i="119"/>
  <c r="T905" i="119"/>
  <c r="T904" i="119"/>
  <c r="T903" i="119"/>
  <c r="T902" i="119"/>
  <c r="T901" i="119"/>
  <c r="T900" i="119"/>
  <c r="T899" i="119"/>
  <c r="T898" i="119"/>
  <c r="T897" i="119"/>
  <c r="T896" i="119"/>
  <c r="T895" i="119"/>
  <c r="T894" i="119"/>
  <c r="T893" i="119"/>
  <c r="T892" i="119"/>
  <c r="T891" i="119"/>
  <c r="T890" i="119"/>
  <c r="T889" i="119"/>
  <c r="T888" i="119"/>
  <c r="T887" i="119"/>
  <c r="T886" i="119"/>
  <c r="T885" i="119"/>
  <c r="T884" i="119"/>
  <c r="T883" i="119"/>
  <c r="T882" i="119"/>
  <c r="T881" i="119"/>
  <c r="T880" i="119"/>
  <c r="T879" i="119"/>
  <c r="T878" i="119"/>
  <c r="T877" i="119"/>
  <c r="T876" i="119"/>
  <c r="T875" i="119"/>
  <c r="T874" i="119"/>
  <c r="T873" i="119"/>
  <c r="T872" i="119"/>
  <c r="T871" i="119"/>
  <c r="T870" i="119"/>
  <c r="T869" i="119"/>
  <c r="T868" i="119"/>
  <c r="T867" i="119"/>
  <c r="T866" i="119"/>
  <c r="T865" i="119"/>
  <c r="T864" i="119"/>
  <c r="T863" i="119"/>
  <c r="T862" i="119"/>
  <c r="T861" i="119"/>
  <c r="T860" i="119"/>
  <c r="T859" i="119"/>
  <c r="T858" i="119"/>
  <c r="T857" i="119"/>
  <c r="T856" i="119"/>
  <c r="T855" i="119"/>
  <c r="T854" i="119"/>
  <c r="T853" i="119"/>
  <c r="T852" i="119"/>
  <c r="T851" i="119"/>
  <c r="T850" i="119"/>
  <c r="T849" i="119"/>
  <c r="T848" i="119"/>
  <c r="T847" i="119"/>
  <c r="T846" i="119"/>
  <c r="T845" i="119"/>
  <c r="T844" i="119"/>
  <c r="T843" i="119"/>
  <c r="T842" i="119"/>
  <c r="T841" i="119"/>
  <c r="T840" i="119"/>
  <c r="T839" i="119"/>
  <c r="T838" i="119"/>
  <c r="T837" i="119"/>
  <c r="T836" i="119"/>
  <c r="T835" i="119"/>
  <c r="T834" i="119"/>
  <c r="T833" i="119"/>
  <c r="T832" i="119"/>
  <c r="T831" i="119"/>
  <c r="T830" i="119"/>
  <c r="T829" i="119"/>
  <c r="T828" i="119"/>
  <c r="T827" i="119"/>
  <c r="T826" i="119"/>
  <c r="T825" i="119"/>
  <c r="T824" i="119"/>
  <c r="T823" i="119"/>
  <c r="T822" i="119"/>
  <c r="T821" i="119"/>
  <c r="T820" i="119"/>
  <c r="T819" i="119"/>
  <c r="T818" i="119"/>
  <c r="T817" i="119"/>
  <c r="T816" i="119"/>
  <c r="T815" i="119"/>
  <c r="T814" i="119"/>
  <c r="T813" i="119"/>
  <c r="T812" i="119"/>
  <c r="T811" i="119"/>
  <c r="T810" i="119"/>
  <c r="T809" i="119"/>
  <c r="T808" i="119"/>
  <c r="T807" i="119"/>
  <c r="T806" i="119"/>
  <c r="T805" i="119"/>
  <c r="T804" i="119"/>
  <c r="T803" i="119"/>
  <c r="T802" i="119"/>
  <c r="T801" i="119"/>
  <c r="T800" i="119"/>
  <c r="T799" i="119"/>
  <c r="T798" i="119"/>
  <c r="T797" i="119"/>
  <c r="T796" i="119"/>
  <c r="T795" i="119"/>
  <c r="T794" i="119"/>
  <c r="T793" i="119"/>
  <c r="T792" i="119"/>
  <c r="T791" i="119"/>
  <c r="T790" i="119"/>
  <c r="T789" i="119"/>
  <c r="T788" i="119"/>
  <c r="T787" i="119"/>
  <c r="T786" i="119"/>
  <c r="T785" i="119"/>
  <c r="T784" i="119"/>
  <c r="T783" i="119"/>
  <c r="T782" i="119"/>
  <c r="T781" i="119"/>
  <c r="T780" i="119"/>
  <c r="T779" i="119"/>
  <c r="T778" i="119"/>
  <c r="T777" i="119"/>
  <c r="T776" i="119"/>
  <c r="T775" i="119"/>
  <c r="T774" i="119"/>
  <c r="T773" i="119"/>
  <c r="T772" i="119"/>
  <c r="T771" i="119"/>
  <c r="T770" i="119"/>
  <c r="T769" i="119"/>
  <c r="T768" i="119"/>
  <c r="T767" i="119"/>
  <c r="T766" i="119"/>
  <c r="T765" i="119"/>
  <c r="T764" i="119"/>
  <c r="T763" i="119"/>
  <c r="T762" i="119"/>
  <c r="T761" i="119"/>
  <c r="T760" i="119"/>
  <c r="T759" i="119"/>
  <c r="T758" i="119"/>
  <c r="T757" i="119"/>
  <c r="T756" i="119"/>
  <c r="T755" i="119"/>
  <c r="T754" i="119"/>
  <c r="T753" i="119"/>
  <c r="T752" i="119"/>
  <c r="T751" i="119"/>
  <c r="T750" i="119"/>
  <c r="T749" i="119"/>
  <c r="T748" i="119"/>
  <c r="T747" i="119"/>
  <c r="T746" i="119"/>
  <c r="T745" i="119"/>
  <c r="T744" i="119"/>
  <c r="T743" i="119"/>
  <c r="T742" i="119"/>
  <c r="T741" i="119"/>
  <c r="T740" i="119"/>
  <c r="T739" i="119"/>
  <c r="T738" i="119"/>
  <c r="T737" i="119"/>
  <c r="T736" i="119"/>
  <c r="T735" i="119"/>
  <c r="T734" i="119"/>
  <c r="T733" i="119"/>
  <c r="T732" i="119"/>
  <c r="T731" i="119"/>
  <c r="T730" i="119"/>
  <c r="T729" i="119"/>
  <c r="T728" i="119"/>
  <c r="T727" i="119"/>
  <c r="T726" i="119"/>
  <c r="T725" i="119"/>
  <c r="T724" i="119"/>
  <c r="T723" i="119"/>
  <c r="T722" i="119"/>
  <c r="T721" i="119"/>
  <c r="T720" i="119"/>
  <c r="T719" i="119"/>
  <c r="T718" i="119"/>
  <c r="T717" i="119"/>
  <c r="T716" i="119"/>
  <c r="T715" i="119"/>
  <c r="T714" i="119"/>
  <c r="T713" i="119"/>
  <c r="T712" i="119"/>
  <c r="T711" i="119"/>
  <c r="T710" i="119"/>
  <c r="T709" i="119"/>
  <c r="T708" i="119"/>
  <c r="T707" i="119"/>
  <c r="T706" i="119"/>
  <c r="T705" i="119"/>
  <c r="T704" i="119"/>
  <c r="T703" i="119"/>
  <c r="T702" i="119"/>
  <c r="T701" i="119"/>
  <c r="T700" i="119"/>
  <c r="T699" i="119"/>
  <c r="T698" i="119"/>
  <c r="T697" i="119"/>
  <c r="T696" i="119"/>
  <c r="T695" i="119"/>
  <c r="T694" i="119"/>
  <c r="T693" i="119"/>
  <c r="T692" i="119"/>
  <c r="T691" i="119"/>
  <c r="T690" i="119"/>
  <c r="T689" i="119"/>
  <c r="T688" i="119"/>
  <c r="T687" i="119"/>
  <c r="T686" i="119"/>
  <c r="T685" i="119"/>
  <c r="T684" i="119"/>
  <c r="T683" i="119"/>
  <c r="T682" i="119"/>
  <c r="T681" i="119"/>
  <c r="T680" i="119"/>
  <c r="T679" i="119"/>
  <c r="T678" i="119"/>
  <c r="T677" i="119"/>
  <c r="T676" i="119"/>
  <c r="T675" i="119"/>
  <c r="T674" i="119"/>
  <c r="T673" i="119"/>
  <c r="T672" i="119"/>
  <c r="T671" i="119"/>
  <c r="T670" i="119"/>
  <c r="T669" i="119"/>
  <c r="T668" i="119"/>
  <c r="T667" i="119"/>
  <c r="T666" i="119"/>
  <c r="T665" i="119"/>
  <c r="T664" i="119"/>
  <c r="T662" i="119"/>
  <c r="T661" i="119"/>
  <c r="T660" i="119"/>
  <c r="T659" i="119"/>
  <c r="T15" i="124" s="1"/>
  <c r="T658" i="119"/>
  <c r="T14" i="124" s="1"/>
  <c r="T657" i="119"/>
  <c r="T13" i="124" s="1"/>
  <c r="T656" i="119"/>
  <c r="T12" i="124" s="1"/>
  <c r="T655" i="119"/>
  <c r="T11" i="124" s="1"/>
  <c r="T654" i="119"/>
  <c r="T10" i="124" s="1"/>
  <c r="T653" i="119"/>
  <c r="T9" i="124" s="1"/>
  <c r="T652" i="119"/>
  <c r="T8" i="124" s="1"/>
  <c r="T651" i="119"/>
  <c r="T7" i="124" s="1"/>
  <c r="T650" i="119"/>
  <c r="T6" i="124" s="1"/>
  <c r="T649" i="119"/>
  <c r="T5" i="124" s="1"/>
  <c r="T648" i="119"/>
  <c r="T4" i="124" s="1"/>
  <c r="T647" i="119"/>
  <c r="T646" i="119"/>
  <c r="T645" i="119"/>
  <c r="T644" i="119"/>
  <c r="T643" i="119"/>
  <c r="T642" i="119"/>
  <c r="T641" i="119"/>
  <c r="T640" i="119"/>
  <c r="T639" i="119"/>
  <c r="T638" i="119"/>
  <c r="T637" i="119"/>
  <c r="T636" i="119"/>
  <c r="T635" i="119"/>
  <c r="T634" i="119"/>
  <c r="T633" i="119"/>
  <c r="T632" i="119"/>
  <c r="T631" i="119"/>
  <c r="T630" i="119"/>
  <c r="T629" i="119"/>
  <c r="T628" i="119"/>
  <c r="T627" i="119"/>
  <c r="T626" i="119"/>
  <c r="T625" i="119"/>
  <c r="T624" i="119"/>
  <c r="T623" i="119"/>
  <c r="T622" i="119"/>
  <c r="T621" i="119"/>
  <c r="T620" i="119"/>
  <c r="T619" i="119"/>
  <c r="T618" i="119"/>
  <c r="T617" i="119"/>
  <c r="T616" i="119"/>
  <c r="T615" i="119"/>
  <c r="T614" i="119"/>
  <c r="T613" i="119"/>
  <c r="T612" i="119"/>
  <c r="T611" i="119"/>
  <c r="T610" i="119"/>
  <c r="T609" i="119"/>
  <c r="T608" i="119"/>
  <c r="T607" i="119"/>
  <c r="T606" i="119"/>
  <c r="T605" i="119"/>
  <c r="T604" i="119"/>
  <c r="T603" i="119"/>
  <c r="T602" i="119"/>
  <c r="T601" i="119"/>
  <c r="T600" i="119"/>
  <c r="T599" i="119"/>
  <c r="T598" i="119"/>
  <c r="T597" i="119"/>
  <c r="T596" i="119"/>
  <c r="T595" i="119"/>
  <c r="T594" i="119"/>
  <c r="T593" i="119"/>
  <c r="T592" i="119"/>
  <c r="T591" i="119"/>
  <c r="T590" i="119"/>
  <c r="T589" i="119"/>
  <c r="T588" i="119"/>
  <c r="T587" i="119"/>
  <c r="T586" i="119"/>
  <c r="T585" i="119"/>
  <c r="T584" i="119"/>
  <c r="T583" i="119"/>
  <c r="T582" i="119"/>
  <c r="T581" i="119"/>
  <c r="T580" i="119"/>
  <c r="T579" i="119"/>
  <c r="T578" i="119"/>
  <c r="T577" i="119"/>
  <c r="T576" i="119"/>
  <c r="T575" i="119"/>
  <c r="T574" i="119"/>
  <c r="T573" i="119"/>
  <c r="T572" i="119"/>
  <c r="T571" i="119"/>
  <c r="T570" i="119"/>
  <c r="T569" i="119"/>
  <c r="T568" i="119"/>
  <c r="T567" i="119"/>
  <c r="T566" i="119"/>
  <c r="T565" i="119"/>
  <c r="T564" i="119"/>
  <c r="T563" i="119"/>
  <c r="T562" i="119"/>
  <c r="T561" i="119"/>
  <c r="T560" i="119"/>
  <c r="T559" i="119"/>
  <c r="T558" i="119"/>
  <c r="T557" i="119"/>
  <c r="T556" i="119"/>
  <c r="T555" i="119"/>
  <c r="T554" i="119"/>
  <c r="T553" i="119"/>
  <c r="T552" i="119"/>
  <c r="T551" i="119"/>
  <c r="T550" i="119"/>
  <c r="T549" i="119"/>
  <c r="T548" i="119"/>
  <c r="T547" i="119"/>
  <c r="T546" i="119"/>
  <c r="T545" i="119"/>
  <c r="T544" i="119"/>
  <c r="T543" i="119"/>
  <c r="T542" i="119"/>
  <c r="T541" i="119"/>
  <c r="T540" i="119"/>
  <c r="T539" i="119"/>
  <c r="T538" i="119"/>
  <c r="T537" i="119"/>
  <c r="T536" i="119"/>
  <c r="T535" i="119"/>
  <c r="T534" i="119"/>
  <c r="T533" i="119"/>
  <c r="T532" i="119"/>
  <c r="T531" i="119"/>
  <c r="T530" i="119"/>
  <c r="T529" i="119"/>
  <c r="T528" i="119"/>
  <c r="T527" i="119"/>
  <c r="T526" i="119"/>
  <c r="T525" i="119"/>
  <c r="T524" i="119"/>
  <c r="T523" i="119"/>
  <c r="T522" i="119"/>
  <c r="T521" i="119"/>
  <c r="T520" i="119"/>
  <c r="T519" i="119"/>
  <c r="T518" i="119"/>
  <c r="T517" i="119"/>
  <c r="T516" i="119"/>
  <c r="T515" i="119"/>
  <c r="T514" i="119"/>
  <c r="T513" i="119"/>
  <c r="T512" i="119"/>
  <c r="T511" i="119"/>
  <c r="T510" i="119"/>
  <c r="T509" i="119"/>
  <c r="T508" i="119"/>
  <c r="T507" i="119"/>
  <c r="T506" i="119"/>
  <c r="T505" i="119"/>
  <c r="T504" i="119"/>
  <c r="T503" i="119"/>
  <c r="T502" i="119"/>
  <c r="T501" i="119"/>
  <c r="T500" i="119"/>
  <c r="T499" i="119"/>
  <c r="T498" i="119"/>
  <c r="T497" i="119"/>
  <c r="T496" i="119"/>
  <c r="T495" i="119"/>
  <c r="T494" i="119"/>
  <c r="T493" i="119"/>
  <c r="T492" i="119"/>
  <c r="T491" i="119"/>
  <c r="T490" i="119"/>
  <c r="T489" i="119"/>
  <c r="T488" i="119"/>
  <c r="T487" i="119"/>
  <c r="T486" i="119"/>
  <c r="T485" i="119"/>
  <c r="T484" i="119"/>
  <c r="T483" i="119"/>
  <c r="T482" i="119"/>
  <c r="T481" i="119"/>
  <c r="T480" i="119"/>
  <c r="T479" i="119"/>
  <c r="T478" i="119"/>
  <c r="T477" i="119"/>
  <c r="T476" i="119"/>
  <c r="T475" i="119"/>
  <c r="T474" i="119"/>
  <c r="T473" i="119"/>
  <c r="T472" i="119"/>
  <c r="T471" i="119"/>
  <c r="T470" i="119"/>
  <c r="T469" i="119"/>
  <c r="T468" i="119"/>
  <c r="T467" i="119"/>
  <c r="T466" i="119"/>
  <c r="T465" i="119"/>
  <c r="T464" i="119"/>
  <c r="T463" i="119"/>
  <c r="T462" i="119"/>
  <c r="T461" i="119"/>
  <c r="T460" i="119"/>
  <c r="T459" i="119"/>
  <c r="T458" i="119"/>
  <c r="T457" i="119"/>
  <c r="T456" i="119"/>
  <c r="T455" i="119"/>
  <c r="T454" i="119"/>
  <c r="T453" i="119"/>
  <c r="T452" i="119"/>
  <c r="T451" i="119"/>
  <c r="T450" i="119"/>
  <c r="T449" i="119"/>
  <c r="T448" i="119"/>
  <c r="T447" i="119"/>
  <c r="T446" i="119"/>
  <c r="T445" i="119"/>
  <c r="T444" i="119"/>
  <c r="T443" i="119"/>
  <c r="T442" i="119"/>
  <c r="T441" i="119"/>
  <c r="T440" i="119"/>
  <c r="T439" i="119"/>
  <c r="T438" i="119"/>
  <c r="T437" i="119"/>
  <c r="T436" i="119"/>
  <c r="T435" i="119"/>
  <c r="T434" i="119"/>
  <c r="T433" i="119"/>
  <c r="T432" i="119"/>
  <c r="T431" i="119"/>
  <c r="T430" i="119"/>
  <c r="T429" i="119"/>
  <c r="T428" i="119"/>
  <c r="T427" i="119"/>
  <c r="T426" i="119"/>
  <c r="T425" i="119"/>
  <c r="T424" i="119"/>
  <c r="T423" i="119"/>
  <c r="T422" i="119"/>
  <c r="T421" i="119"/>
  <c r="T420" i="119"/>
  <c r="T419" i="119"/>
  <c r="T418" i="119"/>
  <c r="T48" i="121" s="1"/>
  <c r="T417" i="119"/>
  <c r="T416" i="119"/>
  <c r="T46" i="121" s="1"/>
  <c r="T415" i="119"/>
  <c r="T45" i="121" s="1"/>
  <c r="T414" i="119"/>
  <c r="T44" i="121" s="1"/>
  <c r="T413" i="119"/>
  <c r="T412" i="119"/>
  <c r="T411" i="119"/>
  <c r="T41" i="121" s="1"/>
  <c r="T410" i="119"/>
  <c r="T409" i="119"/>
  <c r="T408" i="119"/>
  <c r="T407" i="119"/>
  <c r="T406" i="119"/>
  <c r="T405" i="119"/>
  <c r="T35" i="121" s="1"/>
  <c r="T404" i="119"/>
  <c r="T403" i="119"/>
  <c r="T33" i="121" s="1"/>
  <c r="T402" i="119"/>
  <c r="T401" i="119"/>
  <c r="T400" i="119"/>
  <c r="T30" i="121" s="1"/>
  <c r="T399" i="119"/>
  <c r="T29" i="121" s="1"/>
  <c r="T398" i="119"/>
  <c r="T28" i="121" s="1"/>
  <c r="T397" i="119"/>
  <c r="T27" i="121" s="1"/>
  <c r="T396" i="119"/>
  <c r="T26" i="121" s="1"/>
  <c r="T395" i="119"/>
  <c r="T25" i="121" s="1"/>
  <c r="T394" i="119"/>
  <c r="T24" i="121" s="1"/>
  <c r="T393" i="119"/>
  <c r="T392" i="119"/>
  <c r="T391" i="119"/>
  <c r="T21" i="121" s="1"/>
  <c r="T390" i="119"/>
  <c r="T389" i="119"/>
  <c r="T388" i="119"/>
  <c r="T387" i="119"/>
  <c r="T17" i="121" s="1"/>
  <c r="T386" i="119"/>
  <c r="T385" i="119"/>
  <c r="T384" i="119"/>
  <c r="T383" i="119"/>
  <c r="T13" i="121" s="1"/>
  <c r="T382" i="119"/>
  <c r="T381" i="119"/>
  <c r="T380" i="119"/>
  <c r="T379" i="119"/>
  <c r="T9" i="121" s="1"/>
  <c r="T378" i="119"/>
  <c r="T377" i="119"/>
  <c r="T376" i="119"/>
  <c r="T375" i="119"/>
  <c r="T5" i="121" s="1"/>
  <c r="T374" i="119"/>
  <c r="T4" i="121" s="1"/>
  <c r="T373" i="119"/>
  <c r="T3" i="121" s="1"/>
  <c r="T372" i="119"/>
  <c r="T371" i="119"/>
  <c r="T370" i="119"/>
  <c r="T84" i="120" s="1"/>
  <c r="T369" i="119"/>
  <c r="T83" i="120" s="1"/>
  <c r="T368" i="119"/>
  <c r="T367" i="119"/>
  <c r="T366" i="119"/>
  <c r="T365" i="119"/>
  <c r="T364" i="119"/>
  <c r="T363" i="119"/>
  <c r="T362" i="119"/>
  <c r="T361" i="119"/>
  <c r="T360" i="119"/>
  <c r="T359" i="119"/>
  <c r="T358" i="119"/>
  <c r="T357" i="119"/>
  <c r="T356" i="119"/>
  <c r="T355" i="119"/>
  <c r="T354" i="119"/>
  <c r="T353" i="119"/>
  <c r="T352" i="119"/>
  <c r="T351" i="119"/>
  <c r="T350" i="119"/>
  <c r="T349" i="119"/>
  <c r="T348" i="119"/>
  <c r="T347" i="119"/>
  <c r="T346" i="119"/>
  <c r="T345" i="119"/>
  <c r="T344" i="119"/>
  <c r="T343" i="119"/>
  <c r="T342" i="119"/>
  <c r="T341" i="119"/>
  <c r="T340" i="119"/>
  <c r="T339" i="119"/>
  <c r="T338" i="119"/>
  <c r="T337" i="119"/>
  <c r="T336" i="119"/>
  <c r="T335" i="119"/>
  <c r="T334" i="119"/>
  <c r="T333" i="119"/>
  <c r="T332" i="119"/>
  <c r="T331" i="119"/>
  <c r="T330" i="119"/>
  <c r="T329" i="119"/>
  <c r="T328" i="119"/>
  <c r="T327" i="119"/>
  <c r="T326" i="119"/>
  <c r="T325" i="119"/>
  <c r="T324" i="119"/>
  <c r="T323" i="119"/>
  <c r="T322" i="119"/>
  <c r="T321" i="119"/>
  <c r="T320" i="119"/>
  <c r="T319" i="119"/>
  <c r="T318" i="119"/>
  <c r="T317" i="119"/>
  <c r="T316" i="119"/>
  <c r="T315" i="119"/>
  <c r="T314" i="119"/>
  <c r="T313" i="119"/>
  <c r="T312" i="119"/>
  <c r="T311" i="119"/>
  <c r="T310" i="119"/>
  <c r="T309" i="119"/>
  <c r="T308" i="119"/>
  <c r="T307" i="119"/>
  <c r="T306" i="119"/>
  <c r="T305" i="119"/>
  <c r="T304" i="119"/>
  <c r="T51" i="125" s="1"/>
  <c r="T303" i="119"/>
  <c r="T302" i="119"/>
  <c r="T301" i="119"/>
  <c r="T300" i="119"/>
  <c r="T47" i="125" s="1"/>
  <c r="T299" i="119"/>
  <c r="T298" i="119"/>
  <c r="T297" i="119"/>
  <c r="T296" i="119"/>
  <c r="T43" i="125" s="1"/>
  <c r="T295" i="119"/>
  <c r="T294" i="119"/>
  <c r="T293" i="119"/>
  <c r="T292" i="119"/>
  <c r="T291" i="119"/>
  <c r="T290" i="119"/>
  <c r="T289" i="119"/>
  <c r="T288" i="119"/>
  <c r="T35" i="125" s="1"/>
  <c r="T287" i="119"/>
  <c r="T286" i="119"/>
  <c r="T285" i="119"/>
  <c r="T284" i="119"/>
  <c r="T31" i="125" s="1"/>
  <c r="T283" i="119"/>
  <c r="T282" i="119"/>
  <c r="T164" i="122" s="1"/>
  <c r="T281" i="119"/>
  <c r="T163" i="122" s="1"/>
  <c r="T280" i="119"/>
  <c r="T27" i="125" s="1"/>
  <c r="T279" i="119"/>
  <c r="T278" i="119"/>
  <c r="T277" i="119"/>
  <c r="T276" i="119"/>
  <c r="T23" i="125" s="1"/>
  <c r="T275" i="119"/>
  <c r="T274" i="119"/>
  <c r="T273" i="119"/>
  <c r="T272" i="119"/>
  <c r="T19" i="125" s="1"/>
  <c r="T271" i="119"/>
  <c r="T270" i="119"/>
  <c r="T269" i="119"/>
  <c r="T268" i="119"/>
  <c r="T15" i="125" s="1"/>
  <c r="T267" i="119"/>
  <c r="T266" i="119"/>
  <c r="T265" i="119"/>
  <c r="T264" i="119"/>
  <c r="T11" i="125" s="1"/>
  <c r="T263" i="119"/>
  <c r="T262" i="119"/>
  <c r="T261" i="119"/>
  <c r="T260" i="119"/>
  <c r="T7" i="125" s="1"/>
  <c r="T259" i="119"/>
  <c r="T258" i="119"/>
  <c r="T257" i="119"/>
  <c r="T256" i="119"/>
  <c r="T3" i="125" s="1"/>
  <c r="T255" i="119"/>
  <c r="T254" i="119"/>
  <c r="T253" i="119"/>
  <c r="T252" i="119"/>
  <c r="T251" i="119"/>
  <c r="T250" i="119"/>
  <c r="T249" i="119"/>
  <c r="T248" i="119"/>
  <c r="T247" i="119"/>
  <c r="T246" i="119"/>
  <c r="T245" i="119"/>
  <c r="T244" i="119"/>
  <c r="T243" i="119"/>
  <c r="T242" i="119"/>
  <c r="T241" i="119"/>
  <c r="T240" i="119"/>
  <c r="T239" i="119"/>
  <c r="T238" i="119"/>
  <c r="T237" i="119"/>
  <c r="T236" i="119"/>
  <c r="T235" i="119"/>
  <c r="T234" i="119"/>
  <c r="T233" i="119"/>
  <c r="T232" i="119"/>
  <c r="T231" i="119"/>
  <c r="T230" i="119"/>
  <c r="T229" i="119"/>
  <c r="T228" i="119"/>
  <c r="T227" i="119"/>
  <c r="T226" i="119"/>
  <c r="T225" i="119"/>
  <c r="T224" i="119"/>
  <c r="T223" i="119"/>
  <c r="T222" i="119"/>
  <c r="T221" i="119"/>
  <c r="T220" i="119"/>
  <c r="T219" i="119"/>
  <c r="T218" i="119"/>
  <c r="T217" i="119"/>
  <c r="T216" i="119"/>
  <c r="T215" i="119"/>
  <c r="T214" i="119"/>
  <c r="T213" i="119"/>
  <c r="T212" i="119"/>
  <c r="T211" i="119"/>
  <c r="T210" i="119"/>
  <c r="T209" i="119"/>
  <c r="T208" i="119"/>
  <c r="T207" i="119"/>
  <c r="T206" i="119"/>
  <c r="T205" i="119"/>
  <c r="T204" i="119"/>
  <c r="T203" i="119"/>
  <c r="T202" i="119"/>
  <c r="T201" i="119"/>
  <c r="T200" i="119"/>
  <c r="T199" i="119"/>
  <c r="T198" i="119"/>
  <c r="T197" i="119"/>
  <c r="T196" i="119"/>
  <c r="T195" i="119"/>
  <c r="T194" i="119"/>
  <c r="T193" i="119"/>
  <c r="T192" i="119"/>
  <c r="T191" i="119"/>
  <c r="T190" i="119"/>
  <c r="T189" i="119"/>
  <c r="T188" i="119"/>
  <c r="T187" i="119"/>
  <c r="T186" i="119"/>
  <c r="T185" i="119"/>
  <c r="T184" i="119"/>
  <c r="T183" i="119"/>
  <c r="T182" i="119"/>
  <c r="T181" i="119"/>
  <c r="T180" i="119"/>
  <c r="T179" i="119"/>
  <c r="T178" i="119"/>
  <c r="T177" i="119"/>
  <c r="T176" i="119"/>
  <c r="T175" i="119"/>
  <c r="T174" i="119"/>
  <c r="T173" i="119"/>
  <c r="T172" i="119"/>
  <c r="T171" i="119"/>
  <c r="T170" i="119"/>
  <c r="T169" i="119"/>
  <c r="T168" i="119"/>
  <c r="T167" i="119"/>
  <c r="T166" i="119"/>
  <c r="T165" i="119"/>
  <c r="T164" i="119"/>
  <c r="T163" i="119"/>
  <c r="T162" i="119"/>
  <c r="T161" i="119"/>
  <c r="T160" i="119"/>
  <c r="T159" i="119"/>
  <c r="T158" i="119"/>
  <c r="T157" i="119"/>
  <c r="T156" i="119"/>
  <c r="T155" i="119"/>
  <c r="T154" i="119"/>
  <c r="T153" i="119"/>
  <c r="T152" i="119"/>
  <c r="T151" i="119"/>
  <c r="T150" i="119"/>
  <c r="T149" i="119"/>
  <c r="T148" i="119"/>
  <c r="T147" i="119"/>
  <c r="T146" i="119"/>
  <c r="T145" i="119"/>
  <c r="T144" i="119"/>
  <c r="T143" i="119"/>
  <c r="T142" i="119"/>
  <c r="T141" i="119"/>
  <c r="T140" i="119"/>
  <c r="T139" i="119"/>
  <c r="T138" i="119"/>
  <c r="T137" i="119"/>
  <c r="T136" i="119"/>
  <c r="T135" i="119"/>
  <c r="T134" i="119"/>
  <c r="T133" i="119"/>
  <c r="T132" i="119"/>
  <c r="T131" i="119"/>
  <c r="T130" i="119"/>
  <c r="T129" i="119"/>
  <c r="T128" i="119"/>
  <c r="T127" i="119"/>
  <c r="T126" i="119"/>
  <c r="T125" i="119"/>
  <c r="T124" i="119"/>
  <c r="T123" i="119"/>
  <c r="T122" i="119"/>
  <c r="T121" i="119"/>
  <c r="T120" i="119"/>
  <c r="T119" i="119"/>
  <c r="T118" i="119"/>
  <c r="T117" i="119"/>
  <c r="T116" i="119"/>
  <c r="T115" i="119"/>
  <c r="T114" i="119"/>
  <c r="T113" i="119"/>
  <c r="T112" i="119"/>
  <c r="T111" i="119"/>
  <c r="T110" i="119"/>
  <c r="T109" i="119"/>
  <c r="T108" i="119"/>
  <c r="T107" i="119"/>
  <c r="T106" i="119"/>
  <c r="T105" i="119"/>
  <c r="T104" i="119"/>
  <c r="T103" i="119"/>
  <c r="T102" i="119"/>
  <c r="T101" i="119"/>
  <c r="T100" i="119"/>
  <c r="T99" i="119"/>
  <c r="T98" i="119"/>
  <c r="T97" i="119"/>
  <c r="T96" i="119"/>
  <c r="T95" i="119"/>
  <c r="T94" i="119"/>
  <c r="T93" i="119"/>
  <c r="T92" i="119"/>
  <c r="T91" i="119"/>
  <c r="T90" i="119"/>
  <c r="T89" i="119"/>
  <c r="T88" i="119"/>
  <c r="T87" i="119"/>
  <c r="T86" i="119"/>
  <c r="T85" i="119"/>
  <c r="T84" i="119"/>
  <c r="T83" i="119"/>
  <c r="T82" i="119"/>
  <c r="T81" i="119"/>
  <c r="T80" i="119"/>
  <c r="T79" i="119"/>
  <c r="T78" i="119"/>
  <c r="T77" i="119"/>
  <c r="T76" i="119"/>
  <c r="T75" i="119"/>
  <c r="T74" i="119"/>
  <c r="T73" i="119"/>
  <c r="T72" i="119"/>
  <c r="T71" i="119"/>
  <c r="T70" i="119"/>
  <c r="T69" i="119"/>
  <c r="T68" i="119"/>
  <c r="T107" i="121" s="1"/>
  <c r="T67" i="119"/>
  <c r="T66" i="119"/>
  <c r="T65" i="119"/>
  <c r="T64" i="119"/>
  <c r="T103" i="121" s="1"/>
  <c r="T63" i="119"/>
  <c r="T62" i="119"/>
  <c r="T61" i="119"/>
  <c r="T60" i="119"/>
  <c r="T99" i="121" s="1"/>
  <c r="T59" i="119"/>
  <c r="T58" i="119"/>
  <c r="T57" i="119"/>
  <c r="T56" i="119"/>
  <c r="T95" i="121" s="1"/>
  <c r="T55" i="119"/>
  <c r="T54" i="119"/>
  <c r="T53" i="119"/>
  <c r="T52" i="119"/>
  <c r="T91" i="121" s="1"/>
  <c r="T51" i="119"/>
  <c r="T50" i="119"/>
  <c r="T49" i="119"/>
  <c r="T48" i="119"/>
  <c r="T87" i="121" s="1"/>
  <c r="T47" i="119"/>
  <c r="T46" i="119"/>
  <c r="T45" i="119"/>
  <c r="T44" i="119"/>
  <c r="T83" i="121" s="1"/>
  <c r="T43" i="119"/>
  <c r="T42" i="119"/>
  <c r="T41" i="119"/>
  <c r="T40" i="119"/>
  <c r="T79" i="121" s="1"/>
  <c r="T39" i="119"/>
  <c r="T38" i="119"/>
  <c r="T37" i="119"/>
  <c r="T36" i="119"/>
  <c r="T75" i="121" s="1"/>
  <c r="T35" i="119"/>
  <c r="T34" i="119"/>
  <c r="T33" i="119"/>
  <c r="T32" i="119"/>
  <c r="T71" i="121" s="1"/>
  <c r="T31" i="119"/>
  <c r="T30" i="119"/>
  <c r="T29" i="119"/>
  <c r="T28" i="119"/>
  <c r="T67" i="121" s="1"/>
  <c r="T27" i="119"/>
  <c r="T26" i="119"/>
  <c r="T25" i="119"/>
  <c r="T24" i="119"/>
  <c r="T63" i="121" s="1"/>
  <c r="T23" i="119"/>
  <c r="T22" i="119"/>
  <c r="T21" i="119"/>
  <c r="T20" i="119"/>
  <c r="T59" i="121" s="1"/>
  <c r="T19" i="119"/>
  <c r="T18" i="119"/>
  <c r="T17" i="119"/>
  <c r="T16" i="119"/>
  <c r="T55" i="121" s="1"/>
  <c r="T15" i="119"/>
  <c r="T14" i="119"/>
  <c r="T13" i="119"/>
  <c r="T7" i="119"/>
  <c r="T6" i="119"/>
  <c r="T5" i="119"/>
  <c r="T4" i="119"/>
  <c r="T32" i="121" s="1"/>
  <c r="T3" i="119"/>
  <c r="T31" i="121" s="1"/>
  <c r="O4" i="119"/>
  <c r="O5" i="119"/>
  <c r="O6" i="119"/>
  <c r="O7" i="119"/>
  <c r="O13" i="119"/>
  <c r="O14" i="119"/>
  <c r="O15" i="119"/>
  <c r="O16" i="119"/>
  <c r="O17" i="119"/>
  <c r="O18" i="119"/>
  <c r="O19" i="119"/>
  <c r="O20" i="119"/>
  <c r="O21" i="119"/>
  <c r="O22" i="119"/>
  <c r="O23" i="119"/>
  <c r="O24" i="119"/>
  <c r="O25" i="119"/>
  <c r="O26" i="119"/>
  <c r="O27" i="119"/>
  <c r="O28" i="119"/>
  <c r="O29" i="119"/>
  <c r="O30" i="119"/>
  <c r="O31" i="119"/>
  <c r="O32" i="119"/>
  <c r="O33" i="119"/>
  <c r="O34" i="119"/>
  <c r="O35" i="119"/>
  <c r="O36" i="119"/>
  <c r="O37" i="119"/>
  <c r="O38" i="119"/>
  <c r="O39" i="119"/>
  <c r="O40" i="119"/>
  <c r="O41" i="119"/>
  <c r="O42" i="119"/>
  <c r="O43" i="119"/>
  <c r="O44" i="119"/>
  <c r="O45" i="119"/>
  <c r="O46" i="119"/>
  <c r="O47" i="119"/>
  <c r="O48" i="119"/>
  <c r="O49" i="119"/>
  <c r="O50" i="119"/>
  <c r="O51" i="119"/>
  <c r="O52" i="119"/>
  <c r="O53" i="119"/>
  <c r="O54" i="119"/>
  <c r="O55" i="119"/>
  <c r="O56" i="119"/>
  <c r="O57" i="119"/>
  <c r="O58" i="119"/>
  <c r="O59" i="119"/>
  <c r="O60" i="119"/>
  <c r="O61" i="119"/>
  <c r="O62" i="119"/>
  <c r="O63" i="119"/>
  <c r="O64" i="119"/>
  <c r="O65" i="119"/>
  <c r="O66" i="119"/>
  <c r="O67" i="119"/>
  <c r="O68" i="119"/>
  <c r="O69" i="119"/>
  <c r="O70" i="119"/>
  <c r="O71" i="119"/>
  <c r="O72" i="119"/>
  <c r="O73" i="119"/>
  <c r="O74" i="119"/>
  <c r="O75" i="119"/>
  <c r="O76" i="119"/>
  <c r="O77" i="119"/>
  <c r="O78" i="119"/>
  <c r="O79" i="119"/>
  <c r="O80" i="119"/>
  <c r="O81" i="119"/>
  <c r="O82" i="119"/>
  <c r="O83" i="119"/>
  <c r="O84" i="119"/>
  <c r="O85" i="119"/>
  <c r="O86" i="119"/>
  <c r="O87" i="119"/>
  <c r="O88" i="119"/>
  <c r="O89" i="119"/>
  <c r="O90" i="119"/>
  <c r="O91" i="119"/>
  <c r="O92" i="119"/>
  <c r="O93" i="119"/>
  <c r="O94" i="119"/>
  <c r="O95" i="119"/>
  <c r="O96" i="119"/>
  <c r="O97" i="119"/>
  <c r="O98" i="119"/>
  <c r="O99" i="119"/>
  <c r="O100" i="119"/>
  <c r="O101" i="119"/>
  <c r="O102" i="119"/>
  <c r="O103" i="119"/>
  <c r="O104" i="119"/>
  <c r="O105" i="119"/>
  <c r="O106" i="119"/>
  <c r="O107" i="119"/>
  <c r="O108" i="119"/>
  <c r="O109" i="119"/>
  <c r="O110" i="119"/>
  <c r="O111" i="119"/>
  <c r="O112" i="119"/>
  <c r="O113" i="119"/>
  <c r="O114" i="119"/>
  <c r="O115" i="119"/>
  <c r="O116" i="119"/>
  <c r="O117" i="119"/>
  <c r="O118" i="119"/>
  <c r="O119" i="119"/>
  <c r="O120" i="119"/>
  <c r="O121" i="119"/>
  <c r="O122" i="119"/>
  <c r="O123" i="119"/>
  <c r="O124" i="119"/>
  <c r="O125" i="119"/>
  <c r="O126" i="119"/>
  <c r="O127" i="119"/>
  <c r="O128" i="119"/>
  <c r="O129" i="119"/>
  <c r="O130" i="119"/>
  <c r="O131" i="119"/>
  <c r="O132" i="119"/>
  <c r="O133" i="119"/>
  <c r="O134" i="119"/>
  <c r="O135" i="119"/>
  <c r="O136" i="119"/>
  <c r="O137" i="119"/>
  <c r="O138" i="119"/>
  <c r="O139" i="119"/>
  <c r="O140" i="119"/>
  <c r="O141" i="119"/>
  <c r="O142" i="119"/>
  <c r="O143" i="119"/>
  <c r="O144" i="119"/>
  <c r="O145" i="119"/>
  <c r="O146" i="119"/>
  <c r="O147" i="119"/>
  <c r="O148" i="119"/>
  <c r="O149" i="119"/>
  <c r="O150" i="119"/>
  <c r="O151" i="119"/>
  <c r="O152" i="119"/>
  <c r="O153" i="119"/>
  <c r="O154" i="119"/>
  <c r="O155" i="119"/>
  <c r="O156" i="119"/>
  <c r="O157" i="119"/>
  <c r="O158" i="119"/>
  <c r="O159" i="119"/>
  <c r="O160" i="119"/>
  <c r="O161" i="119"/>
  <c r="O162" i="119"/>
  <c r="O163" i="119"/>
  <c r="O164" i="119"/>
  <c r="O165" i="119"/>
  <c r="O166" i="119"/>
  <c r="O167" i="119"/>
  <c r="O168" i="119"/>
  <c r="O169" i="119"/>
  <c r="O170" i="119"/>
  <c r="O171" i="119"/>
  <c r="O172" i="119"/>
  <c r="O173" i="119"/>
  <c r="O174" i="119"/>
  <c r="O175" i="119"/>
  <c r="O176" i="119"/>
  <c r="O177" i="119"/>
  <c r="O178" i="119"/>
  <c r="O179" i="119"/>
  <c r="O180" i="119"/>
  <c r="O181" i="119"/>
  <c r="O182" i="119"/>
  <c r="O183" i="119"/>
  <c r="O184" i="119"/>
  <c r="O185" i="119"/>
  <c r="O186" i="119"/>
  <c r="O187" i="119"/>
  <c r="O188" i="119"/>
  <c r="O189" i="119"/>
  <c r="O190" i="119"/>
  <c r="O191" i="119"/>
  <c r="O192" i="119"/>
  <c r="O193" i="119"/>
  <c r="O194" i="119"/>
  <c r="O195" i="119"/>
  <c r="O196" i="119"/>
  <c r="O197" i="119"/>
  <c r="O198" i="119"/>
  <c r="O199" i="119"/>
  <c r="O200" i="119"/>
  <c r="O201" i="119"/>
  <c r="O202" i="119"/>
  <c r="O203" i="119"/>
  <c r="O204" i="119"/>
  <c r="O205" i="119"/>
  <c r="O206" i="119"/>
  <c r="O207" i="119"/>
  <c r="O208" i="119"/>
  <c r="O209" i="119"/>
  <c r="O210" i="119"/>
  <c r="O211" i="119"/>
  <c r="O212" i="119"/>
  <c r="O213" i="119"/>
  <c r="O214" i="119"/>
  <c r="O215" i="119"/>
  <c r="O216" i="119"/>
  <c r="O217" i="119"/>
  <c r="O218" i="119"/>
  <c r="O219" i="119"/>
  <c r="O220" i="119"/>
  <c r="O221" i="119"/>
  <c r="O222" i="119"/>
  <c r="O223" i="119"/>
  <c r="O224" i="119"/>
  <c r="O225" i="119"/>
  <c r="O226" i="119"/>
  <c r="O227" i="119"/>
  <c r="O228" i="119"/>
  <c r="O229" i="119"/>
  <c r="O230" i="119"/>
  <c r="O231" i="119"/>
  <c r="O232" i="119"/>
  <c r="O233" i="119"/>
  <c r="O234" i="119"/>
  <c r="O235" i="119"/>
  <c r="O236" i="119"/>
  <c r="O237" i="119"/>
  <c r="O238" i="119"/>
  <c r="O239" i="119"/>
  <c r="O240" i="119"/>
  <c r="O241" i="119"/>
  <c r="O242" i="119"/>
  <c r="O243" i="119"/>
  <c r="O244" i="119"/>
  <c r="O245" i="119"/>
  <c r="O246" i="119"/>
  <c r="O247" i="119"/>
  <c r="O248" i="119"/>
  <c r="O249" i="119"/>
  <c r="O250" i="119"/>
  <c r="O251" i="119"/>
  <c r="O252" i="119"/>
  <c r="O253" i="119"/>
  <c r="O254" i="119"/>
  <c r="O255" i="119"/>
  <c r="O256" i="119"/>
  <c r="O257" i="119"/>
  <c r="O258" i="119"/>
  <c r="O259" i="119"/>
  <c r="O260" i="119"/>
  <c r="O261" i="119"/>
  <c r="O262" i="119"/>
  <c r="O263" i="119"/>
  <c r="O264" i="119"/>
  <c r="O265" i="119"/>
  <c r="O266" i="119"/>
  <c r="O267" i="119"/>
  <c r="O268" i="119"/>
  <c r="O269" i="119"/>
  <c r="O270" i="119"/>
  <c r="O271" i="119"/>
  <c r="O272" i="119"/>
  <c r="O273" i="119"/>
  <c r="O274" i="119"/>
  <c r="O275" i="119"/>
  <c r="O276" i="119"/>
  <c r="O277" i="119"/>
  <c r="O278" i="119"/>
  <c r="O279" i="119"/>
  <c r="O280" i="119"/>
  <c r="O281" i="119"/>
  <c r="O282" i="119"/>
  <c r="O283" i="119"/>
  <c r="O284" i="119"/>
  <c r="O285" i="119"/>
  <c r="O286" i="119"/>
  <c r="O287" i="119"/>
  <c r="O288" i="119"/>
  <c r="O289" i="119"/>
  <c r="O290" i="119"/>
  <c r="O291" i="119"/>
  <c r="O292" i="119"/>
  <c r="O293" i="119"/>
  <c r="O294" i="119"/>
  <c r="O295" i="119"/>
  <c r="O296" i="119"/>
  <c r="O297" i="119"/>
  <c r="O298" i="119"/>
  <c r="O299" i="119"/>
  <c r="O300" i="119"/>
  <c r="O301" i="119"/>
  <c r="O302" i="119"/>
  <c r="O303" i="119"/>
  <c r="O304" i="119"/>
  <c r="O305" i="119"/>
  <c r="O306" i="119"/>
  <c r="O307" i="119"/>
  <c r="O308" i="119"/>
  <c r="O309" i="119"/>
  <c r="O310" i="119"/>
  <c r="O311" i="119"/>
  <c r="O312" i="119"/>
  <c r="O313" i="119"/>
  <c r="O314" i="119"/>
  <c r="O315" i="119"/>
  <c r="O316" i="119"/>
  <c r="O317" i="119"/>
  <c r="O318" i="119"/>
  <c r="O319" i="119"/>
  <c r="O320" i="119"/>
  <c r="O321" i="119"/>
  <c r="O322" i="119"/>
  <c r="O323" i="119"/>
  <c r="O324" i="119"/>
  <c r="O325" i="119"/>
  <c r="O326" i="119"/>
  <c r="O327" i="119"/>
  <c r="O328" i="119"/>
  <c r="O329" i="119"/>
  <c r="O330" i="119"/>
  <c r="O331" i="119"/>
  <c r="O332" i="119"/>
  <c r="O333" i="119"/>
  <c r="O334" i="119"/>
  <c r="O335" i="119"/>
  <c r="O336" i="119"/>
  <c r="O337" i="119"/>
  <c r="O338" i="119"/>
  <c r="O339" i="119"/>
  <c r="O340" i="119"/>
  <c r="O341" i="119"/>
  <c r="O342" i="119"/>
  <c r="O343" i="119"/>
  <c r="O344" i="119"/>
  <c r="O345" i="119"/>
  <c r="O346" i="119"/>
  <c r="O347" i="119"/>
  <c r="O348" i="119"/>
  <c r="O349" i="119"/>
  <c r="O350" i="119"/>
  <c r="O351" i="119"/>
  <c r="O352" i="119"/>
  <c r="O353" i="119"/>
  <c r="O354" i="119"/>
  <c r="O355" i="119"/>
  <c r="O356" i="119"/>
  <c r="O357" i="119"/>
  <c r="O358" i="119"/>
  <c r="O359" i="119"/>
  <c r="O360" i="119"/>
  <c r="O361" i="119"/>
  <c r="O362" i="119"/>
  <c r="O363" i="119"/>
  <c r="O364" i="119"/>
  <c r="O365" i="119"/>
  <c r="O366" i="119"/>
  <c r="O367" i="119"/>
  <c r="O368" i="119"/>
  <c r="O369" i="119"/>
  <c r="O370" i="119"/>
  <c r="O371" i="119"/>
  <c r="O372" i="119"/>
  <c r="O373" i="119"/>
  <c r="O374" i="119"/>
  <c r="O375" i="119"/>
  <c r="O376" i="119"/>
  <c r="O377" i="119"/>
  <c r="O378" i="119"/>
  <c r="O379" i="119"/>
  <c r="O380" i="119"/>
  <c r="O381" i="119"/>
  <c r="O382" i="119"/>
  <c r="O383" i="119"/>
  <c r="O384" i="119"/>
  <c r="O385" i="119"/>
  <c r="O386" i="119"/>
  <c r="O387" i="119"/>
  <c r="O388" i="119"/>
  <c r="O389" i="119"/>
  <c r="O390" i="119"/>
  <c r="O391" i="119"/>
  <c r="O392" i="119"/>
  <c r="O393" i="119"/>
  <c r="O394" i="119"/>
  <c r="O395" i="119"/>
  <c r="O396" i="119"/>
  <c r="O397" i="119"/>
  <c r="O398" i="119"/>
  <c r="O399" i="119"/>
  <c r="O400" i="119"/>
  <c r="O401" i="119"/>
  <c r="O402" i="119"/>
  <c r="O403" i="119"/>
  <c r="O404" i="119"/>
  <c r="O405" i="119"/>
  <c r="O406" i="119"/>
  <c r="O407" i="119"/>
  <c r="O408" i="119"/>
  <c r="O409" i="119"/>
  <c r="O410" i="119"/>
  <c r="O411" i="119"/>
  <c r="O412" i="119"/>
  <c r="O413" i="119"/>
  <c r="O414" i="119"/>
  <c r="O415" i="119"/>
  <c r="O416" i="119"/>
  <c r="O417" i="119"/>
  <c r="O418" i="119"/>
  <c r="O419" i="119"/>
  <c r="O420" i="119"/>
  <c r="O421" i="119"/>
  <c r="O422" i="119"/>
  <c r="O423" i="119"/>
  <c r="O424" i="119"/>
  <c r="O425" i="119"/>
  <c r="O426" i="119"/>
  <c r="O427" i="119"/>
  <c r="O428" i="119"/>
  <c r="O429" i="119"/>
  <c r="O430" i="119"/>
  <c r="O431" i="119"/>
  <c r="O432" i="119"/>
  <c r="O433" i="119"/>
  <c r="O434" i="119"/>
  <c r="O435" i="119"/>
  <c r="O436" i="119"/>
  <c r="O437" i="119"/>
  <c r="O438" i="119"/>
  <c r="O439" i="119"/>
  <c r="O440" i="119"/>
  <c r="O441" i="119"/>
  <c r="O442" i="119"/>
  <c r="O443" i="119"/>
  <c r="O444" i="119"/>
  <c r="O445" i="119"/>
  <c r="O446" i="119"/>
  <c r="O447" i="119"/>
  <c r="O448" i="119"/>
  <c r="O449" i="119"/>
  <c r="O450" i="119"/>
  <c r="O451" i="119"/>
  <c r="O452" i="119"/>
  <c r="O453" i="119"/>
  <c r="O454" i="119"/>
  <c r="O455" i="119"/>
  <c r="O456" i="119"/>
  <c r="O457" i="119"/>
  <c r="O458" i="119"/>
  <c r="O459" i="119"/>
  <c r="O460" i="119"/>
  <c r="O461" i="119"/>
  <c r="O462" i="119"/>
  <c r="O463" i="119"/>
  <c r="O464" i="119"/>
  <c r="O465" i="119"/>
  <c r="O466" i="119"/>
  <c r="O467" i="119"/>
  <c r="O468" i="119"/>
  <c r="O469" i="119"/>
  <c r="O470" i="119"/>
  <c r="O471" i="119"/>
  <c r="O472" i="119"/>
  <c r="O473" i="119"/>
  <c r="O474" i="119"/>
  <c r="O475" i="119"/>
  <c r="O476" i="119"/>
  <c r="O477" i="119"/>
  <c r="O478" i="119"/>
  <c r="O479" i="119"/>
  <c r="O480" i="119"/>
  <c r="O481" i="119"/>
  <c r="O482" i="119"/>
  <c r="O483" i="119"/>
  <c r="O484" i="119"/>
  <c r="O485" i="119"/>
  <c r="O486" i="119"/>
  <c r="O487" i="119"/>
  <c r="O488" i="119"/>
  <c r="O489" i="119"/>
  <c r="O490" i="119"/>
  <c r="O491" i="119"/>
  <c r="O492" i="119"/>
  <c r="O493" i="119"/>
  <c r="O494" i="119"/>
  <c r="O495" i="119"/>
  <c r="O496" i="119"/>
  <c r="O497" i="119"/>
  <c r="O498" i="119"/>
  <c r="O499" i="119"/>
  <c r="O500" i="119"/>
  <c r="O501" i="119"/>
  <c r="O502" i="119"/>
  <c r="O503" i="119"/>
  <c r="O504" i="119"/>
  <c r="O505" i="119"/>
  <c r="O506" i="119"/>
  <c r="O507" i="119"/>
  <c r="O508" i="119"/>
  <c r="O509" i="119"/>
  <c r="O510" i="119"/>
  <c r="O511" i="119"/>
  <c r="O512" i="119"/>
  <c r="O513" i="119"/>
  <c r="O514" i="119"/>
  <c r="O515" i="119"/>
  <c r="O516" i="119"/>
  <c r="O517" i="119"/>
  <c r="O518" i="119"/>
  <c r="O519" i="119"/>
  <c r="O520" i="119"/>
  <c r="O521" i="119"/>
  <c r="O522" i="119"/>
  <c r="O523" i="119"/>
  <c r="O524" i="119"/>
  <c r="O525" i="119"/>
  <c r="O526" i="119"/>
  <c r="O527" i="119"/>
  <c r="O528" i="119"/>
  <c r="O529" i="119"/>
  <c r="O530" i="119"/>
  <c r="O531" i="119"/>
  <c r="O532" i="119"/>
  <c r="O533" i="119"/>
  <c r="O534" i="119"/>
  <c r="O535" i="119"/>
  <c r="O536" i="119"/>
  <c r="O537" i="119"/>
  <c r="O538" i="119"/>
  <c r="O539" i="119"/>
  <c r="O540" i="119"/>
  <c r="O541" i="119"/>
  <c r="O542" i="119"/>
  <c r="O543" i="119"/>
  <c r="O544" i="119"/>
  <c r="O545" i="119"/>
  <c r="O546" i="119"/>
  <c r="O547" i="119"/>
  <c r="O548" i="119"/>
  <c r="O549" i="119"/>
  <c r="O550" i="119"/>
  <c r="O551" i="119"/>
  <c r="O552" i="119"/>
  <c r="O553" i="119"/>
  <c r="O554" i="119"/>
  <c r="O555" i="119"/>
  <c r="O556" i="119"/>
  <c r="O557" i="119"/>
  <c r="O558" i="119"/>
  <c r="O559" i="119"/>
  <c r="O560" i="119"/>
  <c r="O561" i="119"/>
  <c r="O562" i="119"/>
  <c r="O563" i="119"/>
  <c r="O564" i="119"/>
  <c r="O565" i="119"/>
  <c r="O566" i="119"/>
  <c r="O567" i="119"/>
  <c r="O568" i="119"/>
  <c r="O569" i="119"/>
  <c r="O570" i="119"/>
  <c r="O571" i="119"/>
  <c r="O572" i="119"/>
  <c r="O573" i="119"/>
  <c r="O574" i="119"/>
  <c r="O575" i="119"/>
  <c r="O576" i="119"/>
  <c r="O577" i="119"/>
  <c r="O578" i="119"/>
  <c r="O579" i="119"/>
  <c r="O580" i="119"/>
  <c r="O581" i="119"/>
  <c r="O582" i="119"/>
  <c r="O583" i="119"/>
  <c r="O584" i="119"/>
  <c r="O585" i="119"/>
  <c r="O586" i="119"/>
  <c r="O587" i="119"/>
  <c r="O588" i="119"/>
  <c r="O589" i="119"/>
  <c r="O590" i="119"/>
  <c r="O591" i="119"/>
  <c r="O592" i="119"/>
  <c r="O593" i="119"/>
  <c r="O594" i="119"/>
  <c r="O595" i="119"/>
  <c r="O596" i="119"/>
  <c r="O597" i="119"/>
  <c r="O598" i="119"/>
  <c r="O599" i="119"/>
  <c r="O600" i="119"/>
  <c r="O601" i="119"/>
  <c r="O602" i="119"/>
  <c r="O603" i="119"/>
  <c r="O604" i="119"/>
  <c r="O605" i="119"/>
  <c r="O606" i="119"/>
  <c r="O607" i="119"/>
  <c r="O608" i="119"/>
  <c r="O609" i="119"/>
  <c r="O610" i="119"/>
  <c r="O611" i="119"/>
  <c r="O612" i="119"/>
  <c r="O613" i="119"/>
  <c r="O614" i="119"/>
  <c r="O615" i="119"/>
  <c r="O616" i="119"/>
  <c r="O617" i="119"/>
  <c r="O618" i="119"/>
  <c r="O619" i="119"/>
  <c r="O620" i="119"/>
  <c r="O621" i="119"/>
  <c r="O622" i="119"/>
  <c r="O623" i="119"/>
  <c r="O624" i="119"/>
  <c r="O625" i="119"/>
  <c r="O626" i="119"/>
  <c r="O627" i="119"/>
  <c r="O628" i="119"/>
  <c r="O629" i="119"/>
  <c r="O630" i="119"/>
  <c r="O631" i="119"/>
  <c r="O632" i="119"/>
  <c r="O633" i="119"/>
  <c r="O634" i="119"/>
  <c r="O635" i="119"/>
  <c r="O636" i="119"/>
  <c r="O637" i="119"/>
  <c r="O638" i="119"/>
  <c r="O639" i="119"/>
  <c r="O640" i="119"/>
  <c r="O641" i="119"/>
  <c r="O642" i="119"/>
  <c r="O643" i="119"/>
  <c r="O644" i="119"/>
  <c r="O645" i="119"/>
  <c r="O646" i="119"/>
  <c r="O647" i="119"/>
  <c r="O648" i="119"/>
  <c r="O649" i="119"/>
  <c r="O650" i="119"/>
  <c r="O651" i="119"/>
  <c r="O652" i="119"/>
  <c r="O653" i="119"/>
  <c r="O654" i="119"/>
  <c r="O655" i="119"/>
  <c r="O656" i="119"/>
  <c r="O657" i="119"/>
  <c r="O658" i="119"/>
  <c r="O659" i="119"/>
  <c r="O660" i="119"/>
  <c r="O661" i="119"/>
  <c r="O662" i="119"/>
  <c r="O664" i="119"/>
  <c r="O665" i="119"/>
  <c r="O666" i="119"/>
  <c r="O667" i="119"/>
  <c r="O668" i="119"/>
  <c r="O669" i="119"/>
  <c r="O670" i="119"/>
  <c r="O671" i="119"/>
  <c r="O672" i="119"/>
  <c r="O673" i="119"/>
  <c r="O674" i="119"/>
  <c r="O675" i="119"/>
  <c r="O676" i="119"/>
  <c r="O677" i="119"/>
  <c r="O678" i="119"/>
  <c r="O679" i="119"/>
  <c r="O680" i="119"/>
  <c r="O681" i="119"/>
  <c r="O682" i="119"/>
  <c r="O683" i="119"/>
  <c r="O684" i="119"/>
  <c r="O685" i="119"/>
  <c r="O686" i="119"/>
  <c r="O687" i="119"/>
  <c r="O688" i="119"/>
  <c r="O689" i="119"/>
  <c r="O690" i="119"/>
  <c r="O691" i="119"/>
  <c r="O692" i="119"/>
  <c r="O693" i="119"/>
  <c r="O694" i="119"/>
  <c r="O695" i="119"/>
  <c r="O696" i="119"/>
  <c r="O697" i="119"/>
  <c r="O698" i="119"/>
  <c r="O699" i="119"/>
  <c r="O700" i="119"/>
  <c r="O701" i="119"/>
  <c r="O702" i="119"/>
  <c r="O703" i="119"/>
  <c r="O704" i="119"/>
  <c r="O705" i="119"/>
  <c r="O706" i="119"/>
  <c r="O707" i="119"/>
  <c r="O708" i="119"/>
  <c r="O709" i="119"/>
  <c r="O710" i="119"/>
  <c r="O711" i="119"/>
  <c r="O712" i="119"/>
  <c r="O713" i="119"/>
  <c r="O714" i="119"/>
  <c r="O715" i="119"/>
  <c r="O716" i="119"/>
  <c r="O717" i="119"/>
  <c r="O718" i="119"/>
  <c r="O719" i="119"/>
  <c r="O720" i="119"/>
  <c r="O721" i="119"/>
  <c r="O722" i="119"/>
  <c r="O723" i="119"/>
  <c r="O724" i="119"/>
  <c r="O725" i="119"/>
  <c r="O726" i="119"/>
  <c r="O727" i="119"/>
  <c r="O728" i="119"/>
  <c r="O729" i="119"/>
  <c r="O730" i="119"/>
  <c r="O731" i="119"/>
  <c r="O732" i="119"/>
  <c r="O733" i="119"/>
  <c r="O734" i="119"/>
  <c r="O735" i="119"/>
  <c r="O736" i="119"/>
  <c r="O737" i="119"/>
  <c r="O738" i="119"/>
  <c r="O739" i="119"/>
  <c r="O740" i="119"/>
  <c r="O741" i="119"/>
  <c r="O742" i="119"/>
  <c r="O743" i="119"/>
  <c r="O744" i="119"/>
  <c r="O745" i="119"/>
  <c r="O746" i="119"/>
  <c r="O747" i="119"/>
  <c r="O748" i="119"/>
  <c r="O749" i="119"/>
  <c r="O750" i="119"/>
  <c r="O751" i="119"/>
  <c r="O752" i="119"/>
  <c r="O753" i="119"/>
  <c r="O754" i="119"/>
  <c r="O755" i="119"/>
  <c r="O756" i="119"/>
  <c r="O757" i="119"/>
  <c r="O758" i="119"/>
  <c r="O759" i="119"/>
  <c r="O760" i="119"/>
  <c r="O761" i="119"/>
  <c r="O762" i="119"/>
  <c r="O763" i="119"/>
  <c r="O764" i="119"/>
  <c r="O765" i="119"/>
  <c r="O766" i="119"/>
  <c r="O767" i="119"/>
  <c r="O768" i="119"/>
  <c r="O769" i="119"/>
  <c r="O770" i="119"/>
  <c r="O771" i="119"/>
  <c r="O772" i="119"/>
  <c r="O773" i="119"/>
  <c r="O774" i="119"/>
  <c r="O775" i="119"/>
  <c r="O776" i="119"/>
  <c r="O777" i="119"/>
  <c r="O778" i="119"/>
  <c r="O779" i="119"/>
  <c r="O780" i="119"/>
  <c r="O781" i="119"/>
  <c r="O782" i="119"/>
  <c r="O783" i="119"/>
  <c r="O784" i="119"/>
  <c r="O785" i="119"/>
  <c r="O786" i="119"/>
  <c r="O787" i="119"/>
  <c r="O788" i="119"/>
  <c r="O789" i="119"/>
  <c r="O790" i="119"/>
  <c r="O791" i="119"/>
  <c r="O792" i="119"/>
  <c r="O793" i="119"/>
  <c r="O794" i="119"/>
  <c r="O795" i="119"/>
  <c r="O796" i="119"/>
  <c r="O797" i="119"/>
  <c r="O798" i="119"/>
  <c r="O799" i="119"/>
  <c r="O800" i="119"/>
  <c r="O801" i="119"/>
  <c r="O802" i="119"/>
  <c r="O803" i="119"/>
  <c r="O804" i="119"/>
  <c r="O805" i="119"/>
  <c r="O806" i="119"/>
  <c r="O807" i="119"/>
  <c r="O808" i="119"/>
  <c r="O809" i="119"/>
  <c r="O810" i="119"/>
  <c r="O811" i="119"/>
  <c r="O812" i="119"/>
  <c r="O813" i="119"/>
  <c r="O814" i="119"/>
  <c r="O815" i="119"/>
  <c r="O816" i="119"/>
  <c r="O817" i="119"/>
  <c r="O818" i="119"/>
  <c r="O819" i="119"/>
  <c r="O820" i="119"/>
  <c r="O821" i="119"/>
  <c r="O822" i="119"/>
  <c r="O823" i="119"/>
  <c r="O824" i="119"/>
  <c r="O825" i="119"/>
  <c r="O826" i="119"/>
  <c r="O827" i="119"/>
  <c r="O828" i="119"/>
  <c r="O829" i="119"/>
  <c r="O830" i="119"/>
  <c r="O831" i="119"/>
  <c r="O832" i="119"/>
  <c r="O833" i="119"/>
  <c r="O834" i="119"/>
  <c r="O835" i="119"/>
  <c r="O836" i="119"/>
  <c r="O837" i="119"/>
  <c r="O838" i="119"/>
  <c r="O839" i="119"/>
  <c r="O840" i="119"/>
  <c r="O841" i="119"/>
  <c r="O842" i="119"/>
  <c r="O843" i="119"/>
  <c r="O844" i="119"/>
  <c r="O845" i="119"/>
  <c r="O846" i="119"/>
  <c r="O847" i="119"/>
  <c r="O848" i="119"/>
  <c r="O849" i="119"/>
  <c r="O850" i="119"/>
  <c r="O851" i="119"/>
  <c r="O852" i="119"/>
  <c r="O853" i="119"/>
  <c r="O854" i="119"/>
  <c r="O855" i="119"/>
  <c r="O856" i="119"/>
  <c r="O857" i="119"/>
  <c r="O858" i="119"/>
  <c r="O859" i="119"/>
  <c r="O860" i="119"/>
  <c r="O861" i="119"/>
  <c r="O862" i="119"/>
  <c r="O863" i="119"/>
  <c r="O864" i="119"/>
  <c r="O865" i="119"/>
  <c r="O866" i="119"/>
  <c r="O867" i="119"/>
  <c r="O868" i="119"/>
  <c r="O869" i="119"/>
  <c r="O870" i="119"/>
  <c r="O871" i="119"/>
  <c r="O872" i="119"/>
  <c r="O873" i="119"/>
  <c r="O874" i="119"/>
  <c r="O875" i="119"/>
  <c r="O876" i="119"/>
  <c r="O877" i="119"/>
  <c r="O878" i="119"/>
  <c r="O879" i="119"/>
  <c r="O880" i="119"/>
  <c r="O881" i="119"/>
  <c r="O882" i="119"/>
  <c r="O883" i="119"/>
  <c r="O884" i="119"/>
  <c r="O885" i="119"/>
  <c r="O886" i="119"/>
  <c r="O887" i="119"/>
  <c r="O888" i="119"/>
  <c r="O889" i="119"/>
  <c r="O890" i="119"/>
  <c r="O891" i="119"/>
  <c r="O892" i="119"/>
  <c r="O893" i="119"/>
  <c r="O894" i="119"/>
  <c r="O895" i="119"/>
  <c r="O896" i="119"/>
  <c r="O897" i="119"/>
  <c r="O898" i="119"/>
  <c r="O899" i="119"/>
  <c r="O900" i="119"/>
  <c r="O901" i="119"/>
  <c r="O902" i="119"/>
  <c r="O903" i="119"/>
  <c r="O904" i="119"/>
  <c r="O905" i="119"/>
  <c r="O906" i="119"/>
  <c r="O907" i="119"/>
  <c r="O908" i="119"/>
  <c r="O909" i="119"/>
  <c r="O910" i="119"/>
  <c r="O911" i="119"/>
  <c r="O912" i="119"/>
  <c r="O913" i="119"/>
  <c r="O914" i="119"/>
  <c r="O915" i="119"/>
  <c r="O916" i="119"/>
  <c r="O917" i="119"/>
  <c r="O918" i="119"/>
  <c r="O919" i="119"/>
  <c r="O920" i="119"/>
  <c r="O921" i="119"/>
  <c r="O922" i="119"/>
  <c r="O923" i="119"/>
  <c r="O924" i="119"/>
  <c r="O925" i="119"/>
  <c r="O926" i="119"/>
  <c r="O927" i="119"/>
  <c r="O928" i="119"/>
  <c r="O929" i="119"/>
  <c r="O930" i="119"/>
  <c r="O931" i="119"/>
  <c r="O932" i="119"/>
  <c r="O933" i="119"/>
  <c r="O934" i="119"/>
  <c r="O935" i="119"/>
  <c r="O936" i="119"/>
  <c r="O937" i="119"/>
  <c r="O938" i="119"/>
  <c r="O939" i="119"/>
  <c r="O940" i="119"/>
  <c r="O941" i="119"/>
  <c r="O942" i="119"/>
  <c r="O943" i="119"/>
  <c r="O944" i="119"/>
  <c r="O945" i="119"/>
  <c r="O946" i="119"/>
  <c r="O947" i="119"/>
  <c r="O948" i="119"/>
  <c r="O949" i="119"/>
  <c r="O950" i="119"/>
  <c r="O951" i="119"/>
  <c r="O952" i="119"/>
  <c r="O953" i="119"/>
  <c r="O954" i="119"/>
  <c r="O955" i="119"/>
  <c r="O956" i="119"/>
  <c r="O957" i="119"/>
  <c r="O958" i="119"/>
  <c r="O959" i="119"/>
  <c r="O960" i="119"/>
  <c r="O961" i="119"/>
  <c r="O962" i="119"/>
  <c r="O963" i="119"/>
  <c r="O964" i="119"/>
  <c r="O965" i="119"/>
  <c r="O966" i="119"/>
  <c r="O967" i="119"/>
  <c r="O968" i="119"/>
  <c r="O969" i="119"/>
  <c r="O970" i="119"/>
  <c r="O971" i="119"/>
  <c r="O972" i="119"/>
  <c r="O973" i="119"/>
  <c r="O974" i="119"/>
  <c r="O975" i="119"/>
  <c r="O976" i="119"/>
  <c r="O977" i="119"/>
  <c r="O978" i="119"/>
  <c r="O979" i="119"/>
  <c r="O980" i="119"/>
  <c r="O981" i="119"/>
  <c r="O982" i="119"/>
  <c r="O983" i="119"/>
  <c r="O984" i="119"/>
  <c r="O985" i="119"/>
  <c r="O986" i="119"/>
  <c r="O987" i="119"/>
  <c r="O988" i="119"/>
  <c r="O989" i="119"/>
  <c r="O990" i="119"/>
  <c r="O991" i="119"/>
  <c r="O992" i="119"/>
  <c r="O993" i="119"/>
  <c r="O994" i="119"/>
  <c r="O995" i="119"/>
  <c r="O996" i="119"/>
  <c r="O997" i="119"/>
  <c r="O998" i="119"/>
  <c r="O999" i="119"/>
  <c r="O1000" i="119"/>
  <c r="O1001" i="119"/>
  <c r="O1002" i="119"/>
  <c r="O1003" i="119"/>
  <c r="O1004" i="119"/>
  <c r="O1005" i="119"/>
  <c r="O1006" i="119"/>
  <c r="O1007" i="119"/>
  <c r="O1008" i="119"/>
  <c r="O1009" i="119"/>
  <c r="O1010" i="119"/>
  <c r="O1011" i="119"/>
  <c r="O1012" i="119"/>
  <c r="O1013" i="119"/>
  <c r="O1014" i="119"/>
  <c r="O1015" i="119"/>
  <c r="O1016" i="119"/>
  <c r="O1017" i="119"/>
  <c r="O1018" i="119"/>
  <c r="O1019" i="119"/>
  <c r="O1020" i="119"/>
  <c r="O1021" i="119"/>
  <c r="O1022" i="119"/>
  <c r="O1023" i="119"/>
  <c r="O1024" i="119"/>
  <c r="O1025" i="119"/>
  <c r="O1026" i="119"/>
  <c r="O1027" i="119"/>
  <c r="O1028" i="119"/>
  <c r="O1029" i="119"/>
  <c r="O1030" i="119"/>
  <c r="O1031" i="119"/>
  <c r="O1032" i="119"/>
  <c r="O1033" i="119"/>
  <c r="O1034" i="119"/>
  <c r="O1035" i="119"/>
  <c r="O1036" i="119"/>
  <c r="O1037" i="119"/>
  <c r="O1038" i="119"/>
  <c r="O1039" i="119"/>
  <c r="O1040" i="119"/>
  <c r="O1041" i="119"/>
  <c r="O1042" i="119"/>
  <c r="O1043" i="119"/>
  <c r="O1044" i="119"/>
  <c r="O1045" i="119"/>
  <c r="O1046" i="119"/>
  <c r="O1047" i="119"/>
  <c r="O1048" i="119"/>
  <c r="O1049" i="119"/>
  <c r="O1050" i="119"/>
  <c r="O1051" i="119"/>
  <c r="O1052" i="119"/>
  <c r="O1053" i="119"/>
  <c r="O1054" i="119"/>
  <c r="O1055" i="119"/>
  <c r="O1056" i="119"/>
  <c r="O1057" i="119"/>
  <c r="O1058" i="119"/>
  <c r="O1059" i="119"/>
  <c r="O1060" i="119"/>
  <c r="O1061" i="119"/>
  <c r="O1062" i="119"/>
  <c r="O1063" i="119"/>
  <c r="O1064" i="119"/>
  <c r="O1065" i="119"/>
  <c r="O1066" i="119"/>
  <c r="O1067" i="119"/>
  <c r="O1068" i="119"/>
  <c r="O1069" i="119"/>
  <c r="O1070" i="119"/>
  <c r="O1071" i="119"/>
  <c r="O1072" i="119"/>
  <c r="O1073" i="119"/>
  <c r="O1074" i="119"/>
  <c r="O1075" i="119"/>
  <c r="O1076" i="119"/>
  <c r="O1077" i="119"/>
  <c r="O1078" i="119"/>
  <c r="O1079" i="119"/>
  <c r="O1080" i="119"/>
  <c r="O1081" i="119"/>
  <c r="O1082" i="119"/>
  <c r="O1083" i="119"/>
  <c r="O1084" i="119"/>
  <c r="O1085" i="119"/>
  <c r="O1086" i="119"/>
  <c r="O1087" i="119"/>
  <c r="O1088" i="119"/>
  <c r="O1089" i="119"/>
  <c r="O1090" i="119"/>
  <c r="O1091" i="119"/>
  <c r="O1092" i="119"/>
  <c r="O1093" i="119"/>
  <c r="O1094" i="119"/>
  <c r="O1095" i="119"/>
  <c r="O1096" i="119"/>
  <c r="O1097" i="119"/>
  <c r="O1098" i="119"/>
  <c r="O1099" i="119"/>
  <c r="O1100" i="119"/>
  <c r="O1101" i="119"/>
  <c r="O1102" i="119"/>
  <c r="O1103" i="119"/>
  <c r="O1104" i="119"/>
  <c r="O1105" i="119"/>
  <c r="O1106" i="119"/>
  <c r="O1107" i="119"/>
  <c r="O1108" i="119"/>
  <c r="O1109" i="119"/>
  <c r="O1110" i="119"/>
  <c r="O1111" i="119"/>
  <c r="O1112" i="119"/>
  <c r="O1113" i="119"/>
  <c r="O1114" i="119"/>
  <c r="O1115" i="119"/>
  <c r="O1116" i="119"/>
  <c r="O1117" i="119"/>
  <c r="O1118" i="119"/>
  <c r="O1119" i="119"/>
  <c r="O1120" i="119"/>
  <c r="O1121" i="119"/>
  <c r="O1122" i="119"/>
  <c r="O1123" i="119"/>
  <c r="O1124" i="119"/>
  <c r="O1125" i="119"/>
  <c r="O1126" i="119"/>
  <c r="O1127" i="119"/>
  <c r="O1128" i="119"/>
  <c r="O1129" i="119"/>
  <c r="O1130" i="119"/>
  <c r="O1131" i="119"/>
  <c r="O1132" i="119"/>
  <c r="O1133" i="119"/>
  <c r="O1134" i="119"/>
  <c r="O1135" i="119"/>
  <c r="O1136" i="119"/>
  <c r="O1137" i="119"/>
  <c r="O1138" i="119"/>
  <c r="O1139" i="119"/>
  <c r="O1140" i="119"/>
  <c r="O1141" i="119"/>
  <c r="O1142" i="119"/>
  <c r="O1143" i="119"/>
  <c r="O1144" i="119"/>
  <c r="O1145" i="119"/>
  <c r="O1146" i="119"/>
  <c r="O1147" i="119"/>
  <c r="O1148" i="119"/>
  <c r="O1149" i="119"/>
  <c r="O1150" i="119"/>
  <c r="O1151" i="119"/>
  <c r="O1152" i="119"/>
  <c r="O1153" i="119"/>
  <c r="O1154" i="119"/>
  <c r="O1155" i="119"/>
  <c r="O1156" i="119"/>
  <c r="O1157" i="119"/>
  <c r="O1158" i="119"/>
  <c r="O1159" i="119"/>
  <c r="O1160" i="119"/>
  <c r="O1161" i="119"/>
  <c r="O1162" i="119"/>
  <c r="O1163" i="119"/>
  <c r="O1164" i="119"/>
  <c r="O1165" i="119"/>
  <c r="O1166" i="119"/>
  <c r="O1167" i="119"/>
  <c r="O1168" i="119"/>
  <c r="O1169" i="119"/>
  <c r="O1170" i="119"/>
  <c r="O1171" i="119"/>
  <c r="O1172" i="119"/>
  <c r="O1173" i="119"/>
  <c r="O1174" i="119"/>
  <c r="O1175" i="119"/>
  <c r="O1176" i="119"/>
  <c r="O1177" i="119"/>
  <c r="O1178" i="119"/>
  <c r="O1179" i="119"/>
  <c r="O1180" i="119"/>
  <c r="O1181" i="119"/>
  <c r="O1182" i="119"/>
  <c r="O1183" i="119"/>
  <c r="O1184" i="119"/>
  <c r="O1185" i="119"/>
  <c r="O1186" i="119"/>
  <c r="O1187" i="119"/>
  <c r="O1188" i="119"/>
  <c r="O1189" i="119"/>
  <c r="O1190" i="119"/>
  <c r="O1191" i="119"/>
  <c r="O1192" i="119"/>
  <c r="O1193" i="119"/>
  <c r="T55" i="125" l="1"/>
  <c r="T71" i="125"/>
  <c r="T75" i="125"/>
  <c r="T79" i="125"/>
  <c r="T99" i="125"/>
  <c r="T103" i="125"/>
  <c r="T107" i="125"/>
  <c r="T101" i="123"/>
  <c r="T89" i="123"/>
  <c r="T111" i="125"/>
  <c r="T115" i="125"/>
  <c r="T14" i="121"/>
  <c r="T18" i="121"/>
  <c r="T22" i="121"/>
  <c r="T93" i="123"/>
  <c r="T6" i="121"/>
  <c r="T10" i="121"/>
  <c r="T34" i="121"/>
  <c r="T38" i="121"/>
  <c r="T23" i="121"/>
  <c r="T8" i="121"/>
  <c r="T12" i="121"/>
  <c r="T16" i="121"/>
  <c r="T20" i="121"/>
  <c r="T36" i="121"/>
  <c r="T40" i="121"/>
  <c r="T70" i="123"/>
  <c r="T37" i="121"/>
  <c r="T49" i="121"/>
  <c r="T69" i="123"/>
  <c r="T73" i="123"/>
  <c r="T77" i="123"/>
  <c r="T81" i="123"/>
  <c r="T85" i="123"/>
  <c r="T97" i="123"/>
  <c r="T42" i="121"/>
  <c r="T50" i="121"/>
  <c r="T66" i="123"/>
  <c r="T74" i="123"/>
  <c r="T78" i="123"/>
  <c r="T82" i="123"/>
  <c r="T86" i="123"/>
  <c r="T90" i="123"/>
  <c r="T94" i="123"/>
  <c r="T98" i="123"/>
  <c r="T106" i="123"/>
  <c r="T64" i="121"/>
  <c r="T68" i="121"/>
  <c r="T7" i="121"/>
  <c r="T11" i="121"/>
  <c r="T15" i="121"/>
  <c r="T19" i="121"/>
  <c r="T39" i="121"/>
  <c r="T43" i="121"/>
  <c r="T47" i="121"/>
  <c r="T108" i="123"/>
  <c r="T63" i="123"/>
  <c r="T64" i="123"/>
  <c r="T10" i="120"/>
  <c r="T14" i="120"/>
  <c r="T18" i="120"/>
  <c r="T22" i="120"/>
  <c r="T26" i="120"/>
  <c r="T30" i="120"/>
  <c r="T34" i="120"/>
  <c r="T38" i="120"/>
  <c r="T46" i="120"/>
  <c r="T58" i="120"/>
  <c r="T62" i="120"/>
  <c r="T88" i="120"/>
  <c r="T50" i="120"/>
  <c r="T63" i="125"/>
  <c r="T87" i="125"/>
  <c r="T67" i="125"/>
  <c r="T91" i="125"/>
  <c r="T59" i="125"/>
  <c r="T83" i="125"/>
  <c r="T95" i="125"/>
  <c r="T54" i="120"/>
  <c r="T56" i="121"/>
  <c r="T60" i="121"/>
  <c r="T72" i="121"/>
  <c r="T80" i="121"/>
  <c r="T88" i="121"/>
  <c r="T96" i="121"/>
  <c r="T104" i="121"/>
  <c r="T76" i="121"/>
  <c r="T84" i="121"/>
  <c r="T92" i="121"/>
  <c r="T100" i="121"/>
  <c r="T108" i="121"/>
  <c r="T42" i="120"/>
  <c r="T233" i="124"/>
  <c r="T237" i="124"/>
  <c r="T66" i="120"/>
  <c r="T78" i="120"/>
  <c r="T5" i="123"/>
  <c r="T9" i="123"/>
  <c r="T13" i="123"/>
  <c r="T17" i="123"/>
  <c r="T21" i="123"/>
  <c r="T25" i="123"/>
  <c r="T29" i="123"/>
  <c r="T33" i="123"/>
  <c r="T37" i="123"/>
  <c r="T41" i="123"/>
  <c r="T45" i="123"/>
  <c r="T49" i="123"/>
  <c r="T53" i="123"/>
  <c r="T57" i="123"/>
  <c r="T61" i="123"/>
  <c r="T70" i="120"/>
  <c r="T82" i="120"/>
  <c r="T6" i="123"/>
  <c r="T10" i="123"/>
  <c r="T14" i="123"/>
  <c r="T18" i="123"/>
  <c r="T22" i="123"/>
  <c r="T26" i="123"/>
  <c r="T30" i="123"/>
  <c r="T34" i="123"/>
  <c r="T38" i="123"/>
  <c r="T42" i="123"/>
  <c r="T46" i="123"/>
  <c r="T50" i="123"/>
  <c r="T54" i="123"/>
  <c r="T58" i="123"/>
  <c r="T62" i="123"/>
  <c r="T74" i="120"/>
  <c r="T231" i="124"/>
  <c r="T7" i="123"/>
  <c r="T11" i="123"/>
  <c r="T15" i="123"/>
  <c r="T19" i="123"/>
  <c r="T23" i="123"/>
  <c r="T27" i="123"/>
  <c r="T31" i="123"/>
  <c r="T35" i="123"/>
  <c r="T39" i="123"/>
  <c r="T43" i="123"/>
  <c r="T47" i="123"/>
  <c r="T51" i="123"/>
  <c r="T55" i="123"/>
  <c r="T59" i="123"/>
  <c r="T67" i="123"/>
  <c r="T71" i="123"/>
  <c r="T75" i="123"/>
  <c r="T79" i="123"/>
  <c r="T83" i="123"/>
  <c r="T87" i="123"/>
  <c r="T91" i="123"/>
  <c r="T95" i="123"/>
  <c r="T99" i="123"/>
  <c r="T103" i="123"/>
  <c r="T107" i="123"/>
  <c r="T4" i="123"/>
  <c r="T8" i="123"/>
  <c r="T12" i="123"/>
  <c r="T16" i="123"/>
  <c r="T20" i="123"/>
  <c r="T24" i="123"/>
  <c r="T28" i="123"/>
  <c r="T32" i="123"/>
  <c r="T36" i="123"/>
  <c r="T40" i="123"/>
  <c r="T44" i="123"/>
  <c r="T48" i="123"/>
  <c r="T52" i="123"/>
  <c r="T56" i="123"/>
  <c r="T60" i="123"/>
  <c r="T68" i="123"/>
  <c r="T72" i="123"/>
  <c r="T76" i="123"/>
  <c r="T80" i="123"/>
  <c r="T84" i="123"/>
  <c r="T88" i="123"/>
  <c r="T92" i="123"/>
  <c r="T96" i="123"/>
  <c r="T100" i="123"/>
  <c r="T104" i="123"/>
  <c r="T119" i="125"/>
  <c r="T123" i="125"/>
  <c r="T127" i="125"/>
  <c r="T131" i="125"/>
  <c r="T135" i="125"/>
  <c r="T139" i="125"/>
  <c r="T143" i="125"/>
  <c r="T147" i="125"/>
  <c r="T151" i="125"/>
  <c r="T155" i="125"/>
  <c r="T159" i="125"/>
  <c r="T8" i="125"/>
  <c r="T16" i="125"/>
  <c r="T24" i="125"/>
  <c r="T32" i="125"/>
  <c r="T36" i="125"/>
  <c r="T48" i="125"/>
  <c r="T56" i="125"/>
  <c r="T64" i="125"/>
  <c r="T68" i="125"/>
  <c r="T80" i="125"/>
  <c r="T88" i="125"/>
  <c r="T96" i="125"/>
  <c r="T104" i="125"/>
  <c r="T112" i="125"/>
  <c r="T124" i="125"/>
  <c r="T132" i="125"/>
  <c r="T140" i="125"/>
  <c r="T148" i="125"/>
  <c r="T156" i="125"/>
  <c r="T4" i="125"/>
  <c r="T12" i="125"/>
  <c r="T20" i="125"/>
  <c r="T28" i="125"/>
  <c r="T44" i="125"/>
  <c r="T52" i="125"/>
  <c r="T72" i="125"/>
  <c r="T76" i="125"/>
  <c r="T84" i="125"/>
  <c r="T92" i="125"/>
  <c r="T100" i="125"/>
  <c r="T108" i="125"/>
  <c r="T116" i="125"/>
  <c r="T128" i="125"/>
  <c r="T136" i="125"/>
  <c r="T144" i="125"/>
  <c r="T152" i="125"/>
  <c r="T164" i="125"/>
  <c r="T163" i="125"/>
  <c r="T242" i="124"/>
  <c r="T87" i="128"/>
  <c r="T120" i="125"/>
  <c r="T160" i="125"/>
  <c r="T89" i="127"/>
  <c r="T20" i="124"/>
  <c r="T16" i="124"/>
  <c r="T28" i="124"/>
  <c r="T44" i="124"/>
  <c r="T24" i="124"/>
  <c r="T36" i="124"/>
  <c r="T32" i="124"/>
  <c r="T40" i="124"/>
  <c r="T56" i="124"/>
  <c r="T72" i="124"/>
  <c r="T76" i="124"/>
  <c r="T48" i="124"/>
  <c r="T60" i="124"/>
  <c r="T52" i="124"/>
  <c r="T68" i="124"/>
  <c r="T80" i="124"/>
  <c r="T96" i="124"/>
  <c r="T88" i="124"/>
  <c r="T84" i="124"/>
  <c r="T92" i="124"/>
  <c r="T104" i="124"/>
  <c r="T116" i="124"/>
  <c r="T108" i="124"/>
  <c r="T112" i="124"/>
  <c r="T100" i="124"/>
  <c r="T120" i="124"/>
  <c r="T128" i="124"/>
  <c r="T124" i="124"/>
  <c r="T132" i="124"/>
  <c r="T136" i="124"/>
  <c r="T144" i="124"/>
  <c r="T152" i="124"/>
  <c r="T140" i="124"/>
  <c r="T148" i="124"/>
  <c r="T172" i="124"/>
  <c r="T164" i="124"/>
  <c r="T156" i="124"/>
  <c r="T64" i="124"/>
  <c r="T168" i="124"/>
  <c r="T160" i="124"/>
  <c r="T176" i="124"/>
  <c r="T180" i="124"/>
  <c r="T184" i="124"/>
  <c r="T188" i="124"/>
  <c r="T192" i="124"/>
  <c r="T196" i="124"/>
  <c r="T200" i="124"/>
  <c r="T204" i="124"/>
  <c r="T208" i="124"/>
  <c r="T212" i="124"/>
  <c r="T216" i="124"/>
  <c r="T220" i="124"/>
  <c r="T224" i="124"/>
  <c r="T228" i="124"/>
  <c r="T104" i="127"/>
  <c r="T252" i="124"/>
  <c r="T241" i="124"/>
  <c r="T86" i="128"/>
  <c r="T63" i="120"/>
  <c r="T67" i="120"/>
  <c r="T71" i="120"/>
  <c r="T75" i="120"/>
  <c r="T79" i="120"/>
  <c r="T85" i="120"/>
  <c r="T89" i="120"/>
  <c r="T43" i="120"/>
  <c r="T47" i="120"/>
  <c r="T55" i="120"/>
  <c r="T59" i="120"/>
  <c r="T103" i="127"/>
  <c r="T239" i="124"/>
  <c r="T243" i="124"/>
  <c r="T160" i="122"/>
  <c r="T240" i="124"/>
  <c r="T85" i="128"/>
  <c r="T161" i="122"/>
  <c r="T102" i="127"/>
  <c r="T5" i="120"/>
  <c r="T129" i="125"/>
  <c r="T133" i="125"/>
  <c r="T137" i="125"/>
  <c r="T141" i="125"/>
  <c r="T145" i="125"/>
  <c r="T125" i="125"/>
  <c r="T149" i="125"/>
  <c r="T121" i="125"/>
  <c r="T153" i="125"/>
  <c r="T117" i="125"/>
  <c r="T157" i="125"/>
  <c r="T161" i="125"/>
  <c r="T113" i="125"/>
  <c r="T165" i="125"/>
  <c r="T109" i="125"/>
  <c r="T105" i="125"/>
  <c r="T97" i="125"/>
  <c r="T89" i="125"/>
  <c r="T93" i="125"/>
  <c r="T101" i="125"/>
  <c r="T69" i="125"/>
  <c r="T77" i="125"/>
  <c r="T85" i="125"/>
  <c r="T17" i="124"/>
  <c r="T21" i="124"/>
  <c r="T25" i="124"/>
  <c r="T29" i="124"/>
  <c r="T33" i="124"/>
  <c r="T37" i="124"/>
  <c r="T73" i="125"/>
  <c r="T81" i="125"/>
  <c r="T65" i="125"/>
  <c r="T41" i="124"/>
  <c r="T45" i="124"/>
  <c r="T49" i="124"/>
  <c r="T53" i="124"/>
  <c r="T57" i="124"/>
  <c r="T61" i="124"/>
  <c r="T65" i="124"/>
  <c r="T61" i="125"/>
  <c r="T69" i="124"/>
  <c r="T73" i="124"/>
  <c r="T77" i="124"/>
  <c r="T81" i="124"/>
  <c r="T85" i="124"/>
  <c r="T89" i="124"/>
  <c r="T93" i="124"/>
  <c r="T97" i="124"/>
  <c r="T101" i="124"/>
  <c r="T105" i="124"/>
  <c r="T109" i="124"/>
  <c r="T113" i="124"/>
  <c r="T117" i="124"/>
  <c r="T121" i="124"/>
  <c r="T125" i="124"/>
  <c r="T129" i="124"/>
  <c r="T133" i="124"/>
  <c r="T137" i="124"/>
  <c r="T141" i="124"/>
  <c r="T145" i="124"/>
  <c r="T149" i="124"/>
  <c r="T153" i="124"/>
  <c r="T157" i="124"/>
  <c r="T161" i="124"/>
  <c r="T165" i="124"/>
  <c r="T246" i="124"/>
  <c r="T169" i="124"/>
  <c r="T173" i="124"/>
  <c r="T177" i="124"/>
  <c r="T181" i="124"/>
  <c r="T185" i="124"/>
  <c r="T193" i="124"/>
  <c r="T39" i="125"/>
  <c r="T158" i="122"/>
  <c r="T250" i="124"/>
  <c r="T40" i="125"/>
  <c r="T159" i="122"/>
  <c r="T60" i="125"/>
  <c r="T6" i="120"/>
  <c r="T197" i="124"/>
  <c r="T201" i="124"/>
  <c r="T205" i="124"/>
  <c r="T209" i="124"/>
  <c r="T234" i="124"/>
  <c r="T189" i="124"/>
  <c r="T213" i="124"/>
  <c r="T217" i="124"/>
  <c r="T221" i="124"/>
  <c r="T80" i="127"/>
  <c r="T84" i="127"/>
  <c r="T51" i="120"/>
  <c r="T225" i="124"/>
  <c r="T229" i="124"/>
  <c r="T81" i="127"/>
  <c r="T85" i="127"/>
  <c r="T5" i="127"/>
  <c r="T6" i="127"/>
  <c r="T58" i="128"/>
  <c r="T238" i="124"/>
  <c r="T247" i="124"/>
  <c r="T251" i="124"/>
  <c r="T50" i="128"/>
  <c r="T9" i="125"/>
  <c r="T17" i="125"/>
  <c r="T25" i="125"/>
  <c r="T33" i="125"/>
  <c r="T45" i="125"/>
  <c r="T53" i="125"/>
  <c r="T5" i="125"/>
  <c r="T13" i="125"/>
  <c r="T21" i="125"/>
  <c r="T29" i="125"/>
  <c r="T37" i="125"/>
  <c r="T41" i="125"/>
  <c r="T49" i="125"/>
  <c r="T57" i="125"/>
  <c r="T83" i="127"/>
  <c r="T87" i="127"/>
  <c r="T4" i="128"/>
  <c r="T47" i="128"/>
  <c r="T51" i="128"/>
  <c r="T48" i="128"/>
  <c r="T52" i="128"/>
  <c r="T49" i="128"/>
  <c r="T53" i="128"/>
  <c r="T97" i="121"/>
  <c r="T93" i="121"/>
  <c r="T105" i="121"/>
  <c r="T101" i="121"/>
  <c r="T89" i="121"/>
  <c r="T85" i="121"/>
  <c r="T81" i="121"/>
  <c r="T73" i="121"/>
  <c r="T77" i="121"/>
  <c r="T51" i="121"/>
  <c r="T61" i="121"/>
  <c r="T57" i="121"/>
  <c r="T69" i="121"/>
  <c r="T53" i="121"/>
  <c r="T65" i="121"/>
  <c r="T54" i="125"/>
  <c r="T58" i="125"/>
  <c r="T62" i="125"/>
  <c r="T66" i="125"/>
  <c r="T70" i="125"/>
  <c r="T74" i="125"/>
  <c r="T78" i="125"/>
  <c r="T82" i="125"/>
  <c r="T86" i="125"/>
  <c r="T90" i="125"/>
  <c r="T94" i="125"/>
  <c r="T98" i="125"/>
  <c r="T102" i="125"/>
  <c r="T106" i="125"/>
  <c r="T110" i="125"/>
  <c r="T114" i="125"/>
  <c r="T118" i="125"/>
  <c r="T122" i="125"/>
  <c r="T126" i="125"/>
  <c r="T130" i="125"/>
  <c r="T134" i="125"/>
  <c r="T138" i="125"/>
  <c r="T142" i="125"/>
  <c r="T146" i="125"/>
  <c r="T150" i="125"/>
  <c r="T154" i="125"/>
  <c r="T158" i="125"/>
  <c r="T162" i="125"/>
  <c r="T166" i="125"/>
  <c r="T4" i="120"/>
  <c r="T9" i="120"/>
  <c r="T13" i="120"/>
  <c r="T17" i="120"/>
  <c r="T21" i="120"/>
  <c r="T25" i="120"/>
  <c r="T29" i="120"/>
  <c r="T33" i="120"/>
  <c r="T37" i="120"/>
  <c r="T41" i="120"/>
  <c r="T45" i="120"/>
  <c r="T49" i="120"/>
  <c r="T53" i="120"/>
  <c r="T57" i="120"/>
  <c r="T61" i="120"/>
  <c r="T65" i="120"/>
  <c r="T69" i="120"/>
  <c r="T73" i="120"/>
  <c r="T77" i="120"/>
  <c r="T81" i="120"/>
  <c r="T87" i="120"/>
  <c r="T3" i="124"/>
  <c r="T19" i="124"/>
  <c r="T23" i="124"/>
  <c r="T27" i="124"/>
  <c r="T31" i="124"/>
  <c r="T35" i="124"/>
  <c r="T39" i="124"/>
  <c r="T43" i="124"/>
  <c r="T47" i="124"/>
  <c r="T51" i="124"/>
  <c r="T55" i="124"/>
  <c r="T59" i="124"/>
  <c r="T63" i="124"/>
  <c r="T67" i="124"/>
  <c r="T71" i="124"/>
  <c r="T75" i="124"/>
  <c r="T79" i="124"/>
  <c r="T83" i="124"/>
  <c r="T42" i="125"/>
  <c r="T46" i="125"/>
  <c r="T50" i="125"/>
  <c r="T87" i="124"/>
  <c r="T91" i="124"/>
  <c r="T95" i="124"/>
  <c r="T99" i="124"/>
  <c r="T103" i="124"/>
  <c r="T107" i="124"/>
  <c r="T111" i="124"/>
  <c r="T115" i="124"/>
  <c r="T119" i="124"/>
  <c r="T123" i="124"/>
  <c r="T127" i="124"/>
  <c r="T131" i="124"/>
  <c r="T135" i="124"/>
  <c r="T139" i="124"/>
  <c r="T143" i="124"/>
  <c r="T147" i="124"/>
  <c r="T151" i="124"/>
  <c r="T155" i="124"/>
  <c r="T159" i="124"/>
  <c r="T163" i="124"/>
  <c r="T167" i="124"/>
  <c r="T171" i="124"/>
  <c r="T175" i="124"/>
  <c r="T179" i="124"/>
  <c r="T183" i="124"/>
  <c r="T38" i="125"/>
  <c r="T187" i="124"/>
  <c r="T191" i="124"/>
  <c r="T195" i="124"/>
  <c r="T199" i="124"/>
  <c r="T203" i="124"/>
  <c r="T207" i="124"/>
  <c r="T211" i="124"/>
  <c r="T215" i="124"/>
  <c r="T219" i="124"/>
  <c r="T253" i="124"/>
  <c r="T223" i="124"/>
  <c r="T34" i="125"/>
  <c r="T227" i="124"/>
  <c r="T23" i="120"/>
  <c r="T31" i="120"/>
  <c r="T27" i="120"/>
  <c r="T39" i="120"/>
  <c r="T35" i="120"/>
  <c r="T19" i="120"/>
  <c r="T15" i="120"/>
  <c r="T30" i="125"/>
  <c r="T52" i="121"/>
  <c r="T54" i="121"/>
  <c r="T58" i="121"/>
  <c r="T62" i="121"/>
  <c r="T66" i="121"/>
  <c r="T70" i="121"/>
  <c r="T74" i="121"/>
  <c r="T78" i="121"/>
  <c r="T82" i="121"/>
  <c r="T86" i="121"/>
  <c r="T90" i="121"/>
  <c r="T94" i="121"/>
  <c r="T98" i="121"/>
  <c r="T102" i="121"/>
  <c r="T106" i="121"/>
  <c r="T6" i="125"/>
  <c r="T10" i="125"/>
  <c r="T14" i="125"/>
  <c r="T18" i="125"/>
  <c r="T22" i="125"/>
  <c r="T26" i="125"/>
  <c r="T18" i="124"/>
  <c r="T22" i="124"/>
  <c r="T26" i="124"/>
  <c r="T30" i="124"/>
  <c r="T34" i="124"/>
  <c r="T38" i="124"/>
  <c r="T42" i="124"/>
  <c r="T46" i="124"/>
  <c r="T232" i="124"/>
  <c r="T50" i="124"/>
  <c r="T54" i="124"/>
  <c r="T58" i="124"/>
  <c r="T62" i="124"/>
  <c r="T66" i="124"/>
  <c r="T236" i="124"/>
  <c r="T70" i="124"/>
  <c r="T74" i="124"/>
  <c r="T78" i="124"/>
  <c r="T82" i="124"/>
  <c r="T86" i="124"/>
  <c r="T90" i="124"/>
  <c r="T94" i="124"/>
  <c r="T98" i="124"/>
  <c r="T102" i="124"/>
  <c r="T106" i="124"/>
  <c r="T245" i="124"/>
  <c r="T110" i="124"/>
  <c r="T114" i="124"/>
  <c r="T118" i="124"/>
  <c r="T122" i="124"/>
  <c r="T126" i="124"/>
  <c r="T130" i="124"/>
  <c r="T134" i="124"/>
  <c r="T138" i="124"/>
  <c r="T142" i="124"/>
  <c r="T146" i="124"/>
  <c r="T249" i="124"/>
  <c r="T150" i="124"/>
  <c r="T154" i="124"/>
  <c r="T158" i="124"/>
  <c r="T162" i="124"/>
  <c r="T166" i="124"/>
  <c r="T170" i="124"/>
  <c r="T174" i="124"/>
  <c r="T178" i="124"/>
  <c r="T182" i="124"/>
  <c r="T186" i="124"/>
  <c r="T3" i="120"/>
  <c r="T8" i="120"/>
  <c r="T12" i="120"/>
  <c r="T44" i="120"/>
  <c r="T48" i="120"/>
  <c r="T52" i="120"/>
  <c r="T56" i="120"/>
  <c r="T60" i="120"/>
  <c r="T64" i="120"/>
  <c r="T68" i="120"/>
  <c r="T72" i="120"/>
  <c r="T76" i="120"/>
  <c r="T80" i="120"/>
  <c r="T86" i="120"/>
  <c r="T90" i="120"/>
  <c r="T190" i="124"/>
  <c r="T194" i="124"/>
  <c r="T198" i="124"/>
  <c r="T202" i="124"/>
  <c r="T206" i="124"/>
  <c r="T42" i="128"/>
  <c r="T38" i="122"/>
  <c r="T45" i="127"/>
  <c r="T49" i="127"/>
  <c r="T210" i="124"/>
  <c r="T214" i="124"/>
  <c r="T218" i="124"/>
  <c r="T244" i="124"/>
  <c r="T248" i="124"/>
  <c r="T12" i="122"/>
  <c r="T120" i="122"/>
  <c r="T78" i="126"/>
  <c r="T37" i="122"/>
  <c r="T85" i="122"/>
  <c r="T7" i="120"/>
  <c r="T11" i="120"/>
  <c r="T16" i="120"/>
  <c r="T20" i="120"/>
  <c r="T24" i="120"/>
  <c r="T28" i="120"/>
  <c r="T32" i="120"/>
  <c r="T36" i="120"/>
  <c r="T40" i="120"/>
  <c r="T222" i="124"/>
  <c r="T226" i="124"/>
  <c r="T230" i="124"/>
  <c r="T235" i="124"/>
  <c r="T3" i="126"/>
  <c r="T7" i="126"/>
  <c r="T11" i="126"/>
  <c r="T15" i="126"/>
  <c r="T19" i="126"/>
  <c r="T23" i="126"/>
  <c r="T27" i="126"/>
  <c r="T31" i="126"/>
  <c r="T35" i="126"/>
  <c r="T39" i="126"/>
  <c r="T43" i="126"/>
  <c r="T47" i="126"/>
  <c r="T51" i="126"/>
  <c r="T55" i="126"/>
  <c r="T59" i="126"/>
  <c r="T63" i="126"/>
  <c r="T67" i="126"/>
  <c r="T71" i="126"/>
  <c r="T75" i="126"/>
  <c r="T79" i="126"/>
  <c r="T83" i="126"/>
  <c r="T87" i="126"/>
  <c r="T91" i="126"/>
  <c r="T95" i="126"/>
  <c r="T99" i="126"/>
  <c r="T103" i="126"/>
  <c r="T107" i="126"/>
  <c r="T111" i="126"/>
  <c r="T115" i="126"/>
  <c r="T119" i="126"/>
  <c r="T6" i="122"/>
  <c r="T10" i="122"/>
  <c r="T14" i="122"/>
  <c r="T18" i="122"/>
  <c r="T22" i="122"/>
  <c r="T26" i="122"/>
  <c r="T30" i="122"/>
  <c r="T34" i="122"/>
  <c r="T42" i="122"/>
  <c r="T46" i="122"/>
  <c r="T50" i="122"/>
  <c r="T54" i="122"/>
  <c r="T58" i="122"/>
  <c r="T62" i="122"/>
  <c r="T66" i="122"/>
  <c r="T70" i="122"/>
  <c r="T74" i="122"/>
  <c r="T78" i="122"/>
  <c r="T82" i="122"/>
  <c r="T86" i="122"/>
  <c r="T90" i="122"/>
  <c r="T94" i="122"/>
  <c r="T98" i="122"/>
  <c r="T102" i="122"/>
  <c r="T106" i="122"/>
  <c r="T110" i="122"/>
  <c r="T114" i="122"/>
  <c r="T118" i="122"/>
  <c r="T122" i="122"/>
  <c r="T126" i="122"/>
  <c r="T130" i="122"/>
  <c r="T134" i="122"/>
  <c r="T138" i="122"/>
  <c r="T142" i="122"/>
  <c r="T146" i="122"/>
  <c r="T150" i="122"/>
  <c r="T154" i="122"/>
  <c r="T162" i="122"/>
  <c r="T168" i="122"/>
  <c r="T4" i="126"/>
  <c r="T8" i="126"/>
  <c r="T12" i="126"/>
  <c r="T16" i="126"/>
  <c r="T20" i="126"/>
  <c r="T24" i="126"/>
  <c r="T28" i="126"/>
  <c r="T32" i="126"/>
  <c r="T36" i="126"/>
  <c r="T40" i="126"/>
  <c r="T44" i="126"/>
  <c r="T48" i="126"/>
  <c r="T52" i="126"/>
  <c r="T56" i="126"/>
  <c r="T60" i="126"/>
  <c r="T64" i="126"/>
  <c r="T68" i="126"/>
  <c r="T72" i="126"/>
  <c r="T76" i="126"/>
  <c r="T80" i="126"/>
  <c r="T84" i="126"/>
  <c r="T88" i="126"/>
  <c r="T92" i="126"/>
  <c r="T96" i="126"/>
  <c r="T100" i="126"/>
  <c r="T104" i="126"/>
  <c r="T108" i="126"/>
  <c r="T112" i="126"/>
  <c r="T116" i="126"/>
  <c r="T120" i="126"/>
  <c r="T3" i="122"/>
  <c r="T7" i="122"/>
  <c r="T11" i="122"/>
  <c r="T15" i="122"/>
  <c r="T19" i="122"/>
  <c r="T23" i="122"/>
  <c r="T27" i="122"/>
  <c r="T31" i="122"/>
  <c r="T35" i="122"/>
  <c r="T39" i="122"/>
  <c r="T43" i="122"/>
  <c r="T47" i="122"/>
  <c r="T51" i="122"/>
  <c r="T55" i="122"/>
  <c r="T59" i="122"/>
  <c r="T63" i="122"/>
  <c r="T67" i="122"/>
  <c r="T71" i="122"/>
  <c r="T75" i="122"/>
  <c r="T79" i="122"/>
  <c r="T83" i="122"/>
  <c r="T87" i="122"/>
  <c r="T91" i="122"/>
  <c r="T95" i="122"/>
  <c r="T99" i="122"/>
  <c r="T103" i="122"/>
  <c r="T107" i="122"/>
  <c r="T111" i="122"/>
  <c r="T115" i="122"/>
  <c r="T119" i="122"/>
  <c r="T123" i="122"/>
  <c r="T127" i="122"/>
  <c r="T131" i="122"/>
  <c r="T135" i="122"/>
  <c r="T139" i="122"/>
  <c r="T143" i="122"/>
  <c r="T147" i="122"/>
  <c r="T151" i="122"/>
  <c r="T155" i="122"/>
  <c r="T165" i="122"/>
  <c r="T169" i="122"/>
  <c r="T5" i="126"/>
  <c r="T9" i="126"/>
  <c r="T13" i="126"/>
  <c r="T17" i="126"/>
  <c r="T21" i="126"/>
  <c r="T25" i="126"/>
  <c r="T29" i="126"/>
  <c r="T33" i="126"/>
  <c r="T37" i="126"/>
  <c r="T41" i="126"/>
  <c r="T45" i="126"/>
  <c r="T49" i="126"/>
  <c r="T53" i="126"/>
  <c r="T57" i="126"/>
  <c r="T61" i="126"/>
  <c r="T65" i="126"/>
  <c r="T69" i="126"/>
  <c r="T73" i="126"/>
  <c r="T77" i="126"/>
  <c r="T81" i="126"/>
  <c r="T85" i="126"/>
  <c r="T89" i="126"/>
  <c r="T93" i="126"/>
  <c r="T97" i="126"/>
  <c r="T101" i="126"/>
  <c r="T105" i="126"/>
  <c r="T109" i="126"/>
  <c r="T113" i="126"/>
  <c r="T117" i="126"/>
  <c r="T4" i="122"/>
  <c r="T8" i="122"/>
  <c r="T16" i="122"/>
  <c r="T20" i="122"/>
  <c r="T24" i="122"/>
  <c r="T28" i="122"/>
  <c r="T32" i="122"/>
  <c r="T36" i="122"/>
  <c r="T40" i="122"/>
  <c r="T44" i="122"/>
  <c r="T48" i="122"/>
  <c r="T52" i="122"/>
  <c r="T56" i="122"/>
  <c r="T60" i="122"/>
  <c r="T64" i="122"/>
  <c r="T68" i="122"/>
  <c r="T72" i="122"/>
  <c r="T76" i="122"/>
  <c r="T80" i="122"/>
  <c r="T84" i="122"/>
  <c r="T88" i="122"/>
  <c r="T92" i="122"/>
  <c r="T96" i="122"/>
  <c r="T100" i="122"/>
  <c r="T104" i="122"/>
  <c r="T108" i="122"/>
  <c r="T112" i="122"/>
  <c r="T116" i="122"/>
  <c r="T124" i="122"/>
  <c r="T128" i="122"/>
  <c r="T6" i="126"/>
  <c r="T10" i="126"/>
  <c r="T14" i="126"/>
  <c r="T18" i="126"/>
  <c r="T22" i="126"/>
  <c r="T26" i="126"/>
  <c r="T30" i="126"/>
  <c r="T34" i="126"/>
  <c r="T38" i="126"/>
  <c r="T42" i="126"/>
  <c r="T46" i="126"/>
  <c r="T50" i="126"/>
  <c r="T54" i="126"/>
  <c r="T58" i="126"/>
  <c r="T62" i="126"/>
  <c r="T66" i="126"/>
  <c r="T70" i="126"/>
  <c r="T74" i="126"/>
  <c r="T82" i="126"/>
  <c r="T86" i="126"/>
  <c r="T90" i="126"/>
  <c r="T94" i="126"/>
  <c r="T98" i="126"/>
  <c r="T102" i="126"/>
  <c r="T106" i="126"/>
  <c r="T110" i="126"/>
  <c r="T114" i="126"/>
  <c r="T118" i="126"/>
  <c r="T5" i="122"/>
  <c r="T9" i="122"/>
  <c r="T13" i="122"/>
  <c r="T17" i="122"/>
  <c r="T21" i="122"/>
  <c r="T25" i="122"/>
  <c r="T29" i="122"/>
  <c r="T33" i="122"/>
  <c r="T41" i="122"/>
  <c r="T45" i="122"/>
  <c r="T49" i="122"/>
  <c r="T53" i="122"/>
  <c r="T57" i="122"/>
  <c r="T61" i="122"/>
  <c r="T65" i="122"/>
  <c r="T69" i="122"/>
  <c r="T73" i="122"/>
  <c r="T77" i="122"/>
  <c r="T81" i="122"/>
  <c r="T89" i="122"/>
  <c r="T93" i="122"/>
  <c r="T97" i="122"/>
  <c r="T101" i="122"/>
  <c r="T105" i="122"/>
  <c r="T109" i="122"/>
  <c r="T113" i="122"/>
  <c r="T117" i="122"/>
  <c r="T121" i="122"/>
  <c r="T125" i="122"/>
  <c r="T129" i="122"/>
  <c r="T132" i="122"/>
  <c r="T136" i="122"/>
  <c r="T140" i="122"/>
  <c r="T144" i="122"/>
  <c r="T148" i="122"/>
  <c r="T152" i="122"/>
  <c r="T156" i="122"/>
  <c r="T166" i="122"/>
  <c r="T170" i="122"/>
  <c r="T6" i="128"/>
  <c r="T10" i="128"/>
  <c r="T14" i="128"/>
  <c r="T18" i="128"/>
  <c r="T22" i="128"/>
  <c r="T26" i="128"/>
  <c r="T30" i="128"/>
  <c r="T34" i="128"/>
  <c r="T38" i="128"/>
  <c r="T46" i="128"/>
  <c r="T57" i="128"/>
  <c r="T61" i="128"/>
  <c r="T65" i="128"/>
  <c r="T69" i="128"/>
  <c r="T73" i="128"/>
  <c r="T77" i="128"/>
  <c r="T81" i="128"/>
  <c r="T7" i="127"/>
  <c r="T11" i="127"/>
  <c r="T15" i="127"/>
  <c r="T19" i="127"/>
  <c r="T23" i="127"/>
  <c r="T27" i="127"/>
  <c r="T31" i="127"/>
  <c r="T35" i="127"/>
  <c r="T39" i="127"/>
  <c r="T43" i="127"/>
  <c r="T47" i="127"/>
  <c r="T51" i="127"/>
  <c r="T95" i="127"/>
  <c r="T55" i="127"/>
  <c r="T99" i="127"/>
  <c r="T59" i="127"/>
  <c r="T106" i="127"/>
  <c r="T63" i="127"/>
  <c r="T67" i="127"/>
  <c r="T71" i="127"/>
  <c r="T75" i="127"/>
  <c r="T79" i="127"/>
  <c r="T91" i="127"/>
  <c r="T133" i="122"/>
  <c r="T137" i="122"/>
  <c r="T141" i="122"/>
  <c r="T145" i="122"/>
  <c r="T149" i="122"/>
  <c r="T153" i="122"/>
  <c r="T157" i="122"/>
  <c r="T167" i="122"/>
  <c r="T3" i="128"/>
  <c r="T7" i="128"/>
  <c r="T11" i="128"/>
  <c r="T15" i="128"/>
  <c r="T19" i="128"/>
  <c r="T23" i="128"/>
  <c r="T27" i="128"/>
  <c r="T31" i="128"/>
  <c r="T35" i="128"/>
  <c r="T39" i="128"/>
  <c r="T43" i="128"/>
  <c r="T54" i="128"/>
  <c r="T62" i="128"/>
  <c r="T66" i="128"/>
  <c r="T70" i="128"/>
  <c r="T74" i="128"/>
  <c r="T78" i="128"/>
  <c r="T82" i="128"/>
  <c r="T8" i="127"/>
  <c r="T12" i="127"/>
  <c r="T16" i="127"/>
  <c r="T20" i="127"/>
  <c r="T24" i="127"/>
  <c r="T28" i="127"/>
  <c r="T32" i="127"/>
  <c r="T36" i="127"/>
  <c r="T40" i="127"/>
  <c r="T44" i="127"/>
  <c r="T48" i="127"/>
  <c r="T52" i="127"/>
  <c r="T96" i="127"/>
  <c r="T56" i="127"/>
  <c r="T100" i="127"/>
  <c r="T60" i="127"/>
  <c r="T107" i="127"/>
  <c r="T64" i="127"/>
  <c r="T68" i="127"/>
  <c r="T72" i="127"/>
  <c r="T76" i="127"/>
  <c r="T88" i="127"/>
  <c r="T92" i="127"/>
  <c r="T8" i="128"/>
  <c r="T12" i="128"/>
  <c r="T16" i="128"/>
  <c r="T20" i="128"/>
  <c r="T24" i="128"/>
  <c r="T28" i="128"/>
  <c r="T32" i="128"/>
  <c r="T36" i="128"/>
  <c r="T40" i="128"/>
  <c r="T44" i="128"/>
  <c r="T55" i="128"/>
  <c r="T59" i="128"/>
  <c r="T63" i="128"/>
  <c r="T67" i="128"/>
  <c r="T71" i="128"/>
  <c r="T75" i="128"/>
  <c r="T79" i="128"/>
  <c r="T83" i="128"/>
  <c r="T3" i="123"/>
  <c r="T3" i="127"/>
  <c r="T9" i="127"/>
  <c r="T13" i="127"/>
  <c r="T17" i="127"/>
  <c r="T21" i="127"/>
  <c r="T25" i="127"/>
  <c r="T29" i="127"/>
  <c r="T33" i="127"/>
  <c r="T37" i="127"/>
  <c r="T41" i="127"/>
  <c r="T53" i="127"/>
  <c r="T97" i="127"/>
  <c r="T57" i="127"/>
  <c r="T101" i="127"/>
  <c r="T61" i="127"/>
  <c r="T65" i="127"/>
  <c r="T69" i="127"/>
  <c r="T73" i="127"/>
  <c r="T77" i="127"/>
  <c r="T93" i="127"/>
  <c r="T5" i="128"/>
  <c r="T9" i="128"/>
  <c r="T13" i="128"/>
  <c r="T17" i="128"/>
  <c r="T21" i="128"/>
  <c r="T25" i="128"/>
  <c r="T29" i="128"/>
  <c r="T33" i="128"/>
  <c r="T37" i="128"/>
  <c r="T41" i="128"/>
  <c r="T45" i="128"/>
  <c r="T56" i="128"/>
  <c r="T60" i="128"/>
  <c r="T64" i="128"/>
  <c r="T68" i="128"/>
  <c r="T72" i="128"/>
  <c r="T76" i="128"/>
  <c r="T80" i="128"/>
  <c r="T84" i="128"/>
  <c r="T4" i="127"/>
  <c r="T10" i="127"/>
  <c r="T14" i="127"/>
  <c r="T18" i="127"/>
  <c r="T22" i="127"/>
  <c r="T26" i="127"/>
  <c r="T30" i="127"/>
  <c r="T34" i="127"/>
  <c r="T38" i="127"/>
  <c r="T42" i="127"/>
  <c r="T46" i="127"/>
  <c r="T50" i="127"/>
  <c r="T54" i="127"/>
  <c r="T98" i="127"/>
  <c r="T58" i="127"/>
  <c r="T105" i="127"/>
  <c r="T62" i="127"/>
  <c r="T66" i="127"/>
  <c r="T70" i="127"/>
  <c r="T74" i="127"/>
  <c r="T78" i="127"/>
  <c r="T82" i="127"/>
  <c r="T86" i="127"/>
  <c r="T90" i="127"/>
  <c r="T94" i="127"/>
  <c r="U1" i="123"/>
  <c r="W1" i="123"/>
  <c r="V1" i="122"/>
  <c r="L1" i="122"/>
  <c r="P1" i="122"/>
  <c r="W1" i="122"/>
  <c r="W1" i="125"/>
  <c r="V1" i="123"/>
  <c r="V1" i="125"/>
  <c r="K1" i="123"/>
  <c r="U1" i="125"/>
  <c r="P1" i="123"/>
  <c r="K1" i="126"/>
  <c r="U1" i="126"/>
  <c r="W1" i="126"/>
  <c r="Q1" i="126"/>
  <c r="L1" i="126"/>
  <c r="V1" i="126"/>
  <c r="P1" i="126"/>
  <c r="M3" i="120"/>
  <c r="O3" i="120"/>
  <c r="W1" i="128" l="1"/>
  <c r="V1" i="128"/>
  <c r="U1" i="128"/>
  <c r="Q1" i="128"/>
  <c r="P1" i="128"/>
  <c r="L1" i="128"/>
  <c r="K1" i="128"/>
  <c r="W1" i="127"/>
  <c r="V1" i="127"/>
  <c r="U1" i="127"/>
  <c r="Q1" i="127"/>
  <c r="P1" i="127"/>
  <c r="L1" i="127"/>
  <c r="K1" i="127"/>
  <c r="W1" i="124"/>
  <c r="V1" i="124"/>
  <c r="U1" i="124"/>
  <c r="Q1" i="124"/>
  <c r="P1" i="124"/>
  <c r="L1" i="124"/>
  <c r="K1" i="124"/>
  <c r="Q1" i="123"/>
  <c r="L1" i="123"/>
  <c r="K1" i="122"/>
  <c r="W1" i="121"/>
  <c r="V1" i="121"/>
  <c r="U1" i="121"/>
  <c r="Q1" i="121"/>
  <c r="L1" i="121"/>
  <c r="R3" i="120"/>
  <c r="W1" i="120"/>
  <c r="V1" i="120"/>
  <c r="U1" i="120"/>
  <c r="Q1" i="120"/>
  <c r="L1" i="120"/>
  <c r="R1193" i="119"/>
  <c r="M1193" i="119"/>
  <c r="R1192" i="119"/>
  <c r="M1192" i="119"/>
  <c r="R1191" i="119"/>
  <c r="M1191" i="119"/>
  <c r="R1190" i="119"/>
  <c r="M1190" i="119"/>
  <c r="R1189" i="119"/>
  <c r="M1189" i="119"/>
  <c r="R1188" i="119"/>
  <c r="M1188" i="119"/>
  <c r="R1187" i="119"/>
  <c r="M1187" i="119"/>
  <c r="R1186" i="119"/>
  <c r="M1186" i="119"/>
  <c r="R1185" i="119"/>
  <c r="M1185" i="119"/>
  <c r="R1184" i="119"/>
  <c r="M1184" i="119"/>
  <c r="R1183" i="119"/>
  <c r="M1183" i="119"/>
  <c r="R1182" i="119"/>
  <c r="M1182" i="119"/>
  <c r="R1181" i="119"/>
  <c r="M1181" i="119"/>
  <c r="R1180" i="119"/>
  <c r="M1180" i="119"/>
  <c r="R1179" i="119"/>
  <c r="M1179" i="119"/>
  <c r="R1178" i="119"/>
  <c r="M1178" i="119"/>
  <c r="R1177" i="119"/>
  <c r="M1177" i="119"/>
  <c r="R1176" i="119"/>
  <c r="M1176" i="119"/>
  <c r="R1175" i="119"/>
  <c r="M1175" i="119"/>
  <c r="R1174" i="119"/>
  <c r="M1174" i="119"/>
  <c r="R1173" i="119"/>
  <c r="M1173" i="119"/>
  <c r="R1172" i="119"/>
  <c r="M1172" i="119"/>
  <c r="R1171" i="119"/>
  <c r="M1171" i="119"/>
  <c r="R1170" i="119"/>
  <c r="M1170" i="119"/>
  <c r="R1169" i="119"/>
  <c r="M1169" i="119"/>
  <c r="R1168" i="119"/>
  <c r="M1168" i="119"/>
  <c r="R1167" i="119"/>
  <c r="M1167" i="119"/>
  <c r="R1166" i="119"/>
  <c r="M1166" i="119"/>
  <c r="R1165" i="119"/>
  <c r="M1165" i="119"/>
  <c r="R1164" i="119"/>
  <c r="M1164" i="119"/>
  <c r="R1163" i="119"/>
  <c r="M1163" i="119"/>
  <c r="R1162" i="119"/>
  <c r="M1162" i="119"/>
  <c r="R1161" i="119"/>
  <c r="M1161" i="119"/>
  <c r="R1160" i="119"/>
  <c r="M1160" i="119"/>
  <c r="R1159" i="119"/>
  <c r="M1159" i="119"/>
  <c r="R1158" i="119"/>
  <c r="M1158" i="119"/>
  <c r="R1157" i="119"/>
  <c r="M1157" i="119"/>
  <c r="R1156" i="119"/>
  <c r="M1156" i="119"/>
  <c r="R1155" i="119"/>
  <c r="M1155" i="119"/>
  <c r="R1154" i="119"/>
  <c r="M1154" i="119"/>
  <c r="R1153" i="119"/>
  <c r="M1153" i="119"/>
  <c r="R1152" i="119"/>
  <c r="M1152" i="119"/>
  <c r="R1151" i="119"/>
  <c r="M1151" i="119"/>
  <c r="R1150" i="119"/>
  <c r="M1150" i="119"/>
  <c r="R1149" i="119"/>
  <c r="M1149" i="119"/>
  <c r="R1148" i="119"/>
  <c r="M1148" i="119"/>
  <c r="R1147" i="119"/>
  <c r="M1147" i="119"/>
  <c r="R1146" i="119"/>
  <c r="M1146" i="119"/>
  <c r="R1145" i="119"/>
  <c r="M1145" i="119"/>
  <c r="R1144" i="119"/>
  <c r="M1144" i="119"/>
  <c r="R1143" i="119"/>
  <c r="M1143" i="119"/>
  <c r="R1142" i="119"/>
  <c r="M1142" i="119"/>
  <c r="R1141" i="119"/>
  <c r="M1141" i="119"/>
  <c r="R1140" i="119"/>
  <c r="M1140" i="119"/>
  <c r="R1139" i="119"/>
  <c r="M1139" i="119"/>
  <c r="R1138" i="119"/>
  <c r="M1138" i="119"/>
  <c r="R1137" i="119"/>
  <c r="M1137" i="119"/>
  <c r="R1136" i="119"/>
  <c r="M1136" i="119"/>
  <c r="R1135" i="119"/>
  <c r="M1135" i="119"/>
  <c r="R1134" i="119"/>
  <c r="M1134" i="119"/>
  <c r="R1133" i="119"/>
  <c r="M1133" i="119"/>
  <c r="R1132" i="119"/>
  <c r="M1132" i="119"/>
  <c r="R1131" i="119"/>
  <c r="M1131" i="119"/>
  <c r="R1130" i="119"/>
  <c r="M1130" i="119"/>
  <c r="R1129" i="119"/>
  <c r="M1129" i="119"/>
  <c r="R1128" i="119"/>
  <c r="M1128" i="119"/>
  <c r="R1127" i="119"/>
  <c r="M1127" i="119"/>
  <c r="R1126" i="119"/>
  <c r="M1126" i="119"/>
  <c r="R1125" i="119"/>
  <c r="M1125" i="119"/>
  <c r="R1124" i="119"/>
  <c r="M1124" i="119"/>
  <c r="R1123" i="119"/>
  <c r="M1123" i="119"/>
  <c r="R1122" i="119"/>
  <c r="M1122" i="119"/>
  <c r="R1121" i="119"/>
  <c r="M1121" i="119"/>
  <c r="R1120" i="119"/>
  <c r="M1120" i="119"/>
  <c r="R1119" i="119"/>
  <c r="M1119" i="119"/>
  <c r="R1118" i="119"/>
  <c r="M1118" i="119"/>
  <c r="R1117" i="119"/>
  <c r="M1117" i="119"/>
  <c r="R1116" i="119"/>
  <c r="M1116" i="119"/>
  <c r="R1115" i="119"/>
  <c r="M1115" i="119"/>
  <c r="R1114" i="119"/>
  <c r="M1114" i="119"/>
  <c r="R1113" i="119"/>
  <c r="M1113" i="119"/>
  <c r="R1112" i="119"/>
  <c r="M1112" i="119"/>
  <c r="R1111" i="119"/>
  <c r="M1111" i="119"/>
  <c r="R1110" i="119"/>
  <c r="M1110" i="119"/>
  <c r="R1109" i="119"/>
  <c r="M1109" i="119"/>
  <c r="R1108" i="119"/>
  <c r="M1108" i="119"/>
  <c r="R1107" i="119"/>
  <c r="M1107" i="119"/>
  <c r="R1106" i="119"/>
  <c r="M1106" i="119"/>
  <c r="R1105" i="119"/>
  <c r="M1105" i="119"/>
  <c r="R1104" i="119"/>
  <c r="M1104" i="119"/>
  <c r="R1103" i="119"/>
  <c r="M1103" i="119"/>
  <c r="R1102" i="119"/>
  <c r="M1102" i="119"/>
  <c r="R1101" i="119"/>
  <c r="M1101" i="119"/>
  <c r="R1100" i="119"/>
  <c r="M1100" i="119"/>
  <c r="R1099" i="119"/>
  <c r="M1099" i="119"/>
  <c r="R1098" i="119"/>
  <c r="M1098" i="119"/>
  <c r="R1097" i="119"/>
  <c r="M1097" i="119"/>
  <c r="R1096" i="119"/>
  <c r="M1096" i="119"/>
  <c r="R1095" i="119"/>
  <c r="M1095" i="119"/>
  <c r="R1094" i="119"/>
  <c r="M1094" i="119"/>
  <c r="R1093" i="119"/>
  <c r="M1093" i="119"/>
  <c r="R1092" i="119"/>
  <c r="M1092" i="119"/>
  <c r="R1091" i="119"/>
  <c r="M1091" i="119"/>
  <c r="R1090" i="119"/>
  <c r="M1090" i="119"/>
  <c r="R1089" i="119"/>
  <c r="M1089" i="119"/>
  <c r="R1088" i="119"/>
  <c r="M1088" i="119"/>
  <c r="R1087" i="119"/>
  <c r="M1087" i="119"/>
  <c r="R1086" i="119"/>
  <c r="M1086" i="119"/>
  <c r="R1085" i="119"/>
  <c r="M1085" i="119"/>
  <c r="R1084" i="119"/>
  <c r="M1084" i="119"/>
  <c r="R1083" i="119"/>
  <c r="M1083" i="119"/>
  <c r="R1082" i="119"/>
  <c r="M1082" i="119"/>
  <c r="R1081" i="119"/>
  <c r="M1081" i="119"/>
  <c r="R1080" i="119"/>
  <c r="M1080" i="119"/>
  <c r="R1079" i="119"/>
  <c r="M1079" i="119"/>
  <c r="R1078" i="119"/>
  <c r="M1078" i="119"/>
  <c r="R1077" i="119"/>
  <c r="M1077" i="119"/>
  <c r="R1076" i="119"/>
  <c r="M1076" i="119"/>
  <c r="R1075" i="119"/>
  <c r="M1075" i="119"/>
  <c r="R1074" i="119"/>
  <c r="M1074" i="119"/>
  <c r="R1073" i="119"/>
  <c r="M1073" i="119"/>
  <c r="R1072" i="119"/>
  <c r="M1072" i="119"/>
  <c r="R1071" i="119"/>
  <c r="M1071" i="119"/>
  <c r="R1070" i="119"/>
  <c r="M1070" i="119"/>
  <c r="R1069" i="119"/>
  <c r="M1069" i="119"/>
  <c r="R1068" i="119"/>
  <c r="M1068" i="119"/>
  <c r="R1067" i="119"/>
  <c r="M1067" i="119"/>
  <c r="R1066" i="119"/>
  <c r="M1066" i="119"/>
  <c r="R1065" i="119"/>
  <c r="M1065" i="119"/>
  <c r="R1064" i="119"/>
  <c r="M1064" i="119"/>
  <c r="R1063" i="119"/>
  <c r="M1063" i="119"/>
  <c r="R1062" i="119"/>
  <c r="M1062" i="119"/>
  <c r="R1061" i="119"/>
  <c r="M1061" i="119"/>
  <c r="R1060" i="119"/>
  <c r="M1060" i="119"/>
  <c r="R1059" i="119"/>
  <c r="M1059" i="119"/>
  <c r="R1058" i="119"/>
  <c r="M1058" i="119"/>
  <c r="R1057" i="119"/>
  <c r="M1057" i="119"/>
  <c r="R1056" i="119"/>
  <c r="M1056" i="119"/>
  <c r="R1055" i="119"/>
  <c r="M1055" i="119"/>
  <c r="R1054" i="119"/>
  <c r="M1054" i="119"/>
  <c r="R1053" i="119"/>
  <c r="M1053" i="119"/>
  <c r="R1052" i="119"/>
  <c r="M1052" i="119"/>
  <c r="R1051" i="119"/>
  <c r="M1051" i="119"/>
  <c r="R1050" i="119"/>
  <c r="M1050" i="119"/>
  <c r="R1049" i="119"/>
  <c r="M1049" i="119"/>
  <c r="R1048" i="119"/>
  <c r="M1048" i="119"/>
  <c r="R1047" i="119"/>
  <c r="M1047" i="119"/>
  <c r="R1046" i="119"/>
  <c r="M1046" i="119"/>
  <c r="R1045" i="119"/>
  <c r="M1045" i="119"/>
  <c r="R1044" i="119"/>
  <c r="M1044" i="119"/>
  <c r="R1043" i="119"/>
  <c r="M1043" i="119"/>
  <c r="R1042" i="119"/>
  <c r="M1042" i="119"/>
  <c r="R1041" i="119"/>
  <c r="M1041" i="119"/>
  <c r="R1040" i="119"/>
  <c r="M1040" i="119"/>
  <c r="R1039" i="119"/>
  <c r="M1039" i="119"/>
  <c r="R1038" i="119"/>
  <c r="M1038" i="119"/>
  <c r="R1037" i="119"/>
  <c r="M1037" i="119"/>
  <c r="R1036" i="119"/>
  <c r="M1036" i="119"/>
  <c r="R1035" i="119"/>
  <c r="M1035" i="119"/>
  <c r="R1034" i="119"/>
  <c r="M1034" i="119"/>
  <c r="R1033" i="119"/>
  <c r="M1033" i="119"/>
  <c r="R1032" i="119"/>
  <c r="M1032" i="119"/>
  <c r="R1031" i="119"/>
  <c r="M1031" i="119"/>
  <c r="R1030" i="119"/>
  <c r="M1030" i="119"/>
  <c r="R1029" i="119"/>
  <c r="M1029" i="119"/>
  <c r="R1028" i="119"/>
  <c r="M1028" i="119"/>
  <c r="R1027" i="119"/>
  <c r="M1027" i="119"/>
  <c r="R1026" i="119"/>
  <c r="M1026" i="119"/>
  <c r="R1025" i="119"/>
  <c r="M1025" i="119"/>
  <c r="R1024" i="119"/>
  <c r="M1024" i="119"/>
  <c r="R1023" i="119"/>
  <c r="M1023" i="119"/>
  <c r="R1022" i="119"/>
  <c r="M1022" i="119"/>
  <c r="R1021" i="119"/>
  <c r="M1021" i="119"/>
  <c r="R1020" i="119"/>
  <c r="M1020" i="119"/>
  <c r="R1019" i="119"/>
  <c r="M1019" i="119"/>
  <c r="R1018" i="119"/>
  <c r="M1018" i="119"/>
  <c r="R1017" i="119"/>
  <c r="M1017" i="119"/>
  <c r="R1016" i="119"/>
  <c r="M1016" i="119"/>
  <c r="R1015" i="119"/>
  <c r="M1015" i="119"/>
  <c r="R1014" i="119"/>
  <c r="M1014" i="119"/>
  <c r="R1013" i="119"/>
  <c r="M1013" i="119"/>
  <c r="R1012" i="119"/>
  <c r="M1012" i="119"/>
  <c r="R1011" i="119"/>
  <c r="M1011" i="119"/>
  <c r="R1010" i="119"/>
  <c r="M1010" i="119"/>
  <c r="R1009" i="119"/>
  <c r="M1009" i="119"/>
  <c r="R1008" i="119"/>
  <c r="M1008" i="119"/>
  <c r="R1007" i="119"/>
  <c r="M1007" i="119"/>
  <c r="R1006" i="119"/>
  <c r="M1006" i="119"/>
  <c r="R1005" i="119"/>
  <c r="M1005" i="119"/>
  <c r="R1004" i="119"/>
  <c r="M1004" i="119"/>
  <c r="R1003" i="119"/>
  <c r="M1003" i="119"/>
  <c r="R1002" i="119"/>
  <c r="M1002" i="119"/>
  <c r="R1001" i="119"/>
  <c r="M1001" i="119"/>
  <c r="R1000" i="119"/>
  <c r="M1000" i="119"/>
  <c r="R999" i="119"/>
  <c r="M999" i="119"/>
  <c r="R998" i="119"/>
  <c r="M998" i="119"/>
  <c r="R997" i="119"/>
  <c r="M997" i="119"/>
  <c r="R996" i="119"/>
  <c r="M996" i="119"/>
  <c r="R995" i="119"/>
  <c r="M995" i="119"/>
  <c r="R994" i="119"/>
  <c r="M994" i="119"/>
  <c r="R993" i="119"/>
  <c r="M993" i="119"/>
  <c r="R992" i="119"/>
  <c r="M992" i="119"/>
  <c r="R991" i="119"/>
  <c r="M991" i="119"/>
  <c r="R990" i="119"/>
  <c r="M990" i="119"/>
  <c r="R989" i="119"/>
  <c r="M989" i="119"/>
  <c r="R988" i="119"/>
  <c r="M988" i="119"/>
  <c r="R987" i="119"/>
  <c r="M987" i="119"/>
  <c r="R986" i="119"/>
  <c r="M986" i="119"/>
  <c r="R985" i="119"/>
  <c r="M985" i="119"/>
  <c r="R984" i="119"/>
  <c r="M984" i="119"/>
  <c r="R983" i="119"/>
  <c r="M983" i="119"/>
  <c r="R982" i="119"/>
  <c r="M982" i="119"/>
  <c r="R981" i="119"/>
  <c r="M981" i="119"/>
  <c r="R980" i="119"/>
  <c r="M980" i="119"/>
  <c r="R979" i="119"/>
  <c r="M979" i="119"/>
  <c r="R978" i="119"/>
  <c r="M978" i="119"/>
  <c r="R977" i="119"/>
  <c r="M977" i="119"/>
  <c r="R976" i="119"/>
  <c r="M976" i="119"/>
  <c r="R975" i="119"/>
  <c r="M975" i="119"/>
  <c r="R974" i="119"/>
  <c r="M974" i="119"/>
  <c r="R973" i="119"/>
  <c r="M973" i="119"/>
  <c r="R972" i="119"/>
  <c r="M972" i="119"/>
  <c r="R971" i="119"/>
  <c r="M971" i="119"/>
  <c r="R970" i="119"/>
  <c r="M970" i="119"/>
  <c r="R969" i="119"/>
  <c r="M969" i="119"/>
  <c r="R968" i="119"/>
  <c r="M968" i="119"/>
  <c r="R967" i="119"/>
  <c r="M967" i="119"/>
  <c r="R966" i="119"/>
  <c r="M966" i="119"/>
  <c r="R965" i="119"/>
  <c r="M965" i="119"/>
  <c r="R964" i="119"/>
  <c r="M964" i="119"/>
  <c r="R963" i="119"/>
  <c r="M963" i="119"/>
  <c r="R962" i="119"/>
  <c r="M962" i="119"/>
  <c r="R961" i="119"/>
  <c r="M961" i="119"/>
  <c r="R960" i="119"/>
  <c r="M960" i="119"/>
  <c r="R959" i="119"/>
  <c r="M959" i="119"/>
  <c r="R958" i="119"/>
  <c r="M958" i="119"/>
  <c r="R957" i="119"/>
  <c r="M957" i="119"/>
  <c r="R956" i="119"/>
  <c r="M956" i="119"/>
  <c r="R955" i="119"/>
  <c r="M955" i="119"/>
  <c r="R954" i="119"/>
  <c r="M954" i="119"/>
  <c r="R953" i="119"/>
  <c r="M953" i="119"/>
  <c r="R952" i="119"/>
  <c r="M952" i="119"/>
  <c r="R951" i="119"/>
  <c r="M951" i="119"/>
  <c r="R950" i="119"/>
  <c r="M950" i="119"/>
  <c r="R949" i="119"/>
  <c r="M949" i="119"/>
  <c r="R948" i="119"/>
  <c r="M948" i="119"/>
  <c r="R947" i="119"/>
  <c r="M947" i="119"/>
  <c r="R946" i="119"/>
  <c r="M946" i="119"/>
  <c r="R945" i="119"/>
  <c r="M945" i="119"/>
  <c r="R944" i="119"/>
  <c r="M944" i="119"/>
  <c r="R943" i="119"/>
  <c r="M943" i="119"/>
  <c r="R942" i="119"/>
  <c r="M942" i="119"/>
  <c r="R941" i="119"/>
  <c r="M941" i="119"/>
  <c r="R940" i="119"/>
  <c r="M940" i="119"/>
  <c r="R939" i="119"/>
  <c r="M939" i="119"/>
  <c r="R938" i="119"/>
  <c r="M938" i="119"/>
  <c r="R937" i="119"/>
  <c r="M937" i="119"/>
  <c r="R936" i="119"/>
  <c r="M936" i="119"/>
  <c r="R935" i="119"/>
  <c r="M935" i="119"/>
  <c r="R934" i="119"/>
  <c r="M934" i="119"/>
  <c r="R933" i="119"/>
  <c r="M933" i="119"/>
  <c r="R932" i="119"/>
  <c r="M932" i="119"/>
  <c r="R931" i="119"/>
  <c r="M931" i="119"/>
  <c r="R930" i="119"/>
  <c r="M930" i="119"/>
  <c r="R929" i="119"/>
  <c r="M929" i="119"/>
  <c r="R928" i="119"/>
  <c r="M928" i="119"/>
  <c r="R927" i="119"/>
  <c r="M927" i="119"/>
  <c r="R926" i="119"/>
  <c r="M926" i="119"/>
  <c r="R925" i="119"/>
  <c r="M925" i="119"/>
  <c r="R924" i="119"/>
  <c r="M924" i="119"/>
  <c r="R923" i="119"/>
  <c r="M923" i="119"/>
  <c r="R922" i="119"/>
  <c r="M922" i="119"/>
  <c r="R921" i="119"/>
  <c r="M921" i="119"/>
  <c r="R920" i="119"/>
  <c r="M920" i="119"/>
  <c r="R919" i="119"/>
  <c r="M919" i="119"/>
  <c r="R918" i="119"/>
  <c r="M918" i="119"/>
  <c r="R917" i="119"/>
  <c r="M917" i="119"/>
  <c r="R916" i="119"/>
  <c r="M916" i="119"/>
  <c r="R915" i="119"/>
  <c r="M915" i="119"/>
  <c r="R914" i="119"/>
  <c r="M914" i="119"/>
  <c r="R913" i="119"/>
  <c r="M913" i="119"/>
  <c r="R912" i="119"/>
  <c r="M912" i="119"/>
  <c r="R911" i="119"/>
  <c r="M911" i="119"/>
  <c r="R910" i="119"/>
  <c r="M910" i="119"/>
  <c r="R909" i="119"/>
  <c r="M909" i="119"/>
  <c r="R908" i="119"/>
  <c r="M908" i="119"/>
  <c r="R907" i="119"/>
  <c r="M907" i="119"/>
  <c r="R906" i="119"/>
  <c r="M906" i="119"/>
  <c r="R905" i="119"/>
  <c r="M905" i="119"/>
  <c r="R904" i="119"/>
  <c r="M904" i="119"/>
  <c r="R903" i="119"/>
  <c r="M903" i="119"/>
  <c r="R902" i="119"/>
  <c r="M902" i="119"/>
  <c r="R901" i="119"/>
  <c r="M901" i="119"/>
  <c r="R900" i="119"/>
  <c r="M900" i="119"/>
  <c r="R899" i="119"/>
  <c r="M899" i="119"/>
  <c r="R898" i="119"/>
  <c r="M898" i="119"/>
  <c r="R897" i="119"/>
  <c r="M897" i="119"/>
  <c r="R896" i="119"/>
  <c r="M896" i="119"/>
  <c r="R895" i="119"/>
  <c r="M895" i="119"/>
  <c r="R894" i="119"/>
  <c r="M894" i="119"/>
  <c r="R893" i="119"/>
  <c r="M893" i="119"/>
  <c r="R892" i="119"/>
  <c r="M892" i="119"/>
  <c r="R891" i="119"/>
  <c r="M891" i="119"/>
  <c r="R890" i="119"/>
  <c r="M890" i="119"/>
  <c r="R889" i="119"/>
  <c r="M889" i="119"/>
  <c r="R888" i="119"/>
  <c r="M888" i="119"/>
  <c r="R887" i="119"/>
  <c r="M887" i="119"/>
  <c r="R886" i="119"/>
  <c r="M886" i="119"/>
  <c r="R885" i="119"/>
  <c r="M885" i="119"/>
  <c r="R884" i="119"/>
  <c r="M884" i="119"/>
  <c r="R883" i="119"/>
  <c r="M883" i="119"/>
  <c r="R882" i="119"/>
  <c r="M882" i="119"/>
  <c r="R881" i="119"/>
  <c r="M881" i="119"/>
  <c r="R880" i="119"/>
  <c r="M880" i="119"/>
  <c r="R879" i="119"/>
  <c r="M879" i="119"/>
  <c r="R878" i="119"/>
  <c r="M878" i="119"/>
  <c r="R877" i="119"/>
  <c r="M877" i="119"/>
  <c r="R876" i="119"/>
  <c r="M876" i="119"/>
  <c r="R875" i="119"/>
  <c r="M875" i="119"/>
  <c r="R874" i="119"/>
  <c r="M874" i="119"/>
  <c r="R873" i="119"/>
  <c r="M873" i="119"/>
  <c r="R872" i="119"/>
  <c r="M872" i="119"/>
  <c r="R871" i="119"/>
  <c r="M871" i="119"/>
  <c r="R870" i="119"/>
  <c r="M870" i="119"/>
  <c r="R869" i="119"/>
  <c r="M869" i="119"/>
  <c r="R868" i="119"/>
  <c r="M868" i="119"/>
  <c r="R867" i="119"/>
  <c r="M867" i="119"/>
  <c r="R866" i="119"/>
  <c r="M866" i="119"/>
  <c r="R865" i="119"/>
  <c r="M865" i="119"/>
  <c r="R864" i="119"/>
  <c r="M864" i="119"/>
  <c r="R863" i="119"/>
  <c r="M863" i="119"/>
  <c r="R862" i="119"/>
  <c r="M862" i="119"/>
  <c r="R861" i="119"/>
  <c r="M861" i="119"/>
  <c r="R860" i="119"/>
  <c r="M860" i="119"/>
  <c r="R859" i="119"/>
  <c r="M859" i="119"/>
  <c r="R858" i="119"/>
  <c r="M858" i="119"/>
  <c r="R857" i="119"/>
  <c r="M857" i="119"/>
  <c r="R856" i="119"/>
  <c r="M856" i="119"/>
  <c r="R855" i="119"/>
  <c r="M855" i="119"/>
  <c r="R854" i="119"/>
  <c r="M854" i="119"/>
  <c r="R853" i="119"/>
  <c r="M853" i="119"/>
  <c r="R852" i="119"/>
  <c r="M852" i="119"/>
  <c r="R851" i="119"/>
  <c r="M851" i="119"/>
  <c r="R850" i="119"/>
  <c r="M850" i="119"/>
  <c r="R849" i="119"/>
  <c r="M849" i="119"/>
  <c r="R848" i="119"/>
  <c r="M848" i="119"/>
  <c r="R847" i="119"/>
  <c r="M847" i="119"/>
  <c r="R846" i="119"/>
  <c r="M846" i="119"/>
  <c r="R845" i="119"/>
  <c r="M845" i="119"/>
  <c r="R844" i="119"/>
  <c r="M844" i="119"/>
  <c r="R843" i="119"/>
  <c r="M843" i="119"/>
  <c r="R842" i="119"/>
  <c r="M842" i="119"/>
  <c r="R841" i="119"/>
  <c r="M841" i="119"/>
  <c r="R840" i="119"/>
  <c r="M840" i="119"/>
  <c r="R839" i="119"/>
  <c r="M839" i="119"/>
  <c r="R838" i="119"/>
  <c r="M838" i="119"/>
  <c r="R837" i="119"/>
  <c r="M837" i="119"/>
  <c r="R836" i="119"/>
  <c r="M836" i="119"/>
  <c r="R835" i="119"/>
  <c r="M835" i="119"/>
  <c r="R834" i="119"/>
  <c r="M834" i="119"/>
  <c r="R833" i="119"/>
  <c r="M833" i="119"/>
  <c r="R832" i="119"/>
  <c r="M832" i="119"/>
  <c r="R831" i="119"/>
  <c r="M831" i="119"/>
  <c r="R830" i="119"/>
  <c r="M830" i="119"/>
  <c r="R829" i="119"/>
  <c r="M829" i="119"/>
  <c r="R828" i="119"/>
  <c r="M828" i="119"/>
  <c r="R827" i="119"/>
  <c r="M827" i="119"/>
  <c r="R826" i="119"/>
  <c r="M826" i="119"/>
  <c r="R825" i="119"/>
  <c r="M825" i="119"/>
  <c r="R824" i="119"/>
  <c r="M824" i="119"/>
  <c r="R823" i="119"/>
  <c r="M823" i="119"/>
  <c r="R822" i="119"/>
  <c r="M822" i="119"/>
  <c r="R821" i="119"/>
  <c r="M821" i="119"/>
  <c r="R820" i="119"/>
  <c r="M820" i="119"/>
  <c r="R819" i="119"/>
  <c r="M819" i="119"/>
  <c r="R818" i="119"/>
  <c r="M818" i="119"/>
  <c r="R817" i="119"/>
  <c r="M817" i="119"/>
  <c r="R816" i="119"/>
  <c r="M816" i="119"/>
  <c r="R815" i="119"/>
  <c r="M815" i="119"/>
  <c r="R814" i="119"/>
  <c r="M814" i="119"/>
  <c r="R813" i="119"/>
  <c r="M813" i="119"/>
  <c r="R812" i="119"/>
  <c r="M812" i="119"/>
  <c r="R811" i="119"/>
  <c r="M811" i="119"/>
  <c r="R810" i="119"/>
  <c r="M810" i="119"/>
  <c r="R809" i="119"/>
  <c r="M809" i="119"/>
  <c r="R808" i="119"/>
  <c r="M808" i="119"/>
  <c r="R807" i="119"/>
  <c r="M807" i="119"/>
  <c r="R806" i="119"/>
  <c r="M806" i="119"/>
  <c r="R805" i="119"/>
  <c r="M805" i="119"/>
  <c r="R804" i="119"/>
  <c r="M804" i="119"/>
  <c r="R803" i="119"/>
  <c r="M803" i="119"/>
  <c r="R802" i="119"/>
  <c r="M802" i="119"/>
  <c r="R801" i="119"/>
  <c r="M801" i="119"/>
  <c r="R800" i="119"/>
  <c r="M800" i="119"/>
  <c r="R799" i="119"/>
  <c r="M799" i="119"/>
  <c r="R798" i="119"/>
  <c r="M798" i="119"/>
  <c r="R797" i="119"/>
  <c r="M797" i="119"/>
  <c r="R796" i="119"/>
  <c r="M796" i="119"/>
  <c r="R795" i="119"/>
  <c r="M795" i="119"/>
  <c r="R794" i="119"/>
  <c r="M794" i="119"/>
  <c r="R793" i="119"/>
  <c r="M793" i="119"/>
  <c r="R792" i="119"/>
  <c r="M792" i="119"/>
  <c r="R791" i="119"/>
  <c r="M791" i="119"/>
  <c r="R790" i="119"/>
  <c r="M790" i="119"/>
  <c r="R789" i="119"/>
  <c r="M789" i="119"/>
  <c r="R788" i="119"/>
  <c r="M788" i="119"/>
  <c r="R787" i="119"/>
  <c r="M787" i="119"/>
  <c r="R786" i="119"/>
  <c r="M786" i="119"/>
  <c r="R785" i="119"/>
  <c r="M785" i="119"/>
  <c r="R784" i="119"/>
  <c r="M784" i="119"/>
  <c r="R783" i="119"/>
  <c r="M783" i="119"/>
  <c r="R782" i="119"/>
  <c r="M782" i="119"/>
  <c r="R781" i="119"/>
  <c r="M781" i="119"/>
  <c r="R780" i="119"/>
  <c r="M780" i="119"/>
  <c r="R779" i="119"/>
  <c r="M779" i="119"/>
  <c r="R778" i="119"/>
  <c r="M778" i="119"/>
  <c r="R777" i="119"/>
  <c r="M777" i="119"/>
  <c r="R776" i="119"/>
  <c r="M776" i="119"/>
  <c r="R775" i="119"/>
  <c r="M775" i="119"/>
  <c r="R774" i="119"/>
  <c r="M774" i="119"/>
  <c r="R773" i="119"/>
  <c r="M773" i="119"/>
  <c r="R772" i="119"/>
  <c r="M772" i="119"/>
  <c r="R771" i="119"/>
  <c r="M771" i="119"/>
  <c r="R770" i="119"/>
  <c r="M770" i="119"/>
  <c r="R769" i="119"/>
  <c r="M769" i="119"/>
  <c r="R768" i="119"/>
  <c r="M768" i="119"/>
  <c r="R767" i="119"/>
  <c r="M767" i="119"/>
  <c r="R766" i="119"/>
  <c r="M766" i="119"/>
  <c r="R765" i="119"/>
  <c r="M765" i="119"/>
  <c r="R764" i="119"/>
  <c r="M764" i="119"/>
  <c r="R763" i="119"/>
  <c r="M763" i="119"/>
  <c r="R762" i="119"/>
  <c r="M762" i="119"/>
  <c r="R761" i="119"/>
  <c r="M761" i="119"/>
  <c r="R760" i="119"/>
  <c r="M760" i="119"/>
  <c r="R759" i="119"/>
  <c r="M759" i="119"/>
  <c r="R758" i="119"/>
  <c r="M758" i="119"/>
  <c r="R757" i="119"/>
  <c r="M757" i="119"/>
  <c r="R756" i="119"/>
  <c r="M756" i="119"/>
  <c r="R755" i="119"/>
  <c r="M755" i="119"/>
  <c r="R754" i="119"/>
  <c r="M754" i="119"/>
  <c r="R753" i="119"/>
  <c r="M753" i="119"/>
  <c r="R752" i="119"/>
  <c r="M752" i="119"/>
  <c r="R751" i="119"/>
  <c r="M751" i="119"/>
  <c r="R750" i="119"/>
  <c r="M750" i="119"/>
  <c r="R749" i="119"/>
  <c r="M749" i="119"/>
  <c r="R748" i="119"/>
  <c r="M748" i="119"/>
  <c r="R747" i="119"/>
  <c r="M747" i="119"/>
  <c r="R746" i="119"/>
  <c r="M746" i="119"/>
  <c r="R745" i="119"/>
  <c r="M745" i="119"/>
  <c r="R744" i="119"/>
  <c r="M744" i="119"/>
  <c r="R743" i="119"/>
  <c r="M743" i="119"/>
  <c r="R742" i="119"/>
  <c r="M742" i="119"/>
  <c r="R741" i="119"/>
  <c r="M741" i="119"/>
  <c r="R740" i="119"/>
  <c r="M740" i="119"/>
  <c r="R739" i="119"/>
  <c r="M739" i="119"/>
  <c r="R738" i="119"/>
  <c r="M738" i="119"/>
  <c r="R737" i="119"/>
  <c r="M737" i="119"/>
  <c r="R736" i="119"/>
  <c r="M736" i="119"/>
  <c r="R735" i="119"/>
  <c r="M735" i="119"/>
  <c r="R734" i="119"/>
  <c r="M734" i="119"/>
  <c r="R733" i="119"/>
  <c r="M733" i="119"/>
  <c r="R732" i="119"/>
  <c r="M732" i="119"/>
  <c r="R731" i="119"/>
  <c r="M731" i="119"/>
  <c r="R730" i="119"/>
  <c r="M730" i="119"/>
  <c r="R729" i="119"/>
  <c r="M729" i="119"/>
  <c r="R728" i="119"/>
  <c r="M728" i="119"/>
  <c r="R727" i="119"/>
  <c r="M727" i="119"/>
  <c r="R726" i="119"/>
  <c r="M726" i="119"/>
  <c r="R725" i="119"/>
  <c r="M725" i="119"/>
  <c r="R724" i="119"/>
  <c r="M724" i="119"/>
  <c r="R723" i="119"/>
  <c r="M723" i="119"/>
  <c r="R722" i="119"/>
  <c r="M722" i="119"/>
  <c r="R721" i="119"/>
  <c r="M721" i="119"/>
  <c r="R720" i="119"/>
  <c r="M720" i="119"/>
  <c r="R719" i="119"/>
  <c r="M719" i="119"/>
  <c r="R718" i="119"/>
  <c r="M718" i="119"/>
  <c r="R717" i="119"/>
  <c r="M717" i="119"/>
  <c r="R716" i="119"/>
  <c r="M716" i="119"/>
  <c r="R715" i="119"/>
  <c r="M715" i="119"/>
  <c r="R714" i="119"/>
  <c r="M714" i="119"/>
  <c r="R713" i="119"/>
  <c r="M713" i="119"/>
  <c r="R712" i="119"/>
  <c r="M712" i="119"/>
  <c r="R711" i="119"/>
  <c r="M711" i="119"/>
  <c r="R710" i="119"/>
  <c r="M710" i="119"/>
  <c r="R709" i="119"/>
  <c r="M709" i="119"/>
  <c r="R708" i="119"/>
  <c r="M708" i="119"/>
  <c r="R707" i="119"/>
  <c r="M707" i="119"/>
  <c r="R706" i="119"/>
  <c r="M706" i="119"/>
  <c r="R705" i="119"/>
  <c r="M705" i="119"/>
  <c r="R704" i="119"/>
  <c r="M704" i="119"/>
  <c r="R703" i="119"/>
  <c r="M703" i="119"/>
  <c r="R702" i="119"/>
  <c r="M702" i="119"/>
  <c r="R701" i="119"/>
  <c r="M701" i="119"/>
  <c r="R700" i="119"/>
  <c r="M700" i="119"/>
  <c r="R699" i="119"/>
  <c r="M699" i="119"/>
  <c r="R698" i="119"/>
  <c r="M698" i="119"/>
  <c r="R697" i="119"/>
  <c r="M697" i="119"/>
  <c r="R696" i="119"/>
  <c r="M696" i="119"/>
  <c r="R695" i="119"/>
  <c r="M695" i="119"/>
  <c r="R694" i="119"/>
  <c r="M694" i="119"/>
  <c r="R693" i="119"/>
  <c r="M693" i="119"/>
  <c r="R692" i="119"/>
  <c r="M692" i="119"/>
  <c r="R691" i="119"/>
  <c r="M691" i="119"/>
  <c r="R690" i="119"/>
  <c r="M690" i="119"/>
  <c r="R689" i="119"/>
  <c r="M689" i="119"/>
  <c r="R688" i="119"/>
  <c r="M688" i="119"/>
  <c r="R687" i="119"/>
  <c r="M687" i="119"/>
  <c r="R686" i="119"/>
  <c r="M686" i="119"/>
  <c r="R685" i="119"/>
  <c r="M685" i="119"/>
  <c r="R684" i="119"/>
  <c r="M684" i="119"/>
  <c r="R683" i="119"/>
  <c r="M683" i="119"/>
  <c r="R682" i="119"/>
  <c r="M682" i="119"/>
  <c r="R681" i="119"/>
  <c r="M681" i="119"/>
  <c r="R680" i="119"/>
  <c r="M680" i="119"/>
  <c r="R679" i="119"/>
  <c r="M679" i="119"/>
  <c r="R678" i="119"/>
  <c r="M678" i="119"/>
  <c r="R677" i="119"/>
  <c r="M677" i="119"/>
  <c r="R676" i="119"/>
  <c r="M676" i="119"/>
  <c r="R675" i="119"/>
  <c r="M675" i="119"/>
  <c r="R674" i="119"/>
  <c r="M674" i="119"/>
  <c r="R673" i="119"/>
  <c r="M673" i="119"/>
  <c r="R672" i="119"/>
  <c r="M672" i="119"/>
  <c r="R671" i="119"/>
  <c r="M671" i="119"/>
  <c r="R670" i="119"/>
  <c r="M670" i="119"/>
  <c r="R669" i="119"/>
  <c r="M669" i="119"/>
  <c r="R668" i="119"/>
  <c r="M668" i="119"/>
  <c r="R667" i="119"/>
  <c r="M667" i="119"/>
  <c r="R666" i="119"/>
  <c r="M666" i="119"/>
  <c r="R665" i="119"/>
  <c r="M665" i="119"/>
  <c r="R664" i="119"/>
  <c r="M664" i="119"/>
  <c r="R662" i="119"/>
  <c r="M662" i="119"/>
  <c r="R661" i="119"/>
  <c r="M661" i="119"/>
  <c r="R660" i="119"/>
  <c r="M660" i="119"/>
  <c r="R659" i="119"/>
  <c r="M659" i="119"/>
  <c r="R658" i="119"/>
  <c r="M658" i="119"/>
  <c r="R657" i="119"/>
  <c r="M657" i="119"/>
  <c r="R656" i="119"/>
  <c r="M656" i="119"/>
  <c r="R655" i="119"/>
  <c r="M655" i="119"/>
  <c r="R654" i="119"/>
  <c r="M654" i="119"/>
  <c r="R653" i="119"/>
  <c r="M653" i="119"/>
  <c r="R652" i="119"/>
  <c r="M652" i="119"/>
  <c r="R651" i="119"/>
  <c r="M651" i="119"/>
  <c r="R650" i="119"/>
  <c r="M650" i="119"/>
  <c r="R649" i="119"/>
  <c r="M649" i="119"/>
  <c r="R648" i="119"/>
  <c r="M648" i="119"/>
  <c r="R647" i="119"/>
  <c r="M647" i="119"/>
  <c r="R646" i="119"/>
  <c r="M646" i="119"/>
  <c r="R645" i="119"/>
  <c r="M645" i="119"/>
  <c r="R644" i="119"/>
  <c r="M644" i="119"/>
  <c r="R643" i="119"/>
  <c r="M643" i="119"/>
  <c r="R642" i="119"/>
  <c r="M642" i="119"/>
  <c r="R641" i="119"/>
  <c r="M641" i="119"/>
  <c r="R640" i="119"/>
  <c r="M640" i="119"/>
  <c r="R639" i="119"/>
  <c r="M639" i="119"/>
  <c r="R638" i="119"/>
  <c r="M638" i="119"/>
  <c r="R637" i="119"/>
  <c r="M637" i="119"/>
  <c r="R636" i="119"/>
  <c r="M636" i="119"/>
  <c r="R635" i="119"/>
  <c r="M635" i="119"/>
  <c r="R634" i="119"/>
  <c r="M634" i="119"/>
  <c r="R633" i="119"/>
  <c r="M633" i="119"/>
  <c r="R632" i="119"/>
  <c r="M632" i="119"/>
  <c r="R631" i="119"/>
  <c r="M631" i="119"/>
  <c r="R630" i="119"/>
  <c r="M630" i="119"/>
  <c r="R629" i="119"/>
  <c r="M629" i="119"/>
  <c r="R628" i="119"/>
  <c r="M628" i="119"/>
  <c r="R627" i="119"/>
  <c r="M627" i="119"/>
  <c r="R626" i="119"/>
  <c r="M626" i="119"/>
  <c r="R625" i="119"/>
  <c r="M625" i="119"/>
  <c r="R624" i="119"/>
  <c r="M624" i="119"/>
  <c r="R623" i="119"/>
  <c r="M623" i="119"/>
  <c r="R622" i="119"/>
  <c r="M622" i="119"/>
  <c r="R621" i="119"/>
  <c r="M621" i="119"/>
  <c r="R620" i="119"/>
  <c r="M620" i="119"/>
  <c r="R619" i="119"/>
  <c r="M619" i="119"/>
  <c r="R618" i="119"/>
  <c r="M618" i="119"/>
  <c r="R617" i="119"/>
  <c r="M617" i="119"/>
  <c r="R616" i="119"/>
  <c r="M616" i="119"/>
  <c r="R615" i="119"/>
  <c r="M615" i="119"/>
  <c r="R614" i="119"/>
  <c r="M614" i="119"/>
  <c r="R613" i="119"/>
  <c r="M613" i="119"/>
  <c r="R612" i="119"/>
  <c r="M612" i="119"/>
  <c r="R611" i="119"/>
  <c r="M611" i="119"/>
  <c r="R610" i="119"/>
  <c r="M610" i="119"/>
  <c r="R609" i="119"/>
  <c r="M609" i="119"/>
  <c r="R608" i="119"/>
  <c r="M608" i="119"/>
  <c r="R607" i="119"/>
  <c r="M607" i="119"/>
  <c r="R606" i="119"/>
  <c r="M606" i="119"/>
  <c r="R605" i="119"/>
  <c r="M605" i="119"/>
  <c r="R604" i="119"/>
  <c r="M604" i="119"/>
  <c r="R603" i="119"/>
  <c r="M603" i="119"/>
  <c r="R602" i="119"/>
  <c r="M602" i="119"/>
  <c r="R601" i="119"/>
  <c r="M601" i="119"/>
  <c r="R600" i="119"/>
  <c r="M600" i="119"/>
  <c r="R599" i="119"/>
  <c r="M599" i="119"/>
  <c r="R598" i="119"/>
  <c r="M598" i="119"/>
  <c r="R597" i="119"/>
  <c r="M597" i="119"/>
  <c r="R596" i="119"/>
  <c r="M596" i="119"/>
  <c r="R595" i="119"/>
  <c r="M595" i="119"/>
  <c r="R594" i="119"/>
  <c r="M594" i="119"/>
  <c r="R593" i="119"/>
  <c r="M593" i="119"/>
  <c r="R592" i="119"/>
  <c r="M592" i="119"/>
  <c r="R591" i="119"/>
  <c r="M591" i="119"/>
  <c r="R590" i="119"/>
  <c r="M590" i="119"/>
  <c r="R589" i="119"/>
  <c r="M589" i="119"/>
  <c r="R588" i="119"/>
  <c r="M588" i="119"/>
  <c r="R587" i="119"/>
  <c r="M587" i="119"/>
  <c r="R586" i="119"/>
  <c r="M586" i="119"/>
  <c r="R585" i="119"/>
  <c r="M585" i="119"/>
  <c r="R584" i="119"/>
  <c r="M584" i="119"/>
  <c r="R583" i="119"/>
  <c r="M583" i="119"/>
  <c r="R582" i="119"/>
  <c r="M582" i="119"/>
  <c r="R581" i="119"/>
  <c r="M581" i="119"/>
  <c r="R580" i="119"/>
  <c r="M580" i="119"/>
  <c r="R579" i="119"/>
  <c r="M579" i="119"/>
  <c r="R578" i="119"/>
  <c r="M578" i="119"/>
  <c r="R577" i="119"/>
  <c r="M577" i="119"/>
  <c r="R576" i="119"/>
  <c r="M576" i="119"/>
  <c r="R575" i="119"/>
  <c r="M575" i="119"/>
  <c r="R574" i="119"/>
  <c r="M574" i="119"/>
  <c r="R573" i="119"/>
  <c r="M573" i="119"/>
  <c r="R572" i="119"/>
  <c r="M572" i="119"/>
  <c r="R571" i="119"/>
  <c r="M571" i="119"/>
  <c r="R570" i="119"/>
  <c r="M570" i="119"/>
  <c r="R569" i="119"/>
  <c r="M569" i="119"/>
  <c r="R568" i="119"/>
  <c r="M568" i="119"/>
  <c r="R567" i="119"/>
  <c r="M567" i="119"/>
  <c r="R566" i="119"/>
  <c r="M566" i="119"/>
  <c r="R565" i="119"/>
  <c r="M565" i="119"/>
  <c r="R564" i="119"/>
  <c r="M564" i="119"/>
  <c r="R563" i="119"/>
  <c r="M563" i="119"/>
  <c r="R562" i="119"/>
  <c r="M562" i="119"/>
  <c r="R561" i="119"/>
  <c r="M561" i="119"/>
  <c r="R560" i="119"/>
  <c r="M560" i="119"/>
  <c r="R559" i="119"/>
  <c r="M559" i="119"/>
  <c r="R558" i="119"/>
  <c r="M558" i="119"/>
  <c r="R557" i="119"/>
  <c r="M557" i="119"/>
  <c r="R556" i="119"/>
  <c r="M556" i="119"/>
  <c r="R555" i="119"/>
  <c r="M555" i="119"/>
  <c r="R554" i="119"/>
  <c r="M554" i="119"/>
  <c r="R553" i="119"/>
  <c r="M553" i="119"/>
  <c r="R552" i="119"/>
  <c r="M552" i="119"/>
  <c r="R551" i="119"/>
  <c r="M551" i="119"/>
  <c r="R550" i="119"/>
  <c r="M550" i="119"/>
  <c r="R549" i="119"/>
  <c r="M549" i="119"/>
  <c r="R548" i="119"/>
  <c r="M548" i="119"/>
  <c r="R547" i="119"/>
  <c r="M547" i="119"/>
  <c r="R546" i="119"/>
  <c r="M546" i="119"/>
  <c r="R545" i="119"/>
  <c r="M545" i="119"/>
  <c r="R544" i="119"/>
  <c r="M544" i="119"/>
  <c r="R543" i="119"/>
  <c r="M543" i="119"/>
  <c r="R542" i="119"/>
  <c r="M542" i="119"/>
  <c r="R541" i="119"/>
  <c r="M541" i="119"/>
  <c r="R540" i="119"/>
  <c r="M540" i="119"/>
  <c r="R539" i="119"/>
  <c r="M539" i="119"/>
  <c r="R538" i="119"/>
  <c r="M538" i="119"/>
  <c r="R537" i="119"/>
  <c r="M537" i="119"/>
  <c r="R536" i="119"/>
  <c r="M536" i="119"/>
  <c r="R535" i="119"/>
  <c r="M535" i="119"/>
  <c r="R534" i="119"/>
  <c r="M534" i="119"/>
  <c r="R533" i="119"/>
  <c r="M533" i="119"/>
  <c r="R532" i="119"/>
  <c r="M532" i="119"/>
  <c r="R531" i="119"/>
  <c r="M531" i="119"/>
  <c r="R530" i="119"/>
  <c r="M530" i="119"/>
  <c r="R529" i="119"/>
  <c r="M529" i="119"/>
  <c r="R528" i="119"/>
  <c r="M528" i="119"/>
  <c r="R527" i="119"/>
  <c r="M527" i="119"/>
  <c r="R526" i="119"/>
  <c r="M526" i="119"/>
  <c r="R525" i="119"/>
  <c r="M525" i="119"/>
  <c r="R524" i="119"/>
  <c r="M524" i="119"/>
  <c r="R523" i="119"/>
  <c r="M523" i="119"/>
  <c r="R522" i="119"/>
  <c r="M522" i="119"/>
  <c r="R521" i="119"/>
  <c r="M521" i="119"/>
  <c r="R520" i="119"/>
  <c r="M520" i="119"/>
  <c r="R519" i="119"/>
  <c r="M519" i="119"/>
  <c r="R518" i="119"/>
  <c r="M518" i="119"/>
  <c r="R517" i="119"/>
  <c r="M517" i="119"/>
  <c r="R516" i="119"/>
  <c r="M516" i="119"/>
  <c r="R515" i="119"/>
  <c r="M515" i="119"/>
  <c r="R514" i="119"/>
  <c r="M514" i="119"/>
  <c r="R513" i="119"/>
  <c r="M513" i="119"/>
  <c r="R512" i="119"/>
  <c r="M512" i="119"/>
  <c r="R511" i="119"/>
  <c r="M511" i="119"/>
  <c r="R510" i="119"/>
  <c r="M510" i="119"/>
  <c r="R509" i="119"/>
  <c r="M509" i="119"/>
  <c r="R508" i="119"/>
  <c r="M508" i="119"/>
  <c r="R507" i="119"/>
  <c r="M507" i="119"/>
  <c r="R506" i="119"/>
  <c r="M506" i="119"/>
  <c r="R505" i="119"/>
  <c r="M505" i="119"/>
  <c r="R504" i="119"/>
  <c r="M504" i="119"/>
  <c r="R503" i="119"/>
  <c r="M503" i="119"/>
  <c r="R502" i="119"/>
  <c r="M502" i="119"/>
  <c r="R501" i="119"/>
  <c r="M501" i="119"/>
  <c r="R500" i="119"/>
  <c r="M500" i="119"/>
  <c r="R499" i="119"/>
  <c r="M499" i="119"/>
  <c r="R498" i="119"/>
  <c r="M498" i="119"/>
  <c r="R497" i="119"/>
  <c r="M497" i="119"/>
  <c r="R496" i="119"/>
  <c r="M496" i="119"/>
  <c r="R495" i="119"/>
  <c r="M495" i="119"/>
  <c r="R494" i="119"/>
  <c r="M494" i="119"/>
  <c r="R493" i="119"/>
  <c r="M493" i="119"/>
  <c r="R492" i="119"/>
  <c r="M492" i="119"/>
  <c r="R491" i="119"/>
  <c r="M491" i="119"/>
  <c r="R490" i="119"/>
  <c r="M490" i="119"/>
  <c r="R489" i="119"/>
  <c r="M489" i="119"/>
  <c r="R488" i="119"/>
  <c r="M488" i="119"/>
  <c r="R487" i="119"/>
  <c r="M487" i="119"/>
  <c r="R486" i="119"/>
  <c r="M486" i="119"/>
  <c r="R485" i="119"/>
  <c r="M485" i="119"/>
  <c r="R484" i="119"/>
  <c r="M484" i="119"/>
  <c r="R483" i="119"/>
  <c r="M483" i="119"/>
  <c r="R482" i="119"/>
  <c r="M482" i="119"/>
  <c r="R481" i="119"/>
  <c r="M481" i="119"/>
  <c r="R480" i="119"/>
  <c r="M480" i="119"/>
  <c r="R479" i="119"/>
  <c r="M479" i="119"/>
  <c r="R478" i="119"/>
  <c r="M478" i="119"/>
  <c r="R477" i="119"/>
  <c r="M477" i="119"/>
  <c r="R476" i="119"/>
  <c r="M476" i="119"/>
  <c r="R475" i="119"/>
  <c r="M475" i="119"/>
  <c r="R474" i="119"/>
  <c r="M474" i="119"/>
  <c r="R473" i="119"/>
  <c r="M473" i="119"/>
  <c r="R472" i="119"/>
  <c r="M472" i="119"/>
  <c r="R471" i="119"/>
  <c r="M471" i="119"/>
  <c r="R470" i="119"/>
  <c r="M470" i="119"/>
  <c r="R469" i="119"/>
  <c r="M469" i="119"/>
  <c r="R468" i="119"/>
  <c r="M468" i="119"/>
  <c r="R467" i="119"/>
  <c r="M467" i="119"/>
  <c r="R466" i="119"/>
  <c r="M466" i="119"/>
  <c r="R465" i="119"/>
  <c r="M465" i="119"/>
  <c r="R464" i="119"/>
  <c r="M464" i="119"/>
  <c r="R463" i="119"/>
  <c r="M463" i="119"/>
  <c r="R462" i="119"/>
  <c r="M462" i="119"/>
  <c r="R461" i="119"/>
  <c r="M461" i="119"/>
  <c r="R460" i="119"/>
  <c r="M460" i="119"/>
  <c r="R459" i="119"/>
  <c r="M459" i="119"/>
  <c r="R458" i="119"/>
  <c r="M458" i="119"/>
  <c r="R457" i="119"/>
  <c r="M457" i="119"/>
  <c r="R456" i="119"/>
  <c r="M456" i="119"/>
  <c r="R455" i="119"/>
  <c r="M455" i="119"/>
  <c r="R454" i="119"/>
  <c r="M454" i="119"/>
  <c r="R453" i="119"/>
  <c r="M453" i="119"/>
  <c r="R452" i="119"/>
  <c r="M452" i="119"/>
  <c r="R451" i="119"/>
  <c r="M451" i="119"/>
  <c r="R450" i="119"/>
  <c r="M450" i="119"/>
  <c r="R449" i="119"/>
  <c r="M449" i="119"/>
  <c r="R448" i="119"/>
  <c r="M448" i="119"/>
  <c r="R447" i="119"/>
  <c r="M447" i="119"/>
  <c r="R446" i="119"/>
  <c r="M446" i="119"/>
  <c r="R445" i="119"/>
  <c r="M445" i="119"/>
  <c r="R444" i="119"/>
  <c r="M444" i="119"/>
  <c r="R443" i="119"/>
  <c r="M443" i="119"/>
  <c r="R442" i="119"/>
  <c r="M442" i="119"/>
  <c r="R441" i="119"/>
  <c r="M441" i="119"/>
  <c r="R440" i="119"/>
  <c r="M440" i="119"/>
  <c r="R439" i="119"/>
  <c r="M439" i="119"/>
  <c r="R438" i="119"/>
  <c r="M438" i="119"/>
  <c r="R437" i="119"/>
  <c r="M437" i="119"/>
  <c r="R436" i="119"/>
  <c r="M436" i="119"/>
  <c r="R435" i="119"/>
  <c r="M435" i="119"/>
  <c r="R434" i="119"/>
  <c r="M434" i="119"/>
  <c r="R433" i="119"/>
  <c r="M433" i="119"/>
  <c r="R432" i="119"/>
  <c r="M432" i="119"/>
  <c r="R431" i="119"/>
  <c r="M431" i="119"/>
  <c r="R430" i="119"/>
  <c r="M430" i="119"/>
  <c r="R429" i="119"/>
  <c r="M429" i="119"/>
  <c r="R428" i="119"/>
  <c r="M428" i="119"/>
  <c r="R427" i="119"/>
  <c r="M427" i="119"/>
  <c r="R426" i="119"/>
  <c r="M426" i="119"/>
  <c r="R425" i="119"/>
  <c r="M425" i="119"/>
  <c r="R424" i="119"/>
  <c r="M424" i="119"/>
  <c r="R423" i="119"/>
  <c r="M423" i="119"/>
  <c r="R422" i="119"/>
  <c r="M422" i="119"/>
  <c r="R421" i="119"/>
  <c r="M421" i="119"/>
  <c r="R420" i="119"/>
  <c r="M420" i="119"/>
  <c r="R419" i="119"/>
  <c r="M419" i="119"/>
  <c r="R418" i="119"/>
  <c r="M418" i="119"/>
  <c r="R417" i="119"/>
  <c r="M417" i="119"/>
  <c r="R416" i="119"/>
  <c r="M416" i="119"/>
  <c r="R415" i="119"/>
  <c r="M415" i="119"/>
  <c r="R414" i="119"/>
  <c r="M414" i="119"/>
  <c r="R413" i="119"/>
  <c r="M413" i="119"/>
  <c r="R412" i="119"/>
  <c r="M412" i="119"/>
  <c r="R411" i="119"/>
  <c r="M411" i="119"/>
  <c r="R410" i="119"/>
  <c r="M410" i="119"/>
  <c r="R409" i="119"/>
  <c r="M409" i="119"/>
  <c r="R408" i="119"/>
  <c r="M408" i="119"/>
  <c r="R407" i="119"/>
  <c r="M407" i="119"/>
  <c r="R406" i="119"/>
  <c r="M406" i="119"/>
  <c r="R405" i="119"/>
  <c r="M405" i="119"/>
  <c r="R404" i="119"/>
  <c r="M404" i="119"/>
  <c r="R403" i="119"/>
  <c r="M403" i="119"/>
  <c r="R402" i="119"/>
  <c r="M402" i="119"/>
  <c r="R401" i="119"/>
  <c r="M401" i="119"/>
  <c r="R400" i="119"/>
  <c r="M400" i="119"/>
  <c r="R399" i="119"/>
  <c r="M399" i="119"/>
  <c r="R398" i="119"/>
  <c r="M398" i="119"/>
  <c r="R397" i="119"/>
  <c r="M397" i="119"/>
  <c r="R396" i="119"/>
  <c r="M396" i="119"/>
  <c r="R395" i="119"/>
  <c r="M395" i="119"/>
  <c r="R394" i="119"/>
  <c r="M394" i="119"/>
  <c r="R393" i="119"/>
  <c r="M393" i="119"/>
  <c r="R392" i="119"/>
  <c r="M392" i="119"/>
  <c r="R391" i="119"/>
  <c r="M391" i="119"/>
  <c r="R390" i="119"/>
  <c r="M390" i="119"/>
  <c r="R389" i="119"/>
  <c r="M389" i="119"/>
  <c r="R388" i="119"/>
  <c r="M388" i="119"/>
  <c r="R387" i="119"/>
  <c r="M387" i="119"/>
  <c r="R386" i="119"/>
  <c r="M386" i="119"/>
  <c r="R385" i="119"/>
  <c r="M385" i="119"/>
  <c r="R384" i="119"/>
  <c r="M384" i="119"/>
  <c r="R383" i="119"/>
  <c r="M383" i="119"/>
  <c r="R382" i="119"/>
  <c r="M382" i="119"/>
  <c r="R381" i="119"/>
  <c r="M381" i="119"/>
  <c r="R380" i="119"/>
  <c r="M380" i="119"/>
  <c r="R379" i="119"/>
  <c r="M379" i="119"/>
  <c r="R378" i="119"/>
  <c r="M378" i="119"/>
  <c r="R377" i="119"/>
  <c r="M377" i="119"/>
  <c r="R376" i="119"/>
  <c r="M376" i="119"/>
  <c r="R375" i="119"/>
  <c r="M375" i="119"/>
  <c r="R374" i="119"/>
  <c r="M374" i="119"/>
  <c r="R373" i="119"/>
  <c r="M373" i="119"/>
  <c r="R372" i="119"/>
  <c r="M372" i="119"/>
  <c r="R371" i="119"/>
  <c r="M371" i="119"/>
  <c r="R370" i="119"/>
  <c r="M370" i="119"/>
  <c r="R369" i="119"/>
  <c r="M369" i="119"/>
  <c r="R368" i="119"/>
  <c r="M368" i="119"/>
  <c r="R367" i="119"/>
  <c r="M367" i="119"/>
  <c r="R366" i="119"/>
  <c r="M366" i="119"/>
  <c r="R365" i="119"/>
  <c r="M365" i="119"/>
  <c r="R364" i="119"/>
  <c r="M364" i="119"/>
  <c r="R363" i="119"/>
  <c r="M363" i="119"/>
  <c r="R362" i="119"/>
  <c r="M362" i="119"/>
  <c r="R361" i="119"/>
  <c r="M361" i="119"/>
  <c r="R360" i="119"/>
  <c r="M360" i="119"/>
  <c r="R359" i="119"/>
  <c r="M359" i="119"/>
  <c r="R358" i="119"/>
  <c r="M358" i="119"/>
  <c r="R357" i="119"/>
  <c r="M357" i="119"/>
  <c r="R356" i="119"/>
  <c r="M356" i="119"/>
  <c r="R355" i="119"/>
  <c r="M355" i="119"/>
  <c r="R354" i="119"/>
  <c r="M354" i="119"/>
  <c r="R353" i="119"/>
  <c r="M353" i="119"/>
  <c r="R352" i="119"/>
  <c r="M352" i="119"/>
  <c r="R351" i="119"/>
  <c r="M351" i="119"/>
  <c r="R350" i="119"/>
  <c r="M350" i="119"/>
  <c r="R349" i="119"/>
  <c r="M349" i="119"/>
  <c r="R348" i="119"/>
  <c r="M348" i="119"/>
  <c r="R347" i="119"/>
  <c r="M347" i="119"/>
  <c r="R346" i="119"/>
  <c r="M346" i="119"/>
  <c r="R345" i="119"/>
  <c r="M345" i="119"/>
  <c r="R344" i="119"/>
  <c r="M344" i="119"/>
  <c r="R343" i="119"/>
  <c r="M343" i="119"/>
  <c r="R342" i="119"/>
  <c r="M342" i="119"/>
  <c r="R341" i="119"/>
  <c r="M341" i="119"/>
  <c r="R340" i="119"/>
  <c r="M340" i="119"/>
  <c r="R339" i="119"/>
  <c r="M339" i="119"/>
  <c r="R338" i="119"/>
  <c r="M338" i="119"/>
  <c r="R337" i="119"/>
  <c r="M337" i="119"/>
  <c r="R336" i="119"/>
  <c r="M336" i="119"/>
  <c r="R335" i="119"/>
  <c r="M335" i="119"/>
  <c r="R334" i="119"/>
  <c r="M334" i="119"/>
  <c r="R333" i="119"/>
  <c r="M333" i="119"/>
  <c r="R332" i="119"/>
  <c r="M332" i="119"/>
  <c r="R331" i="119"/>
  <c r="M331" i="119"/>
  <c r="R330" i="119"/>
  <c r="M330" i="119"/>
  <c r="R329" i="119"/>
  <c r="M329" i="119"/>
  <c r="R328" i="119"/>
  <c r="M328" i="119"/>
  <c r="R327" i="119"/>
  <c r="M327" i="119"/>
  <c r="R326" i="119"/>
  <c r="M326" i="119"/>
  <c r="R325" i="119"/>
  <c r="M325" i="119"/>
  <c r="R324" i="119"/>
  <c r="M324" i="119"/>
  <c r="R323" i="119"/>
  <c r="M323" i="119"/>
  <c r="R322" i="119"/>
  <c r="M322" i="119"/>
  <c r="R321" i="119"/>
  <c r="M321" i="119"/>
  <c r="R320" i="119"/>
  <c r="M320" i="119"/>
  <c r="R319" i="119"/>
  <c r="M319" i="119"/>
  <c r="R318" i="119"/>
  <c r="M318" i="119"/>
  <c r="R317" i="119"/>
  <c r="M317" i="119"/>
  <c r="R316" i="119"/>
  <c r="M316" i="119"/>
  <c r="R315" i="119"/>
  <c r="M315" i="119"/>
  <c r="R314" i="119"/>
  <c r="M314" i="119"/>
  <c r="R313" i="119"/>
  <c r="M313" i="119"/>
  <c r="R312" i="119"/>
  <c r="M312" i="119"/>
  <c r="R311" i="119"/>
  <c r="M311" i="119"/>
  <c r="R310" i="119"/>
  <c r="M310" i="119"/>
  <c r="R309" i="119"/>
  <c r="M309" i="119"/>
  <c r="R308" i="119"/>
  <c r="M308" i="119"/>
  <c r="R307" i="119"/>
  <c r="M307" i="119"/>
  <c r="R306" i="119"/>
  <c r="M306" i="119"/>
  <c r="R305" i="119"/>
  <c r="M305" i="119"/>
  <c r="R304" i="119"/>
  <c r="M304" i="119"/>
  <c r="R303" i="119"/>
  <c r="M303" i="119"/>
  <c r="R302" i="119"/>
  <c r="M302" i="119"/>
  <c r="R301" i="119"/>
  <c r="M301" i="119"/>
  <c r="R300" i="119"/>
  <c r="M300" i="119"/>
  <c r="R299" i="119"/>
  <c r="M299" i="119"/>
  <c r="R298" i="119"/>
  <c r="M298" i="119"/>
  <c r="R297" i="119"/>
  <c r="M297" i="119"/>
  <c r="R296" i="119"/>
  <c r="M296" i="119"/>
  <c r="R295" i="119"/>
  <c r="M295" i="119"/>
  <c r="R294" i="119"/>
  <c r="M294" i="119"/>
  <c r="R293" i="119"/>
  <c r="M293" i="119"/>
  <c r="R292" i="119"/>
  <c r="M292" i="119"/>
  <c r="R291" i="119"/>
  <c r="M291" i="119"/>
  <c r="R290" i="119"/>
  <c r="M290" i="119"/>
  <c r="R289" i="119"/>
  <c r="M289" i="119"/>
  <c r="R288" i="119"/>
  <c r="M288" i="119"/>
  <c r="R287" i="119"/>
  <c r="M287" i="119"/>
  <c r="R286" i="119"/>
  <c r="M286" i="119"/>
  <c r="R285" i="119"/>
  <c r="M285" i="119"/>
  <c r="R284" i="119"/>
  <c r="M284" i="119"/>
  <c r="R283" i="119"/>
  <c r="M283" i="119"/>
  <c r="R282" i="119"/>
  <c r="M282" i="119"/>
  <c r="R281" i="119"/>
  <c r="M281" i="119"/>
  <c r="R280" i="119"/>
  <c r="M280" i="119"/>
  <c r="R279" i="119"/>
  <c r="M279" i="119"/>
  <c r="R278" i="119"/>
  <c r="M278" i="119"/>
  <c r="R277" i="119"/>
  <c r="M277" i="119"/>
  <c r="R276" i="119"/>
  <c r="M276" i="119"/>
  <c r="R275" i="119"/>
  <c r="M275" i="119"/>
  <c r="R274" i="119"/>
  <c r="M274" i="119"/>
  <c r="R273" i="119"/>
  <c r="M273" i="119"/>
  <c r="R272" i="119"/>
  <c r="M272" i="119"/>
  <c r="R271" i="119"/>
  <c r="M271" i="119"/>
  <c r="R270" i="119"/>
  <c r="M270" i="119"/>
  <c r="R269" i="119"/>
  <c r="M269" i="119"/>
  <c r="R268" i="119"/>
  <c r="M268" i="119"/>
  <c r="R267" i="119"/>
  <c r="M267" i="119"/>
  <c r="R266" i="119"/>
  <c r="M266" i="119"/>
  <c r="R265" i="119"/>
  <c r="M265" i="119"/>
  <c r="R264" i="119"/>
  <c r="M264" i="119"/>
  <c r="R263" i="119"/>
  <c r="M263" i="119"/>
  <c r="R262" i="119"/>
  <c r="M262" i="119"/>
  <c r="R261" i="119"/>
  <c r="M261" i="119"/>
  <c r="R260" i="119"/>
  <c r="M260" i="119"/>
  <c r="R259" i="119"/>
  <c r="M259" i="119"/>
  <c r="R258" i="119"/>
  <c r="M258" i="119"/>
  <c r="R257" i="119"/>
  <c r="M257" i="119"/>
  <c r="R256" i="119"/>
  <c r="M256" i="119"/>
  <c r="R255" i="119"/>
  <c r="M255" i="119"/>
  <c r="R254" i="119"/>
  <c r="M254" i="119"/>
  <c r="R253" i="119"/>
  <c r="M253" i="119"/>
  <c r="R252" i="119"/>
  <c r="M252" i="119"/>
  <c r="R251" i="119"/>
  <c r="M251" i="119"/>
  <c r="R250" i="119"/>
  <c r="M250" i="119"/>
  <c r="R249" i="119"/>
  <c r="M249" i="119"/>
  <c r="R248" i="119"/>
  <c r="M248" i="119"/>
  <c r="R247" i="119"/>
  <c r="M247" i="119"/>
  <c r="R246" i="119"/>
  <c r="M246" i="119"/>
  <c r="R245" i="119"/>
  <c r="M245" i="119"/>
  <c r="R244" i="119"/>
  <c r="M244" i="119"/>
  <c r="R243" i="119"/>
  <c r="M243" i="119"/>
  <c r="R242" i="119"/>
  <c r="M242" i="119"/>
  <c r="R241" i="119"/>
  <c r="M241" i="119"/>
  <c r="R240" i="119"/>
  <c r="M240" i="119"/>
  <c r="R239" i="119"/>
  <c r="M239" i="119"/>
  <c r="R238" i="119"/>
  <c r="M238" i="119"/>
  <c r="R237" i="119"/>
  <c r="M237" i="119"/>
  <c r="R236" i="119"/>
  <c r="M236" i="119"/>
  <c r="R235" i="119"/>
  <c r="M235" i="119"/>
  <c r="R234" i="119"/>
  <c r="M234" i="119"/>
  <c r="R233" i="119"/>
  <c r="M233" i="119"/>
  <c r="R232" i="119"/>
  <c r="M232" i="119"/>
  <c r="R231" i="119"/>
  <c r="M231" i="119"/>
  <c r="R230" i="119"/>
  <c r="M230" i="119"/>
  <c r="R229" i="119"/>
  <c r="M229" i="119"/>
  <c r="R228" i="119"/>
  <c r="M228" i="119"/>
  <c r="R227" i="119"/>
  <c r="M227" i="119"/>
  <c r="R226" i="119"/>
  <c r="M226" i="119"/>
  <c r="R225" i="119"/>
  <c r="M225" i="119"/>
  <c r="R224" i="119"/>
  <c r="M224" i="119"/>
  <c r="R223" i="119"/>
  <c r="M223" i="119"/>
  <c r="R222" i="119"/>
  <c r="M222" i="119"/>
  <c r="R221" i="119"/>
  <c r="M221" i="119"/>
  <c r="R220" i="119"/>
  <c r="M220" i="119"/>
  <c r="R219" i="119"/>
  <c r="M219" i="119"/>
  <c r="R218" i="119"/>
  <c r="M218" i="119"/>
  <c r="R217" i="119"/>
  <c r="M217" i="119"/>
  <c r="R216" i="119"/>
  <c r="M216" i="119"/>
  <c r="R215" i="119"/>
  <c r="M215" i="119"/>
  <c r="R214" i="119"/>
  <c r="M214" i="119"/>
  <c r="R213" i="119"/>
  <c r="M213" i="119"/>
  <c r="R212" i="119"/>
  <c r="M212" i="119"/>
  <c r="R211" i="119"/>
  <c r="M211" i="119"/>
  <c r="R210" i="119"/>
  <c r="M210" i="119"/>
  <c r="R209" i="119"/>
  <c r="M209" i="119"/>
  <c r="R208" i="119"/>
  <c r="M208" i="119"/>
  <c r="R207" i="119"/>
  <c r="M207" i="119"/>
  <c r="R206" i="119"/>
  <c r="M206" i="119"/>
  <c r="R205" i="119"/>
  <c r="M205" i="119"/>
  <c r="R204" i="119"/>
  <c r="M204" i="119"/>
  <c r="R203" i="119"/>
  <c r="M203" i="119"/>
  <c r="R202" i="119"/>
  <c r="M202" i="119"/>
  <c r="R201" i="119"/>
  <c r="M201" i="119"/>
  <c r="R200" i="119"/>
  <c r="M200" i="119"/>
  <c r="R199" i="119"/>
  <c r="M199" i="119"/>
  <c r="R198" i="119"/>
  <c r="M198" i="119"/>
  <c r="R197" i="119"/>
  <c r="M197" i="119"/>
  <c r="R196" i="119"/>
  <c r="M196" i="119"/>
  <c r="R195" i="119"/>
  <c r="M195" i="119"/>
  <c r="R194" i="119"/>
  <c r="M194" i="119"/>
  <c r="R193" i="119"/>
  <c r="M193" i="119"/>
  <c r="R192" i="119"/>
  <c r="M192" i="119"/>
  <c r="R191" i="119"/>
  <c r="M191" i="119"/>
  <c r="R190" i="119"/>
  <c r="M190" i="119"/>
  <c r="R189" i="119"/>
  <c r="M189" i="119"/>
  <c r="R188" i="119"/>
  <c r="M188" i="119"/>
  <c r="R187" i="119"/>
  <c r="M187" i="119"/>
  <c r="R186" i="119"/>
  <c r="M186" i="119"/>
  <c r="R185" i="119"/>
  <c r="M185" i="119"/>
  <c r="R184" i="119"/>
  <c r="M184" i="119"/>
  <c r="R183" i="119"/>
  <c r="M183" i="119"/>
  <c r="R182" i="119"/>
  <c r="M182" i="119"/>
  <c r="R181" i="119"/>
  <c r="M181" i="119"/>
  <c r="R180" i="119"/>
  <c r="M180" i="119"/>
  <c r="R179" i="119"/>
  <c r="M179" i="119"/>
  <c r="R178" i="119"/>
  <c r="M178" i="119"/>
  <c r="R177" i="119"/>
  <c r="M177" i="119"/>
  <c r="R176" i="119"/>
  <c r="M176" i="119"/>
  <c r="R175" i="119"/>
  <c r="M175" i="119"/>
  <c r="R174" i="119"/>
  <c r="M174" i="119"/>
  <c r="R173" i="119"/>
  <c r="M173" i="119"/>
  <c r="R172" i="119"/>
  <c r="M172" i="119"/>
  <c r="R171" i="119"/>
  <c r="M171" i="119"/>
  <c r="R170" i="119"/>
  <c r="M170" i="119"/>
  <c r="R169" i="119"/>
  <c r="M169" i="119"/>
  <c r="R168" i="119"/>
  <c r="M168" i="119"/>
  <c r="R167" i="119"/>
  <c r="M167" i="119"/>
  <c r="R166" i="119"/>
  <c r="M166" i="119"/>
  <c r="R165" i="119"/>
  <c r="M165" i="119"/>
  <c r="R164" i="119"/>
  <c r="M164" i="119"/>
  <c r="R163" i="119"/>
  <c r="M163" i="119"/>
  <c r="R162" i="119"/>
  <c r="M162" i="119"/>
  <c r="R161" i="119"/>
  <c r="M161" i="119"/>
  <c r="R160" i="119"/>
  <c r="M160" i="119"/>
  <c r="R159" i="119"/>
  <c r="M159" i="119"/>
  <c r="R158" i="119"/>
  <c r="M158" i="119"/>
  <c r="R157" i="119"/>
  <c r="M157" i="119"/>
  <c r="R156" i="119"/>
  <c r="M156" i="119"/>
  <c r="R155" i="119"/>
  <c r="M155" i="119"/>
  <c r="R154" i="119"/>
  <c r="M154" i="119"/>
  <c r="R153" i="119"/>
  <c r="M153" i="119"/>
  <c r="R152" i="119"/>
  <c r="M152" i="119"/>
  <c r="R151" i="119"/>
  <c r="M151" i="119"/>
  <c r="R150" i="119"/>
  <c r="M150" i="119"/>
  <c r="R149" i="119"/>
  <c r="M149" i="119"/>
  <c r="R148" i="119"/>
  <c r="M148" i="119"/>
  <c r="R147" i="119"/>
  <c r="M147" i="119"/>
  <c r="R146" i="119"/>
  <c r="M146" i="119"/>
  <c r="R145" i="119"/>
  <c r="M145" i="119"/>
  <c r="R144" i="119"/>
  <c r="M144" i="119"/>
  <c r="R143" i="119"/>
  <c r="M143" i="119"/>
  <c r="R142" i="119"/>
  <c r="M142" i="119"/>
  <c r="R141" i="119"/>
  <c r="M141" i="119"/>
  <c r="R140" i="119"/>
  <c r="M140" i="119"/>
  <c r="R139" i="119"/>
  <c r="M139" i="119"/>
  <c r="R138" i="119"/>
  <c r="M138" i="119"/>
  <c r="R137" i="119"/>
  <c r="M137" i="119"/>
  <c r="R136" i="119"/>
  <c r="M136" i="119"/>
  <c r="R135" i="119"/>
  <c r="M135" i="119"/>
  <c r="R134" i="119"/>
  <c r="M134" i="119"/>
  <c r="R133" i="119"/>
  <c r="M133" i="119"/>
  <c r="R132" i="119"/>
  <c r="M132" i="119"/>
  <c r="R131" i="119"/>
  <c r="M131" i="119"/>
  <c r="R130" i="119"/>
  <c r="M130" i="119"/>
  <c r="R129" i="119"/>
  <c r="M129" i="119"/>
  <c r="R128" i="119"/>
  <c r="M128" i="119"/>
  <c r="R127" i="119"/>
  <c r="M127" i="119"/>
  <c r="R126" i="119"/>
  <c r="M126" i="119"/>
  <c r="R125" i="119"/>
  <c r="M125" i="119"/>
  <c r="R124" i="119"/>
  <c r="M124" i="119"/>
  <c r="R123" i="119"/>
  <c r="M123" i="119"/>
  <c r="R122" i="119"/>
  <c r="M122" i="119"/>
  <c r="R121" i="119"/>
  <c r="M121" i="119"/>
  <c r="R120" i="119"/>
  <c r="M120" i="119"/>
  <c r="R119" i="119"/>
  <c r="M119" i="119"/>
  <c r="R118" i="119"/>
  <c r="M118" i="119"/>
  <c r="R117" i="119"/>
  <c r="M117" i="119"/>
  <c r="R116" i="119"/>
  <c r="M116" i="119"/>
  <c r="R115" i="119"/>
  <c r="M115" i="119"/>
  <c r="R114" i="119"/>
  <c r="M114" i="119"/>
  <c r="R113" i="119"/>
  <c r="M113" i="119"/>
  <c r="R112" i="119"/>
  <c r="M112" i="119"/>
  <c r="R111" i="119"/>
  <c r="M111" i="119"/>
  <c r="R110" i="119"/>
  <c r="M110" i="119"/>
  <c r="R109" i="119"/>
  <c r="M109" i="119"/>
  <c r="R108" i="119"/>
  <c r="M108" i="119"/>
  <c r="R107" i="119"/>
  <c r="M107" i="119"/>
  <c r="R106" i="119"/>
  <c r="M106" i="119"/>
  <c r="R105" i="119"/>
  <c r="M105" i="119"/>
  <c r="R104" i="119"/>
  <c r="M104" i="119"/>
  <c r="R103" i="119"/>
  <c r="M103" i="119"/>
  <c r="R102" i="119"/>
  <c r="M102" i="119"/>
  <c r="R101" i="119"/>
  <c r="M101" i="119"/>
  <c r="R100" i="119"/>
  <c r="M100" i="119"/>
  <c r="R99" i="119"/>
  <c r="M99" i="119"/>
  <c r="R98" i="119"/>
  <c r="M98" i="119"/>
  <c r="R97" i="119"/>
  <c r="M97" i="119"/>
  <c r="R96" i="119"/>
  <c r="M96" i="119"/>
  <c r="R95" i="119"/>
  <c r="M95" i="119"/>
  <c r="R94" i="119"/>
  <c r="M94" i="119"/>
  <c r="R93" i="119"/>
  <c r="M93" i="119"/>
  <c r="R92" i="119"/>
  <c r="M92" i="119"/>
  <c r="R91" i="119"/>
  <c r="M91" i="119"/>
  <c r="R90" i="119"/>
  <c r="M90" i="119"/>
  <c r="R89" i="119"/>
  <c r="M89" i="119"/>
  <c r="R88" i="119"/>
  <c r="M88" i="119"/>
  <c r="R87" i="119"/>
  <c r="M87" i="119"/>
  <c r="R86" i="119"/>
  <c r="M86" i="119"/>
  <c r="R85" i="119"/>
  <c r="M85" i="119"/>
  <c r="R84" i="119"/>
  <c r="M84" i="119"/>
  <c r="R83" i="119"/>
  <c r="M83" i="119"/>
  <c r="R82" i="119"/>
  <c r="M82" i="119"/>
  <c r="R81" i="119"/>
  <c r="M81" i="119"/>
  <c r="R80" i="119"/>
  <c r="M80" i="119"/>
  <c r="R79" i="119"/>
  <c r="M79" i="119"/>
  <c r="R78" i="119"/>
  <c r="M78" i="119"/>
  <c r="R77" i="119"/>
  <c r="M77" i="119"/>
  <c r="R76" i="119"/>
  <c r="M76" i="119"/>
  <c r="R75" i="119"/>
  <c r="M75" i="119"/>
  <c r="R74" i="119"/>
  <c r="M74" i="119"/>
  <c r="R73" i="119"/>
  <c r="M73" i="119"/>
  <c r="R72" i="119"/>
  <c r="M72" i="119"/>
  <c r="R71" i="119"/>
  <c r="M71" i="119"/>
  <c r="R70" i="119"/>
  <c r="M70" i="119"/>
  <c r="R69" i="119"/>
  <c r="M69" i="119"/>
  <c r="R68" i="119"/>
  <c r="M68" i="119"/>
  <c r="R67" i="119"/>
  <c r="M67" i="119"/>
  <c r="R66" i="119"/>
  <c r="M66" i="119"/>
  <c r="R65" i="119"/>
  <c r="M65" i="119"/>
  <c r="R64" i="119"/>
  <c r="M64" i="119"/>
  <c r="R63" i="119"/>
  <c r="M63" i="119"/>
  <c r="R62" i="119"/>
  <c r="M62" i="119"/>
  <c r="R61" i="119"/>
  <c r="M61" i="119"/>
  <c r="R60" i="119"/>
  <c r="M60" i="119"/>
  <c r="R59" i="119"/>
  <c r="M59" i="119"/>
  <c r="R58" i="119"/>
  <c r="M58" i="119"/>
  <c r="R57" i="119"/>
  <c r="M57" i="119"/>
  <c r="R56" i="119"/>
  <c r="M56" i="119"/>
  <c r="R55" i="119"/>
  <c r="M55" i="119"/>
  <c r="R54" i="119"/>
  <c r="M54" i="119"/>
  <c r="R53" i="119"/>
  <c r="M53" i="119"/>
  <c r="R52" i="119"/>
  <c r="M52" i="119"/>
  <c r="R51" i="119"/>
  <c r="M51" i="119"/>
  <c r="R50" i="119"/>
  <c r="M50" i="119"/>
  <c r="R49" i="119"/>
  <c r="M49" i="119"/>
  <c r="R48" i="119"/>
  <c r="M48" i="119"/>
  <c r="R47" i="119"/>
  <c r="M47" i="119"/>
  <c r="R46" i="119"/>
  <c r="M46" i="119"/>
  <c r="R45" i="119"/>
  <c r="M45" i="119"/>
  <c r="R44" i="119"/>
  <c r="M44" i="119"/>
  <c r="R43" i="119"/>
  <c r="M43" i="119"/>
  <c r="R42" i="119"/>
  <c r="M42" i="119"/>
  <c r="R41" i="119"/>
  <c r="M41" i="119"/>
  <c r="R40" i="119"/>
  <c r="M40" i="119"/>
  <c r="R39" i="119"/>
  <c r="M39" i="119"/>
  <c r="R38" i="119"/>
  <c r="M38" i="119"/>
  <c r="R37" i="119"/>
  <c r="M37" i="119"/>
  <c r="R36" i="119"/>
  <c r="M36" i="119"/>
  <c r="R35" i="119"/>
  <c r="M35" i="119"/>
  <c r="R34" i="119"/>
  <c r="M34" i="119"/>
  <c r="R33" i="119"/>
  <c r="M33" i="119"/>
  <c r="R32" i="119"/>
  <c r="M32" i="119"/>
  <c r="R31" i="119"/>
  <c r="M31" i="119"/>
  <c r="R30" i="119"/>
  <c r="M30" i="119"/>
  <c r="R29" i="119"/>
  <c r="M29" i="119"/>
  <c r="R28" i="119"/>
  <c r="M28" i="119"/>
  <c r="R27" i="119"/>
  <c r="M27" i="119"/>
  <c r="R26" i="119"/>
  <c r="M26" i="119"/>
  <c r="R25" i="119"/>
  <c r="M25" i="119"/>
  <c r="R24" i="119"/>
  <c r="M24" i="119"/>
  <c r="R23" i="119"/>
  <c r="M23" i="119"/>
  <c r="R22" i="119"/>
  <c r="M22" i="119"/>
  <c r="R21" i="119"/>
  <c r="M21" i="119"/>
  <c r="R20" i="119"/>
  <c r="M20" i="119"/>
  <c r="R19" i="119"/>
  <c r="M19" i="119"/>
  <c r="R18" i="119"/>
  <c r="M18" i="119"/>
  <c r="R17" i="119"/>
  <c r="M17" i="119"/>
  <c r="R16" i="119"/>
  <c r="M16" i="119"/>
  <c r="R15" i="119"/>
  <c r="M15" i="119"/>
  <c r="R14" i="119"/>
  <c r="M14" i="119"/>
  <c r="R13" i="119"/>
  <c r="M13" i="119"/>
  <c r="R7" i="119"/>
  <c r="M7" i="119"/>
  <c r="R6" i="119"/>
  <c r="M6" i="119"/>
  <c r="R5" i="119"/>
  <c r="M5" i="119"/>
  <c r="R4" i="119"/>
  <c r="M4" i="119"/>
  <c r="R3" i="119"/>
  <c r="M3" i="119"/>
  <c r="M1" i="121" l="1"/>
  <c r="M1" i="125"/>
  <c r="R1" i="122"/>
  <c r="R1" i="119"/>
  <c r="T1" i="119"/>
  <c r="M1" i="119"/>
  <c r="O1" i="119"/>
  <c r="R1" i="123"/>
  <c r="M1" i="128"/>
  <c r="M1" i="123"/>
  <c r="R1" i="120"/>
  <c r="M1" i="120"/>
  <c r="R1" i="121"/>
  <c r="M1" i="122"/>
  <c r="M1" i="124"/>
  <c r="R1" i="124"/>
  <c r="R1" i="125"/>
  <c r="M1" i="126"/>
  <c r="R1" i="126"/>
  <c r="R1" i="128"/>
  <c r="M1" i="127"/>
  <c r="R1" i="127"/>
  <c r="C1" i="29" l="1"/>
</calcChain>
</file>

<file path=xl/sharedStrings.xml><?xml version="1.0" encoding="utf-8"?>
<sst xmlns="http://schemas.openxmlformats.org/spreadsheetml/2006/main" count="22098" uniqueCount="3671">
  <si>
    <t>Mymensingh</t>
  </si>
  <si>
    <t>Sylhet</t>
  </si>
  <si>
    <t>Rangpur</t>
  </si>
  <si>
    <t>Chittagong</t>
  </si>
  <si>
    <t>Khulna</t>
  </si>
  <si>
    <t>Region</t>
  </si>
  <si>
    <t>Barisal</t>
  </si>
  <si>
    <t>Dhaka North</t>
  </si>
  <si>
    <t>Dhaka South</t>
  </si>
  <si>
    <t>Rajshahi</t>
  </si>
  <si>
    <t>User Name</t>
  </si>
  <si>
    <t>syl.sales</t>
  </si>
  <si>
    <t>bsl.sales</t>
  </si>
  <si>
    <t>ctg.sales</t>
  </si>
  <si>
    <t>dn.sales</t>
  </si>
  <si>
    <t>khl.sales</t>
  </si>
  <si>
    <t>mym.sales</t>
  </si>
  <si>
    <t>raj.sales</t>
  </si>
  <si>
    <t>rang.sales</t>
  </si>
  <si>
    <t>National</t>
  </si>
  <si>
    <t>sales</t>
  </si>
  <si>
    <t>Note : Please check your mail for user password .</t>
  </si>
  <si>
    <t xml:space="preserve"> =OFFSET($Q$8,,,COUNTA($Q$8:$Q$1000))</t>
  </si>
  <si>
    <t>Every user that successfully logs in will 
be recorded herer along with the date.</t>
  </si>
  <si>
    <t>The sheets that youi want the user to have access to are selected from 
the data validation blanks are ok as are duplicates.</t>
  </si>
  <si>
    <t>Sheet names are refreshed
 when the workbook is openned.</t>
  </si>
  <si>
    <t>Current user is added here
for project reference</t>
  </si>
  <si>
    <t>These are the Administrators</t>
  </si>
  <si>
    <t>P-S-T</t>
  </si>
  <si>
    <t xml:space="preserve">Due-Regional Summary </t>
  </si>
  <si>
    <t>pst</t>
  </si>
  <si>
    <t>Login Name</t>
  </si>
  <si>
    <t>Time</t>
  </si>
  <si>
    <t>Username</t>
  </si>
  <si>
    <t>Passcode</t>
  </si>
  <si>
    <t>Allow Sheet</t>
  </si>
  <si>
    <t>Sheet Names</t>
  </si>
  <si>
    <t>Current User</t>
  </si>
  <si>
    <t>Interface</t>
  </si>
  <si>
    <t>Abir</t>
  </si>
  <si>
    <t>Login</t>
  </si>
  <si>
    <t>ds.sales</t>
  </si>
  <si>
    <t>admin</t>
  </si>
  <si>
    <t>Retail Name</t>
  </si>
  <si>
    <t>Dealer</t>
  </si>
  <si>
    <t>Zone</t>
  </si>
  <si>
    <t>A One Tel</t>
  </si>
  <si>
    <t>A.S.R. Trading</t>
  </si>
  <si>
    <t>Lalmonirhat</t>
  </si>
  <si>
    <t>Ashulia</t>
  </si>
  <si>
    <t>Modina Telecom</t>
  </si>
  <si>
    <t>Ananda Electronics</t>
  </si>
  <si>
    <t>Star Telecom</t>
  </si>
  <si>
    <t>Mim Telecom</t>
  </si>
  <si>
    <t>Avea Limited</t>
  </si>
  <si>
    <t>Cox's Bazar</t>
  </si>
  <si>
    <t>Mohima Telecom</t>
  </si>
  <si>
    <t>Bismillah Telecom</t>
  </si>
  <si>
    <t>Jamalpur</t>
  </si>
  <si>
    <t>Mobile Point</t>
  </si>
  <si>
    <t>Biswa Bani Telecom</t>
  </si>
  <si>
    <t>Chuadanga</t>
  </si>
  <si>
    <t>Abir Telecom</t>
  </si>
  <si>
    <t>City Telecom</t>
  </si>
  <si>
    <t>Jatrabari</t>
  </si>
  <si>
    <t>Desh Link</t>
  </si>
  <si>
    <t>Faridpur</t>
  </si>
  <si>
    <t>Mobile Gallery</t>
  </si>
  <si>
    <t>Dhaka Telecom</t>
  </si>
  <si>
    <t>Noakhali</t>
  </si>
  <si>
    <t>Munshiganj</t>
  </si>
  <si>
    <t>F N Traders</t>
  </si>
  <si>
    <t>Bhaluka</t>
  </si>
  <si>
    <t>Ma Telecom</t>
  </si>
  <si>
    <t>Mobile Media</t>
  </si>
  <si>
    <t>Feni</t>
  </si>
  <si>
    <t>Feroz Telecom</t>
  </si>
  <si>
    <t>Maa Telecom</t>
  </si>
  <si>
    <t>Mobile Dot Com</t>
  </si>
  <si>
    <t>Naogaon</t>
  </si>
  <si>
    <t>Jessore</t>
  </si>
  <si>
    <t>Hello Rajshahi</t>
  </si>
  <si>
    <t>Mobile World</t>
  </si>
  <si>
    <t>Mobile Plaza</t>
  </si>
  <si>
    <t>Ideal Communication</t>
  </si>
  <si>
    <t>Mobile Corner</t>
  </si>
  <si>
    <t>Konica Trading</t>
  </si>
  <si>
    <t>Jhenaidah</t>
  </si>
  <si>
    <t>Mobile House</t>
  </si>
  <si>
    <t>Chandpur</t>
  </si>
  <si>
    <t>One Telecom</t>
  </si>
  <si>
    <t>M K Trading Co.</t>
  </si>
  <si>
    <t>Chittagong Road</t>
  </si>
  <si>
    <t>Friends telecom</t>
  </si>
  <si>
    <t>M. R. Traders</t>
  </si>
  <si>
    <t>Kushtia</t>
  </si>
  <si>
    <t>M/S BTB Telecom</t>
  </si>
  <si>
    <t>Natore</t>
  </si>
  <si>
    <t>M/S Chowdhury Enterprise</t>
  </si>
  <si>
    <t>M/S Faiz Enterprise</t>
  </si>
  <si>
    <t>Madaripur</t>
  </si>
  <si>
    <t>M/S Saad Telecom</t>
  </si>
  <si>
    <t>Gopalganj</t>
  </si>
  <si>
    <t>Nokia Telecom</t>
  </si>
  <si>
    <t>M/S Saidur Electronics</t>
  </si>
  <si>
    <t>Mymensingh Outer</t>
  </si>
  <si>
    <t>M/S Sholav Bitan</t>
  </si>
  <si>
    <t>Chittagong-South</t>
  </si>
  <si>
    <t>M/S Siddique Enterprise</t>
  </si>
  <si>
    <t>M/S Zaman Enterprise</t>
  </si>
  <si>
    <t>M/S. Alam Trade Link</t>
  </si>
  <si>
    <t>Chittagong-North</t>
  </si>
  <si>
    <t>M/S. Mukul Enterprise</t>
  </si>
  <si>
    <t>M/S. National Electronics</t>
  </si>
  <si>
    <t>Dinajpur</t>
  </si>
  <si>
    <t>M/S. Panguchi Enterprise</t>
  </si>
  <si>
    <t>Pirojpur</t>
  </si>
  <si>
    <t>Janata Telecom</t>
  </si>
  <si>
    <t>Mobile City</t>
  </si>
  <si>
    <t>M/S. Saiful Enterprise</t>
  </si>
  <si>
    <t>Mobile Shop</t>
  </si>
  <si>
    <t>M/S. Sujan Telecom</t>
  </si>
  <si>
    <t>Netrokona</t>
  </si>
  <si>
    <t>M/S. Sumon Telecoms</t>
  </si>
  <si>
    <t>Max Tel</t>
  </si>
  <si>
    <t>Mehereen Telecom</t>
  </si>
  <si>
    <t>Keraniganj</t>
  </si>
  <si>
    <t>Faysal Telecom</t>
  </si>
  <si>
    <t>Sheikh Telecom</t>
  </si>
  <si>
    <t>Missing Link Trade and Distribution</t>
  </si>
  <si>
    <t>MM Communication</t>
  </si>
  <si>
    <t>Mirpur</t>
  </si>
  <si>
    <t>Haque Telecom</t>
  </si>
  <si>
    <t>Ideal Telecom</t>
  </si>
  <si>
    <t>Sohel Telecom</t>
  </si>
  <si>
    <t>Mobile Media Center</t>
  </si>
  <si>
    <t>Mobile Plus</t>
  </si>
  <si>
    <t>Satkhira</t>
  </si>
  <si>
    <t>Mobile point</t>
  </si>
  <si>
    <t>Gazipur</t>
  </si>
  <si>
    <t>Mridha Telecom</t>
  </si>
  <si>
    <t>My Fone</t>
  </si>
  <si>
    <t>Nabil Enterprise</t>
  </si>
  <si>
    <t>Gulshan</t>
  </si>
  <si>
    <t>Nandan World Link</t>
  </si>
  <si>
    <t>Nashua Associate</t>
  </si>
  <si>
    <t>New Era Telecom</t>
  </si>
  <si>
    <t>Hobiganj</t>
  </si>
  <si>
    <t>Kishoregonj</t>
  </si>
  <si>
    <t>New Sarker Electronics</t>
  </si>
  <si>
    <t>Bogra</t>
  </si>
  <si>
    <t>Nishat Telecom</t>
  </si>
  <si>
    <t>Noor Electronics</t>
  </si>
  <si>
    <t>Patuakhali</t>
  </si>
  <si>
    <t>Paltan</t>
  </si>
  <si>
    <t>One Telecom (CTG Road)</t>
  </si>
  <si>
    <t>Khan Telecom</t>
  </si>
  <si>
    <t>One Telecom* Jatrabari</t>
  </si>
  <si>
    <t>Anwar Telecom</t>
  </si>
  <si>
    <t>One Telecom* Narayangonj</t>
  </si>
  <si>
    <t>Narayangonj</t>
  </si>
  <si>
    <t>Pacific Electronics</t>
  </si>
  <si>
    <t>Gaibandha</t>
  </si>
  <si>
    <t>Pacific Electronics-2</t>
  </si>
  <si>
    <t>Paul Telecom</t>
  </si>
  <si>
    <t>Nilphamari</t>
  </si>
  <si>
    <t>Rangamati</t>
  </si>
  <si>
    <t>Rathura Enterprise</t>
  </si>
  <si>
    <t>Rathura Enterprise-2</t>
  </si>
  <si>
    <t>Repon Enterprise</t>
  </si>
  <si>
    <t>S S Enterprise</t>
  </si>
  <si>
    <t>S.M Tel</t>
  </si>
  <si>
    <t>Tangail</t>
  </si>
  <si>
    <t>Saif Telecom</t>
  </si>
  <si>
    <t>Dhaka Center</t>
  </si>
  <si>
    <t>Mobile Network</t>
  </si>
  <si>
    <t>Salim Telecom &amp; Electronics</t>
  </si>
  <si>
    <t xml:space="preserve">Samiya Telecom </t>
  </si>
  <si>
    <t>Narsingdhi</t>
  </si>
  <si>
    <t>Sanjog Mobile</t>
  </si>
  <si>
    <t>Sarkar Telecom* Sirajgonj</t>
  </si>
  <si>
    <t>Sirajgonj</t>
  </si>
  <si>
    <t>Sarker Telecom</t>
  </si>
  <si>
    <t>Satata Enterprise</t>
  </si>
  <si>
    <t>Satata Mobile Centre</t>
  </si>
  <si>
    <t>Brahmanbaria</t>
  </si>
  <si>
    <t>Shadhin Telecom</t>
  </si>
  <si>
    <t>Shaheen Multimedia &amp; Telecom</t>
  </si>
  <si>
    <t>Shahil Distribution</t>
  </si>
  <si>
    <t>Thakurgaon</t>
  </si>
  <si>
    <t>Shisha Stationary &amp; Electronics</t>
  </si>
  <si>
    <t>Sibgat Telecom</t>
  </si>
  <si>
    <t>Star Tel</t>
  </si>
  <si>
    <t>Savar</t>
  </si>
  <si>
    <t>Pabna</t>
  </si>
  <si>
    <t>Taj Telecom</t>
  </si>
  <si>
    <t>Dhanmondi</t>
  </si>
  <si>
    <t>Tarek &amp; Brothers</t>
  </si>
  <si>
    <t>The National Carrier</t>
  </si>
  <si>
    <t>TM Communication</t>
  </si>
  <si>
    <t>Uttara</t>
  </si>
  <si>
    <t>Toushi Mobile Showroom &amp; Servicing</t>
  </si>
  <si>
    <t>Toyabiya Telecom</t>
  </si>
  <si>
    <t>Trade Plus</t>
  </si>
  <si>
    <t>Tulip Distribution</t>
  </si>
  <si>
    <t>Winner Electronics</t>
  </si>
  <si>
    <t>World Media</t>
  </si>
  <si>
    <t>Zaara Corporation</t>
  </si>
  <si>
    <t>Zeshan Telecom</t>
  </si>
  <si>
    <t>Shore Distribution</t>
  </si>
  <si>
    <t>Jannat Telecom</t>
  </si>
  <si>
    <t>supervisor</t>
  </si>
  <si>
    <t>Admin</t>
  </si>
  <si>
    <t>M/S. Murad Enterprise</t>
  </si>
  <si>
    <t>Mobile Clinic</t>
  </si>
  <si>
    <t>Gopa Telecom</t>
  </si>
  <si>
    <t>Sunamganj</t>
  </si>
  <si>
    <t>Mobile Mela</t>
  </si>
  <si>
    <t>Habiba Telecom</t>
  </si>
  <si>
    <t>Md. Kamrul Hasan</t>
  </si>
  <si>
    <t>Retail ID</t>
  </si>
  <si>
    <t>SSP Name</t>
  </si>
  <si>
    <t>SSP Mobile Number</t>
  </si>
  <si>
    <t>Category</t>
  </si>
  <si>
    <t>Rteail Type</t>
  </si>
  <si>
    <t>RET-04704</t>
  </si>
  <si>
    <t>Nurjahan Electronics</t>
  </si>
  <si>
    <t>Polly Mobile Distribution</t>
  </si>
  <si>
    <t>Md. Saiful Islam</t>
  </si>
  <si>
    <t>Active</t>
  </si>
  <si>
    <t>RET-04700</t>
  </si>
  <si>
    <t>Chowdhury Telecom</t>
  </si>
  <si>
    <t>Md. Bokeiar Uddin</t>
  </si>
  <si>
    <t>RET-04701</t>
  </si>
  <si>
    <t>Talukder Telecom</t>
  </si>
  <si>
    <t>Md. Rubel</t>
  </si>
  <si>
    <t>RET-04680</t>
  </si>
  <si>
    <t>Matri Chaya</t>
  </si>
  <si>
    <t>Md. Arif</t>
  </si>
  <si>
    <t>RET-04672</t>
  </si>
  <si>
    <t>Ananda Store</t>
  </si>
  <si>
    <t>Prasanta Barua</t>
  </si>
  <si>
    <t>RET-04679</t>
  </si>
  <si>
    <t>Polli Telecom</t>
  </si>
  <si>
    <t>Md. Muslim Uddin</t>
  </si>
  <si>
    <t>RET-13651</t>
  </si>
  <si>
    <t>Polly Mobile</t>
  </si>
  <si>
    <t>Md. Shahidul Alam</t>
  </si>
  <si>
    <t>RET-04692</t>
  </si>
  <si>
    <t>Eakusha Tel</t>
  </si>
  <si>
    <t>Monjur Morshed</t>
  </si>
  <si>
    <t>RET-04753</t>
  </si>
  <si>
    <t>Nissan Electronics</t>
  </si>
  <si>
    <t>Satkania Store</t>
  </si>
  <si>
    <t>Md. Sohel</t>
  </si>
  <si>
    <t>Md. Sagor</t>
  </si>
  <si>
    <t>RET-04794</t>
  </si>
  <si>
    <t>Barua Electronics</t>
  </si>
  <si>
    <t>Mr. Razib Barua</t>
  </si>
  <si>
    <t>RET-04788</t>
  </si>
  <si>
    <t>Kalpana Electronics</t>
  </si>
  <si>
    <t>Mr. Sudarshon Pal</t>
  </si>
  <si>
    <t>RET-04781</t>
  </si>
  <si>
    <t xml:space="preserve">N Hoque Tel </t>
  </si>
  <si>
    <t>Abdullah Al Ahad</t>
  </si>
  <si>
    <t>RET-04752</t>
  </si>
  <si>
    <t>MS Satkania Store</t>
  </si>
  <si>
    <t>Aman Ullah</t>
  </si>
  <si>
    <t>RET-04775</t>
  </si>
  <si>
    <t>Mobile Zone</t>
  </si>
  <si>
    <t>Mr. Kushum</t>
  </si>
  <si>
    <t>RET-04763</t>
  </si>
  <si>
    <t>Maa Studio &amp; Telecom</t>
  </si>
  <si>
    <t>Mr. Rony Saha</t>
  </si>
  <si>
    <t>RET-04755</t>
  </si>
  <si>
    <t>Asia Electronics</t>
  </si>
  <si>
    <t>Md. Mamun</t>
  </si>
  <si>
    <t>RET-04774</t>
  </si>
  <si>
    <t>Icon Electronics</t>
  </si>
  <si>
    <t>Md. Masum</t>
  </si>
  <si>
    <t>RET-04711</t>
  </si>
  <si>
    <t>Md. Samim</t>
  </si>
  <si>
    <t>RET-04725</t>
  </si>
  <si>
    <t>Mr. Shohid</t>
  </si>
  <si>
    <t>RET-15826</t>
  </si>
  <si>
    <t>Star Plus</t>
  </si>
  <si>
    <t>Md. Halal</t>
  </si>
  <si>
    <t>RET-04750</t>
  </si>
  <si>
    <t>Trepty Telecom</t>
  </si>
  <si>
    <t>Raju Ahmed</t>
  </si>
  <si>
    <t>RET-13961</t>
  </si>
  <si>
    <t>Sana Enterprise</t>
  </si>
  <si>
    <t>Md. Siddik Mia</t>
  </si>
  <si>
    <t>RET-19536</t>
  </si>
  <si>
    <t>Boi Bitan</t>
  </si>
  <si>
    <t>Mr. Suman</t>
  </si>
  <si>
    <t>Rasel Telecom</t>
  </si>
  <si>
    <t>China Telecom</t>
  </si>
  <si>
    <t>RET-26290</t>
  </si>
  <si>
    <t>Pancham Telecom</t>
  </si>
  <si>
    <t>Mohammad Abdur Rahim</t>
  </si>
  <si>
    <t>RET-04445</t>
  </si>
  <si>
    <t>Md. Nishat</t>
  </si>
  <si>
    <t>RET-04431</t>
  </si>
  <si>
    <t>Chittagong Mobile</t>
  </si>
  <si>
    <t>Kaisar Ahmad</t>
  </si>
  <si>
    <t>RET-04499</t>
  </si>
  <si>
    <t>M/S. Easy Link</t>
  </si>
  <si>
    <t>Md. Juwel</t>
  </si>
  <si>
    <t>RET-19619</t>
  </si>
  <si>
    <t>Vai Vai Electronics</t>
  </si>
  <si>
    <t>Mohamad Sirajul Islam</t>
  </si>
  <si>
    <t>RET-19396</t>
  </si>
  <si>
    <t>AB Telecom</t>
  </si>
  <si>
    <t>Md Rakib</t>
  </si>
  <si>
    <t>RET-12769</t>
  </si>
  <si>
    <t>Golden Shot</t>
  </si>
  <si>
    <t>kaisar Ahmed</t>
  </si>
  <si>
    <t>RET-26975</t>
  </si>
  <si>
    <t>Asa Telecom</t>
  </si>
  <si>
    <t>MD. Zubayr</t>
  </si>
  <si>
    <t>RET-04464</t>
  </si>
  <si>
    <t>Famous Telecom</t>
  </si>
  <si>
    <t>Sankar Das</t>
  </si>
  <si>
    <t>RET-22417</t>
  </si>
  <si>
    <t>Khaza Electronics Center</t>
  </si>
  <si>
    <t>S.M. Jasim Uddin</t>
  </si>
  <si>
    <t>RET-13938</t>
  </si>
  <si>
    <t>Azmir Telecom</t>
  </si>
  <si>
    <t>Md. Lokman</t>
  </si>
  <si>
    <t>RET-04488</t>
  </si>
  <si>
    <t>Dilip Mobile</t>
  </si>
  <si>
    <t>Debu Aich</t>
  </si>
  <si>
    <t>RET-04494</t>
  </si>
  <si>
    <t>Badhon Electronics</t>
  </si>
  <si>
    <t>Tagar Mojumdar</t>
  </si>
  <si>
    <t>RET-22320</t>
  </si>
  <si>
    <t>Mayer Dowa Telecom</t>
  </si>
  <si>
    <t>Md. Ali</t>
  </si>
  <si>
    <t>RET-16347</t>
  </si>
  <si>
    <t>Amin Mobile Village</t>
  </si>
  <si>
    <t>Biponon Communications</t>
  </si>
  <si>
    <t>Mr. Nurul Amin</t>
  </si>
  <si>
    <t>RET-04892</t>
  </si>
  <si>
    <t>Madina Telecom</t>
  </si>
  <si>
    <t>RET-05094</t>
  </si>
  <si>
    <t>HoqueTelecom</t>
  </si>
  <si>
    <t>Mobile Heaven</t>
  </si>
  <si>
    <t>Md Kawsar</t>
  </si>
  <si>
    <t>RET-05090</t>
  </si>
  <si>
    <t>Abbas Telecom Center</t>
  </si>
  <si>
    <t>Md Ali</t>
  </si>
  <si>
    <t>RET-04983</t>
  </si>
  <si>
    <t>Akhi Electronics</t>
  </si>
  <si>
    <t>Mr.Abul Kalam</t>
  </si>
  <si>
    <t>RET-05071</t>
  </si>
  <si>
    <t>Ranesa Mobile Garden</t>
  </si>
  <si>
    <t>Md Nawshed</t>
  </si>
  <si>
    <t>RET-14640</t>
  </si>
  <si>
    <t>Shadhin Electronics</t>
  </si>
  <si>
    <t>Mr. Ujjal Basak</t>
  </si>
  <si>
    <t>RET-16314</t>
  </si>
  <si>
    <t>Shafin Telecom</t>
  </si>
  <si>
    <t>Mr. Abdul Aziz</t>
  </si>
  <si>
    <t>RET-05067</t>
  </si>
  <si>
    <t>Nabid Mobile Galary</t>
  </si>
  <si>
    <t>Md Asrup</t>
  </si>
  <si>
    <t>RET-05003</t>
  </si>
  <si>
    <t>Sheba Telecom</t>
  </si>
  <si>
    <t>Mr. Kamal</t>
  </si>
  <si>
    <t>RET-16386</t>
  </si>
  <si>
    <t>Saleh Store</t>
  </si>
  <si>
    <t>Md Mabot</t>
  </si>
  <si>
    <t>RET-05080</t>
  </si>
  <si>
    <t>Ripon Store</t>
  </si>
  <si>
    <t>Sojan</t>
  </si>
  <si>
    <t>RET-04893</t>
  </si>
  <si>
    <t>Makka Telecom</t>
  </si>
  <si>
    <t>Mr.Masud</t>
  </si>
  <si>
    <t>RET-05077</t>
  </si>
  <si>
    <t>Rasel Store</t>
  </si>
  <si>
    <t>Md Ajgor</t>
  </si>
  <si>
    <t>RET-05070</t>
  </si>
  <si>
    <t>Mobile Heaven GP</t>
  </si>
  <si>
    <t>Sayed Alam</t>
  </si>
  <si>
    <t>RET-05057</t>
  </si>
  <si>
    <t>Ramu Computer</t>
  </si>
  <si>
    <t>Mr.Jashim</t>
  </si>
  <si>
    <t>RET-20126</t>
  </si>
  <si>
    <t>Mahabub Traders</t>
  </si>
  <si>
    <t>Md Aman</t>
  </si>
  <si>
    <t>RET-05016</t>
  </si>
  <si>
    <t>JR Fashion</t>
  </si>
  <si>
    <t xml:space="preserve">  Mr.Nowshad</t>
  </si>
  <si>
    <t>RET-20153</t>
  </si>
  <si>
    <t>Maa Moni Telecom</t>
  </si>
  <si>
    <t>RET-05025</t>
  </si>
  <si>
    <t>Hajera Electronics</t>
  </si>
  <si>
    <t>Mr. Nuru</t>
  </si>
  <si>
    <t>RET-05089</t>
  </si>
  <si>
    <t>Shahil Telecom Center</t>
  </si>
  <si>
    <t>Md Rashed</t>
  </si>
  <si>
    <t>RET-16384</t>
  </si>
  <si>
    <t xml:space="preserve">Upohar Mobile Media </t>
  </si>
  <si>
    <t>Md Siraz</t>
  </si>
  <si>
    <t>RET-04920</t>
  </si>
  <si>
    <t>Dhrobo Telecom</t>
  </si>
  <si>
    <t>Mr.Ismail Choton</t>
  </si>
  <si>
    <t>RET-16366</t>
  </si>
  <si>
    <t>M. I Dipartmental Store</t>
  </si>
  <si>
    <t>Md Ismail</t>
  </si>
  <si>
    <t>RET-25193</t>
  </si>
  <si>
    <t>Friends Telecom</t>
  </si>
  <si>
    <t>Md.Mamun</t>
  </si>
  <si>
    <t>RET-05860</t>
  </si>
  <si>
    <t>Nazma Telecom</t>
  </si>
  <si>
    <t>Md. Mir hossein</t>
  </si>
  <si>
    <t>RET-12715</t>
  </si>
  <si>
    <t>Bhuiyan Electronics and Mobile Shop (Liton Owner)</t>
  </si>
  <si>
    <t>Mr Liton</t>
  </si>
  <si>
    <t>RET-05796</t>
  </si>
  <si>
    <t>Fantasy Telecom-1</t>
  </si>
  <si>
    <t>Fantasy Telecom</t>
  </si>
  <si>
    <t>Sayed Arzu</t>
  </si>
  <si>
    <t>RET-05879</t>
  </si>
  <si>
    <t>Md.Kamruzzaman</t>
  </si>
  <si>
    <t>RET-05838</t>
  </si>
  <si>
    <t>Maa Watch</t>
  </si>
  <si>
    <t>MD.Sanaullah</t>
  </si>
  <si>
    <t>RET-06015</t>
  </si>
  <si>
    <t>Shahin Telecom</t>
  </si>
  <si>
    <t>Chandan Chandra Das</t>
  </si>
  <si>
    <t>Mobile Link</t>
  </si>
  <si>
    <t>RET-05114</t>
  </si>
  <si>
    <t>Alam Electronics</t>
  </si>
  <si>
    <t>Mobile Village</t>
  </si>
  <si>
    <t>Lohagora</t>
  </si>
  <si>
    <t>Mr.N Alam</t>
  </si>
  <si>
    <t>RET-05116</t>
  </si>
  <si>
    <t>Dream tech</t>
  </si>
  <si>
    <t>Mr.Enamul Haque</t>
  </si>
  <si>
    <t>RET-04802</t>
  </si>
  <si>
    <t>Prime Mobile</t>
  </si>
  <si>
    <t>Prime Mobile Center</t>
  </si>
  <si>
    <t>Md.Mijan</t>
  </si>
  <si>
    <t>RET-12765</t>
  </si>
  <si>
    <t>Prime telecom</t>
  </si>
  <si>
    <t>Mr.Abdullah Bablu</t>
  </si>
  <si>
    <t>RET-05147</t>
  </si>
  <si>
    <t>Shohag Telecom</t>
  </si>
  <si>
    <t>Mobile Zone*Patia</t>
  </si>
  <si>
    <t>Mr.Sumon</t>
  </si>
  <si>
    <t>RET-19634</t>
  </si>
  <si>
    <t>Shahidul Iislam</t>
  </si>
  <si>
    <t>RET-04320</t>
  </si>
  <si>
    <t>Harun Store</t>
  </si>
  <si>
    <t>Mr. Harun</t>
  </si>
  <si>
    <t>RET-04301</t>
  </si>
  <si>
    <t>A. Rahman Electronics</t>
  </si>
  <si>
    <t>Md. Faruk</t>
  </si>
  <si>
    <t>RET-26524</t>
  </si>
  <si>
    <t>Mizan Enterprise</t>
  </si>
  <si>
    <t>Md. Mizanur Rahman</t>
  </si>
  <si>
    <t>RET-04360</t>
  </si>
  <si>
    <t>Singapore Electronics</t>
  </si>
  <si>
    <t>Mr. Salim Uddin</t>
  </si>
  <si>
    <t>RET-04342</t>
  </si>
  <si>
    <t>Nadimpur Electronics</t>
  </si>
  <si>
    <t>Mr. M.A.Aziz</t>
  </si>
  <si>
    <t>RET-04329</t>
  </si>
  <si>
    <t>M/S Jahangir &amp; Brothers</t>
  </si>
  <si>
    <t>Md. Nazim Uddin</t>
  </si>
  <si>
    <t>RET-04359</t>
  </si>
  <si>
    <t>Sabrin Mobile Point</t>
  </si>
  <si>
    <t>Md Jamal</t>
  </si>
  <si>
    <t>RET-04606</t>
  </si>
  <si>
    <t>Noor Telecom</t>
  </si>
  <si>
    <t xml:space="preserve">Arif Patuary </t>
  </si>
  <si>
    <t>RET-04426</t>
  </si>
  <si>
    <t>A.B.M Telecom</t>
  </si>
  <si>
    <t>Mohammed Nuro</t>
  </si>
  <si>
    <t>RET-04385</t>
  </si>
  <si>
    <t xml:space="preserve">Sujon Mobile </t>
  </si>
  <si>
    <t>Ashish Babu</t>
  </si>
  <si>
    <t>RET-04305</t>
  </si>
  <si>
    <t>New Mobile City</t>
  </si>
  <si>
    <t>Md. rubel</t>
  </si>
  <si>
    <t>RET-13170</t>
  </si>
  <si>
    <t>J.S telecom</t>
  </si>
  <si>
    <t>Md Jasim Uddin</t>
  </si>
  <si>
    <t>RET-04319</t>
  </si>
  <si>
    <t>Habib Electronics</t>
  </si>
  <si>
    <t>Md Ferdous</t>
  </si>
  <si>
    <t>RET-04312</t>
  </si>
  <si>
    <t>G. N. Mobile</t>
  </si>
  <si>
    <t>Md Miraz</t>
  </si>
  <si>
    <t>RET-04343</t>
  </si>
  <si>
    <t>Nahar Electronics</t>
  </si>
  <si>
    <t>Mohammed Sayem</t>
  </si>
  <si>
    <t>RET-04311</t>
  </si>
  <si>
    <t>Easy Trading</t>
  </si>
  <si>
    <t>Md. Fousul Azim</t>
  </si>
  <si>
    <t>RET-14628</t>
  </si>
  <si>
    <t>Mahi telecom</t>
  </si>
  <si>
    <t>Md Rased</t>
  </si>
  <si>
    <t>RET-04356</t>
  </si>
  <si>
    <t>Shah Jabbaria Telecom</t>
  </si>
  <si>
    <t>Md.Mahfuz</t>
  </si>
  <si>
    <t>RET-04302</t>
  </si>
  <si>
    <t>A.K. Telecom</t>
  </si>
  <si>
    <t>Tinku Sarker</t>
  </si>
  <si>
    <t>Alauddin</t>
  </si>
  <si>
    <t>RET-04620</t>
  </si>
  <si>
    <t>C.D. Shop</t>
  </si>
  <si>
    <t>Md Tipu</t>
  </si>
  <si>
    <t>RET-04611</t>
  </si>
  <si>
    <t>Arif Mobile Collection</t>
  </si>
  <si>
    <t>Mr. Arif</t>
  </si>
  <si>
    <t>RET-27476</t>
  </si>
  <si>
    <t>Saidee Electronics</t>
  </si>
  <si>
    <t>Md. Alamin</t>
  </si>
  <si>
    <t>M Enterprise</t>
  </si>
  <si>
    <t>RET-05523</t>
  </si>
  <si>
    <t>Shimu Telecom</t>
  </si>
  <si>
    <t>Md. Fahad Bin Saleh</t>
  </si>
  <si>
    <t>RET-05519</t>
  </si>
  <si>
    <t>Mahi Traders</t>
  </si>
  <si>
    <t>Md. Alam</t>
  </si>
  <si>
    <t>RET-05736</t>
  </si>
  <si>
    <t>Katha Telecom</t>
  </si>
  <si>
    <t>Mr. Sree Ranjon Gos</t>
  </si>
  <si>
    <t>RET-05495</t>
  </si>
  <si>
    <t>mobile Fashion</t>
  </si>
  <si>
    <t>Md. Ziarul Hoque</t>
  </si>
  <si>
    <t>RET-20374</t>
  </si>
  <si>
    <t>Mahi Traders-2</t>
  </si>
  <si>
    <t>Md. Ahasan Habib</t>
  </si>
  <si>
    <t>RET-05723</t>
  </si>
  <si>
    <t>Chaina Mobile Mela</t>
  </si>
  <si>
    <t>Md. Al Amin</t>
  </si>
  <si>
    <t>RET-05521</t>
  </si>
  <si>
    <t>Md. Rakib</t>
  </si>
  <si>
    <t>RET-13721</t>
  </si>
  <si>
    <t>Mehedi Mobile</t>
  </si>
  <si>
    <t>Md. Yousuf</t>
  </si>
  <si>
    <t>RET-13750</t>
  </si>
  <si>
    <t>New Cell Bazar</t>
  </si>
  <si>
    <t>Ridwan</t>
  </si>
  <si>
    <t>RET-05740</t>
  </si>
  <si>
    <t>Showrov Telecom</t>
  </si>
  <si>
    <t>RET-05730</t>
  </si>
  <si>
    <t>Poddar Telecom</t>
  </si>
  <si>
    <t>Bisshujit gosh</t>
  </si>
  <si>
    <t>RET-13515</t>
  </si>
  <si>
    <t>sobuj telecom 2</t>
  </si>
  <si>
    <t>Mithun sorkar</t>
  </si>
  <si>
    <t>RET-05782</t>
  </si>
  <si>
    <t>Mobile Bazar</t>
  </si>
  <si>
    <t>Al Amin</t>
  </si>
  <si>
    <t>RET-05767</t>
  </si>
  <si>
    <t>Mobile House-2</t>
  </si>
  <si>
    <t>Mr. Faruqe</t>
  </si>
  <si>
    <t>RET-18934</t>
  </si>
  <si>
    <t>Monir Mobile Center</t>
  </si>
  <si>
    <t>Yousuf</t>
  </si>
  <si>
    <t>RET-05765</t>
  </si>
  <si>
    <t>Monir Mobile &amp;  Servicing</t>
  </si>
  <si>
    <t>Mr.Subir</t>
  </si>
  <si>
    <t>RET-06109</t>
  </si>
  <si>
    <t>Hemel Telecom</t>
  </si>
  <si>
    <t>Mobile Media Center Hatiya</t>
  </si>
  <si>
    <t>Md.Miraz Hossain</t>
  </si>
  <si>
    <t>RET-13923</t>
  </si>
  <si>
    <t>Md.Kajol Chowdhury</t>
  </si>
  <si>
    <t>RET-06268</t>
  </si>
  <si>
    <t>Benimoy Telecom</t>
  </si>
  <si>
    <t>Md.Humayun</t>
  </si>
  <si>
    <t>RET-06027</t>
  </si>
  <si>
    <t>Jonaki Telecom</t>
  </si>
  <si>
    <t>Sumon Dev Nath</t>
  </si>
  <si>
    <t>RET-06295</t>
  </si>
  <si>
    <t xml:space="preserve">Bismillah Telecom </t>
  </si>
  <si>
    <t>Iqbal Hossain Shipon</t>
  </si>
  <si>
    <t>RET-06294</t>
  </si>
  <si>
    <t>A Rahaman Telecom</t>
  </si>
  <si>
    <t>Md. Shishir Hossain</t>
  </si>
  <si>
    <t>RET-15470</t>
  </si>
  <si>
    <t>Moyna Telecom</t>
  </si>
  <si>
    <t>Md.Abdur Rahim</t>
  </si>
  <si>
    <t>RET-13930</t>
  </si>
  <si>
    <t>Alam Telecom</t>
  </si>
  <si>
    <t>Md.Alam</t>
  </si>
  <si>
    <t>RET-06059</t>
  </si>
  <si>
    <t>Riyem Telecom</t>
  </si>
  <si>
    <t>Md.Hamidur Rahman</t>
  </si>
  <si>
    <t>RET-14548</t>
  </si>
  <si>
    <t>Sudip Saha</t>
  </si>
  <si>
    <t>RET-06080</t>
  </si>
  <si>
    <t>Khuku Mobile Center</t>
  </si>
  <si>
    <t>Mr.Pintu</t>
  </si>
  <si>
    <t>RET-06187</t>
  </si>
  <si>
    <t>Dubai Telecom</t>
  </si>
  <si>
    <t>Md.Omar Farauk</t>
  </si>
  <si>
    <t>RET-06318</t>
  </si>
  <si>
    <t>Ayesha Telecom</t>
  </si>
  <si>
    <t>Md.Faisal</t>
  </si>
  <si>
    <t>RET-06239</t>
  </si>
  <si>
    <t>Riya Telecom</t>
  </si>
  <si>
    <t>Md. Imran Hossain</t>
  </si>
  <si>
    <t>RET-06236</t>
  </si>
  <si>
    <t>Sojib Telecom</t>
  </si>
  <si>
    <t>Md.Sobuj Hossain</t>
  </si>
  <si>
    <t>RET-06312</t>
  </si>
  <si>
    <t>Anu Telecom &amp;  Elec.</t>
  </si>
  <si>
    <t>Md. Abdul Mannan</t>
  </si>
  <si>
    <t>RET-06204</t>
  </si>
  <si>
    <t>Vai-Vai Telecom</t>
  </si>
  <si>
    <t>Md.Biplov</t>
  </si>
  <si>
    <t>RET-06238</t>
  </si>
  <si>
    <t>Md.Ismail Hossain</t>
  </si>
  <si>
    <t>RET-13914</t>
  </si>
  <si>
    <t>Grameen Information System</t>
  </si>
  <si>
    <t>Mr.Mitu</t>
  </si>
  <si>
    <t>RET-06035</t>
  </si>
  <si>
    <t>Harun Telecom</t>
  </si>
  <si>
    <t>Mr. Pintu</t>
  </si>
  <si>
    <t>RET-06178</t>
  </si>
  <si>
    <t>Md.Iqbal Hossen</t>
  </si>
  <si>
    <t>RET-06199</t>
  </si>
  <si>
    <t>Kamrul Mobile Center</t>
  </si>
  <si>
    <t>Md.Pabel</t>
  </si>
  <si>
    <t>RET-06170</t>
  </si>
  <si>
    <t>Md.Omor Faruk</t>
  </si>
  <si>
    <t>RET-06265</t>
  </si>
  <si>
    <t>Yeasin Telecom</t>
  </si>
  <si>
    <t>Md. Mehedi Hasan</t>
  </si>
  <si>
    <t>RET-06052</t>
  </si>
  <si>
    <t>Nijum Telecom</t>
  </si>
  <si>
    <t>Wahidur Rahman</t>
  </si>
  <si>
    <t>RET-06039</t>
  </si>
  <si>
    <t>Juwel Bishal Center</t>
  </si>
  <si>
    <t>Md. Yousuf Nobi</t>
  </si>
  <si>
    <t>RET-06221</t>
  </si>
  <si>
    <t>Tisha Niloy Telecom</t>
  </si>
  <si>
    <t>Md.Jakir Hossain</t>
  </si>
  <si>
    <t>RET-06026</t>
  </si>
  <si>
    <t>Mobile Fair</t>
  </si>
  <si>
    <t>Md.Abdur Rahman(Liton)</t>
  </si>
  <si>
    <t>RET-06186</t>
  </si>
  <si>
    <t>Noakhali Telecom</t>
  </si>
  <si>
    <t>Md.Maidul Islam (Rana)</t>
  </si>
  <si>
    <t>RET-06030</t>
  </si>
  <si>
    <t>New Soft line</t>
  </si>
  <si>
    <t>Md.Saiful Islam (Sohel)</t>
  </si>
  <si>
    <t>RET-15479</t>
  </si>
  <si>
    <t>Faisal Store (Hatiya)</t>
  </si>
  <si>
    <t>Abdul Kader</t>
  </si>
  <si>
    <t>Sonapur Computers &amp; Mobile</t>
  </si>
  <si>
    <t>Md.Sohag</t>
  </si>
  <si>
    <t>RET-06234</t>
  </si>
  <si>
    <t>Allar Dan Telecom</t>
  </si>
  <si>
    <t>Md.Mizanur Rahaman</t>
  </si>
  <si>
    <t>RET-06217</t>
  </si>
  <si>
    <t>M.K Telecom</t>
  </si>
  <si>
    <t>Md.Mohim Uddin</t>
  </si>
  <si>
    <t>RET-08785</t>
  </si>
  <si>
    <t>Friends Electronics</t>
  </si>
  <si>
    <t>Rahman Telecom</t>
  </si>
  <si>
    <t>Md. Kabil Hosain</t>
  </si>
  <si>
    <t>RET-08308</t>
  </si>
  <si>
    <t>Mahbub Traders</t>
  </si>
  <si>
    <t xml:space="preserve">Md.Mamun </t>
  </si>
  <si>
    <t>RET-08307</t>
  </si>
  <si>
    <t>Sharika Telecom</t>
  </si>
  <si>
    <t>Md.Juwel</t>
  </si>
  <si>
    <t>RET-08161</t>
  </si>
  <si>
    <t>Mucha Telecom</t>
  </si>
  <si>
    <t>Hello Naogaon</t>
  </si>
  <si>
    <t>Md.abu Mucha</t>
  </si>
  <si>
    <t>RET-07964</t>
  </si>
  <si>
    <t>Faysal Mobile</t>
  </si>
  <si>
    <t>Md. Bulbul Ahmed</t>
  </si>
  <si>
    <t>RET-08136</t>
  </si>
  <si>
    <t>Nahar Multimedia</t>
  </si>
  <si>
    <t xml:space="preserve">Md.Juwel </t>
  </si>
  <si>
    <t>RET-22524</t>
  </si>
  <si>
    <t>Hanif  Electric &amp; Electronics Media</t>
  </si>
  <si>
    <t>MD.Ashik Rana</t>
  </si>
  <si>
    <t>RET-09778</t>
  </si>
  <si>
    <t>Mobile Collection &amp; Ghorighor</t>
  </si>
  <si>
    <t>Mobile Collection &amp; Ghori Ghor</t>
  </si>
  <si>
    <t>Md. Hafij</t>
  </si>
  <si>
    <t>RET-07986</t>
  </si>
  <si>
    <t>Md.Swapan Islam</t>
  </si>
  <si>
    <t>RET-08105</t>
  </si>
  <si>
    <t>Khoka Store plus telecom</t>
  </si>
  <si>
    <t>Md.Sagar</t>
  </si>
  <si>
    <t>RET-07985</t>
  </si>
  <si>
    <t>Chantara Telecom</t>
  </si>
  <si>
    <t>Md.Shabuj Hossain</t>
  </si>
  <si>
    <t>RET-08782</t>
  </si>
  <si>
    <t>Mollah Enterprise</t>
  </si>
  <si>
    <t>Mr. Sumon</t>
  </si>
  <si>
    <t>RET-14699</t>
  </si>
  <si>
    <t>Suraiya Mobile  Center</t>
  </si>
  <si>
    <t>Md. Rubel Hasan</t>
  </si>
  <si>
    <t>RET-12216</t>
  </si>
  <si>
    <t>Ratul Mobile Plus</t>
  </si>
  <si>
    <t>Md.Daudul Haque</t>
  </si>
  <si>
    <t>RET-17781</t>
  </si>
  <si>
    <t>Dutta Electronics And Mobile Zone</t>
  </si>
  <si>
    <t>Mridul Kumar Das</t>
  </si>
  <si>
    <t>RET-07997</t>
  </si>
  <si>
    <t>Jewel Mobile Corner</t>
  </si>
  <si>
    <t>Sonjoy Kumar</t>
  </si>
  <si>
    <t>RET-07968</t>
  </si>
  <si>
    <t>Prio Computer &amp; Mobile Corner</t>
  </si>
  <si>
    <t>Md. Raju Ahmed</t>
  </si>
  <si>
    <t>RET-12458</t>
  </si>
  <si>
    <t xml:space="preserve">  Suborna Telecom</t>
  </si>
  <si>
    <t>Md. Mokhles</t>
  </si>
  <si>
    <t>RET-08781</t>
  </si>
  <si>
    <t>Md. Sabuj Ahmed</t>
  </si>
  <si>
    <t>RET-08096</t>
  </si>
  <si>
    <t>Manik Electronics</t>
  </si>
  <si>
    <t>MD.Manik</t>
  </si>
  <si>
    <t>RET-07858</t>
  </si>
  <si>
    <t>Tuhin Mobile center</t>
  </si>
  <si>
    <t>Sahriar Hossain</t>
  </si>
  <si>
    <t>RET-16312</t>
  </si>
  <si>
    <t>Shohel Telecom</t>
  </si>
  <si>
    <t>Md.Shohel Hossain</t>
  </si>
  <si>
    <t>RET-08237</t>
  </si>
  <si>
    <t>Jaman Telecom</t>
  </si>
  <si>
    <t>MEHEDI HASAN</t>
  </si>
  <si>
    <t>RET-09932</t>
  </si>
  <si>
    <t>Mobashira Telecom</t>
  </si>
  <si>
    <t>Mr. Mukul</t>
  </si>
  <si>
    <t>RET-20781</t>
  </si>
  <si>
    <t>Al Ahmed zone</t>
  </si>
  <si>
    <t>Md.Munir</t>
  </si>
  <si>
    <t>RET-07855</t>
  </si>
  <si>
    <t>Bina Mobile Center</t>
  </si>
  <si>
    <t>Mr. Bulton</t>
  </si>
  <si>
    <t>RET-08605</t>
  </si>
  <si>
    <t>Padma Mobile</t>
  </si>
  <si>
    <t>Md. Shimul Hossain</t>
  </si>
  <si>
    <t>RET-08326</t>
  </si>
  <si>
    <t>Dina Mobile House</t>
  </si>
  <si>
    <t>Setu Mia</t>
  </si>
  <si>
    <t>RET-09813</t>
  </si>
  <si>
    <t>Tuna Telecom</t>
  </si>
  <si>
    <t>Md. Forhad Hossain</t>
  </si>
  <si>
    <t>RET-11720</t>
  </si>
  <si>
    <t>Tanvir Telecom</t>
  </si>
  <si>
    <t>Swastidip Enterprise</t>
  </si>
  <si>
    <t>Md. Emon Khondokar</t>
  </si>
  <si>
    <t>RET-08361</t>
  </si>
  <si>
    <t>Irin Telecom</t>
  </si>
  <si>
    <t>Md.Jahid Rana</t>
  </si>
  <si>
    <t>RET-08680</t>
  </si>
  <si>
    <t>Md. Jannatul Ferdosh</t>
  </si>
  <si>
    <t>RET-07918</t>
  </si>
  <si>
    <t>Dighi Telecom</t>
  </si>
  <si>
    <t>Mr. Majnu</t>
  </si>
  <si>
    <t>RET-08632</t>
  </si>
  <si>
    <t>Muna Mobile Plus</t>
  </si>
  <si>
    <t>Md. Mithun</t>
  </si>
  <si>
    <t>RET-12345</t>
  </si>
  <si>
    <t>Jamuna telecom</t>
  </si>
  <si>
    <t>Mr. Mehedi</t>
  </si>
  <si>
    <t>RET-09805</t>
  </si>
  <si>
    <t>Roy Telecom</t>
  </si>
  <si>
    <t>Ashik Kumar</t>
  </si>
  <si>
    <t>RET-21197</t>
  </si>
  <si>
    <t>JS Mobile Mela</t>
  </si>
  <si>
    <t>Md.Arifuzzaman</t>
  </si>
  <si>
    <t>RET-08600</t>
  </si>
  <si>
    <t>Md. Shakwat Hossain</t>
  </si>
  <si>
    <t>RET-22405</t>
  </si>
  <si>
    <t>S.L Telecom</t>
  </si>
  <si>
    <t>Md.Sumon Ahmed</t>
  </si>
  <si>
    <t>RET-12820</t>
  </si>
  <si>
    <t>Galaxy Moblie</t>
  </si>
  <si>
    <t>Milon Ahmed</t>
  </si>
  <si>
    <t>RET-07741</t>
  </si>
  <si>
    <t>Sony Electronics</t>
  </si>
  <si>
    <t>Md. Asif Mahmud Limon</t>
  </si>
  <si>
    <t>RET-08025</t>
  </si>
  <si>
    <t>Omor Electronics</t>
  </si>
  <si>
    <t>Krishno Kumar Ghosh</t>
  </si>
  <si>
    <t>RET-08019</t>
  </si>
  <si>
    <t>Asif Telecom</t>
  </si>
  <si>
    <t>Md.Shihab Uddin</t>
  </si>
  <si>
    <t>RET-14703</t>
  </si>
  <si>
    <t>Chumki Telecom-2</t>
  </si>
  <si>
    <t>Md.Adol Ahmed</t>
  </si>
  <si>
    <t>RET-08334</t>
  </si>
  <si>
    <t>Naz Telecom</t>
  </si>
  <si>
    <t>Mr.Mukul</t>
  </si>
  <si>
    <t>RET-08077</t>
  </si>
  <si>
    <t>Al Ahmed telecom2</t>
  </si>
  <si>
    <t>Md.Alamgir Sheikh</t>
  </si>
  <si>
    <t>RET-07837</t>
  </si>
  <si>
    <t>Touch Electronics</t>
  </si>
  <si>
    <t>Md. Monsur Rahman</t>
  </si>
  <si>
    <t>RET-07686</t>
  </si>
  <si>
    <t>Grameen Mobile Phone</t>
  </si>
  <si>
    <t>Amanullah Uzzal</t>
  </si>
  <si>
    <t>RET-09827</t>
  </si>
  <si>
    <t>Picture Palace</t>
  </si>
  <si>
    <t>Bilash Roy</t>
  </si>
  <si>
    <t>RET-12955</t>
  </si>
  <si>
    <t>Trisha Telecom</t>
  </si>
  <si>
    <t>Mr. Shohag</t>
  </si>
  <si>
    <t>RET-09801</t>
  </si>
  <si>
    <t>Fahim Telecom</t>
  </si>
  <si>
    <t> Mr.Abdul Halem</t>
  </si>
  <si>
    <t>Alif Telecom</t>
  </si>
  <si>
    <t>RET-09878</t>
  </si>
  <si>
    <t>Self Point</t>
  </si>
  <si>
    <t>Md. Enamul Haque</t>
  </si>
  <si>
    <t>RET-14674</t>
  </si>
  <si>
    <t>Bijoy Traders</t>
  </si>
  <si>
    <t>Shakibul Hasan Hiru</t>
  </si>
  <si>
    <t>RET-09770</t>
  </si>
  <si>
    <t>Shahi Mobile</t>
  </si>
  <si>
    <t>RET-09901</t>
  </si>
  <si>
    <t> Md: Abu Naser</t>
  </si>
  <si>
    <t>Md. Rokibul Islam</t>
  </si>
  <si>
    <t>RET-09923</t>
  </si>
  <si>
    <t xml:space="preserve">A.R  Telecom          </t>
  </si>
  <si>
    <t>Md. Rana</t>
  </si>
  <si>
    <t>RET-12959</t>
  </si>
  <si>
    <t>Nayem Telecom</t>
  </si>
  <si>
    <t>Md. Nayon</t>
  </si>
  <si>
    <t>‎1714765355</t>
  </si>
  <si>
    <t>Multimedia</t>
  </si>
  <si>
    <t>Easy Telecom</t>
  </si>
  <si>
    <t>RET-11716</t>
  </si>
  <si>
    <t>Taim Electornics</t>
  </si>
  <si>
    <t>Md. Rumon Ali</t>
  </si>
  <si>
    <t>RET-08086</t>
  </si>
  <si>
    <t>Bhai Bhai Telecom</t>
  </si>
  <si>
    <t>Md.Faridul Islam</t>
  </si>
  <si>
    <t>Rubel Telecom</t>
  </si>
  <si>
    <t>RET-08353</t>
  </si>
  <si>
    <t>Roni Bekary</t>
  </si>
  <si>
    <t>Motiur Rahman Rony</t>
  </si>
  <si>
    <t>Md. Robin</t>
  </si>
  <si>
    <t>Arafat Telecom</t>
  </si>
  <si>
    <t>Md. Rony</t>
  </si>
  <si>
    <t>RET-15649</t>
  </si>
  <si>
    <t>Sadia Telecom</t>
  </si>
  <si>
    <t>Md.Shahjahan Mia</t>
  </si>
  <si>
    <t>RET-05671</t>
  </si>
  <si>
    <t>Classic Telecom</t>
  </si>
  <si>
    <t>M.A Mamun</t>
  </si>
  <si>
    <t>RET-05398</t>
  </si>
  <si>
    <t>Abdullah Telecom</t>
  </si>
  <si>
    <t>RET-03110</t>
  </si>
  <si>
    <t>Halima Beter Bitan</t>
  </si>
  <si>
    <t>Samiya Telecom-2</t>
  </si>
  <si>
    <t>Md.Rubel Mia</t>
  </si>
  <si>
    <t>RET-03031</t>
  </si>
  <si>
    <t>Md.Al Amin</t>
  </si>
  <si>
    <t>RET-05238</t>
  </si>
  <si>
    <t>S. B Mobile</t>
  </si>
  <si>
    <t>RET-15926</t>
  </si>
  <si>
    <t>Karno Mobile shop</t>
  </si>
  <si>
    <t>Sonjoy</t>
  </si>
  <si>
    <t>RET-15908</t>
  </si>
  <si>
    <t>jihad Telecom</t>
  </si>
  <si>
    <t>Karim Shikder</t>
  </si>
  <si>
    <t>RET-05223</t>
  </si>
  <si>
    <t>AQ1 Telecom</t>
  </si>
  <si>
    <t>Md. Rasel</t>
  </si>
  <si>
    <t>RET-05625</t>
  </si>
  <si>
    <t>One Mobile Phone</t>
  </si>
  <si>
    <t>Nasir Uddin Badal</t>
  </si>
  <si>
    <t>Mobile Care</t>
  </si>
  <si>
    <t>RET-03141</t>
  </si>
  <si>
    <t>Shoel Telecom</t>
  </si>
  <si>
    <t>Billal</t>
  </si>
  <si>
    <t>RET-15650</t>
  </si>
  <si>
    <t>N.S Telecom</t>
  </si>
  <si>
    <t>Mr. Mitu</t>
  </si>
  <si>
    <t>RET-04163</t>
  </si>
  <si>
    <t>Boishaki Telecom</t>
  </si>
  <si>
    <t>Ajoy Mollik</t>
  </si>
  <si>
    <t>RET-05307</t>
  </si>
  <si>
    <t>Ma Enterprise</t>
  </si>
  <si>
    <t>Md. Solaiman</t>
  </si>
  <si>
    <t>RET-23533</t>
  </si>
  <si>
    <t>H. R. Telecom</t>
  </si>
  <si>
    <t>Md. Ruhul Amin</t>
  </si>
  <si>
    <t>RET-03033</t>
  </si>
  <si>
    <t>Nahar Mobile Zone</t>
  </si>
  <si>
    <t>Bayjid Mia</t>
  </si>
  <si>
    <t>RET-15613</t>
  </si>
  <si>
    <t>Mr. Solaiman Khan</t>
  </si>
  <si>
    <t>RET-26257</t>
  </si>
  <si>
    <t>Md.Hossen Miaha</t>
  </si>
  <si>
    <t>RET-13490</t>
  </si>
  <si>
    <t>Bangladesh Telecom</t>
  </si>
  <si>
    <t>Sabbir prodhan</t>
  </si>
  <si>
    <t>RET-03133</t>
  </si>
  <si>
    <t>S One Telecom</t>
  </si>
  <si>
    <t>Md.Rajib</t>
  </si>
  <si>
    <t>RET-03030</t>
  </si>
  <si>
    <t>Kazi Mobile</t>
  </si>
  <si>
    <t>Tuhin</t>
  </si>
  <si>
    <t>RET-24530</t>
  </si>
  <si>
    <t>Md.Al Mamun</t>
  </si>
  <si>
    <t>RET-13114</t>
  </si>
  <si>
    <t>Md.Anowar Hossain</t>
  </si>
  <si>
    <t>Tamim Telecom</t>
  </si>
  <si>
    <t>RET-03011</t>
  </si>
  <si>
    <t>Jehad Telocom</t>
  </si>
  <si>
    <t>Himel Sharker</t>
  </si>
  <si>
    <t>RET-03089</t>
  </si>
  <si>
    <t>Vuia telecom</t>
  </si>
  <si>
    <t>Babu Bhuyan</t>
  </si>
  <si>
    <t>RET-03111</t>
  </si>
  <si>
    <t>Sishir Telecom</t>
  </si>
  <si>
    <t>Shissir ahmed Rubel</t>
  </si>
  <si>
    <t>RET-16612</t>
  </si>
  <si>
    <t>ANDROID GALLAERY</t>
  </si>
  <si>
    <t>Delwar Hussain</t>
  </si>
  <si>
    <t>RET-04021</t>
  </si>
  <si>
    <t>Farhan Telecom</t>
  </si>
  <si>
    <t>StarTel Distribution-2</t>
  </si>
  <si>
    <t>Md.Shahnur</t>
  </si>
  <si>
    <t>RET-14265</t>
  </si>
  <si>
    <t>Anupom Debnath</t>
  </si>
  <si>
    <t>RET-05202</t>
  </si>
  <si>
    <t>Mum Tel</t>
  </si>
  <si>
    <t>Md. Hasan</t>
  </si>
  <si>
    <t>RET-04069</t>
  </si>
  <si>
    <t>Pouspita Telecom</t>
  </si>
  <si>
    <t>Biplob Roy</t>
  </si>
  <si>
    <t>RET-04060</t>
  </si>
  <si>
    <t>Moumita telecom</t>
  </si>
  <si>
    <t>Sujon Paul</t>
  </si>
  <si>
    <t>RET-04039</t>
  </si>
  <si>
    <t>Siam &amp; Salman</t>
  </si>
  <si>
    <t>Md Jahid Pathan</t>
  </si>
  <si>
    <t>RET-19914</t>
  </si>
  <si>
    <t>R K telecom</t>
  </si>
  <si>
    <t>Pankaj Sarker</t>
  </si>
  <si>
    <t>RET-05414</t>
  </si>
  <si>
    <t>Rafiq Telecom</t>
  </si>
  <si>
    <t>Md.Redoy</t>
  </si>
  <si>
    <t>RET-12365</t>
  </si>
  <si>
    <t>Rakib Telecom</t>
  </si>
  <si>
    <t>Mr. Rejon</t>
  </si>
  <si>
    <t>RET-04017</t>
  </si>
  <si>
    <t>R.L Electronics &amp; Telecom</t>
  </si>
  <si>
    <t>Rajib Roy</t>
  </si>
  <si>
    <t>RET-22511</t>
  </si>
  <si>
    <t>Md. Dulal Mia</t>
  </si>
  <si>
    <t>RET-04131</t>
  </si>
  <si>
    <t>Mobile workshop</t>
  </si>
  <si>
    <t>Mr. Bekash</t>
  </si>
  <si>
    <t>RET-21256</t>
  </si>
  <si>
    <t>M A Telecom</t>
  </si>
  <si>
    <t>Mr.Ariful Islam</t>
  </si>
  <si>
    <t>RET-03045</t>
  </si>
  <si>
    <t>Ahona Mobile</t>
  </si>
  <si>
    <t>Md. Atiqur Rahman</t>
  </si>
  <si>
    <t>RET-05206</t>
  </si>
  <si>
    <t>Jahan Telecom</t>
  </si>
  <si>
    <t>Md. Javed</t>
  </si>
  <si>
    <t>RET-19958</t>
  </si>
  <si>
    <t>Muktizoddha Telecom</t>
  </si>
  <si>
    <t>Md. Arifur Rahman</t>
  </si>
  <si>
    <t>RET-15925</t>
  </si>
  <si>
    <t>Md.Shamim hossain</t>
  </si>
  <si>
    <t>RET-05408</t>
  </si>
  <si>
    <t>Joty Telecom</t>
  </si>
  <si>
    <t>Mr. Jahirul Islam</t>
  </si>
  <si>
    <t>RET-19912</t>
  </si>
  <si>
    <t>Partib telecom</t>
  </si>
  <si>
    <t>Pankaj Barmon</t>
  </si>
  <si>
    <t>RET-05607</t>
  </si>
  <si>
    <t xml:space="preserve">Siam Telecom </t>
  </si>
  <si>
    <t>Gaziur Rahman</t>
  </si>
  <si>
    <t>RET-16157</t>
  </si>
  <si>
    <t>G P C F</t>
  </si>
  <si>
    <t>Sagor Sarkar</t>
  </si>
  <si>
    <t>RET-14779</t>
  </si>
  <si>
    <t>S S Brothers Telecom</t>
  </si>
  <si>
    <t>Mr Syamol</t>
  </si>
  <si>
    <t>RET-03916</t>
  </si>
  <si>
    <t>Sabana Telecom</t>
  </si>
  <si>
    <t>Kayes Gajnavi</t>
  </si>
  <si>
    <t>RET-13665</t>
  </si>
  <si>
    <t>Al Mamun Electronic</t>
  </si>
  <si>
    <t>Md. Momin Uddin Mamun</t>
  </si>
  <si>
    <t>RET-05213</t>
  </si>
  <si>
    <t>SMS Telecom</t>
  </si>
  <si>
    <t>Mr. Shahadat Hossain</t>
  </si>
  <si>
    <t>RET-16500</t>
  </si>
  <si>
    <t>NAWRIN TELECOM</t>
  </si>
  <si>
    <t>Kanuronjon Bhowmik</t>
  </si>
  <si>
    <t>RET-13794</t>
  </si>
  <si>
    <t>Hanif Brother's</t>
  </si>
  <si>
    <t>Mr. Shahjalal</t>
  </si>
  <si>
    <t>RET-05390</t>
  </si>
  <si>
    <t>Md. Asraful</t>
  </si>
  <si>
    <t>RET-19778</t>
  </si>
  <si>
    <t>LNT Telecom</t>
  </si>
  <si>
    <t>Mohammed Ali</t>
  </si>
  <si>
    <t>RET-04255</t>
  </si>
  <si>
    <t>Mr.Monoronjon Davnath</t>
  </si>
  <si>
    <t>RET-03005</t>
  </si>
  <si>
    <t>U.B Telecom</t>
  </si>
  <si>
    <t>Sejon Saha</t>
  </si>
  <si>
    <t>RET-03027</t>
  </si>
  <si>
    <t>N.R Telecom</t>
  </si>
  <si>
    <t>Samiya Telecom</t>
  </si>
  <si>
    <t xml:space="preserve">Md.Rasel </t>
  </si>
  <si>
    <t>RET-04233</t>
  </si>
  <si>
    <t>Omit Telecom</t>
  </si>
  <si>
    <t>Mr.Amit Shan</t>
  </si>
  <si>
    <t>RET-03153</t>
  </si>
  <si>
    <t>Asad telecom</t>
  </si>
  <si>
    <t>Sagar Dash</t>
  </si>
  <si>
    <t>RET-05612</t>
  </si>
  <si>
    <t>Khaza Mobile Center</t>
  </si>
  <si>
    <t>RET-19582</t>
  </si>
  <si>
    <t>J S traders  3</t>
  </si>
  <si>
    <t>Abdul Jobbar</t>
  </si>
  <si>
    <t>RET-04029</t>
  </si>
  <si>
    <t>Teleworld</t>
  </si>
  <si>
    <t>Saju Bonik</t>
  </si>
  <si>
    <t>RET-16617</t>
  </si>
  <si>
    <t>AL MAHMUD COMPUTER</t>
  </si>
  <si>
    <t>RET-04145</t>
  </si>
  <si>
    <t>Udoy Telecom</t>
  </si>
  <si>
    <t>Md.Mustafa Kamal</t>
  </si>
  <si>
    <t>RET-14293</t>
  </si>
  <si>
    <t>Link World</t>
  </si>
  <si>
    <t>Dipok Das</t>
  </si>
  <si>
    <t>RET-14650</t>
  </si>
  <si>
    <t>Omor Telecom</t>
  </si>
  <si>
    <t>Sumon Chondro Sarkar</t>
  </si>
  <si>
    <t>RET-14536</t>
  </si>
  <si>
    <t>Mamun Trading</t>
  </si>
  <si>
    <t>Abdur Rab</t>
  </si>
  <si>
    <t>RET-03136</t>
  </si>
  <si>
    <t>Faysal Bhuyan</t>
  </si>
  <si>
    <t>RET-04038</t>
  </si>
  <si>
    <t>T &amp;  T Telecom</t>
  </si>
  <si>
    <t>Nur Hossain Topon</t>
  </si>
  <si>
    <t>Mobile Garden</t>
  </si>
  <si>
    <t>RET-05626</t>
  </si>
  <si>
    <t>Md. Alauddin</t>
  </si>
  <si>
    <t>RET-05387</t>
  </si>
  <si>
    <t xml:space="preserve">Md.Rony </t>
  </si>
  <si>
    <t>RET-05413</t>
  </si>
  <si>
    <t>Ma moni Telecom</t>
  </si>
  <si>
    <t>Md. Akter Husaain</t>
  </si>
  <si>
    <t>Sumon</t>
  </si>
  <si>
    <t>RET-05458</t>
  </si>
  <si>
    <t>Aloron Telecom</t>
  </si>
  <si>
    <t>Suhel Rana</t>
  </si>
  <si>
    <t>RET-16552</t>
  </si>
  <si>
    <t>Rezwan Telecom</t>
  </si>
  <si>
    <t>RET-04054</t>
  </si>
  <si>
    <t>Rusel Telecom</t>
  </si>
  <si>
    <t>Saidu Islam</t>
  </si>
  <si>
    <t>RET-19557</t>
  </si>
  <si>
    <t>S.A Mobile</t>
  </si>
  <si>
    <t>RET-03929</t>
  </si>
  <si>
    <t>Simla Telecom</t>
  </si>
  <si>
    <t>Rejaul Karim Hasan</t>
  </si>
  <si>
    <t>RET-23634</t>
  </si>
  <si>
    <t>Hanif Telecom</t>
  </si>
  <si>
    <t>Md. Azhar</t>
  </si>
  <si>
    <t>RET-04170</t>
  </si>
  <si>
    <t>T.N Phonto Media</t>
  </si>
  <si>
    <t>Mishon Debnath</t>
  </si>
  <si>
    <t>RET-05606</t>
  </si>
  <si>
    <t>Rajib Visul</t>
  </si>
  <si>
    <t>Md. Hannan Mia</t>
  </si>
  <si>
    <t>RET-20476</t>
  </si>
  <si>
    <t>Gazi Mobile Zone</t>
  </si>
  <si>
    <t>Md sujon</t>
  </si>
  <si>
    <t>RET-01526</t>
  </si>
  <si>
    <t>Bhi Bhi Telecom</t>
  </si>
  <si>
    <t>Monir Hossain</t>
  </si>
  <si>
    <t>RET-19073</t>
  </si>
  <si>
    <t xml:space="preserve">Mahtab International </t>
  </si>
  <si>
    <t>Mr. Rabby</t>
  </si>
  <si>
    <t>RET-18115</t>
  </si>
  <si>
    <t>Mahir Telecom</t>
  </si>
  <si>
    <t xml:space="preserve">Md. Sarif </t>
  </si>
  <si>
    <t>RET-17472</t>
  </si>
  <si>
    <t>Fahad Electronics</t>
  </si>
  <si>
    <t>Sohel Rana</t>
  </si>
  <si>
    <t>RET-01197</t>
  </si>
  <si>
    <t>Mr. Anower</t>
  </si>
  <si>
    <t>RET-12407</t>
  </si>
  <si>
    <t>Afreen Telecom</t>
  </si>
  <si>
    <t>Md. Read</t>
  </si>
  <si>
    <t>RET-11649</t>
  </si>
  <si>
    <t>Fahad Telecom</t>
  </si>
  <si>
    <t>Tarek Hasan Sumon</t>
  </si>
  <si>
    <t>RET-00959</t>
  </si>
  <si>
    <t>Shaon Telecom</t>
  </si>
  <si>
    <t>Md. Said</t>
  </si>
  <si>
    <t>RET-01821</t>
  </si>
  <si>
    <t>Md. Sujon</t>
  </si>
  <si>
    <t>RET-12409</t>
  </si>
  <si>
    <t>cell tech</t>
  </si>
  <si>
    <t>Md. Shakil</t>
  </si>
  <si>
    <t>RET-01536</t>
  </si>
  <si>
    <t>Bismillah Mobile Zone</t>
  </si>
  <si>
    <t>Mr. Pranto</t>
  </si>
  <si>
    <t>RET-14519</t>
  </si>
  <si>
    <t>Brand Tel</t>
  </si>
  <si>
    <t>Md. Hamzal</t>
  </si>
  <si>
    <t>RET-18116</t>
  </si>
  <si>
    <t>Maria Telecom</t>
  </si>
  <si>
    <t>RET-00696</t>
  </si>
  <si>
    <t>M J Mobile Shop</t>
  </si>
  <si>
    <t>Md. Suruj Jaman</t>
  </si>
  <si>
    <t>RET-01575</t>
  </si>
  <si>
    <t>Amanot telecom</t>
  </si>
  <si>
    <t>Md. Rashed</t>
  </si>
  <si>
    <t>RET-01561</t>
  </si>
  <si>
    <t>Swapon Mobile Zone</t>
  </si>
  <si>
    <t>Md. Siddiqur Rahaman</t>
  </si>
  <si>
    <t>RET-01570</t>
  </si>
  <si>
    <t>Foysal Telecom</t>
  </si>
  <si>
    <t xml:space="preserve">Md. Obayed Ullah </t>
  </si>
  <si>
    <t>RET-25808</t>
  </si>
  <si>
    <t>Shaon telecom &amp; Mobile</t>
  </si>
  <si>
    <t>Md Rubel</t>
  </si>
  <si>
    <t>RET-12502</t>
  </si>
  <si>
    <t>Rayer bazar Mobile show room</t>
  </si>
  <si>
    <t xml:space="preserve">Md. Younus </t>
  </si>
  <si>
    <t>RET-00325</t>
  </si>
  <si>
    <t>Ahsan Sayed</t>
  </si>
  <si>
    <t>RET-14713</t>
  </si>
  <si>
    <t>Neamon Telecom</t>
  </si>
  <si>
    <t>Md. Rajib</t>
  </si>
  <si>
    <t>RET-20883</t>
  </si>
  <si>
    <t>Md. Atiqur</t>
  </si>
  <si>
    <t>RET-01217</t>
  </si>
  <si>
    <t>M. F. Telecom</t>
  </si>
  <si>
    <t>Md. Manik</t>
  </si>
  <si>
    <t>RET-01101</t>
  </si>
  <si>
    <t>Technicom IT</t>
  </si>
  <si>
    <t>Jahangir Alam</t>
  </si>
  <si>
    <t>RET-23742</t>
  </si>
  <si>
    <t xml:space="preserve">Mollah Telecom &amp; Servicing </t>
  </si>
  <si>
    <t>Md. Anwar Hossen</t>
  </si>
  <si>
    <t>RET-00308</t>
  </si>
  <si>
    <t>S.N.S Telecom</t>
  </si>
  <si>
    <t>Anjan Bhomuk</t>
  </si>
  <si>
    <t>RET-11753</t>
  </si>
  <si>
    <t>Md. Anisul Haque</t>
  </si>
  <si>
    <t>RET-18065</t>
  </si>
  <si>
    <t>RET-01889</t>
  </si>
  <si>
    <t xml:space="preserve"> Saidur Telecom </t>
  </si>
  <si>
    <t xml:space="preserve">MD.Saidur  Hossain </t>
  </si>
  <si>
    <t xml:space="preserve"> ‎1688488777</t>
  </si>
  <si>
    <t>RET-00950</t>
  </si>
  <si>
    <t>Ma multimedia</t>
  </si>
  <si>
    <t>Delwar</t>
  </si>
  <si>
    <t>RET-01894</t>
  </si>
  <si>
    <t>Kashem Telecom</t>
  </si>
  <si>
    <t>Abul Kashem</t>
  </si>
  <si>
    <t>RET-01922</t>
  </si>
  <si>
    <t xml:space="preserve"> F &amp; H Telecom</t>
  </si>
  <si>
    <t xml:space="preserve"> MD.Mahabub Shek</t>
  </si>
  <si>
    <t xml:space="preserve"> ‎1755705030 </t>
  </si>
  <si>
    <t>RET-01519</t>
  </si>
  <si>
    <t>Fair Mobile</t>
  </si>
  <si>
    <t>Md. Salim Hossain</t>
  </si>
  <si>
    <t>RET-00096</t>
  </si>
  <si>
    <t>Raz Tel</t>
  </si>
  <si>
    <t>Robel Ahmed</t>
  </si>
  <si>
    <t>RET-01273</t>
  </si>
  <si>
    <t>Dream land Mobile</t>
  </si>
  <si>
    <t>Rubayet Ahmed Chowdhury</t>
  </si>
  <si>
    <t>Md. Babu</t>
  </si>
  <si>
    <t>RET-17688</t>
  </si>
  <si>
    <t xml:space="preserve"> Kotha Telecom  </t>
  </si>
  <si>
    <t>MD. Rubal Molla</t>
  </si>
  <si>
    <t xml:space="preserve"> ‎1721168640</t>
  </si>
  <si>
    <t>RET-01886</t>
  </si>
  <si>
    <t>Sabbir Telecom</t>
  </si>
  <si>
    <t>Hannan Mia</t>
  </si>
  <si>
    <t>RET-01884</t>
  </si>
  <si>
    <t>S B Telecom</t>
  </si>
  <si>
    <t>Anondho Rajbonshi</t>
  </si>
  <si>
    <t>RET-22831</t>
  </si>
  <si>
    <t>Rongin Shopno</t>
  </si>
  <si>
    <t>Raju ahmed</t>
  </si>
  <si>
    <t>RET-21274</t>
  </si>
  <si>
    <t>SR Telecom</t>
  </si>
  <si>
    <t>Md. Milon</t>
  </si>
  <si>
    <t>RET-00702</t>
  </si>
  <si>
    <t>Mobile Three</t>
  </si>
  <si>
    <t>Nurul Huda</t>
  </si>
  <si>
    <t>RET-01654</t>
  </si>
  <si>
    <t>M/S Shahajada Electr.</t>
  </si>
  <si>
    <t>Mr. Jony</t>
  </si>
  <si>
    <t>RET-12788</t>
  </si>
  <si>
    <t>Rifat Mobile Corner</t>
  </si>
  <si>
    <t>Md. Kamal</t>
  </si>
  <si>
    <t>RET-00097</t>
  </si>
  <si>
    <t>S.K. Telecom</t>
  </si>
  <si>
    <t>Mr. Bissojit</t>
  </si>
  <si>
    <t>RET-01903</t>
  </si>
  <si>
    <t>Master telecom</t>
  </si>
  <si>
    <t>Mr. Hasan</t>
  </si>
  <si>
    <t>RET-00463</t>
  </si>
  <si>
    <t>Ananna Telecom</t>
  </si>
  <si>
    <t>Afzal Hossain Jony</t>
  </si>
  <si>
    <t>RET-01565</t>
  </si>
  <si>
    <t>Sayemm Telecom</t>
  </si>
  <si>
    <t xml:space="preserve">Mr. Babul sarkar </t>
  </si>
  <si>
    <t>RET-25962</t>
  </si>
  <si>
    <t>Babu Mobile Shop-2</t>
  </si>
  <si>
    <t>Md. Kajol</t>
  </si>
  <si>
    <t>RET-12499</t>
  </si>
  <si>
    <t>Anika Telecom</t>
  </si>
  <si>
    <t>Sohel Ahmed</t>
  </si>
  <si>
    <t>RET-00267</t>
  </si>
  <si>
    <t xml:space="preserve">Sharmin Mobile </t>
  </si>
  <si>
    <t>Mr. Manik</t>
  </si>
  <si>
    <t>RET-12278</t>
  </si>
  <si>
    <t>Jahangir Telecom</t>
  </si>
  <si>
    <t>Abu Bakkar</t>
  </si>
  <si>
    <t>RET-01874</t>
  </si>
  <si>
    <t>S. A Telecom</t>
  </si>
  <si>
    <t>Mr. Asaduzzaman</t>
  </si>
  <si>
    <t>RET-01784</t>
  </si>
  <si>
    <t>AB Electronics</t>
  </si>
  <si>
    <t>Mohon Mia</t>
  </si>
  <si>
    <t>RET-12412</t>
  </si>
  <si>
    <t>Siraj Telecom</t>
  </si>
  <si>
    <t>Nadim Miah</t>
  </si>
  <si>
    <t>RET-24738</t>
  </si>
  <si>
    <t xml:space="preserve">J P Telecom </t>
  </si>
  <si>
    <t>Mr. Faruk</t>
  </si>
  <si>
    <t>‎01705612911</t>
  </si>
  <si>
    <t>RET-20198</t>
  </si>
  <si>
    <t>Jomidar Eletronics</t>
  </si>
  <si>
    <t>Md. Monjur Hasan Bhuiyan (Rajib)</t>
  </si>
  <si>
    <t>RET-00288</t>
  </si>
  <si>
    <t>Md. Shafiqul Islam</t>
  </si>
  <si>
    <t>RET-17659</t>
  </si>
  <si>
    <t>Mahbub Enterprise</t>
  </si>
  <si>
    <t>Mr. Enamul</t>
  </si>
  <si>
    <t>Md. Imran</t>
  </si>
  <si>
    <t>RET-01606</t>
  </si>
  <si>
    <t>Janoni Teleecom</t>
  </si>
  <si>
    <t>Skhwat Hosen</t>
  </si>
  <si>
    <t>RET-01887</t>
  </si>
  <si>
    <t>RET-01633</t>
  </si>
  <si>
    <t>Bulbul General Electronics-2</t>
  </si>
  <si>
    <t>Vony Boshon shah</t>
  </si>
  <si>
    <t>RET-01895</t>
  </si>
  <si>
    <t xml:space="preserve">Atik Telecom  </t>
  </si>
  <si>
    <t>Ataur rahman Atik</t>
  </si>
  <si>
    <t>‎01771121212</t>
  </si>
  <si>
    <t>RET-01776</t>
  </si>
  <si>
    <t>Sohan Telecom</t>
  </si>
  <si>
    <t>Mr.  Jahid</t>
  </si>
  <si>
    <t>RET-01528</t>
  </si>
  <si>
    <t>Forid Telecom</t>
  </si>
  <si>
    <t>Md. Forid</t>
  </si>
  <si>
    <t>RET-22582</t>
  </si>
  <si>
    <t>Diploma mobile service 2</t>
  </si>
  <si>
    <t>Anower Parvez</t>
  </si>
  <si>
    <t>Rohan Telecom</t>
  </si>
  <si>
    <t>RET-09158</t>
  </si>
  <si>
    <t>Renesa Communication</t>
  </si>
  <si>
    <t>Mintu Kumar Das</t>
  </si>
  <si>
    <t>RET-09241</t>
  </si>
  <si>
    <t>As Sadik</t>
  </si>
  <si>
    <t>M/S. Nodi Nishat Enterprise</t>
  </si>
  <si>
    <t>Mr.Azam</t>
  </si>
  <si>
    <t>RET-09316</t>
  </si>
  <si>
    <t>Tasnia Telecom</t>
  </si>
  <si>
    <t>Md.Romjan Ali</t>
  </si>
  <si>
    <t>RET-09314</t>
  </si>
  <si>
    <t>Quasha Telecom</t>
  </si>
  <si>
    <t>Mahedi Hasan</t>
  </si>
  <si>
    <t>RET-09363</t>
  </si>
  <si>
    <t>Himel Media</t>
  </si>
  <si>
    <t>Md.Khokon</t>
  </si>
  <si>
    <t>RET-14656</t>
  </si>
  <si>
    <t>Saina Telecom</t>
  </si>
  <si>
    <t>Md.shamim</t>
  </si>
  <si>
    <t>RET-09584</t>
  </si>
  <si>
    <t>Orthi International</t>
  </si>
  <si>
    <t>Swaranika  Enterprise</t>
  </si>
  <si>
    <t>Mr. Nayan</t>
  </si>
  <si>
    <t>RET-09188</t>
  </si>
  <si>
    <t>Maliha Telecom</t>
  </si>
  <si>
    <t>Md.Mehedi islam</t>
  </si>
  <si>
    <t>RET-09268</t>
  </si>
  <si>
    <t>Bandhan Telecom</t>
  </si>
  <si>
    <t>Md. Shaown Rana</t>
  </si>
  <si>
    <t>RET-18154</t>
  </si>
  <si>
    <t>Tanbin Mobile</t>
  </si>
  <si>
    <t>Md. Hossain Islam</t>
  </si>
  <si>
    <t>RET-20951</t>
  </si>
  <si>
    <t>I T  Point</t>
  </si>
  <si>
    <t>Md. Mahmud</t>
  </si>
  <si>
    <t>RET-09225</t>
  </si>
  <si>
    <t>Jhorna Telecom</t>
  </si>
  <si>
    <t>Bikash kundu</t>
  </si>
  <si>
    <t>RET-09738</t>
  </si>
  <si>
    <t>Bormon Telecom</t>
  </si>
  <si>
    <t>Mukol Roy</t>
  </si>
  <si>
    <t>RET-09306</t>
  </si>
  <si>
    <t>Zabed Watch</t>
  </si>
  <si>
    <t>Mr.Jahid</t>
  </si>
  <si>
    <t>RET-20243</t>
  </si>
  <si>
    <t>J.B Telecom</t>
  </si>
  <si>
    <t>Md. Motalleb Hossain</t>
  </si>
  <si>
    <t>RET-09383</t>
  </si>
  <si>
    <t>Sieam Telecom</t>
  </si>
  <si>
    <t>Md. Faruk Hossain</t>
  </si>
  <si>
    <t>RET-09050</t>
  </si>
  <si>
    <t>City Link 11</t>
  </si>
  <si>
    <t>Md. Sujon Mia</t>
  </si>
  <si>
    <t>RET-09267</t>
  </si>
  <si>
    <t>S A Telecom</t>
  </si>
  <si>
    <t>Md.Sayed</t>
  </si>
  <si>
    <t>RET-09716</t>
  </si>
  <si>
    <t>Morning Sun</t>
  </si>
  <si>
    <t>Mr. Nur Alam</t>
  </si>
  <si>
    <t>RET-09430</t>
  </si>
  <si>
    <t>Boisakhi Mobile Centre</t>
  </si>
  <si>
    <t>Md. Saju</t>
  </si>
  <si>
    <t>RET-09435</t>
  </si>
  <si>
    <t>Renesha Mobile Mart</t>
  </si>
  <si>
    <t>Mr. Sonjoy Bosak</t>
  </si>
  <si>
    <t>RET-09633</t>
  </si>
  <si>
    <t>Friends Watch</t>
  </si>
  <si>
    <t>Mr. Kishor</t>
  </si>
  <si>
    <t>RET-09651</t>
  </si>
  <si>
    <t>Mobile Maath</t>
  </si>
  <si>
    <t>Md. Azharul</t>
  </si>
  <si>
    <t>RET-09145</t>
  </si>
  <si>
    <t>Rumel Telecom</t>
  </si>
  <si>
    <t>Md.Rumel</t>
  </si>
  <si>
    <t>RET-09618</t>
  </si>
  <si>
    <t>Md. Ashraful Islam Babu</t>
  </si>
  <si>
    <t>RET-09668</t>
  </si>
  <si>
    <t>Soudia Telecom</t>
  </si>
  <si>
    <t>Neyamot Ali</t>
  </si>
  <si>
    <t>RET-15016</t>
  </si>
  <si>
    <t>Zahid Telecom</t>
  </si>
  <si>
    <t>Md. Malek Uddin</t>
  </si>
  <si>
    <t>RET-10041</t>
  </si>
  <si>
    <t>Jibon Multimedia</t>
  </si>
  <si>
    <t xml:space="preserve">  Mr.Jibon</t>
  </si>
  <si>
    <t>RET-10079</t>
  </si>
  <si>
    <t>Md.Saiful Islam Babu</t>
  </si>
  <si>
    <t>RET-09560</t>
  </si>
  <si>
    <t>Mamoni Communication</t>
  </si>
  <si>
    <t>Mr Zakir Hossain</t>
  </si>
  <si>
    <t>RET-09377</t>
  </si>
  <si>
    <t>B P Electronices</t>
  </si>
  <si>
    <t>Md. Mobarak</t>
  </si>
  <si>
    <t>RET-10047</t>
  </si>
  <si>
    <t>Saha Telecom</t>
  </si>
  <si>
    <t>Mr. Titu Saha</t>
  </si>
  <si>
    <t>RET-08927</t>
  </si>
  <si>
    <t>Sunfia Enterprises</t>
  </si>
  <si>
    <t>Mr. Shojib Mia</t>
  </si>
  <si>
    <t>RET-09582</t>
  </si>
  <si>
    <t>Mum Telecom 1</t>
  </si>
  <si>
    <t xml:space="preserve"> Mr. Motin</t>
  </si>
  <si>
    <t>RET-09667</t>
  </si>
  <si>
    <t>Maa Media</t>
  </si>
  <si>
    <t>Md.Sirajul Haque</t>
  </si>
  <si>
    <t>RET-19644</t>
  </si>
  <si>
    <t>Astha Telecom</t>
  </si>
  <si>
    <t>Mr. Shisir Khan</t>
  </si>
  <si>
    <t>RET-10015</t>
  </si>
  <si>
    <t>Mondol Telecom</t>
  </si>
  <si>
    <t>Md. Jahangir Alom</t>
  </si>
  <si>
    <t>RET-09695</t>
  </si>
  <si>
    <t>Ranjit Telecom</t>
  </si>
  <si>
    <t>Shree Ranjan Kumar Roy</t>
  </si>
  <si>
    <t>RET-15400</t>
  </si>
  <si>
    <t>Khadija Telecom</t>
  </si>
  <si>
    <t>Md.Abdullah Al Mamun</t>
  </si>
  <si>
    <t>RET-22909</t>
  </si>
  <si>
    <t>Aktar Telecom</t>
  </si>
  <si>
    <t>Md. Aktar Hossain</t>
  </si>
  <si>
    <t>RET-09421</t>
  </si>
  <si>
    <t>Badhon Telecom</t>
  </si>
  <si>
    <t>Md. Badol Hossain</t>
  </si>
  <si>
    <t>RET-09644</t>
  </si>
  <si>
    <t>Arzu Telecom</t>
  </si>
  <si>
    <t>Md.Sajjad Hossain</t>
  </si>
  <si>
    <t>RET-09436</t>
  </si>
  <si>
    <t>Abdulla Telecom</t>
  </si>
  <si>
    <t>Md.Jahirul Islam</t>
  </si>
  <si>
    <t>RET-10023</t>
  </si>
  <si>
    <t>RET-09369</t>
  </si>
  <si>
    <t>Abu Shale</t>
  </si>
  <si>
    <t>RET-09654</t>
  </si>
  <si>
    <t>Serker Telecom</t>
  </si>
  <si>
    <t>Md. Joni</t>
  </si>
  <si>
    <t>RET-10027</t>
  </si>
  <si>
    <t>Rumman Electronics</t>
  </si>
  <si>
    <t>Md.Abul Kalam Azad Miah</t>
  </si>
  <si>
    <t>RET-09475</t>
  </si>
  <si>
    <t>Raju Telecom</t>
  </si>
  <si>
    <t>Md.Raju Ahmed Shapon</t>
  </si>
  <si>
    <t>RET-15005</t>
  </si>
  <si>
    <t>Mitu Telecom</t>
  </si>
  <si>
    <t>Md. Mintu Miah</t>
  </si>
  <si>
    <t>RET-09994</t>
  </si>
  <si>
    <t>Soikot Telecom</t>
  </si>
  <si>
    <t>Md.Khairul Islam</t>
  </si>
  <si>
    <t>RET-09729</t>
  </si>
  <si>
    <t>RET-18439</t>
  </si>
  <si>
    <t>Hasif Mobile Shop</t>
  </si>
  <si>
    <t>Md. Rakib Bepari</t>
  </si>
  <si>
    <t>RET-09653</t>
  </si>
  <si>
    <t>Rowson Telecom</t>
  </si>
  <si>
    <t>Md. Ashiq</t>
  </si>
  <si>
    <t>RET-13714</t>
  </si>
  <si>
    <t>RAZA MOBILE CORNER</t>
  </si>
  <si>
    <t>Mr. Raza</t>
  </si>
  <si>
    <t>RET-10032</t>
  </si>
  <si>
    <t>Rebon Telecom</t>
  </si>
  <si>
    <t>Md. Rupom</t>
  </si>
  <si>
    <t>RET-19471</t>
  </si>
  <si>
    <t>Md. Anwar Hossain</t>
  </si>
  <si>
    <t>RET-08968</t>
  </si>
  <si>
    <t>R.S Tel</t>
  </si>
  <si>
    <t xml:space="preserve">Mr. Sagor </t>
  </si>
  <si>
    <t>RET-20130</t>
  </si>
  <si>
    <t xml:space="preserve"> Feroz Telecom Plus</t>
  </si>
  <si>
    <t>RET-10005</t>
  </si>
  <si>
    <t>Maruf Mobile Palace</t>
  </si>
  <si>
    <t>Mr.Mozid</t>
  </si>
  <si>
    <t>RET-09052</t>
  </si>
  <si>
    <t>Raja Telecom</t>
  </si>
  <si>
    <t>Mr. Abu Said</t>
  </si>
  <si>
    <t>RET-10001</t>
  </si>
  <si>
    <t>Mahafuza Telecom</t>
  </si>
  <si>
    <t>Md. Riyad Hossain</t>
  </si>
  <si>
    <t>RET-23284</t>
  </si>
  <si>
    <t xml:space="preserve">Jewel Telecom </t>
  </si>
  <si>
    <t>Md.Jewel Hasan</t>
  </si>
  <si>
    <t>RET-09491</t>
  </si>
  <si>
    <t>Digonto Telecom</t>
  </si>
  <si>
    <t>Md. Shafiqul</t>
  </si>
  <si>
    <t>RET-21875</t>
  </si>
  <si>
    <t>New Multimedia &amp; Mobile</t>
  </si>
  <si>
    <t>Md. Abdur Rahman</t>
  </si>
  <si>
    <t>RET-08921</t>
  </si>
  <si>
    <t>Marzan Mobile Zone</t>
  </si>
  <si>
    <t xml:space="preserve">Mr. Rinku </t>
  </si>
  <si>
    <t>RET-09645</t>
  </si>
  <si>
    <t>Kajol Telecom-1</t>
  </si>
  <si>
    <t>Md.Babu</t>
  </si>
  <si>
    <t>RET-09107</t>
  </si>
  <si>
    <t>Hima Telecom</t>
  </si>
  <si>
    <t xml:space="preserve">  Mr. Shahidul Islam</t>
  </si>
  <si>
    <t>RET-09966</t>
  </si>
  <si>
    <t>Amin Telecom</t>
  </si>
  <si>
    <t>Md. Sunny Mia</t>
  </si>
  <si>
    <t>RET-09737</t>
  </si>
  <si>
    <t>Joti Telecom</t>
  </si>
  <si>
    <t>Dipu Roy</t>
  </si>
  <si>
    <t>RET-09731</t>
  </si>
  <si>
    <t>Roy Watch Telecom</t>
  </si>
  <si>
    <t>Subod Roy</t>
  </si>
  <si>
    <t>RET-09567</t>
  </si>
  <si>
    <t>Bondhu Telecom</t>
  </si>
  <si>
    <t>Ma. Anamul Haque</t>
  </si>
  <si>
    <t>RET-09740</t>
  </si>
  <si>
    <t>Mayajal</t>
  </si>
  <si>
    <t>Mir Delwar Hossain</t>
  </si>
  <si>
    <t>RET-10012</t>
  </si>
  <si>
    <t>Mobile Gargen</t>
  </si>
  <si>
    <t>Md Imran Mia</t>
  </si>
  <si>
    <t>RET-17572</t>
  </si>
  <si>
    <t>Symphony Fairs</t>
  </si>
  <si>
    <t>Mr. Liton</t>
  </si>
  <si>
    <t>RET-09102</t>
  </si>
  <si>
    <t>Ismam Telecom</t>
  </si>
  <si>
    <t>Shakhawat Hossain</t>
  </si>
  <si>
    <t>RET-09614</t>
  </si>
  <si>
    <t>Shakil Telecom</t>
  </si>
  <si>
    <t>Mr. Sumon Rahman</t>
  </si>
  <si>
    <t>Rony Telecom</t>
  </si>
  <si>
    <t>Mr. Rony</t>
  </si>
  <si>
    <t>RET-03547</t>
  </si>
  <si>
    <t>Reasel Telecom</t>
  </si>
  <si>
    <t>Mr. Rasel</t>
  </si>
  <si>
    <t>RET-03579</t>
  </si>
  <si>
    <t>Mehedi Telecom</t>
  </si>
  <si>
    <t>RET-03215</t>
  </si>
  <si>
    <t>Badon Telecom</t>
  </si>
  <si>
    <t xml:space="preserve">Md Hridoy </t>
  </si>
  <si>
    <t>RET-03728</t>
  </si>
  <si>
    <t>Haque Enterprice</t>
  </si>
  <si>
    <t>Md. Rofiq Mia</t>
  </si>
  <si>
    <t>Zaman Electronics</t>
  </si>
  <si>
    <t>RET-06733</t>
  </si>
  <si>
    <t>Asia Vission</t>
  </si>
  <si>
    <t>Mr. Alamin Ritu</t>
  </si>
  <si>
    <t>RET-06557</t>
  </si>
  <si>
    <t>Pial Mobie Gallery</t>
  </si>
  <si>
    <t>Pial Mobile Gallery</t>
  </si>
  <si>
    <t>Md. Peal</t>
  </si>
  <si>
    <t>RET-20500</t>
  </si>
  <si>
    <t>Sikder Mobile Center</t>
  </si>
  <si>
    <t>Md. Noman</t>
  </si>
  <si>
    <t>RET-03616</t>
  </si>
  <si>
    <t>Bondu Teleocom</t>
  </si>
  <si>
    <t>M/S. Rasel Enterprise</t>
  </si>
  <si>
    <t>Gourango Kumar Das</t>
  </si>
  <si>
    <t>RET-03309</t>
  </si>
  <si>
    <t>M/S Tamim Electronics</t>
  </si>
  <si>
    <t>Israfil Islam</t>
  </si>
  <si>
    <t>RET-16959</t>
  </si>
  <si>
    <t>Akota Business</t>
  </si>
  <si>
    <t>RET-03167</t>
  </si>
  <si>
    <t>Digital Chaina Telecom</t>
  </si>
  <si>
    <t>MD. TARIQUL ISLAM</t>
  </si>
  <si>
    <t>RET-06727</t>
  </si>
  <si>
    <t>Shayla Mobile</t>
  </si>
  <si>
    <t>Mr. Shahajada</t>
  </si>
  <si>
    <t>RET-03409</t>
  </si>
  <si>
    <t>Mamum Mobile Showroom</t>
  </si>
  <si>
    <t>Mamun</t>
  </si>
  <si>
    <t>RET-03380</t>
  </si>
  <si>
    <t>Padma Electronics</t>
  </si>
  <si>
    <t>Raju Saha</t>
  </si>
  <si>
    <t>RET-20347</t>
  </si>
  <si>
    <t>Itale Telecom</t>
  </si>
  <si>
    <t>Md. Haydar Ali</t>
  </si>
  <si>
    <t>RET-06464</t>
  </si>
  <si>
    <t>Panna Electronics</t>
  </si>
  <si>
    <t>RET-03628</t>
  </si>
  <si>
    <t>Milon Store</t>
  </si>
  <si>
    <t>Muhammad Whaiduzzaman</t>
  </si>
  <si>
    <t>RET-23030</t>
  </si>
  <si>
    <t>Maria Mobile Gallery</t>
  </si>
  <si>
    <t>Md. Najrul Islam</t>
  </si>
  <si>
    <t>RET-03207</t>
  </si>
  <si>
    <t>Madbor Telecom</t>
  </si>
  <si>
    <t>Md Tanvir Hossen</t>
  </si>
  <si>
    <t>RET-03770</t>
  </si>
  <si>
    <t>Shompa Telecom</t>
  </si>
  <si>
    <t>Mr. Gobindo Shil</t>
  </si>
  <si>
    <t>RET-17251</t>
  </si>
  <si>
    <t>Dhrubo Enterprise</t>
  </si>
  <si>
    <t xml:space="preserve">Md. Nahid </t>
  </si>
  <si>
    <t>RET-03706</t>
  </si>
  <si>
    <t>National Electronics</t>
  </si>
  <si>
    <t>Abijith Biswas</t>
  </si>
  <si>
    <t>RET-03708</t>
  </si>
  <si>
    <t>Raton Electronices</t>
  </si>
  <si>
    <t>Raton Kundo</t>
  </si>
  <si>
    <t>RET-03758</t>
  </si>
  <si>
    <t>Sathi Electronices</t>
  </si>
  <si>
    <t>Mr. Nitto kundo</t>
  </si>
  <si>
    <t>RET-03238</t>
  </si>
  <si>
    <t>Chadni Store</t>
  </si>
  <si>
    <t>RET-17249</t>
  </si>
  <si>
    <t>Md. Liton Shekh</t>
  </si>
  <si>
    <t>RET-03735</t>
  </si>
  <si>
    <t>Babul Ghori Ghar</t>
  </si>
  <si>
    <t>Mr. Babul Hossain</t>
  </si>
  <si>
    <t>RET-23516</t>
  </si>
  <si>
    <t xml:space="preserve">Mowsumi Mobile House </t>
  </si>
  <si>
    <t>Hasibur Rahaman Litu</t>
  </si>
  <si>
    <t>RET-06570</t>
  </si>
  <si>
    <t>M/S. S M Business Point</t>
  </si>
  <si>
    <t>RET-06605</t>
  </si>
  <si>
    <t>M/S Jahangir Store N</t>
  </si>
  <si>
    <t>Md. Al-amin</t>
  </si>
  <si>
    <t>RET-17014</t>
  </si>
  <si>
    <t>Haji Telecom</t>
  </si>
  <si>
    <t>Md. Azizur Rahman</t>
  </si>
  <si>
    <t>RET-03740</t>
  </si>
  <si>
    <t>Nokia Mobile Collection</t>
  </si>
  <si>
    <t>Rakib Mia</t>
  </si>
  <si>
    <t>RET-12983</t>
  </si>
  <si>
    <t xml:space="preserve"> Farid Telecom</t>
  </si>
  <si>
    <t>Amarot Hossain</t>
  </si>
  <si>
    <t>RET-12635</t>
  </si>
  <si>
    <t>Rana Gorigor</t>
  </si>
  <si>
    <t>Sourindro Bakchi</t>
  </si>
  <si>
    <t>RET-03373</t>
  </si>
  <si>
    <t>Khan Electronics</t>
  </si>
  <si>
    <t>Mithun Mondal</t>
  </si>
  <si>
    <t>RET-03458</t>
  </si>
  <si>
    <t>Pannu mollah</t>
  </si>
  <si>
    <t>RET-03737</t>
  </si>
  <si>
    <t>Shohid Telecom</t>
  </si>
  <si>
    <t>Md. Shahidul Islam</t>
  </si>
  <si>
    <t>RET-03239</t>
  </si>
  <si>
    <t>Joynal Digital</t>
  </si>
  <si>
    <t>Md. Joynal</t>
  </si>
  <si>
    <t>RET-06971</t>
  </si>
  <si>
    <t>Al-Modina Elctronics</t>
  </si>
  <si>
    <t>Md. Nasir Khan</t>
  </si>
  <si>
    <t>RET-06574</t>
  </si>
  <si>
    <t xml:space="preserve">Shamim Telecom </t>
  </si>
  <si>
    <t>Mr. Tutul Bonik</t>
  </si>
  <si>
    <t>RET-03449</t>
  </si>
  <si>
    <t>Hazi Telecom</t>
  </si>
  <si>
    <t>Md. Kawsar Mollah</t>
  </si>
  <si>
    <t>RET-03726</t>
  </si>
  <si>
    <t>Priya Mobile Park</t>
  </si>
  <si>
    <t>Sumon Kundo</t>
  </si>
  <si>
    <t>RET-06635</t>
  </si>
  <si>
    <t xml:space="preserve">Emon Telecom </t>
  </si>
  <si>
    <t>Md. Emon</t>
  </si>
  <si>
    <t>RET-18511</t>
  </si>
  <si>
    <t xml:space="preserve">Md. Hanif </t>
  </si>
  <si>
    <t>RET-03377</t>
  </si>
  <si>
    <t>Megna Electrics</t>
  </si>
  <si>
    <t>Tarok Nath Saha</t>
  </si>
  <si>
    <t>RET-06510</t>
  </si>
  <si>
    <t>Saiful Ahmed</t>
  </si>
  <si>
    <t>RET-03665</t>
  </si>
  <si>
    <t>Tarek Ahmed</t>
  </si>
  <si>
    <t>RET-03592</t>
  </si>
  <si>
    <t>Sas Telecom</t>
  </si>
  <si>
    <t>Md. Sagor Khan</t>
  </si>
  <si>
    <t>RET-16999</t>
  </si>
  <si>
    <t>Rafin Telecom</t>
  </si>
  <si>
    <t>Md. Mosleuddin Monju</t>
  </si>
  <si>
    <t>RET-03452</t>
  </si>
  <si>
    <t>Litu Telecom</t>
  </si>
  <si>
    <t>Md. Litu</t>
  </si>
  <si>
    <t>RET-12748</t>
  </si>
  <si>
    <t>Maa Electronics</t>
  </si>
  <si>
    <t>Md. Arif Sardar</t>
  </si>
  <si>
    <t>RET-17047</t>
  </si>
  <si>
    <t>Subheccha Enterpises</t>
  </si>
  <si>
    <t>Al Amin Hossain</t>
  </si>
  <si>
    <t>RET-03372</t>
  </si>
  <si>
    <t>Setu Telecom</t>
  </si>
  <si>
    <t>Md. Ikbal Hossain</t>
  </si>
  <si>
    <t>RET-03166</t>
  </si>
  <si>
    <t>Brothers Link</t>
  </si>
  <si>
    <t>Md. Sakil</t>
  </si>
  <si>
    <t>RET-03420</t>
  </si>
  <si>
    <t>Ayeat Telecom</t>
  </si>
  <si>
    <t>RET-20323</t>
  </si>
  <si>
    <t>Asad Mobile Shop</t>
  </si>
  <si>
    <t>Md. Manik Molla</t>
  </si>
  <si>
    <t>RET-03327</t>
  </si>
  <si>
    <t>RET-07008</t>
  </si>
  <si>
    <t>Mollik Sales</t>
  </si>
  <si>
    <t>Md. Sayedul Rahaman Mollick</t>
  </si>
  <si>
    <t>RET-06516</t>
  </si>
  <si>
    <t>Ma-moni Tel &amp; Electronics</t>
  </si>
  <si>
    <t>Md. Shipon</t>
  </si>
  <si>
    <t>RET-03410</t>
  </si>
  <si>
    <t xml:space="preserve">Roni Mobile </t>
  </si>
  <si>
    <t>Md. Salauddin Hossain</t>
  </si>
  <si>
    <t>RET-06526</t>
  </si>
  <si>
    <t>Diptta Telecom</t>
  </si>
  <si>
    <t>Dipak Banik</t>
  </si>
  <si>
    <t>RET-06484</t>
  </si>
  <si>
    <t>Mass Marketing</t>
  </si>
  <si>
    <t>Tarikul Islam</t>
  </si>
  <si>
    <t>RET-06408</t>
  </si>
  <si>
    <t>Chandni Telecom</t>
  </si>
  <si>
    <t>Md. Riyan</t>
  </si>
  <si>
    <t>RET-03745</t>
  </si>
  <si>
    <t>Mayar Doya Telecom</t>
  </si>
  <si>
    <t>Md. Faruk Ibne Omor</t>
  </si>
  <si>
    <t>RET-06692</t>
  </si>
  <si>
    <t>Masum Telecom</t>
  </si>
  <si>
    <t>Mr. Fakrul</t>
  </si>
  <si>
    <t>RET-03712</t>
  </si>
  <si>
    <t>Abid Telecom</t>
  </si>
  <si>
    <t>Md. Azad Hawlader</t>
  </si>
  <si>
    <t>RET-03308</t>
  </si>
  <si>
    <t>Shahin Electronics</t>
  </si>
  <si>
    <t>Md. Shahin</t>
  </si>
  <si>
    <t>RET-03235</t>
  </si>
  <si>
    <t>Monir Telecom</t>
  </si>
  <si>
    <t>Abu Tarak</t>
  </si>
  <si>
    <t>RET-14333</t>
  </si>
  <si>
    <t>Md. Mostafizur Rahman</t>
  </si>
  <si>
    <t>RET-03348</t>
  </si>
  <si>
    <t>Bismillah Computer</t>
  </si>
  <si>
    <t>Mr. Tarek Hossen</t>
  </si>
  <si>
    <t>RET-03618</t>
  </si>
  <si>
    <t>Parvez Telecom</t>
  </si>
  <si>
    <t>Md. Ziaur Rahman</t>
  </si>
  <si>
    <t>RET-13656</t>
  </si>
  <si>
    <t>Al Amin Electronics</t>
  </si>
  <si>
    <t>Md Akter Hossen</t>
  </si>
  <si>
    <t>RET-03656</t>
  </si>
  <si>
    <t>New Brothers</t>
  </si>
  <si>
    <t>Amirul Islam Akash</t>
  </si>
  <si>
    <t>Md. Jony Mia</t>
  </si>
  <si>
    <t>RET-06999</t>
  </si>
  <si>
    <t>Mini Mike Service</t>
  </si>
  <si>
    <t>Md.Nasir Mir</t>
  </si>
  <si>
    <t>RET-03649</t>
  </si>
  <si>
    <t>Shown Telecom</t>
  </si>
  <si>
    <t>Raj Kumar</t>
  </si>
  <si>
    <t>RET-16864</t>
  </si>
  <si>
    <t>Sajal Telecom</t>
  </si>
  <si>
    <t>Md. Sajol Hawlader</t>
  </si>
  <si>
    <t>RET-06649</t>
  </si>
  <si>
    <t>Anamika Business Center L</t>
  </si>
  <si>
    <t>Mr. Sumon Pal</t>
  </si>
  <si>
    <t>RET-03283</t>
  </si>
  <si>
    <t>Masud Electronics</t>
  </si>
  <si>
    <t>Md. Masud</t>
  </si>
  <si>
    <t>RET-03551</t>
  </si>
  <si>
    <t>Shohid Store</t>
  </si>
  <si>
    <t>Md. Tuhin Mia</t>
  </si>
  <si>
    <t>RET-03764</t>
  </si>
  <si>
    <t>Nayeem Telecom</t>
  </si>
  <si>
    <t>Mr. Goutom Shaha</t>
  </si>
  <si>
    <t>RET-12774</t>
  </si>
  <si>
    <t>Shafali Network SM</t>
  </si>
  <si>
    <t>Md. Anower</t>
  </si>
  <si>
    <t>RET-03300</t>
  </si>
  <si>
    <t>Khan Mobile Media</t>
  </si>
  <si>
    <t>RET-06528</t>
  </si>
  <si>
    <t>Mita Telecom</t>
  </si>
  <si>
    <t>Sajol Shaha</t>
  </si>
  <si>
    <t>RET-22799</t>
  </si>
  <si>
    <t>Ma Baba Mobile &amp; Chosma Ghor</t>
  </si>
  <si>
    <t>Mehedi hasan</t>
  </si>
  <si>
    <t>RET-14716</t>
  </si>
  <si>
    <t>Meraz Electronics</t>
  </si>
  <si>
    <t>Md. Meraz Hossain</t>
  </si>
  <si>
    <t>RET-06457</t>
  </si>
  <si>
    <t>Master Telecom</t>
  </si>
  <si>
    <t>Nandu Dulal Devnath</t>
  </si>
  <si>
    <t>RET-03751</t>
  </si>
  <si>
    <t>Md. Masud Mia</t>
  </si>
  <si>
    <t>RET-17108</t>
  </si>
  <si>
    <t>Sony Mobile Service</t>
  </si>
  <si>
    <t>Mr. Dipongkar Pal</t>
  </si>
  <si>
    <t>RET-22412</t>
  </si>
  <si>
    <t>Rubia Telecom</t>
  </si>
  <si>
    <t>Md. Robioul Islam (Robin)</t>
  </si>
  <si>
    <t>Md. Kamrul Islam</t>
  </si>
  <si>
    <t>Mr. Rubel</t>
  </si>
  <si>
    <t>RET-03461</t>
  </si>
  <si>
    <t>Shiraj Telecom</t>
  </si>
  <si>
    <t>Md. Shirajul Islam</t>
  </si>
  <si>
    <t>RET-03439</t>
  </si>
  <si>
    <t>Kanaipur Telecom</t>
  </si>
  <si>
    <t>Md. Liton Gazi</t>
  </si>
  <si>
    <t>RET-03392</t>
  </si>
  <si>
    <t>SK Internatinal</t>
  </si>
  <si>
    <t>Md. Faruk Hasan</t>
  </si>
  <si>
    <t>RET-03733</t>
  </si>
  <si>
    <t>Md. Liton Mia</t>
  </si>
  <si>
    <t>RET-03265</t>
  </si>
  <si>
    <t>Winner Electronics-2</t>
  </si>
  <si>
    <t>Md.Kanchon Khan</t>
  </si>
  <si>
    <t>RET-03624</t>
  </si>
  <si>
    <t>Khandaker Electronics</t>
  </si>
  <si>
    <t>Mahmudur Rahman</t>
  </si>
  <si>
    <t>RET-06402</t>
  </si>
  <si>
    <t>Online Mobile Servising</t>
  </si>
  <si>
    <t>Md. Shakhawat Hossain</t>
  </si>
  <si>
    <t>RET-03743</t>
  </si>
  <si>
    <t>Rudro Telecom</t>
  </si>
  <si>
    <t>Mr. Saju Rudro</t>
  </si>
  <si>
    <t>RET-12950</t>
  </si>
  <si>
    <t>My Fone Desk</t>
  </si>
  <si>
    <t>Mr. Riaz</t>
  </si>
  <si>
    <t>RET-03651</t>
  </si>
  <si>
    <t>Brothers Electronics</t>
  </si>
  <si>
    <t>Redoy Banarjy</t>
  </si>
  <si>
    <t>RET-06483</t>
  </si>
  <si>
    <t>Click Digital Studio &amp; Mobile Corner</t>
  </si>
  <si>
    <t>Howlader  MM Sumon</t>
  </si>
  <si>
    <t>RET-16870</t>
  </si>
  <si>
    <t>Artho Telecom</t>
  </si>
  <si>
    <t>Md. Syful Islam</t>
  </si>
  <si>
    <t>RET-14718</t>
  </si>
  <si>
    <t>Fatema Electronics</t>
  </si>
  <si>
    <t xml:space="preserve">Md. Mohasin </t>
  </si>
  <si>
    <t>RET-06678</t>
  </si>
  <si>
    <t>Mela classic</t>
  </si>
  <si>
    <t>Mr. Hossen</t>
  </si>
  <si>
    <t>Alap Telecom</t>
  </si>
  <si>
    <t>RET-20523</t>
  </si>
  <si>
    <t>RET-12173</t>
  </si>
  <si>
    <t>Mobile house</t>
  </si>
  <si>
    <t>Nur Alam</t>
  </si>
  <si>
    <t>RET-14800</t>
  </si>
  <si>
    <t>S.T Telecom</t>
  </si>
  <si>
    <t>Tanvir Bhuiyan</t>
  </si>
  <si>
    <t>RET-13645</t>
  </si>
  <si>
    <t>Maa Symphony Center</t>
  </si>
  <si>
    <t>Saidur Islam</t>
  </si>
  <si>
    <t>RET-02879</t>
  </si>
  <si>
    <t>Md. Josim Uddin</t>
  </si>
  <si>
    <t>RET-02730</t>
  </si>
  <si>
    <t>Antora Commination-2</t>
  </si>
  <si>
    <t>Delowar Hossain</t>
  </si>
  <si>
    <t>RET-14745</t>
  </si>
  <si>
    <t>Nurul Islam</t>
  </si>
  <si>
    <t>RET-20985</t>
  </si>
  <si>
    <t>Nusrat Electronics</t>
  </si>
  <si>
    <t>Asraful Islam</t>
  </si>
  <si>
    <t>RET-02898</t>
  </si>
  <si>
    <t>Ma-Janony  Telecom</t>
  </si>
  <si>
    <t>MD Sohel Shikder</t>
  </si>
  <si>
    <t>RET-02899</t>
  </si>
  <si>
    <t>H S Telecom</t>
  </si>
  <si>
    <t>MD Salauddin</t>
  </si>
  <si>
    <t>RET-22767</t>
  </si>
  <si>
    <t>S M Telecom</t>
  </si>
  <si>
    <t>Md. Maksudur Hossain</t>
  </si>
  <si>
    <t>RET-02895</t>
  </si>
  <si>
    <t>Ismail Telecom</t>
  </si>
  <si>
    <t>MD Jasim</t>
  </si>
  <si>
    <t>RET-13447</t>
  </si>
  <si>
    <t>Momotaz Telecom</t>
  </si>
  <si>
    <t>Mr. Jakir</t>
  </si>
  <si>
    <t>RET-02763</t>
  </si>
  <si>
    <t>Emon Enterprise</t>
  </si>
  <si>
    <t>Md.Elias</t>
  </si>
  <si>
    <t>RET-02864</t>
  </si>
  <si>
    <t>Saad Enterprise</t>
  </si>
  <si>
    <t>MD Asaduzzaman</t>
  </si>
  <si>
    <t>RET-02835</t>
  </si>
  <si>
    <t>MD Ajijul Islam</t>
  </si>
  <si>
    <t>RET-02915</t>
  </si>
  <si>
    <t>ISMAIL Telecom</t>
  </si>
  <si>
    <t>Md. Shofiq</t>
  </si>
  <si>
    <t>RET-00488</t>
  </si>
  <si>
    <t>Friends Mobile Net Com</t>
  </si>
  <si>
    <t>Arshad</t>
  </si>
  <si>
    <t>RET-00566</t>
  </si>
  <si>
    <t>Master Tel</t>
  </si>
  <si>
    <t>Nikta</t>
  </si>
  <si>
    <t>RET-00585</t>
  </si>
  <si>
    <t>Mobile Gallary</t>
  </si>
  <si>
    <t>Murad</t>
  </si>
  <si>
    <t>RET-00416</t>
  </si>
  <si>
    <t>Mashbi Telecom</t>
  </si>
  <si>
    <t>Manzur Hossain</t>
  </si>
  <si>
    <t>RET-00539</t>
  </si>
  <si>
    <t>City Tel</t>
  </si>
  <si>
    <t>Abu Said</t>
  </si>
  <si>
    <t>RET-18127</t>
  </si>
  <si>
    <t>Fire Bird</t>
  </si>
  <si>
    <t>Shohidul Islam</t>
  </si>
  <si>
    <t>RET-00353</t>
  </si>
  <si>
    <t>Sara Enterprise</t>
  </si>
  <si>
    <t>Md Sumon</t>
  </si>
  <si>
    <t>RET-00377</t>
  </si>
  <si>
    <t>Western Telecom</t>
  </si>
  <si>
    <t>Sabbir Ahmed (Babul)</t>
  </si>
  <si>
    <t>RET-00369</t>
  </si>
  <si>
    <t>Western Mobile Gallary</t>
  </si>
  <si>
    <t>Habibur Rahman( Hiran)</t>
  </si>
  <si>
    <t>RET-00372</t>
  </si>
  <si>
    <t>Nayem International</t>
  </si>
  <si>
    <t>S.K Ahsan Ullah</t>
  </si>
  <si>
    <t>RET-18401</t>
  </si>
  <si>
    <t>Maya Telecom</t>
  </si>
  <si>
    <t xml:space="preserve">Md. Jahangir </t>
  </si>
  <si>
    <t>RET-16021</t>
  </si>
  <si>
    <t>RET-02609</t>
  </si>
  <si>
    <t>Mobile Ex</t>
  </si>
  <si>
    <t>Md. Polash</t>
  </si>
  <si>
    <t>RET-02606</t>
  </si>
  <si>
    <t>Mobile Fashion</t>
  </si>
  <si>
    <t>Md Sajib</t>
  </si>
  <si>
    <t>‎01940619308</t>
  </si>
  <si>
    <t>RET-02646</t>
  </si>
  <si>
    <t>Badhon Telecom Centre</t>
  </si>
  <si>
    <t>Md. Suboj</t>
  </si>
  <si>
    <t>RET-02648</t>
  </si>
  <si>
    <t>7 tel International</t>
  </si>
  <si>
    <t>Md. Sohag</t>
  </si>
  <si>
    <t>RET-14340</t>
  </si>
  <si>
    <t>A AM Power Tel</t>
  </si>
  <si>
    <t>Md.Aziz</t>
  </si>
  <si>
    <t>RET-02593</t>
  </si>
  <si>
    <t>Zishan</t>
  </si>
  <si>
    <t>‎01622611741</t>
  </si>
  <si>
    <t>RET-21163</t>
  </si>
  <si>
    <t>Ibrahim Telecom</t>
  </si>
  <si>
    <t>Md.Tuhin</t>
  </si>
  <si>
    <t>RET-02631</t>
  </si>
  <si>
    <t>Naher Telecom</t>
  </si>
  <si>
    <t>Najmul</t>
  </si>
  <si>
    <t>RET-02592</t>
  </si>
  <si>
    <t>Md samsul</t>
  </si>
  <si>
    <t>RET-02595</t>
  </si>
  <si>
    <t>Digital Mobile</t>
  </si>
  <si>
    <t>Md Kamrul</t>
  </si>
  <si>
    <t>RET-14158</t>
  </si>
  <si>
    <t>BLB Enterprise</t>
  </si>
  <si>
    <t>Md. Sumon</t>
  </si>
  <si>
    <t>RET-02586</t>
  </si>
  <si>
    <t>New Rasha Media</t>
  </si>
  <si>
    <t>Md.Nahid</t>
  </si>
  <si>
    <t>RET-02700</t>
  </si>
  <si>
    <t>Modina telecom</t>
  </si>
  <si>
    <t>Md.Sifat Chowdhury</t>
  </si>
  <si>
    <t>RET-02696</t>
  </si>
  <si>
    <t>Zara Telecom</t>
  </si>
  <si>
    <t>Md. Tamim</t>
  </si>
  <si>
    <t>RET-02687</t>
  </si>
  <si>
    <t>Allahor Dan Telecom</t>
  </si>
  <si>
    <t>Md. Sohan Khan</t>
  </si>
  <si>
    <t>RET-14189</t>
  </si>
  <si>
    <t>M 2 M Mobile Zone</t>
  </si>
  <si>
    <t>Ontor</t>
  </si>
  <si>
    <t>RET-16038</t>
  </si>
  <si>
    <t>Bismillah Electronic</t>
  </si>
  <si>
    <t>RET-13316</t>
  </si>
  <si>
    <t>Akash Telecom</t>
  </si>
  <si>
    <t>Md Kader</t>
  </si>
  <si>
    <t>1687950066  </t>
  </si>
  <si>
    <t>Bai Bai Telecom</t>
  </si>
  <si>
    <t>RET-13491</t>
  </si>
  <si>
    <t>Nayeem Islam</t>
  </si>
  <si>
    <t>RET-02703</t>
  </si>
  <si>
    <t>Sukria Telemedia</t>
  </si>
  <si>
    <t>Md Feroz Hossen</t>
  </si>
  <si>
    <t>RET-16043</t>
  </si>
  <si>
    <t>Nafiza Telecom</t>
  </si>
  <si>
    <t>RET-02705</t>
  </si>
  <si>
    <t>R A Mobile Point</t>
  </si>
  <si>
    <t>Md. Nadim</t>
  </si>
  <si>
    <t>RET-13376</t>
  </si>
  <si>
    <t>s k Banu Electronic</t>
  </si>
  <si>
    <t>RET-02973</t>
  </si>
  <si>
    <t>Tohin Telecom</t>
  </si>
  <si>
    <t>Md. Tuhin</t>
  </si>
  <si>
    <t>RET-02929</t>
  </si>
  <si>
    <t>Hasan Mobile Park</t>
  </si>
  <si>
    <t>Md. Almas</t>
  </si>
  <si>
    <t>RET-01943</t>
  </si>
  <si>
    <t>Global Electronics</t>
  </si>
  <si>
    <t>Md. Chanchal</t>
  </si>
  <si>
    <t>RET-18480</t>
  </si>
  <si>
    <t>Shad Telecom</t>
  </si>
  <si>
    <t>Md. Palash</t>
  </si>
  <si>
    <t>RET-02010</t>
  </si>
  <si>
    <t>Mobile Museum</t>
  </si>
  <si>
    <t>Md. Riaz</t>
  </si>
  <si>
    <t>RET-01961</t>
  </si>
  <si>
    <t>Modern City Electronics</t>
  </si>
  <si>
    <t>Md. Nasir Hossain</t>
  </si>
  <si>
    <t>RET-02020</t>
  </si>
  <si>
    <t>Amanat Shah Electronics</t>
  </si>
  <si>
    <t>Md. Sohal</t>
  </si>
  <si>
    <t>RET-19436</t>
  </si>
  <si>
    <t>Shopna Mobile Corner</t>
  </si>
  <si>
    <t>Md. Belayet</t>
  </si>
  <si>
    <t>RET-02251</t>
  </si>
  <si>
    <t>ARK Tarding</t>
  </si>
  <si>
    <t>Md. Sweet</t>
  </si>
  <si>
    <t>Shaha Telecom</t>
  </si>
  <si>
    <t>RET-17557</t>
  </si>
  <si>
    <t>Biplob Hussain</t>
  </si>
  <si>
    <t>RET-18433</t>
  </si>
  <si>
    <t>Jim Telecom</t>
  </si>
  <si>
    <t>Raihan Khan</t>
  </si>
  <si>
    <t>RET-18966</t>
  </si>
  <si>
    <t>Md. Iftehar</t>
  </si>
  <si>
    <t>RET-02300</t>
  </si>
  <si>
    <t>Forward Line</t>
  </si>
  <si>
    <t>Md. Shorfuddin</t>
  </si>
  <si>
    <t>RET-18140</t>
  </si>
  <si>
    <t>Amir Telecom</t>
  </si>
  <si>
    <t>Md. Bablu</t>
  </si>
  <si>
    <t>RET-20144</t>
  </si>
  <si>
    <t>SBS Telecom</t>
  </si>
  <si>
    <t>SK. Abdul Sayed</t>
  </si>
  <si>
    <t>RET-18434</t>
  </si>
  <si>
    <t>Mobile Park (JB)</t>
  </si>
  <si>
    <t>Faruk Chowdhury</t>
  </si>
  <si>
    <t>RET-02309</t>
  </si>
  <si>
    <t>Raihan Telecom</t>
  </si>
  <si>
    <t>Md. Homoyen</t>
  </si>
  <si>
    <t>RET-02306</t>
  </si>
  <si>
    <t>Alim Telecom</t>
  </si>
  <si>
    <t>Mr.Tota Miya</t>
  </si>
  <si>
    <t>RET-02314</t>
  </si>
  <si>
    <t>Chamak Telecom</t>
  </si>
  <si>
    <t>Md. Monir Hossain</t>
  </si>
  <si>
    <t>RET-02356</t>
  </si>
  <si>
    <t>New S R Telecom Service</t>
  </si>
  <si>
    <t>MD.Sumon Mia</t>
  </si>
  <si>
    <t>Akhi Telecom</t>
  </si>
  <si>
    <t>RET-02551</t>
  </si>
  <si>
    <t>Sajid Telecom</t>
  </si>
  <si>
    <t>Md.Sagor</t>
  </si>
  <si>
    <t>RET-02395</t>
  </si>
  <si>
    <t>Bedhan Enterprise</t>
  </si>
  <si>
    <t>Dohar Enterprise</t>
  </si>
  <si>
    <t>Rahim Bepari</t>
  </si>
  <si>
    <t>RET-02514</t>
  </si>
  <si>
    <t>Sarder Telecom</t>
  </si>
  <si>
    <t>Md.Badhon Sardar</t>
  </si>
  <si>
    <t>RET-02451</t>
  </si>
  <si>
    <t>M.K Ahsan</t>
  </si>
  <si>
    <t>RET-02420</t>
  </si>
  <si>
    <t>Nokia Mobile Center</t>
  </si>
  <si>
    <t>Habibur Rahman</t>
  </si>
  <si>
    <t>RET-14029</t>
  </si>
  <si>
    <t>Sunny Electronics</t>
  </si>
  <si>
    <t>Ret-18315</t>
  </si>
  <si>
    <t>STAR TEL</t>
  </si>
  <si>
    <t>Mamun Hossain</t>
  </si>
  <si>
    <t>RET-02487</t>
  </si>
  <si>
    <t>Shikder Telecom Media</t>
  </si>
  <si>
    <t>Milon shikder</t>
  </si>
  <si>
    <t>RET-02453</t>
  </si>
  <si>
    <t>Imran Hossain</t>
  </si>
  <si>
    <t>RET-02538</t>
  </si>
  <si>
    <t>Mousumi Electronics</t>
  </si>
  <si>
    <t>Md.Harun or Rashid</t>
  </si>
  <si>
    <t>RET-02413</t>
  </si>
  <si>
    <t>Recive Tone Media</t>
  </si>
  <si>
    <t>Rajib</t>
  </si>
  <si>
    <t>RET-02427</t>
  </si>
  <si>
    <t>Al Amin Time Center</t>
  </si>
  <si>
    <t>RET-08547</t>
  </si>
  <si>
    <t>All Station/Mobile Station</t>
  </si>
  <si>
    <t>Mr.Karjon</t>
  </si>
  <si>
    <t>RET-08573</t>
  </si>
  <si>
    <t>Mr. Rabiul</t>
  </si>
  <si>
    <t>RET-08580</t>
  </si>
  <si>
    <t>Faruq Library &amp; Mobile</t>
  </si>
  <si>
    <t>Md.Faruq Hossin</t>
  </si>
  <si>
    <t>RET-08546</t>
  </si>
  <si>
    <t xml:space="preserve">Mr.Al Amin </t>
  </si>
  <si>
    <t>RET-08571</t>
  </si>
  <si>
    <t>M.N Net</t>
  </si>
  <si>
    <t>RET-08482</t>
  </si>
  <si>
    <t> Md. Suzon</t>
  </si>
  <si>
    <t>RET-14840</t>
  </si>
  <si>
    <t>Noor Mobile House</t>
  </si>
  <si>
    <t>Md. Mahfujur Rahman</t>
  </si>
  <si>
    <t>RET-08485</t>
  </si>
  <si>
    <t>Howlader telecom</t>
  </si>
  <si>
    <t>Mr. Masum billa howlader</t>
  </si>
  <si>
    <t>RET-14838</t>
  </si>
  <si>
    <t>R S Telecom</t>
  </si>
  <si>
    <t>MD. Shofiq Hasan</t>
  </si>
  <si>
    <t>RET-08520</t>
  </si>
  <si>
    <t>New karpashdanga telecom</t>
  </si>
  <si>
    <t>Md. Jahangir Alam</t>
  </si>
  <si>
    <t>RET-08476</t>
  </si>
  <si>
    <t>Munna electronic</t>
  </si>
  <si>
    <t>Mr. Munna</t>
  </si>
  <si>
    <t>RET-13348</t>
  </si>
  <si>
    <t>Mobile Ghor</t>
  </si>
  <si>
    <t>Md. Ramjan Ali </t>
  </si>
  <si>
    <t>RET-13349</t>
  </si>
  <si>
    <t>Helen Reza</t>
  </si>
  <si>
    <t>RET-08493</t>
  </si>
  <si>
    <t>Sun Moon Electronics</t>
  </si>
  <si>
    <t>RET-08475</t>
  </si>
  <si>
    <t>Jik jak telecom</t>
  </si>
  <si>
    <t>Mr. imran hassan</t>
  </si>
  <si>
    <t>RET-19265</t>
  </si>
  <si>
    <t>Biswas Telecom &amp; Servesing</t>
  </si>
  <si>
    <t> Mr.Helal Uddin </t>
  </si>
  <si>
    <t>RET-08531</t>
  </si>
  <si>
    <t>Rasel Stasanary</t>
  </si>
  <si>
    <t>Md. Al-Amin</t>
  </si>
  <si>
    <t>RET-14837</t>
  </si>
  <si>
    <t>Maa Electronics &amp; Telecom</t>
  </si>
  <si>
    <t>MD. Anisul Islam (Razib)</t>
  </si>
  <si>
    <t>RET-08507</t>
  </si>
  <si>
    <t>Anjum Telecom</t>
  </si>
  <si>
    <t>Md. Golam Sarwar</t>
  </si>
  <si>
    <t>RET-07385</t>
  </si>
  <si>
    <t>Kazi Telecom(B)</t>
  </si>
  <si>
    <t>Md. Irfan Hossain</t>
  </si>
  <si>
    <t>RET-07496</t>
  </si>
  <si>
    <t>Rokon  Electronics</t>
  </si>
  <si>
    <t>Mr. Rokon</t>
  </si>
  <si>
    <t>RET-07480</t>
  </si>
  <si>
    <t>Sotota Mobile &amp; Electronics</t>
  </si>
  <si>
    <t>Mr. Shoriful Islam</t>
  </si>
  <si>
    <t>RET-07463</t>
  </si>
  <si>
    <t>Karim Telecom</t>
  </si>
  <si>
    <t>Md. Salah Uddin</t>
  </si>
  <si>
    <t>RET-07500</t>
  </si>
  <si>
    <t>Bukhari Mobile</t>
  </si>
  <si>
    <t>Kazi Abdul Kader</t>
  </si>
  <si>
    <t>RET-07448</t>
  </si>
  <si>
    <t>Mr. Hadiuzzaman</t>
  </si>
  <si>
    <t>RET-19716</t>
  </si>
  <si>
    <t>B.P Mobile</t>
  </si>
  <si>
    <t>Sonjoy kumar pal</t>
  </si>
  <si>
    <t>RET-07414</t>
  </si>
  <si>
    <t>Laboni Electronics</t>
  </si>
  <si>
    <t>Mr. Kalam</t>
  </si>
  <si>
    <t>RET-07483</t>
  </si>
  <si>
    <t>Media Electronics</t>
  </si>
  <si>
    <t>Md. Robiul Islam</t>
  </si>
  <si>
    <t>RET-07417</t>
  </si>
  <si>
    <t>Jononi Electronics</t>
  </si>
  <si>
    <t>Md. Hellal Hossain</t>
  </si>
  <si>
    <t>RET-07358</t>
  </si>
  <si>
    <t>Mr. Prosenjit</t>
  </si>
  <si>
    <t>RET-07491</t>
  </si>
  <si>
    <t xml:space="preserve">Jewel Electronics </t>
  </si>
  <si>
    <t>Mr. Ashik</t>
  </si>
  <si>
    <t>RET-11667</t>
  </si>
  <si>
    <t>R.K Mobile</t>
  </si>
  <si>
    <t>Mr. Kowshik</t>
  </si>
  <si>
    <t>RET-07386</t>
  </si>
  <si>
    <t>Himu Mobile Corner</t>
  </si>
  <si>
    <t>Maskur Ahmed Himu</t>
  </si>
  <si>
    <t>RET-07374</t>
  </si>
  <si>
    <t>Labu Telecom</t>
  </si>
  <si>
    <t>Md. Rasel Imran</t>
  </si>
  <si>
    <t>RET-07598</t>
  </si>
  <si>
    <t>Jhenaidah Mobile Plaza</t>
  </si>
  <si>
    <t>Afife</t>
  </si>
  <si>
    <t>RET-19128</t>
  </si>
  <si>
    <t>Makka Electronics</t>
  </si>
  <si>
    <t>Ezajul</t>
  </si>
  <si>
    <t>RET-07629</t>
  </si>
  <si>
    <t>Rim Mobile Plaza</t>
  </si>
  <si>
    <t>Krisna Kumar</t>
  </si>
  <si>
    <t>RET-07674</t>
  </si>
  <si>
    <t>Raihan Telecome</t>
  </si>
  <si>
    <t>MR .Tetu</t>
  </si>
  <si>
    <t>RET-07581</t>
  </si>
  <si>
    <t xml:space="preserve">Konika Trading </t>
  </si>
  <si>
    <t>Antor</t>
  </si>
  <si>
    <t>RET-07644</t>
  </si>
  <si>
    <t>S.S Traders</t>
  </si>
  <si>
    <t xml:space="preserve">Raqibul HasanTitas </t>
  </si>
  <si>
    <t>RET-07619</t>
  </si>
  <si>
    <t>Digital Mobile House</t>
  </si>
  <si>
    <t>Kabir Hossain</t>
  </si>
  <si>
    <t>RET-07635</t>
  </si>
  <si>
    <t>New Ettady Mobile Shop</t>
  </si>
  <si>
    <t>Arifuzzaman</t>
  </si>
  <si>
    <t>RET-07615</t>
  </si>
  <si>
    <t>Riman Telecom</t>
  </si>
  <si>
    <t>Mr.Riman</t>
  </si>
  <si>
    <t>RET-07650</t>
  </si>
  <si>
    <t>Kibria Mobile Center</t>
  </si>
  <si>
    <t>Kibria</t>
  </si>
  <si>
    <t>RET-07662</t>
  </si>
  <si>
    <t>Tesha Telecome</t>
  </si>
  <si>
    <t>Abdullah Al Mamun</t>
  </si>
  <si>
    <t>RET-07596</t>
  </si>
  <si>
    <t>Nice Telecom</t>
  </si>
  <si>
    <t>Md. Mohidul Islam</t>
  </si>
  <si>
    <t>RET-07628</t>
  </si>
  <si>
    <t>Biplob Mobile</t>
  </si>
  <si>
    <t>Biplob Kumer</t>
  </si>
  <si>
    <t>RET-07555</t>
  </si>
  <si>
    <t>Boishakhi Telecom</t>
  </si>
  <si>
    <t>Mr.Giash Uddin</t>
  </si>
  <si>
    <t>RET-12196</t>
  </si>
  <si>
    <t>Deb Telecom</t>
  </si>
  <si>
    <t>Mr. Shopon Kumar Biswas</t>
  </si>
  <si>
    <t>RET-12210</t>
  </si>
  <si>
    <t>Symoon Telecom</t>
  </si>
  <si>
    <t>Symoon</t>
  </si>
  <si>
    <t>RET-07537</t>
  </si>
  <si>
    <t>Prince Electronics</t>
  </si>
  <si>
    <t>Md. Hizbullah</t>
  </si>
  <si>
    <t>RET-07569</t>
  </si>
  <si>
    <t>Chironjit Optical &amp; Electronics</t>
  </si>
  <si>
    <t>Prosenjit Kumar Mitro</t>
  </si>
  <si>
    <t>RET-07564</t>
  </si>
  <si>
    <t>Nazrul Islam</t>
  </si>
  <si>
    <t>RET-07044</t>
  </si>
  <si>
    <t>RET-07033</t>
  </si>
  <si>
    <t>Iman Telecom</t>
  </si>
  <si>
    <t>Md. Salauddin</t>
  </si>
  <si>
    <t>RET-24402</t>
  </si>
  <si>
    <t>Fuead Mobile &amp; Cosmatic Gallary</t>
  </si>
  <si>
    <t>Firoz</t>
  </si>
  <si>
    <t>RET-07080</t>
  </si>
  <si>
    <t>In Time</t>
  </si>
  <si>
    <t>Md. Hellal Howlader</t>
  </si>
  <si>
    <t>RET-07139</t>
  </si>
  <si>
    <t>Tiba Mobile Center</t>
  </si>
  <si>
    <t>Md.Rubil Ahmed</t>
  </si>
  <si>
    <t>RET-07043</t>
  </si>
  <si>
    <t>Hello Khulna</t>
  </si>
  <si>
    <t>Md.Asduzzamian</t>
  </si>
  <si>
    <t>RET-07101</t>
  </si>
  <si>
    <t>Chowdhury Enterprise</t>
  </si>
  <si>
    <t>Md. Rubel Chowdhury</t>
  </si>
  <si>
    <t>RET-07086</t>
  </si>
  <si>
    <t>Md. Liton Adnan</t>
  </si>
  <si>
    <t>RET-07134</t>
  </si>
  <si>
    <t>Hello Grameen</t>
  </si>
  <si>
    <t>MD. Rubel</t>
  </si>
  <si>
    <t>RET-07112</t>
  </si>
  <si>
    <t>Bismillah Mobile House</t>
  </si>
  <si>
    <t>Md. Moinul Islam(Saddam)</t>
  </si>
  <si>
    <t>RET-07092</t>
  </si>
  <si>
    <t>Alve Exclusive</t>
  </si>
  <si>
    <t>Fatema Telecom</t>
  </si>
  <si>
    <t>RET-08427</t>
  </si>
  <si>
    <t>Anas dipartmental store</t>
  </si>
  <si>
    <t>Md.Afjal Kobir Khan</t>
  </si>
  <si>
    <t>RET-08464</t>
  </si>
  <si>
    <t>Kitab Mohal</t>
  </si>
  <si>
    <t>Md.Niyaz  Iqbal</t>
  </si>
  <si>
    <t>RET-08424</t>
  </si>
  <si>
    <t>Preio electronics</t>
  </si>
  <si>
    <t>Md.Anisur Rahman</t>
  </si>
  <si>
    <t>RET-08414</t>
  </si>
  <si>
    <t>Khan departmental store</t>
  </si>
  <si>
    <t>Mr.Rajib Khan</t>
  </si>
  <si>
    <t>RET-08404</t>
  </si>
  <si>
    <t>Bondhu telecom</t>
  </si>
  <si>
    <t>Mr.Shahid</t>
  </si>
  <si>
    <t>RET-08419</t>
  </si>
  <si>
    <t>Sumaia Mobile</t>
  </si>
  <si>
    <t>Md. Rojob Ali</t>
  </si>
  <si>
    <t>RET-08410</t>
  </si>
  <si>
    <t>Tutul telecom</t>
  </si>
  <si>
    <t>Mr. Tutul</t>
  </si>
  <si>
    <t>RET-08453</t>
  </si>
  <si>
    <t>Monoar Telecom</t>
  </si>
  <si>
    <t>Md.Monoar Hossain</t>
  </si>
  <si>
    <t>RET-06750</t>
  </si>
  <si>
    <t>Modern Comunications</t>
  </si>
  <si>
    <t>Md. Abu Said Shaikh</t>
  </si>
  <si>
    <t>RET-06775</t>
  </si>
  <si>
    <t>Sumayea Telecom</t>
  </si>
  <si>
    <t>Md. Hafijur Howlader</t>
  </si>
  <si>
    <t>RET-06760</t>
  </si>
  <si>
    <t>Khandaker Telecom &amp; Servising</t>
  </si>
  <si>
    <t>Md. Shohag</t>
  </si>
  <si>
    <t>RET-06753</t>
  </si>
  <si>
    <t>Shaikh Hasan</t>
  </si>
  <si>
    <t>RET-06798</t>
  </si>
  <si>
    <t>Saif Store</t>
  </si>
  <si>
    <t>Md. Shovon</t>
  </si>
  <si>
    <t>RET-06765</t>
  </si>
  <si>
    <t>D.S Telecom</t>
  </si>
  <si>
    <t>Sabuj Sarkar</t>
  </si>
  <si>
    <t>RET-06774</t>
  </si>
  <si>
    <t>Arif Telecom</t>
  </si>
  <si>
    <t>Raju Morol</t>
  </si>
  <si>
    <t>RET-16242</t>
  </si>
  <si>
    <t>Surity Telecom</t>
  </si>
  <si>
    <t>Sam Pado Pal</t>
  </si>
  <si>
    <t>RET-06841</t>
  </si>
  <si>
    <t>Md.Litu</t>
  </si>
  <si>
    <t>RET-25022</t>
  </si>
  <si>
    <t>Orin Mobile Corner</t>
  </si>
  <si>
    <t>Sheak Nowsar Ali</t>
  </si>
  <si>
    <t>RET-06772</t>
  </si>
  <si>
    <t>Rakhi Telecom</t>
  </si>
  <si>
    <t>Joydebe Mistry</t>
  </si>
  <si>
    <t>RET-06939</t>
  </si>
  <si>
    <t>Touch Mobile  Center</t>
  </si>
  <si>
    <t>RET-13003</t>
  </si>
  <si>
    <t>Hafiz Telecom</t>
  </si>
  <si>
    <t> Mr. Jahangir </t>
  </si>
  <si>
    <t>RET-06857</t>
  </si>
  <si>
    <t>Mollah Telecom &amp; Servicing</t>
  </si>
  <si>
    <t>Md. Monir Khan</t>
  </si>
  <si>
    <t>RET-16770</t>
  </si>
  <si>
    <t>Janoni Tel-2</t>
  </si>
  <si>
    <t>Shisir Mistri</t>
  </si>
  <si>
    <t>RET-06533</t>
  </si>
  <si>
    <t>Janani Electronics</t>
  </si>
  <si>
    <t>Ripon Mistri</t>
  </si>
  <si>
    <t>RET-06542</t>
  </si>
  <si>
    <t xml:space="preserve">Mahatir Electronics </t>
  </si>
  <si>
    <t>Mr. Anisur Rahman</t>
  </si>
  <si>
    <t>RET-06924</t>
  </si>
  <si>
    <t>Tamim Telecom (1)</t>
  </si>
  <si>
    <t>Md. Nizamuddin</t>
  </si>
  <si>
    <t>RET-06863</t>
  </si>
  <si>
    <t>Moon Telecom</t>
  </si>
  <si>
    <t>Miraj Hawlader</t>
  </si>
  <si>
    <t>RET-13001</t>
  </si>
  <si>
    <t>Riad Mobile Center</t>
  </si>
  <si>
    <t>Mr. Al-Amin</t>
  </si>
  <si>
    <t>RET-20249</t>
  </si>
  <si>
    <t>Shadhin Smart Zone</t>
  </si>
  <si>
    <t>Jamal Hawlader</t>
  </si>
  <si>
    <t>Sumon Telecom</t>
  </si>
  <si>
    <t>RET-25288</t>
  </si>
  <si>
    <t>Mobile One</t>
  </si>
  <si>
    <t>MD. Hazrat</t>
  </si>
  <si>
    <t>RET-07222</t>
  </si>
  <si>
    <t>Rani Telecom</t>
  </si>
  <si>
    <t>Mr.Poritosh</t>
  </si>
  <si>
    <t>RET-20770</t>
  </si>
  <si>
    <t>New Satkhira Telecom</t>
  </si>
  <si>
    <t>Prosenjit Dotto</t>
  </si>
  <si>
    <t>RET-26483</t>
  </si>
  <si>
    <t>Naim Telecom</t>
  </si>
  <si>
    <t>Mr. Tajim Ahmed</t>
  </si>
  <si>
    <t>RET-07249</t>
  </si>
  <si>
    <t>Popi Telecom</t>
  </si>
  <si>
    <t>Mr. Mohammad Ali</t>
  </si>
  <si>
    <t>RET-20409</t>
  </si>
  <si>
    <t>Sachow Telecom</t>
  </si>
  <si>
    <t>Faisal Hossain</t>
  </si>
  <si>
    <t>RET-07189</t>
  </si>
  <si>
    <t>Tama Watch &amp; Mobile</t>
  </si>
  <si>
    <t>RET-07248</t>
  </si>
  <si>
    <t>Mithu Telecom</t>
  </si>
  <si>
    <t>Liton Hossain</t>
  </si>
  <si>
    <t>RET-13749</t>
  </si>
  <si>
    <t>Mr.Moniruzzaman</t>
  </si>
  <si>
    <t>RET-12835</t>
  </si>
  <si>
    <t>Md.Rakib</t>
  </si>
  <si>
    <t>RET-28010</t>
  </si>
  <si>
    <t>Hello Plus</t>
  </si>
  <si>
    <t>Mr.Rejaul Islam</t>
  </si>
  <si>
    <t>RET-07212</t>
  </si>
  <si>
    <t>Sun Link</t>
  </si>
  <si>
    <t xml:space="preserve">Mr.Biman </t>
  </si>
  <si>
    <t>RET-15449</t>
  </si>
  <si>
    <t>Active Telecom</t>
  </si>
  <si>
    <t>Mr.Ashraful Islam</t>
  </si>
  <si>
    <t>RET-07175</t>
  </si>
  <si>
    <t xml:space="preserve">Mr. Shabaj </t>
  </si>
  <si>
    <t>RET-07164</t>
  </si>
  <si>
    <t>Rajony Telecom</t>
  </si>
  <si>
    <t xml:space="preserve">Mr.Ariful </t>
  </si>
  <si>
    <t>RET-11435</t>
  </si>
  <si>
    <t>R K Telecom &amp; Electronics</t>
  </si>
  <si>
    <t>Jony Saha</t>
  </si>
  <si>
    <t>RET-10317</t>
  </si>
  <si>
    <t>Tania Telacom</t>
  </si>
  <si>
    <t>Bahar Ali</t>
  </si>
  <si>
    <t>RET-10502</t>
  </si>
  <si>
    <t>A D Mobile</t>
  </si>
  <si>
    <t>Debashesh</t>
  </si>
  <si>
    <t>RET-10367</t>
  </si>
  <si>
    <t>Niloy Elec &amp; Mobile Cor</t>
  </si>
  <si>
    <t>Md.Ali hasan</t>
  </si>
  <si>
    <t>RET-20453</t>
  </si>
  <si>
    <t>Mosharaf Telecom</t>
  </si>
  <si>
    <t>Md. Mosarraf Mia</t>
  </si>
  <si>
    <t>RET-23708</t>
  </si>
  <si>
    <t>Talukder Mobile House</t>
  </si>
  <si>
    <t>RET-18865</t>
  </si>
  <si>
    <t>Ma Electronics</t>
  </si>
  <si>
    <t>Md. Jony</t>
  </si>
  <si>
    <t>RET-10579</t>
  </si>
  <si>
    <t>E.S Mobile</t>
  </si>
  <si>
    <t>Md. Chand mia</t>
  </si>
  <si>
    <t>RET-11629</t>
  </si>
  <si>
    <t>Talukder  Telecom</t>
  </si>
  <si>
    <t>Priyo Telecom</t>
  </si>
  <si>
    <t>Md. Abdur Rahim</t>
  </si>
  <si>
    <t>RET-24719</t>
  </si>
  <si>
    <t>Bondhu Mahal</t>
  </si>
  <si>
    <t>Shamsul Alam</t>
  </si>
  <si>
    <t>RET-10602</t>
  </si>
  <si>
    <t>Xplore Communication</t>
  </si>
  <si>
    <t>RET-20968</t>
  </si>
  <si>
    <t>Uzzal Telecom</t>
  </si>
  <si>
    <t>Mr. Uzzal</t>
  </si>
  <si>
    <t>RET-10394</t>
  </si>
  <si>
    <t xml:space="preserve">Babul Telecom </t>
  </si>
  <si>
    <t>Badhon</t>
  </si>
  <si>
    <t>RET-10541</t>
  </si>
  <si>
    <t>Maa Enterprise</t>
  </si>
  <si>
    <t>Md. Siqueekur Rahman Khan</t>
  </si>
  <si>
    <t>RET-22275</t>
  </si>
  <si>
    <t>Shumon Telecom</t>
  </si>
  <si>
    <t>Md. Refayetullah Rajon</t>
  </si>
  <si>
    <t>RET-10341</t>
  </si>
  <si>
    <t>Md.Sohel</t>
  </si>
  <si>
    <t>RET-10313</t>
  </si>
  <si>
    <t>Sopno Computer</t>
  </si>
  <si>
    <t>Md. Yusuf Ali</t>
  </si>
  <si>
    <t>RET-11108</t>
  </si>
  <si>
    <t>Mobile World* Mawna.</t>
  </si>
  <si>
    <t>RET-19976</t>
  </si>
  <si>
    <t>M/S Muaj Telecom</t>
  </si>
  <si>
    <t>Md Monir</t>
  </si>
  <si>
    <t>RET-10294</t>
  </si>
  <si>
    <t>Borhan Phone Service</t>
  </si>
  <si>
    <t>Borhan Uddin</t>
  </si>
  <si>
    <t>RET-10636</t>
  </si>
  <si>
    <t>Shorna Telecom</t>
  </si>
  <si>
    <t>Mr. Shonkor Ghos</t>
  </si>
  <si>
    <t>RET-20443</t>
  </si>
  <si>
    <t>Md.Abdul Bari</t>
  </si>
  <si>
    <t>RET-10203</t>
  </si>
  <si>
    <t>Munna Electronics</t>
  </si>
  <si>
    <t>Mohshin</t>
  </si>
  <si>
    <t>RET-21456</t>
  </si>
  <si>
    <t>Imran Telecom</t>
  </si>
  <si>
    <t>Md Shamim</t>
  </si>
  <si>
    <t>RET-10113</t>
  </si>
  <si>
    <t>Nijam Telecom</t>
  </si>
  <si>
    <t>Md Abdullha Rabbi</t>
  </si>
  <si>
    <t>RET-10635</t>
  </si>
  <si>
    <t>Momo Telecom</t>
  </si>
  <si>
    <t>Mr. Shreekanto kumer das</t>
  </si>
  <si>
    <t>RET-10365</t>
  </si>
  <si>
    <t>SM Telecom</t>
  </si>
  <si>
    <t>Bapon poul</t>
  </si>
  <si>
    <t>RET-10506</t>
  </si>
  <si>
    <t>M/S Mobile Collection</t>
  </si>
  <si>
    <t>Pintu Saha</t>
  </si>
  <si>
    <t>RET-11914</t>
  </si>
  <si>
    <t>Md. Badol</t>
  </si>
  <si>
    <t>RET-10376</t>
  </si>
  <si>
    <t>Akonda Electronic</t>
  </si>
  <si>
    <t xml:space="preserve">Munna </t>
  </si>
  <si>
    <t>RET-11543</t>
  </si>
  <si>
    <t>Md. Zahidul Islam</t>
  </si>
  <si>
    <t>RET-10091</t>
  </si>
  <si>
    <t>J .L telecom</t>
  </si>
  <si>
    <t>Masum</t>
  </si>
  <si>
    <t>RET-18881</t>
  </si>
  <si>
    <t>Bhai Bhai Electronics</t>
  </si>
  <si>
    <t>Shakil Trade Interlink</t>
  </si>
  <si>
    <t>Kanok Kumar Bormon</t>
  </si>
  <si>
    <t>RET-21904</t>
  </si>
  <si>
    <t>Miaji Telecom</t>
  </si>
  <si>
    <t>Golam Mawla Joy</t>
  </si>
  <si>
    <t>RET-14482</t>
  </si>
  <si>
    <t>Noor Telecom 2</t>
  </si>
  <si>
    <t>Md.Tanim</t>
  </si>
  <si>
    <t>RET-10933</t>
  </si>
  <si>
    <t>Dream Telecom</t>
  </si>
  <si>
    <t>Md. Nayem Islam</t>
  </si>
  <si>
    <t>RET-18880</t>
  </si>
  <si>
    <t>Md: Al-amin</t>
  </si>
  <si>
    <t>RET-11196</t>
  </si>
  <si>
    <t>Md. Halim</t>
  </si>
  <si>
    <t>RET-11324</t>
  </si>
  <si>
    <t>Rajdhani Electronics And electrics</t>
  </si>
  <si>
    <t>Abdul Aziz</t>
  </si>
  <si>
    <t>RET-20448</t>
  </si>
  <si>
    <t>Janota Telecom</t>
  </si>
  <si>
    <t>Shahin Islam</t>
  </si>
  <si>
    <t>RET-10840</t>
  </si>
  <si>
    <t>Rotna Watch</t>
  </si>
  <si>
    <t>Nur Hossain</t>
  </si>
  <si>
    <t>RET-10225</t>
  </si>
  <si>
    <t>R.M Telecom</t>
  </si>
  <si>
    <t>RET-11243</t>
  </si>
  <si>
    <t>Busra telecom</t>
  </si>
  <si>
    <t>Md. Billal Hosen</t>
  </si>
  <si>
    <t>RET-11547</t>
  </si>
  <si>
    <t>Ekushey mobile</t>
  </si>
  <si>
    <t>Biplob Kumar Bakali</t>
  </si>
  <si>
    <t>RET-10346</t>
  </si>
  <si>
    <t>Mobile Source</t>
  </si>
  <si>
    <t>Md.Abdul Jolil</t>
  </si>
  <si>
    <t>RET-11220</t>
  </si>
  <si>
    <t xml:space="preserve">Ma Telecom*PO </t>
  </si>
  <si>
    <t>Md. Masudur Rahman</t>
  </si>
  <si>
    <t>RET-13268</t>
  </si>
  <si>
    <t>N S Telecom</t>
  </si>
  <si>
    <t>Md.Mofazzal Haque</t>
  </si>
  <si>
    <t>RET-11074</t>
  </si>
  <si>
    <t>Rubel Telecom (Monipur)</t>
  </si>
  <si>
    <t>Motaleb</t>
  </si>
  <si>
    <t>RET-14484</t>
  </si>
  <si>
    <t>Salim Multimedia &amp;Telecom* Netrokona</t>
  </si>
  <si>
    <t>Salim</t>
  </si>
  <si>
    <t>RET-10785</t>
  </si>
  <si>
    <t>Azahar Store</t>
  </si>
  <si>
    <t>Md. Azahar</t>
  </si>
  <si>
    <t>RET-10660</t>
  </si>
  <si>
    <t>Mudohful Enterpriese</t>
  </si>
  <si>
    <t>Shohel Ahmed</t>
  </si>
  <si>
    <t>RET-11480</t>
  </si>
  <si>
    <t>RET-11615</t>
  </si>
  <si>
    <t>Sunrise Electronics</t>
  </si>
  <si>
    <t>RET-23746</t>
  </si>
  <si>
    <t>Afra Telecom</t>
  </si>
  <si>
    <t>RET-13688</t>
  </si>
  <si>
    <t>BANGLADESH COMPUTER</t>
  </si>
  <si>
    <t>Md. Ujjol</t>
  </si>
  <si>
    <t>RET-15755</t>
  </si>
  <si>
    <t>Shahin Electronix &amp; Telecom</t>
  </si>
  <si>
    <t>Md. Imran Pathan (Shahin)</t>
  </si>
  <si>
    <t>RET-22254</t>
  </si>
  <si>
    <t>Abbas Telicom</t>
  </si>
  <si>
    <t>MD.Amanul Islam</t>
  </si>
  <si>
    <t>RET-11305</t>
  </si>
  <si>
    <t>Mobile Galary</t>
  </si>
  <si>
    <t>Mahbubur Rahman</t>
  </si>
  <si>
    <t>RET-10783</t>
  </si>
  <si>
    <t>Mithun Store</t>
  </si>
  <si>
    <t>Meraj</t>
  </si>
  <si>
    <t>RET-18814</t>
  </si>
  <si>
    <t>Nirjhara Mobile Zone (SIS)</t>
  </si>
  <si>
    <t>Jalal</t>
  </si>
  <si>
    <t>RET-19172</t>
  </si>
  <si>
    <t>S.M Telecom</t>
  </si>
  <si>
    <t>Md.Shahidul Islam</t>
  </si>
  <si>
    <t>RET-10373</t>
  </si>
  <si>
    <t>Rongdhanu Telecom</t>
  </si>
  <si>
    <t>Md.Sadesh Chokroborti</t>
  </si>
  <si>
    <t>RET-18040</t>
  </si>
  <si>
    <t>Md. Keramot ali Razu</t>
  </si>
  <si>
    <t>RET-17900</t>
  </si>
  <si>
    <t>Ayesha Technology</t>
  </si>
  <si>
    <t>Kader</t>
  </si>
  <si>
    <t>RET-10979</t>
  </si>
  <si>
    <t>Antu Mobile</t>
  </si>
  <si>
    <t>Susanto Das</t>
  </si>
  <si>
    <t>RET-10408</t>
  </si>
  <si>
    <t>Mamun telecom</t>
  </si>
  <si>
    <t>Joyanta</t>
  </si>
  <si>
    <t>RET-10178</t>
  </si>
  <si>
    <t>New Samanta Telecom</t>
  </si>
  <si>
    <t>Shahriar Shanto</t>
  </si>
  <si>
    <t>RET-11116</t>
  </si>
  <si>
    <t>Mobile Bank</t>
  </si>
  <si>
    <t>Md.shorif hossen</t>
  </si>
  <si>
    <t>RET-17508</t>
  </si>
  <si>
    <t>S.R Enterprise</t>
  </si>
  <si>
    <t>Biplab Kumar Saha</t>
  </si>
  <si>
    <t>RET-10658</t>
  </si>
  <si>
    <t>Anamul Haq</t>
  </si>
  <si>
    <t>RET-13390</t>
  </si>
  <si>
    <t>Md. Noyon Mia</t>
  </si>
  <si>
    <t>RET-10478</t>
  </si>
  <si>
    <t>Moumita Electronics</t>
  </si>
  <si>
    <t>Jiten Bin</t>
  </si>
  <si>
    <t>RET-10117</t>
  </si>
  <si>
    <t>Ma Telecom Service</t>
  </si>
  <si>
    <t>Md Asadurzzaman</t>
  </si>
  <si>
    <t>RET-14491</t>
  </si>
  <si>
    <t>Md Rabbi</t>
  </si>
  <si>
    <t>RET-13408</t>
  </si>
  <si>
    <t>Jamuna Telecom</t>
  </si>
  <si>
    <t>Abdullah Al-Mamun</t>
  </si>
  <si>
    <t>RET-11416</t>
  </si>
  <si>
    <t>Mobile plus</t>
  </si>
  <si>
    <t>Mehedi Hasan Dipu</t>
  </si>
  <si>
    <t>RET-10250</t>
  </si>
  <si>
    <t>Nadim Telecom</t>
  </si>
  <si>
    <t>Sajib Sarker</t>
  </si>
  <si>
    <t>RET-20378</t>
  </si>
  <si>
    <t>Md Jahangir Alam</t>
  </si>
  <si>
    <t>RET-20455</t>
  </si>
  <si>
    <t>Saddam Telecom</t>
  </si>
  <si>
    <t>Abu Hanif</t>
  </si>
  <si>
    <t>RET-11349</t>
  </si>
  <si>
    <t xml:space="preserve">Md.Sumon </t>
  </si>
  <si>
    <t>RET-22330</t>
  </si>
  <si>
    <t>R K Telecom</t>
  </si>
  <si>
    <t>Nakibul Hasan</t>
  </si>
  <si>
    <t>RET-11033</t>
  </si>
  <si>
    <t>Zisan Telecom-1</t>
  </si>
  <si>
    <t>Shariful</t>
  </si>
  <si>
    <t>RET-10676</t>
  </si>
  <si>
    <t>Tumpa Telecom</t>
  </si>
  <si>
    <t>Bachu Mia</t>
  </si>
  <si>
    <t>RET-13179</t>
  </si>
  <si>
    <t>RET-10423</t>
  </si>
  <si>
    <t>Shumon Electronics</t>
  </si>
  <si>
    <t>Zhuton saha</t>
  </si>
  <si>
    <t>RET-10973</t>
  </si>
  <si>
    <t>Vai Vai Telecom (SIS)</t>
  </si>
  <si>
    <t>Sonjit</t>
  </si>
  <si>
    <t>RET-11153</t>
  </si>
  <si>
    <t>Nurol Amin Electronics</t>
  </si>
  <si>
    <t>MD, Rahad</t>
  </si>
  <si>
    <t>RET-10218</t>
  </si>
  <si>
    <t>Sagor Telecom</t>
  </si>
  <si>
    <t>Karim</t>
  </si>
  <si>
    <t>RET-11911</t>
  </si>
  <si>
    <t>Jakir Telecom</t>
  </si>
  <si>
    <t>Zahorul Islam kadari</t>
  </si>
  <si>
    <t>RET-14478</t>
  </si>
  <si>
    <t>Badsha Telecom</t>
  </si>
  <si>
    <t>Md Jahirul Islam</t>
  </si>
  <si>
    <t>RET-11565</t>
  </si>
  <si>
    <t>Ma telecom</t>
  </si>
  <si>
    <t>Md. Abid Hasan</t>
  </si>
  <si>
    <t>RET-10111</t>
  </si>
  <si>
    <t>Methela mobile world</t>
  </si>
  <si>
    <t xml:space="preserve"> Md. Shohel</t>
  </si>
  <si>
    <t>RET-11102</t>
  </si>
  <si>
    <t>Tahosin Telecom</t>
  </si>
  <si>
    <t>Jahidul Islam</t>
  </si>
  <si>
    <t>RET-11576</t>
  </si>
  <si>
    <t>Lafi Telecom</t>
  </si>
  <si>
    <t>Md. Humayon Khalid</t>
  </si>
  <si>
    <t>RET-11624</t>
  </si>
  <si>
    <t>Aporupa Telecom</t>
  </si>
  <si>
    <t>Anaruzzaman Fakir</t>
  </si>
  <si>
    <t>RET-13184</t>
  </si>
  <si>
    <t>Mohona  Mobile Mela</t>
  </si>
  <si>
    <t>Md. Shohan</t>
  </si>
  <si>
    <t>RET-15719</t>
  </si>
  <si>
    <t xml:space="preserve">Sakura Telecom </t>
  </si>
  <si>
    <t>Md. Jolilur Rahman</t>
  </si>
  <si>
    <t>RET-10325</t>
  </si>
  <si>
    <t>Md.Jasim</t>
  </si>
  <si>
    <t>RET-11269</t>
  </si>
  <si>
    <t>Tanha Telecom</t>
  </si>
  <si>
    <t>Md Mamun</t>
  </si>
  <si>
    <t>RET-10968</t>
  </si>
  <si>
    <t>RET-11398</t>
  </si>
  <si>
    <t>Lizon Telecon &amp; digital Studio</t>
  </si>
  <si>
    <t>Md.Masud</t>
  </si>
  <si>
    <t>RET-11219</t>
  </si>
  <si>
    <t>Hellow telecom</t>
  </si>
  <si>
    <t>RET-10126</t>
  </si>
  <si>
    <t>Zim telecom</t>
  </si>
  <si>
    <t xml:space="preserve"> Md. Sharif Ahmed</t>
  </si>
  <si>
    <t>RET-10532</t>
  </si>
  <si>
    <t>Brother Telecom</t>
  </si>
  <si>
    <t>Ram Prosad Chandra sorker</t>
  </si>
  <si>
    <t>RET-10739</t>
  </si>
  <si>
    <t>Jahan Electronics</t>
  </si>
  <si>
    <t>Md .Jahirul Islam</t>
  </si>
  <si>
    <t>RET-10219</t>
  </si>
  <si>
    <t>Sony Telecom</t>
  </si>
  <si>
    <t>Md. Shohidullah</t>
  </si>
  <si>
    <t>RET-11365</t>
  </si>
  <si>
    <t>Razu Telecom</t>
  </si>
  <si>
    <t>Mr.Mintu</t>
  </si>
  <si>
    <t>RET-17977</t>
  </si>
  <si>
    <t>J.S Telecom 1</t>
  </si>
  <si>
    <t>Nazmul Haq</t>
  </si>
  <si>
    <t>RET-10772</t>
  </si>
  <si>
    <t>Md. Abdullah Al Imam Rubel</t>
  </si>
  <si>
    <t>RET-11510</t>
  </si>
  <si>
    <t>Rahul Mobile Center</t>
  </si>
  <si>
    <t>Uttam Saha</t>
  </si>
  <si>
    <t>RET-17978</t>
  </si>
  <si>
    <t>Ronjon Shaha</t>
  </si>
  <si>
    <t>RET-11386</t>
  </si>
  <si>
    <t>Jannat Enterprise</t>
  </si>
  <si>
    <t>Md. Ismail Hossain Sujon</t>
  </si>
  <si>
    <t>RET-13636</t>
  </si>
  <si>
    <t>Arafat</t>
  </si>
  <si>
    <t>RET-15762</t>
  </si>
  <si>
    <t>BHI BHI Telecom</t>
  </si>
  <si>
    <t>Shofiqul islam</t>
  </si>
  <si>
    <t>RET-11075</t>
  </si>
  <si>
    <t>Tangail Telecom</t>
  </si>
  <si>
    <t>Ali Hossain</t>
  </si>
  <si>
    <t>RET-18300</t>
  </si>
  <si>
    <t>Saju Comunication &amp; Gift Galary</t>
  </si>
  <si>
    <t>Mr. saju</t>
  </si>
  <si>
    <t>RET-11437</t>
  </si>
  <si>
    <t>Crown Mobile</t>
  </si>
  <si>
    <t>Chanchal kumar</t>
  </si>
  <si>
    <t>RET-19174</t>
  </si>
  <si>
    <t>Redium Telecom</t>
  </si>
  <si>
    <t>Mr. Lipon vowmic</t>
  </si>
  <si>
    <t>RET-11548</t>
  </si>
  <si>
    <t>Anware Telecom &amp; Servicing Center</t>
  </si>
  <si>
    <t>Kanon Miah</t>
  </si>
  <si>
    <t>RET-10656</t>
  </si>
  <si>
    <t>Shakhayat Hossain</t>
  </si>
  <si>
    <t>RET-17535</t>
  </si>
  <si>
    <t>Janani Telecom</t>
  </si>
  <si>
    <t>Md. Masud Alam</t>
  </si>
  <si>
    <t>RET-10177</t>
  </si>
  <si>
    <t>FM Telecom</t>
  </si>
  <si>
    <t>Samim</t>
  </si>
  <si>
    <t>RET-10173</t>
  </si>
  <si>
    <t>Samanta Telecom</t>
  </si>
  <si>
    <t>Erfan</t>
  </si>
  <si>
    <t>RET-10483</t>
  </si>
  <si>
    <t>Shuveccha Electronics</t>
  </si>
  <si>
    <t>Milon Bin ratul</t>
  </si>
  <si>
    <t>RET-10152</t>
  </si>
  <si>
    <t>Jomidar Telecom</t>
  </si>
  <si>
    <t>Md Rafiqul Islam</t>
  </si>
  <si>
    <t>RET-11517</t>
  </si>
  <si>
    <t>Enjoy Electronics &amp; Crokarige</t>
  </si>
  <si>
    <t>Md. Amzad Hossain</t>
  </si>
  <si>
    <t>RET-10257</t>
  </si>
  <si>
    <t>Ratan Shaha</t>
  </si>
  <si>
    <t>RET-22501</t>
  </si>
  <si>
    <t>Md. Liton</t>
  </si>
  <si>
    <t>RET-11255</t>
  </si>
  <si>
    <t>Marof telecom</t>
  </si>
  <si>
    <t>Md:Halim Hosen</t>
  </si>
  <si>
    <t>RET-23809</t>
  </si>
  <si>
    <t>Ria Telecom (Monipur)</t>
  </si>
  <si>
    <t>RET-14472</t>
  </si>
  <si>
    <t>AKM Salauddin</t>
  </si>
  <si>
    <t>RET-14474</t>
  </si>
  <si>
    <t>Abul Hossain</t>
  </si>
  <si>
    <t>RET-22615</t>
  </si>
  <si>
    <t>Shanto Mobile Center</t>
  </si>
  <si>
    <t>Md. Shanto</t>
  </si>
  <si>
    <t>RET-10263</t>
  </si>
  <si>
    <t>Rong Mela Electronic</t>
  </si>
  <si>
    <t>Kamal Ahmed</t>
  </si>
  <si>
    <t>RET-11218</t>
  </si>
  <si>
    <t>New Vip Mobile gallery</t>
  </si>
  <si>
    <t>Md. Bodiul Alam Bachchu</t>
  </si>
  <si>
    <t>RET-18879</t>
  </si>
  <si>
    <t>Akter Telecom</t>
  </si>
  <si>
    <t>Faiz Uddin</t>
  </si>
  <si>
    <t>RET-11041</t>
  </si>
  <si>
    <t>Morshed</t>
  </si>
  <si>
    <t>RET-10235</t>
  </si>
  <si>
    <t>Rajon Enterprise</t>
  </si>
  <si>
    <t>Rajon</t>
  </si>
  <si>
    <t>RET-10503</t>
  </si>
  <si>
    <t>Bijoy Telecom</t>
  </si>
  <si>
    <t xml:space="preserve">Moloi </t>
  </si>
  <si>
    <t>RET-20383</t>
  </si>
  <si>
    <t>Md.Alauddin</t>
  </si>
  <si>
    <t>RET-11507</t>
  </si>
  <si>
    <t>Mesars Sahel Telecom</t>
  </si>
  <si>
    <t>Sanowar Hossain</t>
  </si>
  <si>
    <t>RET-11007</t>
  </si>
  <si>
    <t>Bithi Telecom</t>
  </si>
  <si>
    <t>ALAmin</t>
  </si>
  <si>
    <t>RET-10179</t>
  </si>
  <si>
    <t>Arif</t>
  </si>
  <si>
    <t>RET-11441</t>
  </si>
  <si>
    <t>Rahi Telecom</t>
  </si>
  <si>
    <t>Saidul Islam</t>
  </si>
  <si>
    <t>RET-20893</t>
  </si>
  <si>
    <t>Rupa Mobile City</t>
  </si>
  <si>
    <t>Md. Rasheduzzaman</t>
  </si>
  <si>
    <t>RET-19746</t>
  </si>
  <si>
    <t>Five Star Electronics</t>
  </si>
  <si>
    <t>Md Asad</t>
  </si>
  <si>
    <t>RET-11273</t>
  </si>
  <si>
    <t>Zahed Telecom</t>
  </si>
  <si>
    <t>Al-amain hossen</t>
  </si>
  <si>
    <t>RET-19825</t>
  </si>
  <si>
    <t>Anwar Multimedia</t>
  </si>
  <si>
    <t>Salam Telecom</t>
  </si>
  <si>
    <t>RET-13181</t>
  </si>
  <si>
    <t>Mobile Media 2</t>
  </si>
  <si>
    <t>Md.Sagor Ahmed</t>
  </si>
  <si>
    <t>RET-10868</t>
  </si>
  <si>
    <t>Shuvo Telecom</t>
  </si>
  <si>
    <t>Piash Sarkar</t>
  </si>
  <si>
    <t>RET-22329</t>
  </si>
  <si>
    <t>M/S Mafu Telecom &amp; Electronics</t>
  </si>
  <si>
    <t>Md. Mafu</t>
  </si>
  <si>
    <t>RET-10616</t>
  </si>
  <si>
    <t>Ghorigor Mobile</t>
  </si>
  <si>
    <t>Md. Abdul hannan</t>
  </si>
  <si>
    <t>RET-11130</t>
  </si>
  <si>
    <t>Towhid Telecom* Mawna.</t>
  </si>
  <si>
    <t>MD.Salim Mahmud</t>
  </si>
  <si>
    <t>RET-10198</t>
  </si>
  <si>
    <t>Diponkor Electronics</t>
  </si>
  <si>
    <t>Osit Sarker</t>
  </si>
  <si>
    <t>RET-10685</t>
  </si>
  <si>
    <t>Achol Telecom</t>
  </si>
  <si>
    <t>Masud Rana</t>
  </si>
  <si>
    <t>RET-10899</t>
  </si>
  <si>
    <t>Mahim Telecom (Anupom)</t>
  </si>
  <si>
    <t>Safiat Hossain Tipo</t>
  </si>
  <si>
    <t>RET-11420</t>
  </si>
  <si>
    <t>Borsha Telecom</t>
  </si>
  <si>
    <t>RET-11940</t>
  </si>
  <si>
    <t>Songita Telecom</t>
  </si>
  <si>
    <t>Mir Suble Shadik</t>
  </si>
  <si>
    <t>RET-11597</t>
  </si>
  <si>
    <t>Md. Suruj Mia</t>
  </si>
  <si>
    <t>RET-18622</t>
  </si>
  <si>
    <t>Sarker Smart Zone</t>
  </si>
  <si>
    <t>Md. Mojammel Haque</t>
  </si>
  <si>
    <t>RET-14588</t>
  </si>
  <si>
    <t>Md Alam</t>
  </si>
  <si>
    <t>RET-11971</t>
  </si>
  <si>
    <t>J. Khan Enterprise (Shofipur)</t>
  </si>
  <si>
    <t>Md. Subayed Khan</t>
  </si>
  <si>
    <t>RET-10125</t>
  </si>
  <si>
    <t xml:space="preserve"> Md. Johirul Islam</t>
  </si>
  <si>
    <t>RET-11286</t>
  </si>
  <si>
    <t>Uzzol Telecom</t>
  </si>
  <si>
    <t>Mr. uzzal</t>
  </si>
  <si>
    <t>RET-10169</t>
  </si>
  <si>
    <t>Regan Telecom</t>
  </si>
  <si>
    <t xml:space="preserve">Mahmudul Hasan Regan </t>
  </si>
  <si>
    <t>RET-11440</t>
  </si>
  <si>
    <t>Md. Sohel Rana</t>
  </si>
  <si>
    <t>RET-10174</t>
  </si>
  <si>
    <t>Dina Telecom</t>
  </si>
  <si>
    <t>Monjur alahi Mukul</t>
  </si>
  <si>
    <t>RET-13637</t>
  </si>
  <si>
    <t>Sayon Telecom</t>
  </si>
  <si>
    <t>Md Mosarof</t>
  </si>
  <si>
    <t>RET-11451</t>
  </si>
  <si>
    <t>Sorgom Telecom</t>
  </si>
  <si>
    <t>Topon Kumar Pal</t>
  </si>
  <si>
    <t>RET-12023</t>
  </si>
  <si>
    <t>Faiza Telecom</t>
  </si>
  <si>
    <t>Md. Fazlur Rahman</t>
  </si>
  <si>
    <t>RET-17910</t>
  </si>
  <si>
    <t>Shamin Telecom</t>
  </si>
  <si>
    <t>Md. Mafijul Hosen Titu</t>
  </si>
  <si>
    <t>RET-22519</t>
  </si>
  <si>
    <t>Sattar  Telecom</t>
  </si>
  <si>
    <t xml:space="preserve">Md. Abdus Sattar </t>
  </si>
  <si>
    <t>RET-10249</t>
  </si>
  <si>
    <t>RET-10573</t>
  </si>
  <si>
    <t>Kalam Tlecom</t>
  </si>
  <si>
    <t>Md. Kalam</t>
  </si>
  <si>
    <t>RET-19833</t>
  </si>
  <si>
    <t>Md. Arzu Ahmed</t>
  </si>
  <si>
    <t>RET-16396</t>
  </si>
  <si>
    <t>Raita Telecom</t>
  </si>
  <si>
    <t>Taufiq</t>
  </si>
  <si>
    <t>Md. Shamim</t>
  </si>
  <si>
    <t>RET-11904</t>
  </si>
  <si>
    <t>Shoveccha Mobile &amp; Multimedia</t>
  </si>
  <si>
    <t>Md. Nurul Islam</t>
  </si>
  <si>
    <t>RET-13411</t>
  </si>
  <si>
    <t>Smart phone</t>
  </si>
  <si>
    <t>Sabbir hossan</t>
  </si>
  <si>
    <t>RET-10175</t>
  </si>
  <si>
    <t>Nif Telecom</t>
  </si>
  <si>
    <t>Sajol</t>
  </si>
  <si>
    <t>RET-12013</t>
  </si>
  <si>
    <t>Om Telecom</t>
  </si>
  <si>
    <t>Dipok saha</t>
  </si>
  <si>
    <t>RET-10874</t>
  </si>
  <si>
    <t>S A Telecom-1</t>
  </si>
  <si>
    <t>RET-10132</t>
  </si>
  <si>
    <t>Jashim Telecom</t>
  </si>
  <si>
    <t>Md Jashim Uddin</t>
  </si>
  <si>
    <t>RET-17635</t>
  </si>
  <si>
    <t>Motin telecom</t>
  </si>
  <si>
    <t>Md. aAbdul Motin</t>
  </si>
  <si>
    <t>RET-10552</t>
  </si>
  <si>
    <t>Ma Jononi</t>
  </si>
  <si>
    <t>Juton chandra shen</t>
  </si>
  <si>
    <t>RET-11438</t>
  </si>
  <si>
    <t>Rekha Telecom</t>
  </si>
  <si>
    <t>Liton Kumar Datta</t>
  </si>
  <si>
    <t>RET-10140</t>
  </si>
  <si>
    <t>Nahar Telecom</t>
  </si>
  <si>
    <t>S.M Rifat</t>
  </si>
  <si>
    <t>RET-10166</t>
  </si>
  <si>
    <t>Gram Bangla Telecom</t>
  </si>
  <si>
    <t>Rofiqul Islam</t>
  </si>
  <si>
    <t>RET-22328</t>
  </si>
  <si>
    <t>Mariyam Telecom</t>
  </si>
  <si>
    <t>Md. Shahinur Bhuiyan</t>
  </si>
  <si>
    <t>RET-17821</t>
  </si>
  <si>
    <t>A.R Mobile Zone</t>
  </si>
  <si>
    <t>RET-10136</t>
  </si>
  <si>
    <t>SIM Media</t>
  </si>
  <si>
    <t xml:space="preserve"> Anis</t>
  </si>
  <si>
    <t>RET-10740</t>
  </si>
  <si>
    <t>Juel eletronics &amp; Telecom</t>
  </si>
  <si>
    <t>Md.Juel Mia</t>
  </si>
  <si>
    <t>RET-24485</t>
  </si>
  <si>
    <t>Hello Tangail</t>
  </si>
  <si>
    <t>Md. Razibur Rahman</t>
  </si>
  <si>
    <t>RET-19828</t>
  </si>
  <si>
    <t>Sameer Telecom &amp; Servicing Center</t>
  </si>
  <si>
    <t>Md. Jewel Khan</t>
  </si>
  <si>
    <t>RET-11902</t>
  </si>
  <si>
    <t>Mondal Telecom</t>
  </si>
  <si>
    <t>Md. Sourab</t>
  </si>
  <si>
    <t>RET-19102</t>
  </si>
  <si>
    <t>Simon Telecom</t>
  </si>
  <si>
    <t>Chutan Saha</t>
  </si>
  <si>
    <t>RET-11485</t>
  </si>
  <si>
    <t>Sayfa Telecom</t>
  </si>
  <si>
    <t>RET-11444</t>
  </si>
  <si>
    <t>R. K Mobile point</t>
  </si>
  <si>
    <t>Rony Saha</t>
  </si>
  <si>
    <t>RET-11602</t>
  </si>
  <si>
    <t>Junayed Telecom</t>
  </si>
  <si>
    <t xml:space="preserve"> Taima </t>
  </si>
  <si>
    <t>Value TGT</t>
  </si>
  <si>
    <t>6K Qty TGT</t>
  </si>
  <si>
    <t>Value Achv %</t>
  </si>
  <si>
    <t>6K Qty Achv %</t>
  </si>
  <si>
    <t>RET-22960</t>
  </si>
  <si>
    <t xml:space="preserve">Istern Telecom </t>
  </si>
  <si>
    <t xml:space="preserve">Md. Sojib </t>
  </si>
  <si>
    <t>RET-03165</t>
  </si>
  <si>
    <t>Fayez Telecom</t>
  </si>
  <si>
    <t>RET-27692</t>
  </si>
  <si>
    <t>Sumaiya Telecom</t>
  </si>
  <si>
    <t>RET-23816</t>
  </si>
  <si>
    <t>Hira telecom &amp; mobile  servacing</t>
  </si>
  <si>
    <t>Md Rajib</t>
  </si>
  <si>
    <t>Md Rohan khan</t>
  </si>
  <si>
    <t>RET-00379</t>
  </si>
  <si>
    <t xml:space="preserve">Bayzed Telecom </t>
  </si>
  <si>
    <t>Md. Kamal Hossain</t>
  </si>
  <si>
    <t>Tahia Enterprise</t>
  </si>
  <si>
    <t>RET-07490</t>
  </si>
  <si>
    <t>Mr. Baccu</t>
  </si>
  <si>
    <t>RET-07334</t>
  </si>
  <si>
    <t>Ride Electronics</t>
  </si>
  <si>
    <t>RET-07354</t>
  </si>
  <si>
    <t>Z Telecom</t>
  </si>
  <si>
    <t>Md. Jamal</t>
  </si>
  <si>
    <t>RET-19781</t>
  </si>
  <si>
    <t>K.S Telecom</t>
  </si>
  <si>
    <t>Mr. Kutub Shake</t>
  </si>
  <si>
    <t>RET-23090</t>
  </si>
  <si>
    <t>RET-27503</t>
  </si>
  <si>
    <t>Maa TelecomDurgapur</t>
  </si>
  <si>
    <t>Md.Showrab</t>
  </si>
  <si>
    <t>RET-11394</t>
  </si>
  <si>
    <t>Raina telecom</t>
  </si>
  <si>
    <t>Mr. Ridoy</t>
  </si>
  <si>
    <t>RET-15728</t>
  </si>
  <si>
    <t>Azam Computer &amp; Mobile Showroom</t>
  </si>
  <si>
    <t>Md. Azom</t>
  </si>
  <si>
    <t>RET-07912</t>
  </si>
  <si>
    <t>Apurbo Electronics</t>
  </si>
  <si>
    <t>Mr. Masum</t>
  </si>
  <si>
    <t>RET-27858</t>
  </si>
  <si>
    <t>Seba Telecom</t>
  </si>
  <si>
    <t>RET-09104</t>
  </si>
  <si>
    <t>Business Link</t>
  </si>
  <si>
    <t>Md. Mizan</t>
  </si>
  <si>
    <t>RET-27524</t>
  </si>
  <si>
    <t>SA Telecom</t>
  </si>
  <si>
    <t>Sagor Ahmed</t>
  </si>
  <si>
    <t>RET-13841</t>
  </si>
  <si>
    <t>Chonchol Telecom</t>
  </si>
  <si>
    <t>Chonchol Mondol</t>
  </si>
  <si>
    <t>RET-09355</t>
  </si>
  <si>
    <t>Sunny Telecom</t>
  </si>
  <si>
    <t>Md.Ahousan Habib Suny</t>
  </si>
  <si>
    <t>RET-10040</t>
  </si>
  <si>
    <t>RET-03128</t>
  </si>
  <si>
    <t>Md.Jashim</t>
  </si>
  <si>
    <t>RET-05373</t>
  </si>
  <si>
    <t>Mr. Nayam</t>
  </si>
  <si>
    <t>Mymensing</t>
  </si>
  <si>
    <t>Month End Linear Forecast</t>
  </si>
  <si>
    <t>Month End Achv %</t>
  </si>
  <si>
    <t>Summary</t>
  </si>
  <si>
    <t>National SP tertiary Qty</t>
  </si>
  <si>
    <t>National SP tertiary value</t>
  </si>
  <si>
    <t>National 6k tertiary Qty</t>
  </si>
  <si>
    <t>National 6k tertiary value</t>
  </si>
  <si>
    <t>Grand Total</t>
  </si>
  <si>
    <t># Retail</t>
  </si>
  <si>
    <t>Value Achv</t>
  </si>
  <si>
    <t>6K TGT</t>
  </si>
  <si>
    <t>6K Achv</t>
  </si>
  <si>
    <t>Achv %</t>
  </si>
  <si>
    <t>SSP</t>
  </si>
  <si>
    <t>Contribution</t>
  </si>
  <si>
    <t>Day Passed:</t>
  </si>
  <si>
    <t>Rank</t>
  </si>
  <si>
    <t>RET-27307</t>
  </si>
  <si>
    <t>RET-11800</t>
  </si>
  <si>
    <t>RET-23025</t>
  </si>
  <si>
    <t>Smart Mobile Shop</t>
  </si>
  <si>
    <t>Bipul Chandra Debnath</t>
  </si>
  <si>
    <t>RET-08183</t>
  </si>
  <si>
    <t>Hello Atrai</t>
  </si>
  <si>
    <t>Mr. Masud</t>
  </si>
  <si>
    <t>RET-00100</t>
  </si>
  <si>
    <t>Bikram Pur Telecom</t>
  </si>
  <si>
    <t>Kawser Hossain</t>
  </si>
  <si>
    <t>RET-19640</t>
  </si>
  <si>
    <t>AHNAF TELECOM</t>
  </si>
  <si>
    <t>Nahin Rahman Arnab</t>
  </si>
  <si>
    <t>RET-05461</t>
  </si>
  <si>
    <t>Nayan Telecom</t>
  </si>
  <si>
    <t>Mr. Mosharaf Hossain</t>
  </si>
  <si>
    <t>RET-23098</t>
  </si>
  <si>
    <t>Md. Monjur Alam</t>
  </si>
  <si>
    <t>RET-05112</t>
  </si>
  <si>
    <t xml:space="preserve"> Mobile Village</t>
  </si>
  <si>
    <t>Solaiman</t>
  </si>
  <si>
    <t>RET-22668</t>
  </si>
  <si>
    <t>S.R Telecom</t>
  </si>
  <si>
    <t>Md. Sohag Mia</t>
  </si>
  <si>
    <t>RET-27540</t>
  </si>
  <si>
    <t>Md. Samol</t>
  </si>
  <si>
    <t>RET-27680</t>
  </si>
  <si>
    <t>Sanjida Telecom</t>
  </si>
  <si>
    <t>Md. Abu Sayed</t>
  </si>
  <si>
    <t>RET-10495</t>
  </si>
  <si>
    <t>Smart Mobile</t>
  </si>
  <si>
    <t xml:space="preserve">  Mr. Khosro</t>
  </si>
  <si>
    <t>RET-17069</t>
  </si>
  <si>
    <t>Mridha Smartphone Center</t>
  </si>
  <si>
    <t>Md. Aldin</t>
  </si>
  <si>
    <t>RET-03182</t>
  </si>
  <si>
    <t>Sardar Telecom</t>
  </si>
  <si>
    <t>Md. Nazrul Hossain</t>
  </si>
  <si>
    <t>RET-26296</t>
  </si>
  <si>
    <t>Unique Electronics</t>
  </si>
  <si>
    <t>Gopal Babu</t>
  </si>
  <si>
    <t>RET-12758</t>
  </si>
  <si>
    <t>Md.Mehedi Hossain</t>
  </si>
  <si>
    <t>RET-21010</t>
  </si>
  <si>
    <t>Rana Mobile House</t>
  </si>
  <si>
    <t>Mr. Kazi Mamud Rana</t>
  </si>
  <si>
    <t>Retail Type</t>
  </si>
  <si>
    <t>RET-02771</t>
  </si>
  <si>
    <t>Al Imran Khan</t>
  </si>
  <si>
    <t>RET-22832</t>
  </si>
  <si>
    <t>Chistia Telecom</t>
  </si>
  <si>
    <t>Md. Nazmul Karim</t>
  </si>
  <si>
    <t>RET-00776</t>
  </si>
  <si>
    <t>AL Hassan Mobile Point-1</t>
  </si>
  <si>
    <t>Md. Monjur Alaom Monju</t>
  </si>
  <si>
    <t>RET-11798</t>
  </si>
  <si>
    <t>Md. Yousuf Ali</t>
  </si>
  <si>
    <t>RET-21313</t>
  </si>
  <si>
    <t>Md. Shahid Hassan(Biplob)</t>
  </si>
  <si>
    <t>RET-11642</t>
  </si>
  <si>
    <t>Perfect (R) Trading</t>
  </si>
  <si>
    <t>Raju Datta</t>
  </si>
  <si>
    <t>RET-11813</t>
  </si>
  <si>
    <t>Supti Electronics</t>
  </si>
  <si>
    <t>Md. Belal Hossain</t>
  </si>
  <si>
    <t>RET-00865</t>
  </si>
  <si>
    <t>Jahangir V. Store</t>
  </si>
  <si>
    <t>Ariful Islam</t>
  </si>
  <si>
    <t>RET-07341</t>
  </si>
  <si>
    <t xml:space="preserve">Model Watch </t>
  </si>
  <si>
    <t>Mr. Soharab Ali</t>
  </si>
  <si>
    <t>RET-07352</t>
  </si>
  <si>
    <t>Mr. Salam</t>
  </si>
  <si>
    <t>RET-28373</t>
  </si>
  <si>
    <t>Al Modina Electronics</t>
  </si>
  <si>
    <t>Md.Athier Rahaman</t>
  </si>
  <si>
    <t>RET-07604</t>
  </si>
  <si>
    <t>Mr.Razu Ahammad</t>
  </si>
  <si>
    <t>RET-07666</t>
  </si>
  <si>
    <t xml:space="preserve">Shakpara Telecome </t>
  </si>
  <si>
    <t>Mr Suruz</t>
  </si>
  <si>
    <t>RET-07534</t>
  </si>
  <si>
    <t>G. S. Telecom</t>
  </si>
  <si>
    <t>RET-12204</t>
  </si>
  <si>
    <t>Bismilah Telecom</t>
  </si>
  <si>
    <t>Atik Hasan</t>
  </si>
  <si>
    <t>RET-07617</t>
  </si>
  <si>
    <t>RET-07588</t>
  </si>
  <si>
    <t>Kazi Electronics</t>
  </si>
  <si>
    <t>Mr.Polash Ahammad</t>
  </si>
  <si>
    <t>RET-07580</t>
  </si>
  <si>
    <t>My Moon Telecom</t>
  </si>
  <si>
    <t>Md. Samsur Rahman</t>
  </si>
  <si>
    <t>RET-07597</t>
  </si>
  <si>
    <t>Business Point</t>
  </si>
  <si>
    <t>RET-17744</t>
  </si>
  <si>
    <t>Momin Electronic</t>
  </si>
  <si>
    <t>Md. Mominur Rahman</t>
  </si>
  <si>
    <t>RET-10959</t>
  </si>
  <si>
    <t>Shah Jalal</t>
  </si>
  <si>
    <t>RET-19723</t>
  </si>
  <si>
    <t>T L Telecom</t>
  </si>
  <si>
    <t xml:space="preserve">  Jubaraz Hossain</t>
  </si>
  <si>
    <t>RET-10607</t>
  </si>
  <si>
    <t>Sunmoon Telecom</t>
  </si>
  <si>
    <t>Kabir</t>
  </si>
  <si>
    <t>RET-13271</t>
  </si>
  <si>
    <t>Robin Telecom</t>
  </si>
  <si>
    <t>Robin</t>
  </si>
  <si>
    <t>RET-27423</t>
  </si>
  <si>
    <t>Shemul Shakib Telecom</t>
  </si>
  <si>
    <t>Md Saiful Islam</t>
  </si>
  <si>
    <t>RET-28086</t>
  </si>
  <si>
    <t>Saran Enterprise</t>
  </si>
  <si>
    <t>Md. Taiyab</t>
  </si>
  <si>
    <t>RET-04601</t>
  </si>
  <si>
    <t xml:space="preserve"> F.S. Telecom</t>
  </si>
  <si>
    <t>Md. Farid Uddin</t>
  </si>
  <si>
    <t>RET-27881</t>
  </si>
  <si>
    <t>Hello Chittagong</t>
  </si>
  <si>
    <t>Md. Azim</t>
  </si>
  <si>
    <t>RET-26444</t>
  </si>
  <si>
    <t>New Noor Telecom</t>
  </si>
  <si>
    <t>Md. Jahir Hossain</t>
  </si>
  <si>
    <t>RET-15480</t>
  </si>
  <si>
    <t>RET-06205</t>
  </si>
  <si>
    <t xml:space="preserve"> Amir Telecom</t>
  </si>
  <si>
    <t>Mr.Amir shion Santo</t>
  </si>
  <si>
    <t>Nazrul Telecom</t>
  </si>
  <si>
    <t>MD. Nazrul</t>
  </si>
  <si>
    <t>RET-09864</t>
  </si>
  <si>
    <t>Mithun Telecom</t>
  </si>
  <si>
    <t>Md.Amjad Hossen</t>
  </si>
  <si>
    <t>RET-28151</t>
  </si>
  <si>
    <t>Mondol Electronics</t>
  </si>
  <si>
    <t>Shohag Rana</t>
  </si>
  <si>
    <t>RET-12552</t>
  </si>
  <si>
    <t>Uatsab Telecom</t>
  </si>
  <si>
    <t>RET-08292</t>
  </si>
  <si>
    <t>Shahara Telecom</t>
  </si>
  <si>
    <t>Mr. Razu</t>
  </si>
  <si>
    <t>RET-08137</t>
  </si>
  <si>
    <t>Mr. Tusar</t>
  </si>
  <si>
    <t>RET-15675</t>
  </si>
  <si>
    <t>Md. Sarif</t>
  </si>
  <si>
    <t>RET-03161</t>
  </si>
  <si>
    <t>New Asad Telecom</t>
  </si>
  <si>
    <t>Shoumik Shaha</t>
  </si>
  <si>
    <t>RET-27035</t>
  </si>
  <si>
    <t>Habiganj Telecom</t>
  </si>
  <si>
    <t>Fahimul Islam Susan</t>
  </si>
  <si>
    <t>Md. Shaharul Islam</t>
  </si>
  <si>
    <t>RET-09581</t>
  </si>
  <si>
    <t>Max Telecom</t>
  </si>
  <si>
    <t>Joyonto Chowdhury Roni</t>
  </si>
  <si>
    <t>RET-09448</t>
  </si>
  <si>
    <t>Adarsho Telecom</t>
  </si>
  <si>
    <t xml:space="preserve">Md. Mentu </t>
  </si>
  <si>
    <t>RET-09065</t>
  </si>
  <si>
    <t>Rana Alap Center</t>
  </si>
  <si>
    <t>Rana Kundu</t>
  </si>
  <si>
    <t>RET-26748</t>
  </si>
  <si>
    <t>Mobile Math-2</t>
  </si>
  <si>
    <t>Anisur Rahman</t>
  </si>
  <si>
    <t>RET-08378</t>
  </si>
  <si>
    <t>Celebrity mobile fair</t>
  </si>
  <si>
    <t>Mr. Amin</t>
  </si>
  <si>
    <t>Total day:</t>
  </si>
  <si>
    <t>Day Remain:</t>
  </si>
  <si>
    <t>Md.Shawan</t>
  </si>
  <si>
    <t>Niloy Telecom</t>
  </si>
  <si>
    <t>RET-26212</t>
  </si>
  <si>
    <t>Fatema Smart Phone Gallery</t>
  </si>
  <si>
    <t>Md. Sobug</t>
  </si>
  <si>
    <t>RET-01843</t>
  </si>
  <si>
    <t>Zia Electronics</t>
  </si>
  <si>
    <t>Hafizul Islam</t>
  </si>
  <si>
    <t>RET-26253</t>
  </si>
  <si>
    <t>Md.Safayat Hossin Molla</t>
  </si>
  <si>
    <t>RET-29138</t>
  </si>
  <si>
    <t>Tipu Telecom</t>
  </si>
  <si>
    <t>Md.Joynal Abedin Tipu</t>
  </si>
  <si>
    <t>RET-13998</t>
  </si>
  <si>
    <t>Md. Hossain</t>
  </si>
  <si>
    <t>RET-25544</t>
  </si>
  <si>
    <t>Mobile Hat</t>
  </si>
  <si>
    <t>Md. Asif Hossain Jony</t>
  </si>
  <si>
    <t>RET-07335</t>
  </si>
  <si>
    <t>Jisan Enterprise</t>
  </si>
  <si>
    <t>Joinal Abedin</t>
  </si>
  <si>
    <t>RET-07424</t>
  </si>
  <si>
    <t>Telecom Fair</t>
  </si>
  <si>
    <t>Probir</t>
  </si>
  <si>
    <t>Ricta Telecom</t>
  </si>
  <si>
    <t>Mr. Alamgir</t>
  </si>
  <si>
    <t>RET-11171</t>
  </si>
  <si>
    <t>Alim Hossain</t>
  </si>
  <si>
    <t>RET-23483</t>
  </si>
  <si>
    <t>Al-Amin Telecom</t>
  </si>
  <si>
    <t xml:space="preserve">  Md. Osman Ali</t>
  </si>
  <si>
    <t>Shaad Electronics</t>
  </si>
  <si>
    <t>M/s Sumon Telecom</t>
  </si>
  <si>
    <t>RET-22561</t>
  </si>
  <si>
    <t>Mahim Telecom</t>
  </si>
  <si>
    <t>Aminul Islam</t>
  </si>
  <si>
    <t>RET-25885</t>
  </si>
  <si>
    <t>Malek Telecom</t>
  </si>
  <si>
    <t>Malek Mia</t>
  </si>
  <si>
    <t>RET-07882</t>
  </si>
  <si>
    <t>Mr. Abdul Hakim</t>
  </si>
  <si>
    <t>RET-28786</t>
  </si>
  <si>
    <t>RET-05421</t>
  </si>
  <si>
    <t>Liton Telecom</t>
  </si>
  <si>
    <t>RET-12377</t>
  </si>
  <si>
    <t>Md. Sahin</t>
  </si>
  <si>
    <t>RET-24922</t>
  </si>
  <si>
    <t>Kohinoor Electronics</t>
  </si>
  <si>
    <t>Kamrul Hasan</t>
  </si>
  <si>
    <t>RET-05422</t>
  </si>
  <si>
    <t>Shoshi Telecom</t>
  </si>
  <si>
    <t>Mr. Kamrul</t>
  </si>
  <si>
    <t>RET-25354</t>
  </si>
  <si>
    <t>Seerat Mobile &amp; Accessories</t>
  </si>
  <si>
    <t>Md. Shafiuzzaman</t>
  </si>
  <si>
    <t>RET-12261</t>
  </si>
  <si>
    <t>Asrafi Mobile</t>
  </si>
  <si>
    <t>Md. Morshed</t>
  </si>
  <si>
    <t>RET-09414</t>
  </si>
  <si>
    <t>Medis plas</t>
  </si>
  <si>
    <t>Md. Sazzad</t>
  </si>
  <si>
    <t>RET-09425</t>
  </si>
  <si>
    <t>Mashud Cycel Store</t>
  </si>
  <si>
    <t>Md.Mashud Rana</t>
  </si>
  <si>
    <t>RET-26910</t>
  </si>
  <si>
    <t>Mobile Style</t>
  </si>
  <si>
    <t xml:space="preserve">  Tanvir Hossain Mridul</t>
  </si>
  <si>
    <t>RET-21920</t>
  </si>
  <si>
    <t>Green World Electronics</t>
  </si>
  <si>
    <t>Md.Jowel</t>
  </si>
  <si>
    <t>Model</t>
  </si>
  <si>
    <t>Incentive Amount</t>
  </si>
  <si>
    <t>SSP Incentive Model</t>
  </si>
  <si>
    <t>HFM</t>
  </si>
  <si>
    <t>RET-23502</t>
  </si>
  <si>
    <t>Mum Plus</t>
  </si>
  <si>
    <t>RET-03352</t>
  </si>
  <si>
    <t>Md. Mahfuzur Rahman</t>
  </si>
  <si>
    <t>RET-27676</t>
  </si>
  <si>
    <t>National Mobile Point</t>
  </si>
  <si>
    <t>RET-04535</t>
  </si>
  <si>
    <t>Mobile Site</t>
  </si>
  <si>
    <t>Maudur Rahman</t>
  </si>
  <si>
    <t>RET-01032</t>
  </si>
  <si>
    <t>Fariha Telecom &amp; Technology</t>
  </si>
  <si>
    <t>Md. Dulal</t>
  </si>
  <si>
    <t>RET-13121</t>
  </si>
  <si>
    <t>Md. Nobo</t>
  </si>
  <si>
    <t>RET-13107</t>
  </si>
  <si>
    <t>Harun telecom</t>
  </si>
  <si>
    <t>Md.Harun mia</t>
  </si>
  <si>
    <t>RET-13626</t>
  </si>
  <si>
    <t>Jannat telecom</t>
  </si>
  <si>
    <t>Md.Hossain</t>
  </si>
  <si>
    <t>RET-02293</t>
  </si>
  <si>
    <t>Hasan Telecom</t>
  </si>
  <si>
    <t>Afjazl Hossain</t>
  </si>
  <si>
    <t>RET-24423</t>
  </si>
  <si>
    <t>Rafiqul Islam</t>
  </si>
  <si>
    <t>Seta Telecom</t>
  </si>
  <si>
    <t>Shipon Debnath</t>
  </si>
  <si>
    <t>RET-24213</t>
  </si>
  <si>
    <t>Rafi Enterprice</t>
  </si>
  <si>
    <t>Mr. S.Zoha</t>
  </si>
  <si>
    <t>RET-16253</t>
  </si>
  <si>
    <t>Al Amin Mobile Centre</t>
  </si>
  <si>
    <t>Md. Akash</t>
  </si>
  <si>
    <t>RET-07440</t>
  </si>
  <si>
    <t>Faruq Eelectronics</t>
  </si>
  <si>
    <t>Md. Faruque</t>
  </si>
  <si>
    <t>RET-07505</t>
  </si>
  <si>
    <t xml:space="preserve">Md. Kayum </t>
  </si>
  <si>
    <t>RET-17706</t>
  </si>
  <si>
    <t>Modina Mobile</t>
  </si>
  <si>
    <t>Sabbir</t>
  </si>
  <si>
    <t>RET-07072</t>
  </si>
  <si>
    <t>3G Telecom</t>
  </si>
  <si>
    <t>Md. Sojib</t>
  </si>
  <si>
    <t>RET-22886</t>
  </si>
  <si>
    <t>Bappi Telecom</t>
  </si>
  <si>
    <t>Md.Saiful Islam</t>
  </si>
  <si>
    <t>Ret-07257</t>
  </si>
  <si>
    <t>Mr .Hossain</t>
  </si>
  <si>
    <t>RET-10144</t>
  </si>
  <si>
    <t>Ikram Telecom</t>
  </si>
  <si>
    <t>Md Ikram</t>
  </si>
  <si>
    <t>RET-20927</t>
  </si>
  <si>
    <t>Md Munir</t>
  </si>
  <si>
    <t>RET-11157</t>
  </si>
  <si>
    <t>United Center</t>
  </si>
  <si>
    <t>Md Masud Rana</t>
  </si>
  <si>
    <t>RET-10088</t>
  </si>
  <si>
    <t>RET-18873</t>
  </si>
  <si>
    <t>Enam Telecom</t>
  </si>
  <si>
    <t>Md Enamul</t>
  </si>
  <si>
    <t>RET-20444</t>
  </si>
  <si>
    <t>Konika Telecom Center</t>
  </si>
  <si>
    <t>kobir Hosen</t>
  </si>
  <si>
    <t>RET-11580</t>
  </si>
  <si>
    <t>Mukti Multi Media</t>
  </si>
  <si>
    <t>Md.Mukti</t>
  </si>
  <si>
    <t>RET-17824</t>
  </si>
  <si>
    <t>Shafi Telecom</t>
  </si>
  <si>
    <t>Zahid Mia</t>
  </si>
  <si>
    <t>MD.Nurul Islam</t>
  </si>
  <si>
    <t>RET-27256</t>
  </si>
  <si>
    <t>Shovo shaha</t>
  </si>
  <si>
    <t>RET-14997</t>
  </si>
  <si>
    <t>Smart Zone</t>
  </si>
  <si>
    <t>Rejaulshikdar</t>
  </si>
  <si>
    <t>RET-07943</t>
  </si>
  <si>
    <t>Friends Mobile Collection</t>
  </si>
  <si>
    <t>Mr. Sujon</t>
  </si>
  <si>
    <t>RET-07924</t>
  </si>
  <si>
    <t>Sarkar Telecom</t>
  </si>
  <si>
    <t>Mr. Dilip</t>
  </si>
  <si>
    <t>RET-07931</t>
  </si>
  <si>
    <t>SR Electronics</t>
  </si>
  <si>
    <t>Mr. Saidul</t>
  </si>
  <si>
    <t>RET-12935</t>
  </si>
  <si>
    <t>RET-07718</t>
  </si>
  <si>
    <t>Casio Watch</t>
  </si>
  <si>
    <t>Palash Kundu</t>
  </si>
  <si>
    <t>RET-24107</t>
  </si>
  <si>
    <t>Mohona Telecom</t>
  </si>
  <si>
    <t>Abu Talha</t>
  </si>
  <si>
    <t>RET-08762</t>
  </si>
  <si>
    <t>Mr. Sahin</t>
  </si>
  <si>
    <t>RET-09984</t>
  </si>
  <si>
    <t>Omar Electronics</t>
  </si>
  <si>
    <t xml:space="preserve">Mr. Rangu </t>
  </si>
  <si>
    <t>RET-09512</t>
  </si>
  <si>
    <t>Emdad Babul</t>
  </si>
  <si>
    <t>RET-09085</t>
  </si>
  <si>
    <t>Anik Telecom</t>
  </si>
  <si>
    <t>Mr. Anik</t>
  </si>
  <si>
    <t>RET-24556</t>
  </si>
  <si>
    <t>Md.Majedur Rahman</t>
  </si>
  <si>
    <t>RET-08935</t>
  </si>
  <si>
    <t>Zahan Telecom</t>
  </si>
  <si>
    <t>Md Liton Hossain</t>
  </si>
  <si>
    <t>RET-14858</t>
  </si>
  <si>
    <t>Jayed Telecom</t>
  </si>
  <si>
    <t>Md.Jahangir Alom</t>
  </si>
  <si>
    <t>RET-18192</t>
  </si>
  <si>
    <t>RET-23243</t>
  </si>
  <si>
    <t>Anika Mobile Center</t>
  </si>
  <si>
    <t>Md. Shahin Miah</t>
  </si>
  <si>
    <t>RET-03038</t>
  </si>
  <si>
    <t>Md.Obayedullah</t>
  </si>
  <si>
    <t>RET-03060</t>
  </si>
  <si>
    <t>Hasan Mobile Center</t>
  </si>
  <si>
    <t>RET-18691</t>
  </si>
  <si>
    <t>Sarowar Telecom</t>
  </si>
  <si>
    <t>Md.Sumon Gazi</t>
  </si>
  <si>
    <t>RET-25157</t>
  </si>
  <si>
    <t>Satu Mia</t>
  </si>
  <si>
    <t>RET-03999</t>
  </si>
  <si>
    <t>Pintu Store</t>
  </si>
  <si>
    <t>Polash Dey</t>
  </si>
  <si>
    <t>Kawser Al Mahmud</t>
  </si>
  <si>
    <t>Rezwan Ahmed</t>
  </si>
  <si>
    <t>RET-21806</t>
  </si>
  <si>
    <t>Smartphone Mega Mall</t>
  </si>
  <si>
    <t>Juber Ahmed</t>
  </si>
  <si>
    <t>i120</t>
  </si>
  <si>
    <t>RET-07278</t>
  </si>
  <si>
    <t>M/S Lotus Telecom</t>
  </si>
  <si>
    <t>RET-15366</t>
  </si>
  <si>
    <t>M/S Papular Telecom</t>
  </si>
  <si>
    <t>Md. Mustafizur Rahman</t>
  </si>
  <si>
    <t>RET-04501</t>
  </si>
  <si>
    <t>Mamun Enterprise</t>
  </si>
  <si>
    <t>Mr. Abdullah Al mamun</t>
  </si>
  <si>
    <t>RET-04512</t>
  </si>
  <si>
    <t>Ruman enterprise</t>
  </si>
  <si>
    <t>Mr. Ruman</t>
  </si>
  <si>
    <t>RET-06067</t>
  </si>
  <si>
    <t>Md. Hero Mia</t>
  </si>
  <si>
    <t>RET-27798</t>
  </si>
  <si>
    <t>Jubayed Telecom</t>
  </si>
  <si>
    <t>Prothanto</t>
  </si>
  <si>
    <t>RET-02156</t>
  </si>
  <si>
    <t>Apurbo Telecom</t>
  </si>
  <si>
    <t>RET-13424</t>
  </si>
  <si>
    <t>Md. Shohag Hossen</t>
  </si>
  <si>
    <t>RET-16258</t>
  </si>
  <si>
    <t>Ma Mobile</t>
  </si>
  <si>
    <t>RET-29117</t>
  </si>
  <si>
    <t>Bismillah Communication</t>
  </si>
  <si>
    <t>Mr. Nur Hosan</t>
  </si>
  <si>
    <t>RET-19486</t>
  </si>
  <si>
    <t>Mymuna Telecom</t>
  </si>
  <si>
    <t>Md.Joni Sarder</t>
  </si>
  <si>
    <t>RET-24305</t>
  </si>
  <si>
    <t xml:space="preserve">Md Emdad </t>
  </si>
  <si>
    <t>RET-10201</t>
  </si>
  <si>
    <t>Habib Telecom</t>
  </si>
  <si>
    <t>RET-10215</t>
  </si>
  <si>
    <t xml:space="preserve">  Md. Hasim</t>
  </si>
  <si>
    <t>RET-10456</t>
  </si>
  <si>
    <t xml:space="preserve">  Trust Mobile</t>
  </si>
  <si>
    <t>Md Julhash</t>
  </si>
  <si>
    <t>RET-17940</t>
  </si>
  <si>
    <t xml:space="preserve">  UjjolTelecom</t>
  </si>
  <si>
    <t>RET-23355</t>
  </si>
  <si>
    <t xml:space="preserve">  Sumon Telecom</t>
  </si>
  <si>
    <t xml:space="preserve">  Azizul</t>
  </si>
  <si>
    <t>RET-10621</t>
  </si>
  <si>
    <t>Ame Telecom</t>
  </si>
  <si>
    <t xml:space="preserve">  Maruf</t>
  </si>
  <si>
    <t>RET-10761</t>
  </si>
  <si>
    <t>Comillah Watch</t>
  </si>
  <si>
    <t>Alomgir Hosain</t>
  </si>
  <si>
    <t>RET-11770</t>
  </si>
  <si>
    <t>Jonony Watch &amp; Electronics</t>
  </si>
  <si>
    <t>Md. Liton Hoasin</t>
  </si>
  <si>
    <t>RET-25237</t>
  </si>
  <si>
    <t>Lamia Electronics</t>
  </si>
  <si>
    <t>Md. Shahadat Hossain</t>
  </si>
  <si>
    <t>RET-22102</t>
  </si>
  <si>
    <t>Sharif Telecom</t>
  </si>
  <si>
    <t xml:space="preserve">Md.Zamil </t>
  </si>
  <si>
    <t>RET-26030</t>
  </si>
  <si>
    <t>Member Electronics</t>
  </si>
  <si>
    <t>Mr Anower</t>
  </si>
  <si>
    <t>RET-22205</t>
  </si>
  <si>
    <t>Anower Telecom</t>
  </si>
  <si>
    <t>Cumilla</t>
  </si>
  <si>
    <t>Zunayed Ahmed</t>
  </si>
  <si>
    <t>RET-28788</t>
  </si>
  <si>
    <t>New Era</t>
  </si>
  <si>
    <t>Md Tapu</t>
  </si>
  <si>
    <t>SIS</t>
  </si>
  <si>
    <t>EO</t>
  </si>
  <si>
    <t>GO</t>
  </si>
  <si>
    <t>RET-08755</t>
  </si>
  <si>
    <t>Shapla Telecom</t>
  </si>
  <si>
    <t>Ataur Rahman</t>
  </si>
  <si>
    <t>RET-05710</t>
  </si>
  <si>
    <t>Digital Elecctronics</t>
  </si>
  <si>
    <t>Md. Nowshad</t>
  </si>
  <si>
    <t>RET-23800</t>
  </si>
  <si>
    <t>Maksuda Telecom</t>
  </si>
  <si>
    <t>Md. Belayet Hossain (Helel)</t>
  </si>
  <si>
    <t>RET-23337</t>
  </si>
  <si>
    <t>Anisa Enterprise</t>
  </si>
  <si>
    <t>RET-25410</t>
  </si>
  <si>
    <t>Mobile Hospital</t>
  </si>
  <si>
    <t>Md. Siraj</t>
  </si>
  <si>
    <t>RET-18295</t>
  </si>
  <si>
    <t>S.A Telecom &amp; Electronics</t>
  </si>
  <si>
    <t>Md. Soheb Hossain</t>
  </si>
  <si>
    <t>RET-02292</t>
  </si>
  <si>
    <t>Mitali Mobile cener</t>
  </si>
  <si>
    <t>Belal Hossain</t>
  </si>
  <si>
    <t>RET-08567</t>
  </si>
  <si>
    <t>Miya Mobile</t>
  </si>
  <si>
    <t>Humayen Kobir</t>
  </si>
  <si>
    <t>RET-08545</t>
  </si>
  <si>
    <t>Shimul Telecom</t>
  </si>
  <si>
    <t>Mr. Shimul</t>
  </si>
  <si>
    <t>RET-26451</t>
  </si>
  <si>
    <t>Khairul Telecom</t>
  </si>
  <si>
    <t>Md. Khairul Islam</t>
  </si>
  <si>
    <t>RET-07378</t>
  </si>
  <si>
    <t>New Sur Sathi</t>
  </si>
  <si>
    <t>Imon</t>
  </si>
  <si>
    <t>RET-07338</t>
  </si>
  <si>
    <t>Star Watch &amp; Mobile</t>
  </si>
  <si>
    <t>RET-23589</t>
  </si>
  <si>
    <t>Manoara Trading</t>
  </si>
  <si>
    <t>Mr. Manojit Kumar</t>
  </si>
  <si>
    <t>RET-23590</t>
  </si>
  <si>
    <t>Rimi Mobile &amp; Electronics</t>
  </si>
  <si>
    <t>Md. Azim Uddin</t>
  </si>
  <si>
    <t>RET-25379</t>
  </si>
  <si>
    <t>Smart Phone House</t>
  </si>
  <si>
    <t>RET-17729</t>
  </si>
  <si>
    <t>Varite Store</t>
  </si>
  <si>
    <t>Subrota Kumar</t>
  </si>
  <si>
    <t>RET-08377</t>
  </si>
  <si>
    <t>Sukria Telecom</t>
  </si>
  <si>
    <t>Md. Saddam</t>
  </si>
  <si>
    <t>RET-07162</t>
  </si>
  <si>
    <t>Arefin Electronics</t>
  </si>
  <si>
    <t>Mr.AL -Amin</t>
  </si>
  <si>
    <t>RET-07241</t>
  </si>
  <si>
    <t>New Farha Telecom</t>
  </si>
  <si>
    <t>Mr.Dewan Ibrahim</t>
  </si>
  <si>
    <t>RET-07240</t>
  </si>
  <si>
    <t>Su Telecom</t>
  </si>
  <si>
    <t>Mr. Raihan</t>
  </si>
  <si>
    <t>Mr.Gobindo</t>
  </si>
  <si>
    <t>RET-17981</t>
  </si>
  <si>
    <t>Happy Telecom</t>
  </si>
  <si>
    <t>MD. Khokon</t>
  </si>
  <si>
    <t>RET-24770</t>
  </si>
  <si>
    <t>Asha Telecom</t>
  </si>
  <si>
    <t>Faruk Ahmed</t>
  </si>
  <si>
    <t>RET-16404</t>
  </si>
  <si>
    <t>Alamin</t>
  </si>
  <si>
    <t>RET-16697</t>
  </si>
  <si>
    <t>RET-07678</t>
  </si>
  <si>
    <t>Islam Telecom</t>
  </si>
  <si>
    <t>Md. Abdus Sobur Rana</t>
  </si>
  <si>
    <t>RET-23564</t>
  </si>
  <si>
    <t>Rajib Telecom -2</t>
  </si>
  <si>
    <t>Md. Rasel Babu</t>
  </si>
  <si>
    <t>RET-15335</t>
  </si>
  <si>
    <t>Aldinia Palace</t>
  </si>
  <si>
    <t>Md Rashedul Islam</t>
  </si>
  <si>
    <t>RET-09447</t>
  </si>
  <si>
    <t>Amontron Telecom</t>
  </si>
  <si>
    <t>Mr. Chand Kumar</t>
  </si>
  <si>
    <t>RET-09391</t>
  </si>
  <si>
    <t>Sotata Symphony Mobile House</t>
  </si>
  <si>
    <t>Mr. Taherul Islam</t>
  </si>
  <si>
    <t>RET-26094</t>
  </si>
  <si>
    <t>Mobile Café</t>
  </si>
  <si>
    <t>Shajedul Islam (Himel)</t>
  </si>
  <si>
    <t>V155</t>
  </si>
  <si>
    <t>RET-18870</t>
  </si>
  <si>
    <t>Mamun Telecom</t>
  </si>
  <si>
    <t>Md Afjal Hossen</t>
  </si>
  <si>
    <t>March'19 Status</t>
  </si>
  <si>
    <t>i15</t>
  </si>
  <si>
    <t>i10+</t>
  </si>
  <si>
    <t>C</t>
  </si>
  <si>
    <t>SIS-e</t>
  </si>
  <si>
    <t>RET-03426</t>
  </si>
  <si>
    <t>Molla Electronics</t>
  </si>
  <si>
    <t>B</t>
  </si>
  <si>
    <t>RET-03363</t>
  </si>
  <si>
    <t>Robiul Telecom</t>
  </si>
  <si>
    <t>Md. Robiol</t>
  </si>
  <si>
    <t>A</t>
  </si>
  <si>
    <t>RET-03355</t>
  </si>
  <si>
    <t>Sad Telecom</t>
  </si>
  <si>
    <t>Md. Foysal</t>
  </si>
  <si>
    <t>RET-03753</t>
  </si>
  <si>
    <t xml:space="preserve">Mobile Dot Com </t>
  </si>
  <si>
    <t>RET-06588</t>
  </si>
  <si>
    <t>Md. Opu Shikder</t>
  </si>
  <si>
    <t>RET-05790</t>
  </si>
  <si>
    <t>Tisha Telecom</t>
  </si>
  <si>
    <t>RET-23780</t>
  </si>
  <si>
    <t>JBL Mobile Shop</t>
  </si>
  <si>
    <t>RET-26119</t>
  </si>
  <si>
    <t>J. S Telecom</t>
  </si>
  <si>
    <t>RET-04609</t>
  </si>
  <si>
    <t>Shah Pir Telecom</t>
  </si>
  <si>
    <t>Akhtar Hossain</t>
  </si>
  <si>
    <t>RET-05039</t>
  </si>
  <si>
    <t>Esha Telecom</t>
  </si>
  <si>
    <t>Nasir Uddin</t>
  </si>
  <si>
    <t>RET-18817</t>
  </si>
  <si>
    <t>Zigar Enterprise</t>
  </si>
  <si>
    <t>MD. Kaiser</t>
  </si>
  <si>
    <t>RET-06192</t>
  </si>
  <si>
    <t>Mr. Kamruzaman</t>
  </si>
  <si>
    <t>RET-01621</t>
  </si>
  <si>
    <t>MD Mamunur Rashid</t>
  </si>
  <si>
    <t>RET-14528</t>
  </si>
  <si>
    <t>Fariya Telecom 2</t>
  </si>
  <si>
    <t>Md. Mehir</t>
  </si>
  <si>
    <t>RET-01068</t>
  </si>
  <si>
    <t>Md. Faysal</t>
  </si>
  <si>
    <t>RET-19608</t>
  </si>
  <si>
    <t>Mobile Jogot 2</t>
  </si>
  <si>
    <t>Md. Sarowar</t>
  </si>
  <si>
    <t>RET-14559</t>
  </si>
  <si>
    <t>Ninefa View</t>
  </si>
  <si>
    <t>RET-00815</t>
  </si>
  <si>
    <t>M/S. Lubabha Telecom</t>
  </si>
  <si>
    <t>MD Rakib</t>
  </si>
  <si>
    <t>RET-13080</t>
  </si>
  <si>
    <t>Abir telecom</t>
  </si>
  <si>
    <t>Md Abdul Kader</t>
  </si>
  <si>
    <t>RET-13134</t>
  </si>
  <si>
    <t>Koli Mobile</t>
  </si>
  <si>
    <t>Md Faysal Buiyan</t>
  </si>
  <si>
    <t>RET-27468</t>
  </si>
  <si>
    <t>Mayer Doa Mobile 2</t>
  </si>
  <si>
    <t>Md. Sayed Hanif</t>
  </si>
  <si>
    <t>RET-26051</t>
  </si>
  <si>
    <t>Mobile Collection</t>
  </si>
  <si>
    <t>Md. Sharif</t>
  </si>
  <si>
    <t>RET-29990</t>
  </si>
  <si>
    <t>Md. Redone Mitho</t>
  </si>
  <si>
    <t>RET-19599</t>
  </si>
  <si>
    <t>Smart Touch</t>
  </si>
  <si>
    <t>Md. Shahin Hossain</t>
  </si>
  <si>
    <t>RET-00643</t>
  </si>
  <si>
    <t xml:space="preserve">Ratin Electronics </t>
  </si>
  <si>
    <t>Md. Shuvro</t>
  </si>
  <si>
    <t>RET-07302</t>
  </si>
  <si>
    <t>Haque Mobile</t>
  </si>
  <si>
    <t>Hello Prithibi</t>
  </si>
  <si>
    <t>Md. Sajib Hossain</t>
  </si>
  <si>
    <t>RET-07296</t>
  </si>
  <si>
    <t>Mobile Place</t>
  </si>
  <si>
    <t>Md. Wayez Uddin</t>
  </si>
  <si>
    <t>RET-21961</t>
  </si>
  <si>
    <t>Mr. Moniruzzaman</t>
  </si>
  <si>
    <t>RET-07298</t>
  </si>
  <si>
    <t>Narail Mobile Phone Fare</t>
  </si>
  <si>
    <t>Rasel Khan</t>
  </si>
  <si>
    <t>RET-07323</t>
  </si>
  <si>
    <t>Md. Nazrul Islam</t>
  </si>
  <si>
    <t>RET-16263</t>
  </si>
  <si>
    <t>Shopon Mobile</t>
  </si>
  <si>
    <t>Tapan Kumar Dey</t>
  </si>
  <si>
    <t>RET-29292</t>
  </si>
  <si>
    <t>Khan Mobile &amp; Electronics</t>
  </si>
  <si>
    <t>Md. Monir Khan Munna</t>
  </si>
  <si>
    <t>RET- 23884</t>
  </si>
  <si>
    <t>Ania Telecom</t>
  </si>
  <si>
    <t>RET-11197</t>
  </si>
  <si>
    <t>Music Telecom</t>
  </si>
  <si>
    <t>Maher Ali</t>
  </si>
  <si>
    <t>RET-11164</t>
  </si>
  <si>
    <t>Arafat Islam</t>
  </si>
  <si>
    <t>RET-11190</t>
  </si>
  <si>
    <t>Tondra Telecom (SIS)</t>
  </si>
  <si>
    <t>Diponkor</t>
  </si>
  <si>
    <t>RET-19173</t>
  </si>
  <si>
    <t>Anawer Telecom</t>
  </si>
  <si>
    <t>Md. Anawer</t>
  </si>
  <si>
    <t>RET-11403</t>
  </si>
  <si>
    <t>Biva Telecom &amp; Mobile Servicing</t>
  </si>
  <si>
    <t>Md.Shohid</t>
  </si>
  <si>
    <t>RET-27965</t>
  </si>
  <si>
    <t>Jannat Smart Zone</t>
  </si>
  <si>
    <t>Md.Rubel</t>
  </si>
  <si>
    <t>RET-23511</t>
  </si>
  <si>
    <t>Mahin Enterprise</t>
  </si>
  <si>
    <t>RET-30210</t>
  </si>
  <si>
    <t>Master Telecom &amp; Gift corner</t>
  </si>
  <si>
    <t>RET-11330</t>
  </si>
  <si>
    <t>Rimjhim Telecom</t>
  </si>
  <si>
    <t>Md. Murad</t>
  </si>
  <si>
    <t>RET-10258</t>
  </si>
  <si>
    <t>Faruk Telecom</t>
  </si>
  <si>
    <t>Md Khairul Islam</t>
  </si>
  <si>
    <t>RET-10477</t>
  </si>
  <si>
    <t>Grameen communication</t>
  </si>
  <si>
    <t>RET-17941</t>
  </si>
  <si>
    <t>RK Telecom</t>
  </si>
  <si>
    <t>Md. Rokon</t>
  </si>
  <si>
    <t>RET-10777</t>
  </si>
  <si>
    <t>Mr.Babul</t>
  </si>
  <si>
    <t>RET-10385</t>
  </si>
  <si>
    <t>Md Nur Alam</t>
  </si>
  <si>
    <t>RET-08339</t>
  </si>
  <si>
    <t>Shozol Electronics</t>
  </si>
  <si>
    <t>Mr.Utpol</t>
  </si>
  <si>
    <t>RET-09305</t>
  </si>
  <si>
    <t>Tahera Telecom</t>
  </si>
  <si>
    <t>Md.Monjurul Islam</t>
  </si>
  <si>
    <t>Shree Preonath Roy</t>
  </si>
  <si>
    <t>RET-09646</t>
  </si>
  <si>
    <t>Imran Telecom-1</t>
  </si>
  <si>
    <t>Md.Imran Hossen</t>
  </si>
  <si>
    <t>RET-09405</t>
  </si>
  <si>
    <t>Md.Akther</t>
  </si>
  <si>
    <t>RET-09392</t>
  </si>
  <si>
    <t>Rose mobile Mela</t>
  </si>
  <si>
    <t>Sheikh Al Zasim Shadin</t>
  </si>
  <si>
    <t>RET-05353</t>
  </si>
  <si>
    <t>Mokka Paikary Mobile Mela</t>
  </si>
  <si>
    <t>Md. Anisur Rahman Shumon</t>
  </si>
  <si>
    <t>RET-05217</t>
  </si>
  <si>
    <t xml:space="preserve">Oishe Telecom </t>
  </si>
  <si>
    <t>Md. Giashuddin</t>
  </si>
  <si>
    <t>RET-18461</t>
  </si>
  <si>
    <t>Jewel Mobile Garden</t>
  </si>
  <si>
    <t>Juel Ahmed</t>
  </si>
  <si>
    <t>RET-14290</t>
  </si>
  <si>
    <t>Shapon Electronics</t>
  </si>
  <si>
    <t>Sudip Banik</t>
  </si>
  <si>
    <t>SSP_March'19</t>
  </si>
  <si>
    <t>SSP Ach up to March 10th March'19</t>
  </si>
  <si>
    <t>Value Ach up to 10th March'19</t>
  </si>
  <si>
    <t>6k Qty Achv up to 10th March'19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</si>
</sst>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[$-409]d\-mmm;@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666666"/>
      <name val="Arial"/>
      <family val="2"/>
    </font>
    <font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8"/>
      <color rgb="FF666666"/>
      <name val="Bodoni MT Black"/>
      <family val="1"/>
    </font>
    <font>
      <b/>
      <sz val="10"/>
      <color theme="0"/>
      <name val="Calibri 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theme="0" tint="-0.14999847407452621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165" fontId="1" fillId="0" borderId="0"/>
  </cellStyleXfs>
  <cellXfs count="97">
    <xf numFmtId="0" fontId="0" fillId="0" borderId="0" xfId="0"/>
    <xf numFmtId="0" fontId="0" fillId="35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0" borderId="0" xfId="0" applyBorder="1"/>
    <xf numFmtId="0" fontId="18" fillId="0" borderId="0" xfId="0" applyFont="1"/>
    <xf numFmtId="0" fontId="1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6" borderId="11" xfId="0" applyFill="1" applyBorder="1" applyAlignment="1">
      <alignment horizontal="center" vertical="center"/>
    </xf>
    <xf numFmtId="0" fontId="0" fillId="0" borderId="0" xfId="0" applyFont="1"/>
    <xf numFmtId="0" fontId="20" fillId="0" borderId="0" xfId="0" applyFont="1" applyBorder="1"/>
    <xf numFmtId="0" fontId="21" fillId="34" borderId="10" xfId="0" applyFont="1" applyFill="1" applyBorder="1" applyAlignment="1">
      <alignment horizontal="center" vertical="center"/>
    </xf>
    <xf numFmtId="0" fontId="16" fillId="37" borderId="0" xfId="0" applyFont="1" applyFill="1" applyBorder="1" applyAlignment="1">
      <alignment horizontal="left" vertical="center"/>
    </xf>
    <xf numFmtId="0" fontId="16" fillId="37" borderId="0" xfId="0" applyFont="1" applyFill="1"/>
    <xf numFmtId="0" fontId="19" fillId="0" borderId="0" xfId="0" applyFont="1" applyFill="1" applyBorder="1" applyAlignment="1">
      <alignment horizontal="center" vertical="center" wrapText="1"/>
    </xf>
    <xf numFmtId="0" fontId="16" fillId="0" borderId="0" xfId="0" applyFont="1"/>
    <xf numFmtId="0" fontId="22" fillId="0" borderId="0" xfId="0" applyFont="1"/>
    <xf numFmtId="0" fontId="22" fillId="0" borderId="0" xfId="0" applyFont="1" applyAlignment="1">
      <alignment wrapText="1"/>
    </xf>
    <xf numFmtId="0" fontId="13" fillId="33" borderId="0" xfId="0" applyFont="1" applyFill="1"/>
    <xf numFmtId="0" fontId="0" fillId="38" borderId="12" xfId="0" applyFill="1" applyBorder="1"/>
    <xf numFmtId="22" fontId="0" fillId="38" borderId="12" xfId="0" applyNumberFormat="1" applyFill="1" applyBorder="1"/>
    <xf numFmtId="0" fontId="0" fillId="39" borderId="10" xfId="0" applyFill="1" applyBorder="1" applyAlignment="1">
      <alignment horizontal="left" vertical="top"/>
    </xf>
    <xf numFmtId="0" fontId="0" fillId="39" borderId="10" xfId="0" applyFill="1" applyBorder="1" applyAlignment="1">
      <alignment horizontal="left"/>
    </xf>
    <xf numFmtId="0" fontId="0" fillId="40" borderId="12" xfId="0" applyFill="1" applyBorder="1"/>
    <xf numFmtId="0" fontId="0" fillId="36" borderId="12" xfId="0" applyFill="1" applyBorder="1"/>
    <xf numFmtId="0" fontId="0" fillId="39" borderId="12" xfId="0" applyFill="1" applyBorder="1"/>
    <xf numFmtId="164" fontId="0" fillId="41" borderId="10" xfId="1" applyNumberFormat="1" applyFont="1" applyFill="1" applyBorder="1" applyAlignment="1">
      <alignment horizontal="left" vertical="top"/>
    </xf>
    <xf numFmtId="164" fontId="0" fillId="39" borderId="10" xfId="1" applyNumberFormat="1" applyFont="1" applyFill="1" applyBorder="1" applyAlignment="1">
      <alignment horizontal="left" vertical="top"/>
    </xf>
    <xf numFmtId="164" fontId="20" fillId="39" borderId="10" xfId="1" applyNumberFormat="1" applyFont="1" applyFill="1" applyBorder="1" applyAlignment="1">
      <alignment horizontal="left" vertical="top"/>
    </xf>
    <xf numFmtId="22" fontId="0" fillId="0" borderId="0" xfId="0" applyNumberFormat="1"/>
    <xf numFmtId="0" fontId="23" fillId="0" borderId="0" xfId="0" applyFont="1"/>
    <xf numFmtId="9" fontId="0" fillId="0" borderId="0" xfId="43" applyFont="1"/>
    <xf numFmtId="164" fontId="0" fillId="0" borderId="0" xfId="1" applyNumberFormat="1" applyFont="1"/>
    <xf numFmtId="0" fontId="24" fillId="42" borderId="10" xfId="0" applyFont="1" applyFill="1" applyBorder="1" applyAlignment="1">
      <alignment horizontal="center" vertical="center" wrapText="1"/>
    </xf>
    <xf numFmtId="0" fontId="24" fillId="43" borderId="10" xfId="0" applyFont="1" applyFill="1" applyBorder="1" applyAlignment="1">
      <alignment horizontal="center" vertical="center" wrapText="1"/>
    </xf>
    <xf numFmtId="0" fontId="0" fillId="0" borderId="10" xfId="0" applyBorder="1"/>
    <xf numFmtId="9" fontId="0" fillId="0" borderId="10" xfId="43" applyFont="1" applyBorder="1"/>
    <xf numFmtId="0" fontId="24" fillId="33" borderId="10" xfId="0" applyFont="1" applyFill="1" applyBorder="1" applyAlignment="1">
      <alignment horizontal="center" vertical="center" wrapText="1"/>
    </xf>
    <xf numFmtId="0" fontId="24" fillId="44" borderId="10" xfId="0" applyFont="1" applyFill="1" applyBorder="1" applyAlignment="1">
      <alignment horizontal="center" vertical="center" wrapText="1"/>
    </xf>
    <xf numFmtId="164" fontId="24" fillId="45" borderId="10" xfId="0" applyNumberFormat="1" applyFont="1" applyFill="1" applyBorder="1" applyAlignment="1">
      <alignment horizontal="center" vertical="center" wrapText="1"/>
    </xf>
    <xf numFmtId="0" fontId="24" fillId="45" borderId="10" xfId="0" applyFont="1" applyFill="1" applyBorder="1" applyAlignment="1">
      <alignment horizontal="center" vertical="center" wrapText="1"/>
    </xf>
    <xf numFmtId="0" fontId="16" fillId="46" borderId="10" xfId="0" applyFont="1" applyFill="1" applyBorder="1" applyAlignment="1">
      <alignment horizontal="center" vertical="center"/>
    </xf>
    <xf numFmtId="0" fontId="16" fillId="47" borderId="10" xfId="0" applyFont="1" applyFill="1" applyBorder="1" applyAlignment="1">
      <alignment horizontal="center" vertical="center"/>
    </xf>
    <xf numFmtId="0" fontId="16" fillId="48" borderId="10" xfId="0" applyFont="1" applyFill="1" applyBorder="1" applyAlignment="1">
      <alignment horizontal="center" vertical="center"/>
    </xf>
    <xf numFmtId="164" fontId="0" fillId="0" borderId="10" xfId="0" applyNumberFormat="1" applyFont="1" applyFill="1" applyBorder="1" applyAlignment="1"/>
    <xf numFmtId="9" fontId="0" fillId="0" borderId="10" xfId="43" applyFont="1" applyFill="1" applyBorder="1" applyAlignment="1"/>
    <xf numFmtId="164" fontId="0" fillId="0" borderId="10" xfId="1" applyNumberFormat="1" applyFont="1" applyBorder="1" applyAlignment="1"/>
    <xf numFmtId="164" fontId="0" fillId="0" borderId="0" xfId="0" applyNumberFormat="1"/>
    <xf numFmtId="0" fontId="24" fillId="44" borderId="10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64" fontId="0" fillId="0" borderId="10" xfId="43" applyNumberFormat="1" applyFont="1" applyFill="1" applyBorder="1" applyAlignment="1"/>
    <xf numFmtId="164" fontId="0" fillId="0" borderId="10" xfId="1" applyNumberFormat="1" applyFont="1" applyBorder="1"/>
    <xf numFmtId="9" fontId="0" fillId="0" borderId="10" xfId="43" applyFont="1" applyBorder="1" applyAlignment="1">
      <alignment horizontal="center"/>
    </xf>
    <xf numFmtId="164" fontId="0" fillId="0" borderId="10" xfId="1" applyNumberFormat="1" applyFont="1" applyFill="1" applyBorder="1"/>
    <xf numFmtId="0" fontId="16" fillId="34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6" fillId="34" borderId="10" xfId="0" applyFont="1" applyFill="1" applyBorder="1"/>
    <xf numFmtId="0" fontId="16" fillId="34" borderId="10" xfId="0" applyFont="1" applyFill="1" applyBorder="1" applyAlignment="1">
      <alignment horizontal="center"/>
    </xf>
    <xf numFmtId="0" fontId="0" fillId="0" borderId="10" xfId="0" applyNumberFormat="1" applyBorder="1"/>
    <xf numFmtId="9" fontId="16" fillId="34" borderId="10" xfId="43" applyFont="1" applyFill="1" applyBorder="1" applyAlignment="1">
      <alignment horizontal="center"/>
    </xf>
    <xf numFmtId="164" fontId="16" fillId="34" borderId="10" xfId="1" applyNumberFormat="1" applyFont="1" applyFill="1" applyBorder="1" applyAlignment="1">
      <alignment horizontal="center"/>
    </xf>
    <xf numFmtId="0" fontId="16" fillId="0" borderId="13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164" fontId="0" fillId="38" borderId="10" xfId="1" applyNumberFormat="1" applyFont="1" applyFill="1" applyBorder="1"/>
    <xf numFmtId="0" fontId="0" fillId="0" borderId="10" xfId="0" applyFill="1" applyBorder="1" applyAlignment="1">
      <alignment horizontal="center"/>
    </xf>
    <xf numFmtId="0" fontId="26" fillId="0" borderId="10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/>
    <xf numFmtId="0" fontId="16" fillId="47" borderId="10" xfId="0" applyFont="1" applyFill="1" applyBorder="1" applyAlignment="1">
      <alignment horizontal="center"/>
    </xf>
    <xf numFmtId="0" fontId="16" fillId="5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left"/>
    </xf>
    <xf numFmtId="0" fontId="0" fillId="0" borderId="10" xfId="0" applyFill="1" applyBorder="1" applyAlignment="1">
      <alignment horizontal="left" vertical="center"/>
    </xf>
    <xf numFmtId="0" fontId="26" fillId="0" borderId="10" xfId="0" applyFont="1" applyFill="1" applyBorder="1" applyAlignment="1">
      <alignment horizontal="left"/>
    </xf>
    <xf numFmtId="164" fontId="0" fillId="0" borderId="10" xfId="1" applyNumberFormat="1" applyFont="1" applyFill="1" applyBorder="1" applyAlignment="1">
      <alignment horizontal="left"/>
    </xf>
    <xf numFmtId="0" fontId="16" fillId="34" borderId="10" xfId="0" applyFont="1" applyFill="1" applyBorder="1" applyAlignment="1">
      <alignment horizontal="center" vertical="center"/>
    </xf>
    <xf numFmtId="164" fontId="0" fillId="0" borderId="10" xfId="0" applyNumberFormat="1" applyBorder="1"/>
    <xf numFmtId="0" fontId="0" fillId="34" borderId="10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27" fillId="37" borderId="10" xfId="0" applyFont="1" applyFill="1" applyBorder="1" applyAlignment="1">
      <alignment horizontal="center" vertical="center"/>
    </xf>
    <xf numFmtId="0" fontId="27" fillId="37" borderId="10" xfId="0" applyFont="1" applyFill="1" applyBorder="1" applyAlignment="1">
      <alignment horizontal="left" vertical="center"/>
    </xf>
    <xf numFmtId="0" fontId="0" fillId="34" borderId="10" xfId="0" applyFill="1" applyBorder="1"/>
    <xf numFmtId="0" fontId="0" fillId="0" borderId="0" xfId="0" applyBorder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/>
    <xf numFmtId="0" fontId="22" fillId="0" borderId="0" xfId="0" applyFont="1" applyAlignment="1">
      <alignment horizontal="center" wrapText="1"/>
    </xf>
    <xf numFmtId="0" fontId="16" fillId="34" borderId="10" xfId="0" applyFont="1" applyFill="1" applyBorder="1" applyAlignment="1">
      <alignment horizontal="center"/>
    </xf>
    <xf numFmtId="0" fontId="25" fillId="49" borderId="21" xfId="0" applyFont="1" applyFill="1" applyBorder="1" applyAlignment="1">
      <alignment horizontal="center" vertical="center"/>
    </xf>
    <xf numFmtId="0" fontId="25" fillId="49" borderId="14" xfId="0" applyFont="1" applyFill="1" applyBorder="1" applyAlignment="1">
      <alignment horizontal="center" vertical="center"/>
    </xf>
    <xf numFmtId="0" fontId="25" fillId="49" borderId="22" xfId="0" applyFont="1" applyFill="1" applyBorder="1" applyAlignment="1">
      <alignment horizontal="center" vertical="center"/>
    </xf>
    <xf numFmtId="0" fontId="25" fillId="49" borderId="23" xfId="0" applyFont="1" applyFill="1" applyBorder="1" applyAlignment="1">
      <alignment horizontal="center" vertical="center"/>
    </xf>
    <xf numFmtId="0" fontId="16" fillId="34" borderId="21" xfId="0" applyFont="1" applyFill="1" applyBorder="1" applyAlignment="1">
      <alignment horizontal="center"/>
    </xf>
    <xf numFmtId="0" fontId="16" fillId="34" borderId="15" xfId="0" applyFont="1" applyFill="1" applyBorder="1" applyAlignment="1">
      <alignment horizont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 2" xfId="44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74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0</xdr:row>
      <xdr:rowOff>438149</xdr:rowOff>
    </xdr:from>
    <xdr:to>
      <xdr:col>2</xdr:col>
      <xdr:colOff>428625</xdr:colOff>
      <xdr:row>19</xdr:row>
      <xdr:rowOff>180975</xdr:rowOff>
    </xdr:to>
    <xdr:sp macro="" textlink="">
      <xdr:nvSpPr>
        <xdr:cNvPr id="2" name="Rounded Rectangle 1"/>
        <xdr:cNvSpPr/>
      </xdr:nvSpPr>
      <xdr:spPr>
        <a:xfrm>
          <a:off x="323850" y="438149"/>
          <a:ext cx="4248150" cy="3771901"/>
        </a:xfrm>
        <a:prstGeom prst="roundRect">
          <a:avLst/>
        </a:prstGeom>
        <a:solidFill>
          <a:schemeClr val="accent2">
            <a:alpha val="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800" b="1" i="1">
            <a:solidFill>
              <a:srgbClr val="FF0000"/>
            </a:solidFill>
          </a:endParaRPr>
        </a:p>
        <a:p>
          <a:pPr algn="ctr"/>
          <a:endParaRPr lang="en-US" sz="1800" b="1" i="1">
            <a:solidFill>
              <a:srgbClr val="FF0000"/>
            </a:solidFill>
          </a:endParaRPr>
        </a:p>
        <a:p>
          <a:pPr algn="ctr"/>
          <a:endParaRPr lang="en-US" sz="1800" b="1" i="1">
            <a:solidFill>
              <a:srgbClr val="FF0000"/>
            </a:solidFill>
          </a:endParaRPr>
        </a:p>
        <a:p>
          <a:pPr algn="ctr"/>
          <a:endParaRPr lang="en-US" sz="1800" b="1" i="1">
            <a:solidFill>
              <a:srgbClr val="FF0000"/>
            </a:solidFill>
          </a:endParaRPr>
        </a:p>
        <a:p>
          <a:pPr algn="ctr"/>
          <a:endParaRPr lang="en-US" sz="1800" b="1" i="1">
            <a:solidFill>
              <a:srgbClr val="FF0000"/>
            </a:solidFill>
          </a:endParaRPr>
        </a:p>
        <a:p>
          <a:pPr algn="ctr"/>
          <a:r>
            <a:rPr lang="en-US" sz="1800" b="1" i="1">
              <a:solidFill>
                <a:schemeClr val="tx1"/>
              </a:solidFill>
            </a:rPr>
            <a:t>March'19</a:t>
          </a:r>
        </a:p>
      </xdr:txBody>
    </xdr:sp>
    <xdr:clientData/>
  </xdr:twoCellAnchor>
  <xdr:twoCellAnchor>
    <xdr:from>
      <xdr:col>1</xdr:col>
      <xdr:colOff>1895475</xdr:colOff>
      <xdr:row>7</xdr:row>
      <xdr:rowOff>104775</xdr:rowOff>
    </xdr:from>
    <xdr:to>
      <xdr:col>1</xdr:col>
      <xdr:colOff>2971800</xdr:colOff>
      <xdr:row>9</xdr:row>
      <xdr:rowOff>123825</xdr:rowOff>
    </xdr:to>
    <xdr:sp macro="[0]!VisibleFalse" textlink="">
      <xdr:nvSpPr>
        <xdr:cNvPr id="3" name="Rounded Rectangle 2"/>
        <xdr:cNvSpPr/>
      </xdr:nvSpPr>
      <xdr:spPr>
        <a:xfrm>
          <a:off x="2609850" y="1771650"/>
          <a:ext cx="1076325" cy="4191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>
    <xdr:from>
      <xdr:col>1</xdr:col>
      <xdr:colOff>219075</xdr:colOff>
      <xdr:row>7</xdr:row>
      <xdr:rowOff>76200</xdr:rowOff>
    </xdr:from>
    <xdr:to>
      <xdr:col>1</xdr:col>
      <xdr:colOff>1295400</xdr:colOff>
      <xdr:row>9</xdr:row>
      <xdr:rowOff>95250</xdr:rowOff>
    </xdr:to>
    <xdr:sp macro="[0]!Showme" textlink="">
      <xdr:nvSpPr>
        <xdr:cNvPr id="4" name="Rounded Rectangle 3"/>
        <xdr:cNvSpPr/>
      </xdr:nvSpPr>
      <xdr:spPr>
        <a:xfrm>
          <a:off x="933450" y="1743075"/>
          <a:ext cx="1076325" cy="4191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Login</a:t>
          </a:r>
        </a:p>
      </xdr:txBody>
    </xdr:sp>
    <xdr:clientData/>
  </xdr:twoCellAnchor>
  <xdr:twoCellAnchor>
    <xdr:from>
      <xdr:col>0</xdr:col>
      <xdr:colOff>419100</xdr:colOff>
      <xdr:row>2</xdr:row>
      <xdr:rowOff>85725</xdr:rowOff>
    </xdr:from>
    <xdr:to>
      <xdr:col>2</xdr:col>
      <xdr:colOff>400050</xdr:colOff>
      <xdr:row>6</xdr:row>
      <xdr:rowOff>38100</xdr:rowOff>
    </xdr:to>
    <xdr:sp macro="" textlink="">
      <xdr:nvSpPr>
        <xdr:cNvPr id="5" name="Rounded Rectangle 4"/>
        <xdr:cNvSpPr/>
      </xdr:nvSpPr>
      <xdr:spPr>
        <a:xfrm>
          <a:off x="419100" y="790575"/>
          <a:ext cx="4124325" cy="714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SSP</a:t>
          </a:r>
          <a:r>
            <a:rPr lang="en-US" sz="1200" b="1" baseline="0"/>
            <a:t> target vs. Achievement</a:t>
          </a:r>
          <a:r>
            <a:rPr lang="en-US" sz="1200" b="1"/>
            <a:t> March'19</a:t>
          </a:r>
        </a:p>
      </xdr:txBody>
    </xdr:sp>
    <xdr:clientData/>
  </xdr:twoCellAnchor>
  <xdr:twoCellAnchor>
    <xdr:from>
      <xdr:col>2</xdr:col>
      <xdr:colOff>524434</xdr:colOff>
      <xdr:row>14</xdr:row>
      <xdr:rowOff>28015</xdr:rowOff>
    </xdr:from>
    <xdr:to>
      <xdr:col>11</xdr:col>
      <xdr:colOff>653863</xdr:colOff>
      <xdr:row>18</xdr:row>
      <xdr:rowOff>167528</xdr:rowOff>
    </xdr:to>
    <xdr:sp macro="" textlink="">
      <xdr:nvSpPr>
        <xdr:cNvPr id="6" name="Curved Down Arrow 5"/>
        <xdr:cNvSpPr/>
      </xdr:nvSpPr>
      <xdr:spPr>
        <a:xfrm>
          <a:off x="4670610" y="3098427"/>
          <a:ext cx="5822018" cy="92392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178173</xdr:colOff>
      <xdr:row>16</xdr:row>
      <xdr:rowOff>132790</xdr:rowOff>
    </xdr:from>
    <xdr:to>
      <xdr:col>8</xdr:col>
      <xdr:colOff>255494</xdr:colOff>
      <xdr:row>19</xdr:row>
      <xdr:rowOff>151840</xdr:rowOff>
    </xdr:to>
    <xdr:sp macro="" textlink="">
      <xdr:nvSpPr>
        <xdr:cNvPr id="7" name="TextBox 6"/>
        <xdr:cNvSpPr txBox="1"/>
      </xdr:nvSpPr>
      <xdr:spPr>
        <a:xfrm>
          <a:off x="6879291" y="3606614"/>
          <a:ext cx="128755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i="1"/>
            <a:t>After login we can see our individual required </a:t>
          </a:r>
          <a:r>
            <a:rPr lang="en-US" sz="1000" b="1" i="1" baseline="0"/>
            <a:t> sheets . </a:t>
          </a:r>
          <a:endParaRPr lang="en-US" sz="10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76200</xdr:colOff>
      <xdr:row>0</xdr:row>
      <xdr:rowOff>114300</xdr:rowOff>
    </xdr:from>
    <xdr:to>
      <xdr:col>13</xdr:col>
      <xdr:colOff>1438275</xdr:colOff>
      <xdr:row>2</xdr:row>
      <xdr:rowOff>85725</xdr:rowOff>
    </xdr:to>
    <xdr:sp macro="[0]!Toggle" textlink="">
      <xdr:nvSpPr>
        <xdr:cNvPr id="3" name="Rounded Rectangle 2"/>
        <xdr:cNvSpPr/>
      </xdr:nvSpPr>
      <xdr:spPr>
        <a:xfrm>
          <a:off x="13506450" y="114300"/>
          <a:ext cx="1362075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Toggle Tabs</a:t>
          </a:r>
        </a:p>
      </xdr:txBody>
    </xdr:sp>
    <xdr:clientData/>
  </xdr:twoCellAnchor>
  <xdr:twoCellAnchor>
    <xdr:from>
      <xdr:col>13</xdr:col>
      <xdr:colOff>1571625</xdr:colOff>
      <xdr:row>0</xdr:row>
      <xdr:rowOff>180975</xdr:rowOff>
    </xdr:from>
    <xdr:to>
      <xdr:col>14</xdr:col>
      <xdr:colOff>1038225</xdr:colOff>
      <xdr:row>2</xdr:row>
      <xdr:rowOff>133350</xdr:rowOff>
    </xdr:to>
    <xdr:sp macro="[0]!VisibleTrue" textlink="">
      <xdr:nvSpPr>
        <xdr:cNvPr id="4" name="Rounded Rectangle 3"/>
        <xdr:cNvSpPr/>
      </xdr:nvSpPr>
      <xdr:spPr>
        <a:xfrm>
          <a:off x="15001875" y="180975"/>
          <a:ext cx="1104900" cy="33337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ctober\Daily%20Sales%20Report\Month%20Wise%20Report\Feb'17\New%20Sales%20Report\New%20Format_%20Sales%20Report%20-Field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ctober\Daily%20Sales%20Report\Month%20Wise%20Report\Apr'17\Target\KPI%20&amp;%20HFM%20Target%20April%2017_Revised_RT%20wise%20HF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haka North1"/>
      <sheetName val="Stock Status"/>
      <sheetName val="Formula Ref"/>
    </sheetNames>
    <sheetDataSet>
      <sheetData sheetId="0"/>
      <sheetData sheetId="1"/>
      <sheetData sheetId="2"/>
      <sheetData sheetId="3">
        <row r="2">
          <cell r="A2" t="str">
            <v>Md.Monir Hossain</v>
          </cell>
          <cell r="B2" t="str">
            <v>Dhaka North 1</v>
          </cell>
        </row>
        <row r="3">
          <cell r="A3" t="str">
            <v>Md.Faisal Ahmed</v>
          </cell>
          <cell r="B3" t="str">
            <v>Dhaka North 2</v>
          </cell>
        </row>
        <row r="4">
          <cell r="A4" t="str">
            <v>MD.Mostafizur Rahman Jony</v>
          </cell>
          <cell r="B4" t="str">
            <v>Narayangonj</v>
          </cell>
        </row>
        <row r="5">
          <cell r="A5" t="str">
            <v>S.M. Rabbi Shuvo</v>
          </cell>
          <cell r="B5" t="str">
            <v>Rajshahi</v>
          </cell>
        </row>
        <row r="6">
          <cell r="A6" t="str">
            <v>MD.Abdul Hannan</v>
          </cell>
          <cell r="B6" t="str">
            <v>Rangpur</v>
          </cell>
        </row>
        <row r="7">
          <cell r="A7" t="str">
            <v>Atikur Rahman</v>
          </cell>
          <cell r="B7" t="str">
            <v>chittagong</v>
          </cell>
        </row>
        <row r="8">
          <cell r="A8" t="str">
            <v>Kamrul Hasan</v>
          </cell>
          <cell r="B8" t="str">
            <v>Sylhet</v>
          </cell>
        </row>
        <row r="9">
          <cell r="A9" t="str">
            <v>MD. Mostofa Dewan Babu</v>
          </cell>
          <cell r="B9" t="str">
            <v>Comilla</v>
          </cell>
        </row>
        <row r="10">
          <cell r="A10" t="str">
            <v>Saiful Islam</v>
          </cell>
          <cell r="B10" t="str">
            <v>Dhaka South 1</v>
          </cell>
        </row>
        <row r="11">
          <cell r="A11" t="str">
            <v>Tahsif Ahmed Rashed</v>
          </cell>
          <cell r="B11" t="str">
            <v>Dhaka South 2</v>
          </cell>
        </row>
        <row r="12">
          <cell r="A12" t="str">
            <v>Shaurov Sarker</v>
          </cell>
          <cell r="B12" t="str">
            <v>Mymensingh</v>
          </cell>
        </row>
        <row r="13">
          <cell r="A13" t="str">
            <v>MD Syed Abir</v>
          </cell>
          <cell r="B13" t="str">
            <v>Khulna&amp;Barisal</v>
          </cell>
        </row>
        <row r="153">
          <cell r="A153" t="str">
            <v>Choice Electronics</v>
          </cell>
        </row>
        <row r="154">
          <cell r="A154" t="str">
            <v>Mobile Bazar Mirpur</v>
          </cell>
        </row>
        <row r="155">
          <cell r="A155" t="str">
            <v>Mass Telecom</v>
          </cell>
        </row>
        <row r="156">
          <cell r="A156" t="str">
            <v>Mobile Media</v>
          </cell>
        </row>
        <row r="157">
          <cell r="A157" t="str">
            <v>Dream land Mobile</v>
          </cell>
        </row>
        <row r="158">
          <cell r="A158" t="str">
            <v>Lamia Telecom</v>
          </cell>
        </row>
        <row r="159">
          <cell r="A159" t="str">
            <v>New Bristy Telecom</v>
          </cell>
        </row>
        <row r="160">
          <cell r="A160" t="str">
            <v>Bismillah Mobile Gallery</v>
          </cell>
        </row>
        <row r="161">
          <cell r="A161" t="str">
            <v>NipunTelecom</v>
          </cell>
        </row>
        <row r="162">
          <cell r="A162" t="str">
            <v>Chandrima Enterprise</v>
          </cell>
        </row>
        <row r="163">
          <cell r="A163" t="str">
            <v>New Bangladesh Telecom</v>
          </cell>
        </row>
        <row r="164">
          <cell r="A164" t="str">
            <v>Right Telecom</v>
          </cell>
        </row>
        <row r="165">
          <cell r="A165" t="str">
            <v>Labonno Telecom</v>
          </cell>
        </row>
        <row r="166">
          <cell r="A166" t="str">
            <v>Maisha Telecom</v>
          </cell>
        </row>
        <row r="167">
          <cell r="A167" t="str">
            <v>Ideal Telecom</v>
          </cell>
        </row>
        <row r="168">
          <cell r="A168" t="str">
            <v>Mobile Neer</v>
          </cell>
        </row>
        <row r="169">
          <cell r="A169" t="str">
            <v>Mobile Land</v>
          </cell>
        </row>
        <row r="170">
          <cell r="A170" t="str">
            <v>Maruf Telecom</v>
          </cell>
        </row>
        <row r="171">
          <cell r="A171" t="str">
            <v>Chandpur Elect.</v>
          </cell>
        </row>
        <row r="172">
          <cell r="A172" t="str">
            <v>Chan Electronics</v>
          </cell>
        </row>
        <row r="173">
          <cell r="A173" t="str">
            <v>Monir International</v>
          </cell>
        </row>
        <row r="174">
          <cell r="A174" t="str">
            <v>Zikra Telecom</v>
          </cell>
        </row>
        <row r="175">
          <cell r="A175" t="str">
            <v>Z Telecom</v>
          </cell>
        </row>
        <row r="176">
          <cell r="A176" t="str">
            <v>Smart City</v>
          </cell>
        </row>
        <row r="177">
          <cell r="A177" t="str">
            <v>Symphony Gallery</v>
          </cell>
        </row>
        <row r="178">
          <cell r="A178" t="str">
            <v>Khandoker Telecom</v>
          </cell>
        </row>
        <row r="179">
          <cell r="A179" t="str">
            <v>S.S Communication</v>
          </cell>
        </row>
        <row r="180">
          <cell r="A180" t="str">
            <v>Tasnim Enterprise</v>
          </cell>
        </row>
        <row r="181">
          <cell r="A181" t="str">
            <v>Shagor Telecom</v>
          </cell>
        </row>
        <row r="182">
          <cell r="A182" t="str">
            <v>AR Electronics</v>
          </cell>
        </row>
        <row r="183">
          <cell r="A183" t="str">
            <v>R.K Electronics</v>
          </cell>
        </row>
        <row r="184">
          <cell r="A184" t="str">
            <v xml:space="preserve">S S Corporatin </v>
          </cell>
        </row>
        <row r="185">
          <cell r="A185" t="str">
            <v>Pick &amp; Play</v>
          </cell>
        </row>
        <row r="186">
          <cell r="A186" t="str">
            <v>Protocol communication</v>
          </cell>
        </row>
        <row r="317">
          <cell r="C317" t="str">
            <v>Retail Name</v>
          </cell>
          <cell r="D317" t="str">
            <v>Retail ID</v>
          </cell>
          <cell r="E317" t="str">
            <v>SBC Name</v>
          </cell>
          <cell r="F317" t="str">
            <v>Area</v>
          </cell>
        </row>
        <row r="318">
          <cell r="C318" t="str">
            <v>Choice Electronics</v>
          </cell>
          <cell r="D318" t="str">
            <v>RET-01283</v>
          </cell>
          <cell r="E318" t="str">
            <v>Alamin</v>
          </cell>
          <cell r="F318" t="str">
            <v>Mirpur</v>
          </cell>
        </row>
        <row r="319">
          <cell r="C319" t="str">
            <v>Mobile Bazar Mirpur</v>
          </cell>
          <cell r="D319" t="str">
            <v>RET-01285</v>
          </cell>
          <cell r="E319" t="str">
            <v xml:space="preserve">Shuvo </v>
          </cell>
          <cell r="F319" t="str">
            <v>Mirpur</v>
          </cell>
        </row>
        <row r="320">
          <cell r="C320" t="str">
            <v>Mass Telecom</v>
          </cell>
          <cell r="D320" t="str">
            <v>RET-01301</v>
          </cell>
          <cell r="E320" t="str">
            <v>Afzal Hossain</v>
          </cell>
          <cell r="F320" t="str">
            <v>Mirpur</v>
          </cell>
        </row>
        <row r="321">
          <cell r="C321" t="str">
            <v>Mobile Media</v>
          </cell>
          <cell r="D321" t="str">
            <v>RET-20234</v>
          </cell>
          <cell r="E321" t="str">
            <v>munna</v>
          </cell>
          <cell r="F321" t="str">
            <v>Mirpur</v>
          </cell>
        </row>
        <row r="322">
          <cell r="C322" t="str">
            <v>Dream land Mobile</v>
          </cell>
          <cell r="D322" t="str">
            <v>RET-01273</v>
          </cell>
          <cell r="E322" t="str">
            <v>Md Tawhid Ahmed</v>
          </cell>
          <cell r="F322" t="str">
            <v>Mirpur</v>
          </cell>
        </row>
        <row r="323">
          <cell r="C323" t="str">
            <v>Lamia Telecom</v>
          </cell>
          <cell r="D323" t="str">
            <v>RET-01258</v>
          </cell>
          <cell r="E323" t="str">
            <v>raj</v>
          </cell>
          <cell r="F323" t="str">
            <v>Mirpur</v>
          </cell>
        </row>
        <row r="324">
          <cell r="C324" t="str">
            <v>New Bristy Telecom</v>
          </cell>
          <cell r="D324" t="str">
            <v>RET-01423</v>
          </cell>
          <cell r="E324" t="str">
            <v>hasan</v>
          </cell>
          <cell r="F324" t="str">
            <v>Mirpur</v>
          </cell>
        </row>
        <row r="325">
          <cell r="C325" t="str">
            <v>Bismillah Mobile Gallery</v>
          </cell>
          <cell r="D325" t="str">
            <v>RET-01322</v>
          </cell>
          <cell r="E325" t="str">
            <v>Ariful Islam</v>
          </cell>
          <cell r="F325" t="str">
            <v>Mirpur</v>
          </cell>
        </row>
        <row r="326">
          <cell r="C326" t="str">
            <v>NipunTelecom</v>
          </cell>
          <cell r="D326" t="str">
            <v>RET-01291</v>
          </cell>
          <cell r="E326" t="str">
            <v>Md. Shahnur Azom</v>
          </cell>
          <cell r="F326" t="str">
            <v>Mirpur</v>
          </cell>
        </row>
        <row r="327">
          <cell r="C327" t="str">
            <v>Chandrima Enterprise</v>
          </cell>
          <cell r="D327" t="str">
            <v>RET-01392</v>
          </cell>
          <cell r="E327" t="str">
            <v>Jakaria Ahmed</v>
          </cell>
          <cell r="F327" t="str">
            <v>Mirpur</v>
          </cell>
        </row>
        <row r="328">
          <cell r="C328" t="str">
            <v>New Bangladesh Telecom</v>
          </cell>
          <cell r="D328" t="str">
            <v>RET-01454</v>
          </cell>
          <cell r="E328" t="str">
            <v>murad</v>
          </cell>
          <cell r="F328" t="str">
            <v>Mirpur</v>
          </cell>
        </row>
        <row r="329">
          <cell r="C329" t="str">
            <v>Right Telecom</v>
          </cell>
          <cell r="D329" t="str">
            <v>RET-01455</v>
          </cell>
          <cell r="E329" t="str">
            <v>Sobuj</v>
          </cell>
          <cell r="F329" t="str">
            <v>Mirpur</v>
          </cell>
        </row>
        <row r="330">
          <cell r="C330" t="str">
            <v>Labonno Telecom</v>
          </cell>
          <cell r="D330" t="str">
            <v>RET-01443</v>
          </cell>
          <cell r="E330" t="str">
            <v>Rabbi</v>
          </cell>
          <cell r="F330" t="str">
            <v>Mirpur</v>
          </cell>
        </row>
        <row r="331">
          <cell r="C331" t="str">
            <v>Maisha Telecom</v>
          </cell>
          <cell r="D331" t="str">
            <v>RET-01451</v>
          </cell>
          <cell r="E331" t="str">
            <v>MD.sharif</v>
          </cell>
          <cell r="F331" t="str">
            <v>Mirpur</v>
          </cell>
        </row>
        <row r="332">
          <cell r="C332" t="str">
            <v>Ideal Telecom</v>
          </cell>
          <cell r="D332" t="str">
            <v>RET-01482</v>
          </cell>
          <cell r="E332" t="str">
            <v>Iqbal Hossain</v>
          </cell>
          <cell r="F332" t="str">
            <v>Mirpur</v>
          </cell>
        </row>
        <row r="333">
          <cell r="C333" t="str">
            <v>Mobile Neer</v>
          </cell>
          <cell r="D333" t="str">
            <v>RET-22220</v>
          </cell>
          <cell r="E333" t="str">
            <v>Badsha</v>
          </cell>
          <cell r="F333" t="str">
            <v>Mirpur</v>
          </cell>
        </row>
        <row r="334">
          <cell r="C334" t="str">
            <v>Mobile Land</v>
          </cell>
          <cell r="D334" t="str">
            <v>RET-01456</v>
          </cell>
          <cell r="E334" t="str">
            <v>Robiul Islam</v>
          </cell>
          <cell r="F334" t="str">
            <v>Mirpur</v>
          </cell>
        </row>
        <row r="335">
          <cell r="C335" t="str">
            <v>Maruf Telecom</v>
          </cell>
          <cell r="D335" t="str">
            <v>RET-01671</v>
          </cell>
          <cell r="E335" t="str">
            <v>Fahim Howlader</v>
          </cell>
          <cell r="F335" t="str">
            <v>Savar</v>
          </cell>
        </row>
        <row r="336">
          <cell r="C336" t="str">
            <v>Chandpur Elect.</v>
          </cell>
          <cell r="D336" t="str">
            <v>RET-01683</v>
          </cell>
          <cell r="E336" t="str">
            <v>Md Sanzid Khan</v>
          </cell>
          <cell r="F336" t="str">
            <v>Savar</v>
          </cell>
        </row>
        <row r="337">
          <cell r="C337" t="str">
            <v>Chan Electronics</v>
          </cell>
          <cell r="D337" t="str">
            <v>RET-01682</v>
          </cell>
          <cell r="E337" t="str">
            <v>Shamim Hossain</v>
          </cell>
          <cell r="F337" t="str">
            <v>Savar</v>
          </cell>
        </row>
        <row r="338">
          <cell r="C338" t="str">
            <v>Monir International</v>
          </cell>
          <cell r="D338" t="str">
            <v>RET-01693</v>
          </cell>
          <cell r="E338" t="str">
            <v>Hamza AL Mehedi</v>
          </cell>
          <cell r="F338" t="str">
            <v>Savar</v>
          </cell>
        </row>
        <row r="339">
          <cell r="C339" t="str">
            <v>Zikra Telecom</v>
          </cell>
          <cell r="D339" t="str">
            <v>RET-01692</v>
          </cell>
          <cell r="E339" t="str">
            <v xml:space="preserve">Sheik Naimur Rahman </v>
          </cell>
          <cell r="F339" t="str">
            <v>Savar</v>
          </cell>
        </row>
        <row r="340">
          <cell r="C340" t="str">
            <v>Z Telecom</v>
          </cell>
          <cell r="D340" t="str">
            <v>RET-01709</v>
          </cell>
          <cell r="E340" t="str">
            <v>Ismail Hossain</v>
          </cell>
          <cell r="F340" t="str">
            <v>Savar</v>
          </cell>
        </row>
        <row r="341">
          <cell r="C341" t="str">
            <v>Smart City</v>
          </cell>
          <cell r="D341" t="str">
            <v>RET-19083</v>
          </cell>
          <cell r="E341" t="str">
            <v>Md Shakil Khan</v>
          </cell>
          <cell r="F341" t="str">
            <v>Savar</v>
          </cell>
        </row>
        <row r="342">
          <cell r="C342" t="str">
            <v>Symphony Gallery</v>
          </cell>
          <cell r="D342" t="str">
            <v>RET-01811</v>
          </cell>
          <cell r="E342" t="str">
            <v>Md Rabiul Islam</v>
          </cell>
          <cell r="F342" t="str">
            <v>Savar</v>
          </cell>
        </row>
        <row r="343">
          <cell r="C343" t="str">
            <v>Khandoker Telecom</v>
          </cell>
          <cell r="D343" t="str">
            <v>RET-01133</v>
          </cell>
          <cell r="E343" t="str">
            <v>Md Nishan Ahmed</v>
          </cell>
          <cell r="F343" t="str">
            <v>Gulshan</v>
          </cell>
        </row>
        <row r="344">
          <cell r="C344" t="str">
            <v>S.S Communication</v>
          </cell>
          <cell r="D344" t="str">
            <v>RET-01117</v>
          </cell>
          <cell r="E344" t="str">
            <v>Jobayer Ahmed</v>
          </cell>
          <cell r="F344" t="str">
            <v>Gulshan</v>
          </cell>
        </row>
        <row r="345">
          <cell r="C345" t="str">
            <v>Tasnim Enterprise</v>
          </cell>
          <cell r="D345" t="str">
            <v>RET-17329</v>
          </cell>
          <cell r="E345" t="str">
            <v>Mamun</v>
          </cell>
          <cell r="F345" t="str">
            <v>Gulshan</v>
          </cell>
        </row>
        <row r="346">
          <cell r="C346" t="str">
            <v>Shagor Telecom</v>
          </cell>
          <cell r="D346" t="str">
            <v>RET-01115</v>
          </cell>
          <cell r="E346" t="str">
            <v xml:space="preserve">Md.Ashraful Islam Mithun  </v>
          </cell>
          <cell r="F346" t="str">
            <v>Gulshan</v>
          </cell>
        </row>
        <row r="347">
          <cell r="C347" t="str">
            <v>AR Electronics</v>
          </cell>
          <cell r="D347" t="str">
            <v>RET-01111</v>
          </cell>
          <cell r="E347" t="str">
            <v>Fayez Ahammed Sony</v>
          </cell>
          <cell r="F347" t="str">
            <v>Gulshan</v>
          </cell>
        </row>
        <row r="348">
          <cell r="C348" t="str">
            <v>R.K Electronics</v>
          </cell>
          <cell r="D348" t="str">
            <v>RET-01114</v>
          </cell>
          <cell r="E348" t="str">
            <v>Tahmid</v>
          </cell>
          <cell r="F348" t="str">
            <v>Gulshan</v>
          </cell>
        </row>
        <row r="349">
          <cell r="C349" t="str">
            <v xml:space="preserve">S S Corporatin </v>
          </cell>
          <cell r="D349" t="str">
            <v>RET-01244</v>
          </cell>
          <cell r="E349" t="str">
            <v>Billal</v>
          </cell>
          <cell r="F349" t="str">
            <v>Gulshan</v>
          </cell>
        </row>
        <row r="350">
          <cell r="C350" t="str">
            <v>Pick &amp; Play</v>
          </cell>
          <cell r="D350" t="str">
            <v>RET-01062</v>
          </cell>
          <cell r="E350" t="str">
            <v>Md Fahad</v>
          </cell>
          <cell r="F350" t="str">
            <v>Gulshan</v>
          </cell>
        </row>
        <row r="351">
          <cell r="C351" t="str">
            <v>Protocol communication</v>
          </cell>
          <cell r="D351" t="str">
            <v>RET-01059</v>
          </cell>
          <cell r="E351" t="str">
            <v xml:space="preserve">Md omar sany </v>
          </cell>
          <cell r="F351" t="str">
            <v>Gulshan</v>
          </cell>
        </row>
        <row r="352">
          <cell r="C352" t="str">
            <v>M/S Nayeem Telecom-2</v>
          </cell>
          <cell r="D352" t="str">
            <v>RET-00732</v>
          </cell>
          <cell r="E352" t="str">
            <v>Md.Rasheduzzaman</v>
          </cell>
          <cell r="F352" t="str">
            <v>Dhaka Center</v>
          </cell>
        </row>
        <row r="353">
          <cell r="C353" t="str">
            <v>Star Power</v>
          </cell>
          <cell r="D353" t="str">
            <v>RET-00740</v>
          </cell>
          <cell r="E353" t="str">
            <v>Jahirul Islam Bappi</v>
          </cell>
          <cell r="F353" t="str">
            <v>Dhaka Center</v>
          </cell>
        </row>
        <row r="354">
          <cell r="C354" t="str">
            <v>World Vision Telecom</v>
          </cell>
          <cell r="D354" t="str">
            <v>RET-00795</v>
          </cell>
          <cell r="E354" t="str">
            <v>MD.Sujon</v>
          </cell>
          <cell r="F354" t="str">
            <v>Dhaka Center</v>
          </cell>
        </row>
        <row r="355">
          <cell r="C355" t="str">
            <v>Ekushey Telecom</v>
          </cell>
          <cell r="D355" t="str">
            <v>RET-00799</v>
          </cell>
          <cell r="E355" t="str">
            <v>Masud</v>
          </cell>
          <cell r="F355" t="str">
            <v>Dhaka Center</v>
          </cell>
        </row>
        <row r="356">
          <cell r="C356" t="str">
            <v>M/S. Nayeem Telecom-1</v>
          </cell>
          <cell r="D356" t="str">
            <v>RET-00818</v>
          </cell>
          <cell r="E356" t="str">
            <v>Yasin</v>
          </cell>
          <cell r="F356" t="str">
            <v>Dhaka Center</v>
          </cell>
        </row>
        <row r="357">
          <cell r="C357" t="str">
            <v>Rahamat Telecom-3</v>
          </cell>
          <cell r="D357" t="str">
            <v>RET-00819</v>
          </cell>
          <cell r="E357" t="str">
            <v>Rahitul Alam Rony</v>
          </cell>
          <cell r="F357" t="str">
            <v>Dhaka Center</v>
          </cell>
        </row>
        <row r="358">
          <cell r="C358" t="str">
            <v>Lamisha Telecom</v>
          </cell>
          <cell r="D358" t="str">
            <v>RET-00752</v>
          </cell>
          <cell r="E358" t="str">
            <v>K M Al Mamun</v>
          </cell>
          <cell r="F358" t="str">
            <v>Dhaka Center</v>
          </cell>
        </row>
        <row r="359">
          <cell r="C359" t="str">
            <v>Lubaba telecom</v>
          </cell>
          <cell r="D359" t="str">
            <v>RET-00815</v>
          </cell>
          <cell r="E359" t="str">
            <v>Md.Rasel</v>
          </cell>
          <cell r="F359" t="str">
            <v>Dhaka Center</v>
          </cell>
        </row>
        <row r="360">
          <cell r="C360" t="str">
            <v>AL Hassan Mobile Point-1</v>
          </cell>
          <cell r="D360" t="str">
            <v>RET-00776</v>
          </cell>
          <cell r="E360" t="str">
            <v>Tarikul Islam</v>
          </cell>
          <cell r="F360" t="str">
            <v>Dhaka Center</v>
          </cell>
        </row>
        <row r="361">
          <cell r="C361" t="str">
            <v>Bhai Bhai Telecom</v>
          </cell>
          <cell r="D361" t="str">
            <v>RET-00775</v>
          </cell>
          <cell r="E361" t="str">
            <v>Nurul Islam</v>
          </cell>
          <cell r="F361" t="str">
            <v>Dhaka Center</v>
          </cell>
        </row>
        <row r="362">
          <cell r="C362" t="str">
            <v>Maa Electronics-1</v>
          </cell>
          <cell r="D362" t="str">
            <v>RET-00753</v>
          </cell>
          <cell r="E362" t="str">
            <v>Mehedy hasan billal</v>
          </cell>
          <cell r="F362" t="str">
            <v>Dhaka Center</v>
          </cell>
        </row>
        <row r="363">
          <cell r="C363" t="str">
            <v>Sarkar Telecom</v>
          </cell>
          <cell r="D363" t="str">
            <v>RET-01537</v>
          </cell>
          <cell r="E363" t="str">
            <v>Md mahbub Alam</v>
          </cell>
          <cell r="F363" t="str">
            <v>Ashulia</v>
          </cell>
        </row>
        <row r="364">
          <cell r="C364" t="str">
            <v>Vai Vai Telecom, Vowel Complex. EPO</v>
          </cell>
          <cell r="D364" t="str">
            <v>RET-10947</v>
          </cell>
          <cell r="E364" t="str">
            <v>Md Rubel Sarkar</v>
          </cell>
          <cell r="F364" t="str">
            <v>Gazipur</v>
          </cell>
        </row>
        <row r="365">
          <cell r="C365" t="str">
            <v>Modina Telecom</v>
          </cell>
          <cell r="D365" t="str">
            <v>RET-01620</v>
          </cell>
          <cell r="E365" t="str">
            <v>Fahad Bin Hossain</v>
          </cell>
          <cell r="F365" t="str">
            <v>Ashulia</v>
          </cell>
        </row>
        <row r="366">
          <cell r="C366" t="str">
            <v>Mayer Doya 2, Board Bazar.PO</v>
          </cell>
          <cell r="D366" t="str">
            <v>RET-11054</v>
          </cell>
          <cell r="E366" t="str">
            <v>Kobir Hossain</v>
          </cell>
          <cell r="F366" t="str">
            <v>Gazipur</v>
          </cell>
        </row>
        <row r="367">
          <cell r="C367" t="str">
            <v>Nadia Telecom</v>
          </cell>
          <cell r="D367" t="str">
            <v>RET-00943</v>
          </cell>
          <cell r="E367" t="str">
            <v xml:space="preserve">Md sayeed </v>
          </cell>
          <cell r="F367" t="str">
            <v>Uttara</v>
          </cell>
        </row>
        <row r="368">
          <cell r="C368" t="str">
            <v>Friends Mobile, Konabari.PO</v>
          </cell>
          <cell r="D368" t="str">
            <v>RET-10992</v>
          </cell>
          <cell r="E368" t="str">
            <v>Mynul islam</v>
          </cell>
          <cell r="F368" t="str">
            <v>Gazipur</v>
          </cell>
        </row>
        <row r="369">
          <cell r="C369" t="str">
            <v>Tanisha Telecom</v>
          </cell>
          <cell r="D369" t="str">
            <v>RET-18298</v>
          </cell>
          <cell r="E369" t="str">
            <v>Md Rayhan</v>
          </cell>
          <cell r="F369" t="str">
            <v>Gazipur</v>
          </cell>
        </row>
        <row r="370">
          <cell r="C370" t="str">
            <v>J.N Telecom</v>
          </cell>
          <cell r="D370" t="str">
            <v>RET-00904</v>
          </cell>
          <cell r="E370" t="str">
            <v>abdullah Al faisal</v>
          </cell>
          <cell r="F370" t="str">
            <v>Uttara</v>
          </cell>
        </row>
        <row r="371">
          <cell r="C371" t="str">
            <v>S.K Trade International 2</v>
          </cell>
          <cell r="D371" t="str">
            <v>RET-00899</v>
          </cell>
          <cell r="E371" t="str">
            <v>Ariful Islam</v>
          </cell>
          <cell r="F371" t="str">
            <v>Uttara</v>
          </cell>
        </row>
        <row r="372">
          <cell r="C372" t="str">
            <v>Mobile World</v>
          </cell>
          <cell r="D372" t="str">
            <v>RET-00767</v>
          </cell>
          <cell r="E372" t="str">
            <v>Mehedy hasan billal</v>
          </cell>
          <cell r="F372" t="str">
            <v>Uttara</v>
          </cell>
        </row>
        <row r="373">
          <cell r="C373" t="str">
            <v>National Sony Electronics</v>
          </cell>
          <cell r="D373" t="str">
            <v>RET-11025</v>
          </cell>
          <cell r="E373" t="str">
            <v>Raisul Islam</v>
          </cell>
          <cell r="F373" t="str">
            <v>Gazipur</v>
          </cell>
        </row>
        <row r="374">
          <cell r="C374" t="str">
            <v>Shikder Enterprise</v>
          </cell>
          <cell r="D374" t="str">
            <v>RET-18124</v>
          </cell>
          <cell r="E374" t="str">
            <v>Al Amin Molla</v>
          </cell>
          <cell r="F374" t="str">
            <v>Gazipur</v>
          </cell>
        </row>
        <row r="375">
          <cell r="C375" t="str">
            <v>Best Mobile</v>
          </cell>
          <cell r="D375" t="str">
            <v>RET-17648</v>
          </cell>
          <cell r="E375" t="str">
            <v>Md belayet Hossain</v>
          </cell>
          <cell r="F375" t="str">
            <v>Uttara</v>
          </cell>
        </row>
        <row r="376">
          <cell r="C376" t="str">
            <v>City Mobile _EPO</v>
          </cell>
          <cell r="D376" t="str">
            <v>RET-14531</v>
          </cell>
          <cell r="E376" t="str">
            <v>Shimul Pervez</v>
          </cell>
          <cell r="F376" t="str">
            <v>Gazipur</v>
          </cell>
        </row>
        <row r="377">
          <cell r="C377" t="str">
            <v>Vai Vai Telecom, Joydebpur. PO</v>
          </cell>
          <cell r="D377" t="str">
            <v>RET-10973</v>
          </cell>
          <cell r="E377" t="str">
            <v>Nasir Uddin Sumon</v>
          </cell>
          <cell r="F377" t="str">
            <v>Gazipur</v>
          </cell>
        </row>
        <row r="378">
          <cell r="C378" t="str">
            <v>Shakib telecom</v>
          </cell>
          <cell r="D378" t="str">
            <v>RET-02642</v>
          </cell>
          <cell r="E378" t="str">
            <v>Shagor  Gazi</v>
          </cell>
          <cell r="F378" t="str">
            <v>Narayangonj</v>
          </cell>
        </row>
        <row r="379">
          <cell r="C379" t="str">
            <v>Badhon Telecom</v>
          </cell>
          <cell r="D379" t="str">
            <v>RET-02646</v>
          </cell>
          <cell r="E379" t="str">
            <v>Rajaur Rahman</v>
          </cell>
          <cell r="F379" t="str">
            <v>Narayangonj</v>
          </cell>
        </row>
        <row r="380">
          <cell r="C380" t="str">
            <v>Anas Telecom</v>
          </cell>
          <cell r="D380" t="str">
            <v>RET-17327</v>
          </cell>
          <cell r="E380" t="str">
            <v xml:space="preserve">Hridoy Khan </v>
          </cell>
          <cell r="F380" t="str">
            <v>Narayangonj</v>
          </cell>
        </row>
        <row r="381">
          <cell r="C381" t="str">
            <v>Bismillah Telecom</v>
          </cell>
          <cell r="D381" t="str">
            <v>RET-13697</v>
          </cell>
          <cell r="E381" t="str">
            <v>Nayem Hossain</v>
          </cell>
          <cell r="F381" t="str">
            <v>Narayangonj</v>
          </cell>
        </row>
        <row r="382">
          <cell r="C382" t="str">
            <v>Din Islam Telecom</v>
          </cell>
          <cell r="D382" t="str">
            <v>RET-02747</v>
          </cell>
          <cell r="E382" t="str">
            <v>Abdullah Abu Sayed Nabil</v>
          </cell>
          <cell r="F382" t="str">
            <v>Narayangonj</v>
          </cell>
        </row>
        <row r="383">
          <cell r="C383" t="str">
            <v>Nasa Tech</v>
          </cell>
          <cell r="D383" t="str">
            <v>RET-02596</v>
          </cell>
          <cell r="E383" t="str">
            <v>Rana Gazi</v>
          </cell>
          <cell r="F383" t="str">
            <v>Narayangonj</v>
          </cell>
        </row>
        <row r="384">
          <cell r="C384" t="str">
            <v>Jannat telecom</v>
          </cell>
          <cell r="D384" t="str">
            <v>RET-13626</v>
          </cell>
          <cell r="E384" t="str">
            <v>Md Sulayman</v>
          </cell>
          <cell r="F384" t="str">
            <v>Narayangonj</v>
          </cell>
        </row>
        <row r="385">
          <cell r="C385" t="str">
            <v>Meherin Telecom</v>
          </cell>
          <cell r="D385" t="str">
            <v>RET-02304</v>
          </cell>
          <cell r="E385" t="str">
            <v>Milon Das</v>
          </cell>
          <cell r="F385" t="str">
            <v>Keraniganj</v>
          </cell>
        </row>
        <row r="386">
          <cell r="C386" t="str">
            <v>Momotaz Telecom</v>
          </cell>
          <cell r="D386" t="str">
            <v>RET-13447</v>
          </cell>
          <cell r="E386" t="str">
            <v>Hasibul hasan</v>
          </cell>
          <cell r="F386" t="str">
            <v>Chittagong Road</v>
          </cell>
        </row>
        <row r="387">
          <cell r="C387" t="str">
            <v>Mayer Dowa Telecom</v>
          </cell>
          <cell r="D387" t="str">
            <v>RET-18274</v>
          </cell>
          <cell r="E387" t="str">
            <v>Tajul islam</v>
          </cell>
          <cell r="F387" t="str">
            <v>Narayangonj</v>
          </cell>
        </row>
        <row r="388">
          <cell r="C388" t="str">
            <v>FM Multimedia  2</v>
          </cell>
          <cell r="D388" t="str">
            <v>RET-13088</v>
          </cell>
          <cell r="E388" t="str">
            <v xml:space="preserve">Md.Masud Rana </v>
          </cell>
          <cell r="F388" t="str">
            <v>Chittagong Road</v>
          </cell>
        </row>
        <row r="389">
          <cell r="C389" t="str">
            <v>Shamim Telecom</v>
          </cell>
          <cell r="D389" t="str">
            <v>RET-18068</v>
          </cell>
          <cell r="E389" t="str">
            <v>Abu Bkar Siddik</v>
          </cell>
          <cell r="F389" t="str">
            <v>Keranigonj</v>
          </cell>
        </row>
        <row r="390">
          <cell r="C390" t="str">
            <v>Star Telecom, CTG Road</v>
          </cell>
          <cell r="D390" t="str">
            <v>RET-02794</v>
          </cell>
          <cell r="E390" t="str">
            <v>Md Mohon</v>
          </cell>
          <cell r="F390" t="str">
            <v>Chittagong Road</v>
          </cell>
        </row>
        <row r="391">
          <cell r="C391" t="str">
            <v>Khan Telecom</v>
          </cell>
          <cell r="D391" t="str">
            <v>RET-02771</v>
          </cell>
          <cell r="E391" t="str">
            <v>Boloram Chowdhury Durjoy</v>
          </cell>
          <cell r="F391" t="str">
            <v>Chittagong Road</v>
          </cell>
        </row>
        <row r="392">
          <cell r="C392" t="str">
            <v>Sikder Telecom</v>
          </cell>
          <cell r="D392" t="str">
            <v>RET-02766</v>
          </cell>
          <cell r="E392" t="str">
            <v>Mahabub Islam</v>
          </cell>
          <cell r="F392" t="str">
            <v>Chittagong Road</v>
          </cell>
        </row>
        <row r="393">
          <cell r="C393" t="str">
            <v>Sohel Telecom</v>
          </cell>
          <cell r="D393" t="str">
            <v>RET-17959</v>
          </cell>
          <cell r="E393" t="str">
            <v>Md Alamin Shamol</v>
          </cell>
          <cell r="F393" t="str">
            <v>Chittagong Road</v>
          </cell>
        </row>
        <row r="394">
          <cell r="C394" t="str">
            <v>Friends telecom</v>
          </cell>
          <cell r="D394" t="str">
            <v>RET-13121</v>
          </cell>
          <cell r="E394" t="str">
            <v xml:space="preserve">Md Easin </v>
          </cell>
          <cell r="F394" t="str">
            <v>Chittagong Road</v>
          </cell>
        </row>
        <row r="395">
          <cell r="C395" t="str">
            <v>City Mobile</v>
          </cell>
          <cell r="D395" t="str">
            <v>RET-02826</v>
          </cell>
          <cell r="E395" t="str">
            <v>Md Shakil Hossain</v>
          </cell>
          <cell r="F395" t="str">
            <v>Chittagong Road</v>
          </cell>
        </row>
        <row r="396">
          <cell r="C396" t="str">
            <v>Harun telecom</v>
          </cell>
          <cell r="D396" t="str">
            <v>RET-13107</v>
          </cell>
          <cell r="E396" t="str">
            <v>Imran Hossain</v>
          </cell>
          <cell r="F396" t="str">
            <v>Chittagong Road</v>
          </cell>
        </row>
        <row r="397">
          <cell r="C397" t="str">
            <v>Smart Tech</v>
          </cell>
          <cell r="D397" t="str">
            <v>RET-19599</v>
          </cell>
          <cell r="E397" t="str">
            <v xml:space="preserve">Md asif Raihan </v>
          </cell>
          <cell r="F397" t="str">
            <v>Narayangonj</v>
          </cell>
        </row>
        <row r="398">
          <cell r="C398" t="str">
            <v>Baishakhi Telecom</v>
          </cell>
          <cell r="D398" t="str">
            <v>RET-02524</v>
          </cell>
          <cell r="E398" t="str">
            <v>shofullah shohug</v>
          </cell>
          <cell r="F398" t="str">
            <v>Keranigonj</v>
          </cell>
        </row>
        <row r="399">
          <cell r="C399" t="str">
            <v>Mashrur Mobile And Compu</v>
          </cell>
          <cell r="D399" t="str">
            <v>RET-02426</v>
          </cell>
          <cell r="E399" t="str">
            <v>Shakil Ahmed</v>
          </cell>
          <cell r="F399" t="str">
            <v>Keraniganj</v>
          </cell>
        </row>
        <row r="400">
          <cell r="C400" t="str">
            <v>Bangladesh Telecom Plus</v>
          </cell>
          <cell r="D400" t="str">
            <v>RET-20172</v>
          </cell>
          <cell r="E400" t="str">
            <v>Bapy</v>
          </cell>
          <cell r="F400" t="str">
            <v>Kushtia</v>
          </cell>
        </row>
        <row r="401">
          <cell r="C401" t="str">
            <v>Sukria Telecom</v>
          </cell>
          <cell r="D401" t="str">
            <v>RET-08377</v>
          </cell>
          <cell r="E401" t="str">
            <v>Robiul Islam</v>
          </cell>
          <cell r="F401" t="str">
            <v>Kushtia</v>
          </cell>
        </row>
        <row r="402">
          <cell r="C402" t="str">
            <v>One Telecom, Raj</v>
          </cell>
          <cell r="D402" t="str">
            <v>RET-07685</v>
          </cell>
          <cell r="E402" t="str">
            <v>Rokon Islam</v>
          </cell>
          <cell r="F402" t="str">
            <v>Rajshahi</v>
          </cell>
        </row>
        <row r="403">
          <cell r="C403" t="str">
            <v>Shimul Telecom</v>
          </cell>
          <cell r="D403" t="str">
            <v>RET-08545</v>
          </cell>
          <cell r="E403" t="str">
            <v>Shagor Ahmed Uzzal</v>
          </cell>
          <cell r="F403" t="str">
            <v>Kushtia</v>
          </cell>
        </row>
        <row r="404">
          <cell r="C404" t="str">
            <v>Sristy Telecom</v>
          </cell>
          <cell r="D404" t="str">
            <v>RET-09956</v>
          </cell>
          <cell r="E404" t="str">
            <v>zahidul haque</v>
          </cell>
          <cell r="F404" t="str">
            <v>Bogra</v>
          </cell>
        </row>
        <row r="405">
          <cell r="C405" t="str">
            <v>Asha Asiana</v>
          </cell>
          <cell r="D405" t="str">
            <v>RET-09891</v>
          </cell>
          <cell r="E405" t="str">
            <v>Abdul Alim</v>
          </cell>
          <cell r="F405" t="str">
            <v>Bogra</v>
          </cell>
        </row>
        <row r="406">
          <cell r="C406" t="str">
            <v>Mobile 4 You</v>
          </cell>
          <cell r="D406" t="str">
            <v>RET-20645</v>
          </cell>
          <cell r="E406" t="str">
            <v>sonjoy sarker</v>
          </cell>
          <cell r="F406" t="str">
            <v>Bogra</v>
          </cell>
        </row>
        <row r="407">
          <cell r="C407" t="str">
            <v>Ayna Mobile</v>
          </cell>
          <cell r="D407" t="str">
            <v>RET-09924</v>
          </cell>
          <cell r="E407" t="str">
            <v xml:space="preserve">Anower Hossain </v>
          </cell>
          <cell r="F407" t="str">
            <v>Bogra</v>
          </cell>
        </row>
        <row r="408">
          <cell r="C408" t="str">
            <v>Liton Enterprise</v>
          </cell>
          <cell r="D408" t="str">
            <v>RET-09895</v>
          </cell>
          <cell r="E408" t="str">
            <v>Arif Rahman Milon</v>
          </cell>
          <cell r="F408" t="str">
            <v>Bogra</v>
          </cell>
        </row>
        <row r="409">
          <cell r="C409" t="str">
            <v>Hello Rajshahi-2</v>
          </cell>
          <cell r="D409" t="str">
            <v>RET-19040</v>
          </cell>
          <cell r="E409" t="str">
            <v>Md.Shahidul Islam</v>
          </cell>
          <cell r="F409" t="str">
            <v>Rajshahi</v>
          </cell>
        </row>
        <row r="410">
          <cell r="C410" t="str">
            <v>Mobile Hut-2</v>
          </cell>
          <cell r="D410" t="str">
            <v>RET-08597</v>
          </cell>
          <cell r="E410" t="str">
            <v xml:space="preserve">Md siqqique </v>
          </cell>
          <cell r="F410" t="str">
            <v>Rajshahi</v>
          </cell>
        </row>
        <row r="411">
          <cell r="C411" t="str">
            <v>Mobile Point</v>
          </cell>
          <cell r="D411" t="str">
            <v>RET-14710</v>
          </cell>
          <cell r="E411" t="str">
            <v>Foysal Hosen</v>
          </cell>
          <cell r="F411" t="str">
            <v>Sirajgonj</v>
          </cell>
        </row>
        <row r="412">
          <cell r="C412" t="str">
            <v>Young Fashion</v>
          </cell>
          <cell r="D412" t="str">
            <v>RET-08841</v>
          </cell>
          <cell r="E412" t="str">
            <v>Md.Asaduzzaman</v>
          </cell>
          <cell r="F412" t="str">
            <v>Rajshahi</v>
          </cell>
        </row>
        <row r="413">
          <cell r="C413" t="str">
            <v>S.S Telecom-2</v>
          </cell>
          <cell r="D413" t="str">
            <v>RET-08678</v>
          </cell>
          <cell r="E413" t="str">
            <v>Abdullah Al mamun</v>
          </cell>
          <cell r="F413" t="str">
            <v>Rajshahi</v>
          </cell>
        </row>
        <row r="414">
          <cell r="C414" t="str">
            <v>B.T.L</v>
          </cell>
          <cell r="D414" t="str">
            <v>RET-08848</v>
          </cell>
          <cell r="E414" t="str">
            <v>Rasel Babu</v>
          </cell>
          <cell r="F414" t="str">
            <v>Rajshahi</v>
          </cell>
        </row>
        <row r="415">
          <cell r="C415" t="str">
            <v xml:space="preserve">Mobile World </v>
          </cell>
          <cell r="D415" t="str">
            <v>RET-21937</v>
          </cell>
          <cell r="E415" t="str">
            <v>Rashidul Islam</v>
          </cell>
          <cell r="F415" t="str">
            <v>Rajshahi</v>
          </cell>
        </row>
        <row r="416">
          <cell r="C416" t="str">
            <v>Symphony Smart Gallery</v>
          </cell>
          <cell r="D416" t="str">
            <v>RET-13586</v>
          </cell>
          <cell r="E416" t="str">
            <v>Jubayer Alam</v>
          </cell>
          <cell r="F416" t="str">
            <v>Bogra</v>
          </cell>
        </row>
        <row r="417">
          <cell r="C417" t="str">
            <v>Anika Telecom-2</v>
          </cell>
          <cell r="D417" t="str">
            <v>RET-09150</v>
          </cell>
          <cell r="E417" t="str">
            <v>Md.maruf Shain</v>
          </cell>
          <cell r="F417" t="str">
            <v>Dinajpur</v>
          </cell>
        </row>
        <row r="418">
          <cell r="C418" t="str">
            <v>Tanbin Mobile</v>
          </cell>
          <cell r="D418" t="str">
            <v>RET-20990</v>
          </cell>
          <cell r="E418" t="str">
            <v>Md Rifat Rahman</v>
          </cell>
          <cell r="F418" t="str">
            <v>Rangpur</v>
          </cell>
        </row>
        <row r="419">
          <cell r="C419" t="str">
            <v>Sky Tel</v>
          </cell>
          <cell r="D419" t="str">
            <v>RET-18154</v>
          </cell>
          <cell r="E419" t="str">
            <v>Md.Murtuza Mahmud</v>
          </cell>
          <cell r="F419" t="str">
            <v>Dinajpur</v>
          </cell>
        </row>
        <row r="420">
          <cell r="C420" t="str">
            <v>Cell Phone</v>
          </cell>
          <cell r="D420" t="str">
            <v>RET-08928</v>
          </cell>
          <cell r="E420" t="str">
            <v>Badrul Munir</v>
          </cell>
          <cell r="F420" t="str">
            <v>Rangpur</v>
          </cell>
        </row>
        <row r="421">
          <cell r="C421" t="str">
            <v>Arafa Telecom</v>
          </cell>
          <cell r="D421" t="str">
            <v>RET-09968</v>
          </cell>
          <cell r="E421" t="str">
            <v>Sumon Islam</v>
          </cell>
          <cell r="F421" t="str">
            <v>Gaibandha</v>
          </cell>
        </row>
        <row r="422">
          <cell r="C422" t="str">
            <v>SB Telecom</v>
          </cell>
          <cell r="D422" t="str">
            <v>RET-08926</v>
          </cell>
          <cell r="E422" t="str">
            <v>Ahad Hossain Jibon</v>
          </cell>
          <cell r="F422" t="str">
            <v>Rangpur</v>
          </cell>
        </row>
        <row r="423">
          <cell r="C423" t="str">
            <v>Tithi Mobile Sales &amp; Service Centre</v>
          </cell>
          <cell r="D423" t="str">
            <v>RET-09386</v>
          </cell>
          <cell r="E423" t="str">
            <v>Shamsul Haque Shamim</v>
          </cell>
          <cell r="F423" t="str">
            <v>Thakurgaon</v>
          </cell>
        </row>
        <row r="424">
          <cell r="C424" t="str">
            <v>Maria Mobile Palace</v>
          </cell>
          <cell r="D424" t="str">
            <v>RET-10004</v>
          </cell>
          <cell r="E424" t="str">
            <v>Raihan Sarkar</v>
          </cell>
          <cell r="F424" t="str">
            <v>Gaibandha</v>
          </cell>
        </row>
        <row r="425">
          <cell r="C425" t="str">
            <v>KS Telecom</v>
          </cell>
          <cell r="D425" t="str">
            <v>RET-08929</v>
          </cell>
          <cell r="E425" t="str">
            <v>Redwan Haque Sumon</v>
          </cell>
          <cell r="F425" t="str">
            <v>Rangpur</v>
          </cell>
        </row>
        <row r="426">
          <cell r="C426" t="str">
            <v>Puspo Telecom</v>
          </cell>
          <cell r="D426" t="str">
            <v>RET-09679</v>
          </cell>
          <cell r="E426" t="str">
            <v>Ataur Rahman</v>
          </cell>
          <cell r="F426" t="str">
            <v>Rangpur</v>
          </cell>
        </row>
        <row r="427">
          <cell r="C427" t="str">
            <v>Feroz Telecom</v>
          </cell>
          <cell r="D427" t="str">
            <v>RET-09068</v>
          </cell>
          <cell r="E427" t="str">
            <v>Alamgir hossain</v>
          </cell>
          <cell r="F427" t="str">
            <v>Lalmonirhat</v>
          </cell>
        </row>
        <row r="428">
          <cell r="C428" t="str">
            <v>Desha Telecom-1</v>
          </cell>
          <cell r="D428" t="str">
            <v>RET-08970</v>
          </cell>
          <cell r="E428" t="str">
            <v>Sumon Hossen</v>
          </cell>
          <cell r="F428" t="str">
            <v>Gaibandha</v>
          </cell>
        </row>
        <row r="429">
          <cell r="C429" t="str">
            <v>Silk Silver</v>
          </cell>
          <cell r="D429" t="str">
            <v>RET-09146</v>
          </cell>
          <cell r="E429" t="str">
            <v>Rifat Hossain</v>
          </cell>
          <cell r="F429" t="str">
            <v>Dinajpur</v>
          </cell>
        </row>
        <row r="430">
          <cell r="C430" t="str">
            <v>Mahafuza Telecom</v>
          </cell>
          <cell r="D430" t="str">
            <v>RET-10001</v>
          </cell>
          <cell r="E430" t="str">
            <v>Tanvir Ahmed</v>
          </cell>
          <cell r="F430" t="str">
            <v>Gaibandha</v>
          </cell>
        </row>
        <row r="431">
          <cell r="C431" t="str">
            <v>Himel Media/Tahera Telecom</v>
          </cell>
          <cell r="D431" t="str">
            <v>RET-09363</v>
          </cell>
          <cell r="E431" t="str">
            <v>Md.Rifat Zaman</v>
          </cell>
          <cell r="F431" t="str">
            <v>Dinajpur</v>
          </cell>
        </row>
        <row r="432">
          <cell r="C432" t="str">
            <v>Bismilla Mobile Garden</v>
          </cell>
          <cell r="D432" t="str">
            <v>RET-04389</v>
          </cell>
          <cell r="E432" t="str">
            <v>Md.Habibullah Misbah</v>
          </cell>
          <cell r="F432" t="str">
            <v>chittagong</v>
          </cell>
        </row>
        <row r="433">
          <cell r="C433" t="str">
            <v>Ornab Telecom</v>
          </cell>
          <cell r="D433" t="str">
            <v>RET-04554</v>
          </cell>
          <cell r="E433" t="str">
            <v>shaif islam</v>
          </cell>
          <cell r="F433" t="str">
            <v>chittagong</v>
          </cell>
        </row>
        <row r="434">
          <cell r="C434" t="str">
            <v>3G mobile</v>
          </cell>
          <cell r="D434" t="str">
            <v>RET-04562</v>
          </cell>
          <cell r="E434" t="str">
            <v>Md.Raihan islam</v>
          </cell>
          <cell r="F434" t="str">
            <v>Chittagong</v>
          </cell>
        </row>
        <row r="435">
          <cell r="C435" t="str">
            <v>Chittagong Electronics-2</v>
          </cell>
          <cell r="D435" t="str">
            <v>RET-04266</v>
          </cell>
          <cell r="E435" t="str">
            <v>Md.Iqbal</v>
          </cell>
          <cell r="F435" t="str">
            <v>chittagong</v>
          </cell>
        </row>
        <row r="436">
          <cell r="C436" t="str">
            <v xml:space="preserve">Raj Electronics </v>
          </cell>
          <cell r="D436" t="str">
            <v>RET-14630</v>
          </cell>
          <cell r="E436" t="str">
            <v>Amran</v>
          </cell>
          <cell r="F436" t="str">
            <v>chittagong</v>
          </cell>
        </row>
        <row r="437">
          <cell r="C437" t="str">
            <v>Mobie World</v>
          </cell>
          <cell r="D437" t="str">
            <v>RET-04445</v>
          </cell>
          <cell r="E437" t="str">
            <v xml:space="preserve">Md.Ahsanul Kibria </v>
          </cell>
          <cell r="F437" t="str">
            <v>chittagong</v>
          </cell>
        </row>
        <row r="438">
          <cell r="C438" t="str">
            <v>One Line</v>
          </cell>
          <cell r="D438" t="str">
            <v>RET-04566</v>
          </cell>
          <cell r="E438" t="str">
            <v>Aftab</v>
          </cell>
          <cell r="F438" t="str">
            <v>chittagong</v>
          </cell>
        </row>
        <row r="439">
          <cell r="C439" t="str">
            <v>New Star</v>
          </cell>
          <cell r="D439" t="str">
            <v>RET-04300</v>
          </cell>
          <cell r="E439" t="str">
            <v>Asifur Rahman</v>
          </cell>
          <cell r="F439" t="str">
            <v>chittagong</v>
          </cell>
        </row>
        <row r="440">
          <cell r="C440" t="str">
            <v>Chowdhury Telecom/Alifa Telecom</v>
          </cell>
          <cell r="D440" t="str">
            <v>RET-19395</v>
          </cell>
          <cell r="E440" t="str">
            <v>Nafis</v>
          </cell>
          <cell r="F440" t="str">
            <v>chittagong</v>
          </cell>
        </row>
        <row r="441">
          <cell r="C441" t="str">
            <v>M.S.mobile</v>
          </cell>
          <cell r="D441" t="str">
            <v>RET-04280</v>
          </cell>
          <cell r="E441" t="str">
            <v>MD.Mijanur Rahman</v>
          </cell>
          <cell r="F441" t="str">
            <v>chittagong</v>
          </cell>
        </row>
        <row r="442">
          <cell r="C442" t="str">
            <v>Boishakhi Telecom</v>
          </cell>
          <cell r="D442" t="str">
            <v>RET-04439</v>
          </cell>
          <cell r="E442" t="str">
            <v xml:space="preserve">Sobuj </v>
          </cell>
          <cell r="F442" t="str">
            <v>Chittagong North</v>
          </cell>
        </row>
        <row r="443">
          <cell r="C443" t="str">
            <v>Mobile Mark</v>
          </cell>
          <cell r="D443" t="str">
            <v>RET-04372</v>
          </cell>
          <cell r="E443" t="str">
            <v>wahid</v>
          </cell>
          <cell r="F443" t="str">
            <v>CTG Metro South</v>
          </cell>
        </row>
        <row r="444">
          <cell r="C444" t="str">
            <v>Mobile Site</v>
          </cell>
          <cell r="D444" t="str">
            <v>RET-04535</v>
          </cell>
          <cell r="E444" t="str">
            <v>Sazzad hossain</v>
          </cell>
          <cell r="F444" t="str">
            <v>CTG Metro South</v>
          </cell>
        </row>
        <row r="445">
          <cell r="C445" t="str">
            <v>One Telecom</v>
          </cell>
          <cell r="D445" t="str">
            <v>RET-04563</v>
          </cell>
          <cell r="E445" t="str">
            <v>Emrul hassan</v>
          </cell>
          <cell r="F445" t="str">
            <v>CTG Metro South</v>
          </cell>
        </row>
        <row r="446">
          <cell r="C446" t="str">
            <v xml:space="preserve">M. H. Mobile </v>
          </cell>
          <cell r="D446" t="str">
            <v>RET-04292</v>
          </cell>
          <cell r="E446" t="str">
            <v>Asib patwory</v>
          </cell>
          <cell r="F446" t="str">
            <v>Chittagong-North</v>
          </cell>
        </row>
        <row r="447">
          <cell r="C447" t="str">
            <v>Black/Mony &amp; Watch</v>
          </cell>
          <cell r="D447" t="str">
            <v>RET-04661</v>
          </cell>
          <cell r="E447" t="str">
            <v>Kawser Ahmed rabu</v>
          </cell>
          <cell r="F447" t="str">
            <v>Chittagong-North</v>
          </cell>
        </row>
        <row r="448">
          <cell r="C448" t="str">
            <v>Nissan Electronics</v>
          </cell>
          <cell r="D448" t="str">
            <v>RET-04753</v>
          </cell>
          <cell r="E448" t="str">
            <v>MD.Al Amin</v>
          </cell>
          <cell r="F448" t="str">
            <v>Rangamati</v>
          </cell>
        </row>
        <row r="449">
          <cell r="C449" t="str">
            <v>Moumita Network</v>
          </cell>
          <cell r="D449" t="str">
            <v>RET-19389</v>
          </cell>
          <cell r="E449" t="str">
            <v>Reza</v>
          </cell>
          <cell r="F449" t="str">
            <v>CTG Metro North</v>
          </cell>
        </row>
        <row r="450">
          <cell r="C450" t="str">
            <v>Madina Enterprise</v>
          </cell>
          <cell r="D450" t="str">
            <v>RET-21563</v>
          </cell>
          <cell r="E450" t="str">
            <v>Asifur Rahman</v>
          </cell>
          <cell r="F450" t="str">
            <v>Chittagong-South</v>
          </cell>
        </row>
        <row r="451">
          <cell r="C451" t="str">
            <v>Smile Telecom</v>
          </cell>
          <cell r="D451" t="str">
            <v>RET-19391</v>
          </cell>
          <cell r="E451" t="str">
            <v>Shah newaz</v>
          </cell>
          <cell r="F451" t="str">
            <v>CTG Metro North</v>
          </cell>
        </row>
        <row r="452">
          <cell r="C452" t="str">
            <v xml:space="preserve">One Fashion </v>
          </cell>
          <cell r="D452" t="str">
            <v>RET-04671</v>
          </cell>
          <cell r="E452" t="str">
            <v>Md.Rifat</v>
          </cell>
          <cell r="F452" t="str">
            <v>Rangamati</v>
          </cell>
        </row>
        <row r="453">
          <cell r="C453" t="str">
            <v>Mobile Café</v>
          </cell>
          <cell r="D453" t="str">
            <v>RET-16313</v>
          </cell>
          <cell r="E453" t="str">
            <v>Mer anaiat Anam</v>
          </cell>
          <cell r="F453" t="str">
            <v>Cox's Bazar</v>
          </cell>
        </row>
        <row r="454">
          <cell r="C454" t="str">
            <v>VIP Telecom</v>
          </cell>
          <cell r="D454" t="str">
            <v>RET-05047</v>
          </cell>
          <cell r="E454" t="str">
            <v>Moorad tuha</v>
          </cell>
          <cell r="F454" t="str">
            <v>Cox's Bazar</v>
          </cell>
        </row>
        <row r="455">
          <cell r="C455" t="str">
            <v>Mobile Gallery</v>
          </cell>
          <cell r="D455" t="str">
            <v>RET-05074</v>
          </cell>
          <cell r="E455" t="str">
            <v>Osman Gani</v>
          </cell>
          <cell r="F455" t="str">
            <v>Cox's Bazar</v>
          </cell>
        </row>
        <row r="456">
          <cell r="C456" t="str">
            <v>JR Fashion</v>
          </cell>
          <cell r="D456" t="str">
            <v>RET-05016</v>
          </cell>
          <cell r="E456" t="str">
            <v>Ali Zinnah</v>
          </cell>
          <cell r="F456" t="str">
            <v>Cox's Bazar</v>
          </cell>
        </row>
        <row r="457">
          <cell r="C457" t="str">
            <v>Morshed Telecom</v>
          </cell>
          <cell r="D457" t="str">
            <v>RET-05024</v>
          </cell>
          <cell r="E457" t="str">
            <v>Md Tawhidul Islam Tusher</v>
          </cell>
          <cell r="F457" t="str">
            <v>Cox's Bazar</v>
          </cell>
        </row>
        <row r="458">
          <cell r="C458" t="str">
            <v>Cell Pro (BO) Star Tel</v>
          </cell>
          <cell r="D458" t="str">
            <v>RET-14298</v>
          </cell>
          <cell r="E458" t="str">
            <v xml:space="preserve">Md Rashed Ahmed </v>
          </cell>
          <cell r="F458" t="str">
            <v>Sylhet</v>
          </cell>
        </row>
        <row r="459">
          <cell r="C459" t="str">
            <v>Zeshan Telecom</v>
          </cell>
          <cell r="D459" t="str">
            <v>RET-04075</v>
          </cell>
          <cell r="E459" t="str">
            <v>Mokbul Hossain</v>
          </cell>
          <cell r="F459" t="str">
            <v>Hobiganj</v>
          </cell>
        </row>
        <row r="460">
          <cell r="C460" t="str">
            <v>New Era</v>
          </cell>
          <cell r="D460" t="str">
            <v>RET-19281</v>
          </cell>
          <cell r="E460" t="str">
            <v>Md Minhaj Khan</v>
          </cell>
          <cell r="F460" t="str">
            <v>Hobiganj</v>
          </cell>
        </row>
        <row r="461">
          <cell r="C461" t="str">
            <v>BD Link</v>
          </cell>
          <cell r="D461" t="str">
            <v>RET-14535</v>
          </cell>
          <cell r="E461" t="str">
            <v xml:space="preserve">Rezwan Ahmed </v>
          </cell>
          <cell r="F461" t="str">
            <v>Sylhet</v>
          </cell>
        </row>
        <row r="462">
          <cell r="C462" t="str">
            <v>Haider Telecom</v>
          </cell>
          <cell r="D462" t="str">
            <v>RET-03805</v>
          </cell>
          <cell r="E462" t="str">
            <v>Fahad Abdussamad</v>
          </cell>
          <cell r="F462" t="str">
            <v>Sylhet</v>
          </cell>
        </row>
        <row r="463">
          <cell r="C463" t="str">
            <v>Siam  &amp;SalmanTelecom</v>
          </cell>
          <cell r="D463" t="str">
            <v>RET-04039</v>
          </cell>
          <cell r="E463" t="str">
            <v xml:space="preserve">Forid Ahmed </v>
          </cell>
          <cell r="F463" t="str">
            <v>Sylhet</v>
          </cell>
        </row>
        <row r="464">
          <cell r="C464" t="str">
            <v>New Aysha Telecom</v>
          </cell>
          <cell r="D464" t="str">
            <v>RET-03836</v>
          </cell>
          <cell r="E464" t="str">
            <v>Sheikh Md Rabbi</v>
          </cell>
          <cell r="F464" t="str">
            <v>Sylhet</v>
          </cell>
        </row>
        <row r="465">
          <cell r="C465" t="str">
            <v>Link World</v>
          </cell>
          <cell r="D465" t="str">
            <v>RET-14293</v>
          </cell>
          <cell r="E465" t="str">
            <v>Alhajj Uddin Sharif</v>
          </cell>
          <cell r="F465" t="str">
            <v>Sylhet</v>
          </cell>
        </row>
        <row r="466">
          <cell r="C466" t="str">
            <v>R J Telecom</v>
          </cell>
          <cell r="D466" t="str">
            <v>RET-14230</v>
          </cell>
          <cell r="E466" t="str">
            <v>Sayham Ahmed</v>
          </cell>
          <cell r="F466" t="str">
            <v>Sylhet</v>
          </cell>
        </row>
        <row r="467">
          <cell r="C467" t="str">
            <v>Rusel Telecom</v>
          </cell>
          <cell r="D467" t="str">
            <v>RET-04054</v>
          </cell>
          <cell r="E467" t="str">
            <v>Niaz Murshed</v>
          </cell>
          <cell r="F467" t="str">
            <v>Sylhet</v>
          </cell>
        </row>
        <row r="468">
          <cell r="C468" t="str">
            <v xml:space="preserve">MN Techno </v>
          </cell>
          <cell r="D468" t="str">
            <v>RET-14167</v>
          </cell>
          <cell r="E468" t="str">
            <v xml:space="preserve">Pabel Ahmed </v>
          </cell>
          <cell r="F468" t="str">
            <v>Sylhet</v>
          </cell>
        </row>
        <row r="469">
          <cell r="C469" t="str">
            <v>Mobile Mela</v>
          </cell>
          <cell r="D469" t="str">
            <v>RET-04245</v>
          </cell>
          <cell r="E469" t="str">
            <v>Md.Faisal</v>
          </cell>
          <cell r="F469" t="str">
            <v>Hobiganj</v>
          </cell>
        </row>
        <row r="470">
          <cell r="C470" t="str">
            <v>Mobile City</v>
          </cell>
          <cell r="D470" t="str">
            <v>RET-03886</v>
          </cell>
          <cell r="E470" t="str">
            <v>Md.Shojib</v>
          </cell>
          <cell r="F470" t="str">
            <v>Sylhet</v>
          </cell>
        </row>
        <row r="471">
          <cell r="C471" t="str">
            <v>Saiful Mobile/New Farhan Telecom</v>
          </cell>
          <cell r="D471" t="str">
            <v>RET-03797</v>
          </cell>
          <cell r="E471" t="str">
            <v>Ashraful Islam Sabbir</v>
          </cell>
          <cell r="F471" t="str">
            <v>Sylhet</v>
          </cell>
        </row>
        <row r="472">
          <cell r="C472" t="str">
            <v>Dhain Mobile/Cell zone</v>
          </cell>
          <cell r="D472" t="str">
            <v>RET-03827</v>
          </cell>
          <cell r="E472" t="str">
            <v>Md Ziaul korim</v>
          </cell>
          <cell r="F472" t="str">
            <v>Sylhet</v>
          </cell>
        </row>
        <row r="473">
          <cell r="C473" t="str">
            <v>Murad Enterprise</v>
          </cell>
          <cell r="D473" t="str">
            <v>RET-05395</v>
          </cell>
          <cell r="E473" t="str">
            <v xml:space="preserve">Saiful Islam </v>
          </cell>
          <cell r="F473" t="str">
            <v>Comilla</v>
          </cell>
        </row>
        <row r="474">
          <cell r="C474" t="str">
            <v>Salim Telecom &amp; Electronics</v>
          </cell>
          <cell r="D474" t="str">
            <v>RET-06216</v>
          </cell>
          <cell r="E474" t="str">
            <v>Akram Hossain</v>
          </cell>
          <cell r="F474" t="str">
            <v>Noakhali</v>
          </cell>
        </row>
        <row r="475">
          <cell r="C475" t="str">
            <v>Dhaka Telecom</v>
          </cell>
          <cell r="D475" t="str">
            <v>RET-06188</v>
          </cell>
          <cell r="E475" t="str">
            <v>Zahid udiin</v>
          </cell>
          <cell r="F475" t="str">
            <v>Noakhali</v>
          </cell>
        </row>
        <row r="476">
          <cell r="C476" t="str">
            <v>Mahi Enterprise</v>
          </cell>
          <cell r="D476" t="str">
            <v>RET-05192</v>
          </cell>
          <cell r="E476" t="str">
            <v>Shihabul Islam</v>
          </cell>
          <cell r="F476" t="str">
            <v>Comilla</v>
          </cell>
        </row>
        <row r="477">
          <cell r="C477" t="str">
            <v>Rachana Telecom</v>
          </cell>
          <cell r="D477" t="str">
            <v>RET-06277</v>
          </cell>
          <cell r="E477" t="str">
            <v xml:space="preserve">Md Dipu Ahmed </v>
          </cell>
          <cell r="F477" t="str">
            <v>Noakhali</v>
          </cell>
        </row>
        <row r="478">
          <cell r="C478" t="str">
            <v>Onik Telecom</v>
          </cell>
          <cell r="D478" t="str">
            <v>RET-06192</v>
          </cell>
          <cell r="E478" t="str">
            <v>Abdul Munaf</v>
          </cell>
          <cell r="F478" t="str">
            <v>Noakhali</v>
          </cell>
        </row>
        <row r="479">
          <cell r="C479" t="str">
            <v>Reyad Telecom</v>
          </cell>
          <cell r="D479" t="str">
            <v>RET-05465</v>
          </cell>
          <cell r="E479" t="str">
            <v xml:space="preserve">Akramul Haque </v>
          </cell>
          <cell r="F479" t="str">
            <v>Comilla</v>
          </cell>
        </row>
        <row r="480">
          <cell r="C480" t="str">
            <v>Satata Mobile</v>
          </cell>
          <cell r="D480" t="str">
            <v>RET-05599</v>
          </cell>
          <cell r="E480" t="str">
            <v>Shakilel Miah</v>
          </cell>
          <cell r="F480" t="str">
            <v>Brahmanbaria</v>
          </cell>
        </row>
        <row r="481">
          <cell r="C481" t="str">
            <v>Mars Two</v>
          </cell>
          <cell r="D481" t="str">
            <v>RET-05249</v>
          </cell>
          <cell r="E481" t="str">
            <v>SOHEL RANA</v>
          </cell>
          <cell r="F481" t="str">
            <v>Comilla</v>
          </cell>
        </row>
        <row r="482">
          <cell r="C482" t="str">
            <v>Nokia Mobile Point</v>
          </cell>
          <cell r="D482" t="str">
            <v>RET-05279</v>
          </cell>
          <cell r="E482" t="str">
            <v>Rakib Ahmed</v>
          </cell>
          <cell r="F482" t="str">
            <v>Comilla</v>
          </cell>
        </row>
        <row r="483">
          <cell r="C483" t="str">
            <v>Vai-Vai Telecom</v>
          </cell>
          <cell r="D483" t="str">
            <v>RET-06204</v>
          </cell>
          <cell r="E483" t="str">
            <v>Forkanuddin</v>
          </cell>
          <cell r="F483" t="str">
            <v>Noakhali</v>
          </cell>
        </row>
        <row r="484">
          <cell r="C484" t="str">
            <v>Mobile Campus</v>
          </cell>
          <cell r="D484" t="str">
            <v>RET-18776</v>
          </cell>
          <cell r="E484" t="str">
            <v>Arife rana</v>
          </cell>
          <cell r="F484" t="str">
            <v>Comilla</v>
          </cell>
        </row>
        <row r="485">
          <cell r="C485" t="str">
            <v>Arnob Telecom</v>
          </cell>
          <cell r="D485" t="str">
            <v>RET-21185</v>
          </cell>
          <cell r="E485" t="str">
            <v>Akramul Haque rubel</v>
          </cell>
          <cell r="F485" t="str">
            <v>Feni</v>
          </cell>
        </row>
        <row r="486">
          <cell r="C486" t="str">
            <v>Farzana/Abir Telecom</v>
          </cell>
          <cell r="D486" t="str">
            <v>RET-03036</v>
          </cell>
          <cell r="E486" t="str">
            <v>SYED ALI AKBOR SHAHAN</v>
          </cell>
          <cell r="F486" t="str">
            <v>Narsingdhi</v>
          </cell>
        </row>
        <row r="487">
          <cell r="C487" t="str">
            <v>New samiya Telecom2</v>
          </cell>
          <cell r="D487" t="str">
            <v>RET-03012</v>
          </cell>
          <cell r="E487" t="str">
            <v>Anis Mia</v>
          </cell>
          <cell r="F487" t="str">
            <v>Narsingdhi</v>
          </cell>
        </row>
        <row r="488">
          <cell r="C488" t="str">
            <v>3G Mobile Park/Us telecom</v>
          </cell>
          <cell r="D488" t="str">
            <v>RET-03044</v>
          </cell>
          <cell r="E488" t="str">
            <v>Hridoy Ahmed</v>
          </cell>
          <cell r="F488" t="str">
            <v>Comilla</v>
          </cell>
        </row>
        <row r="489">
          <cell r="C489" t="str">
            <v>Mobile Zone</v>
          </cell>
          <cell r="D489" t="str">
            <v>RET-03065</v>
          </cell>
          <cell r="E489" t="str">
            <v>Md Fazli Rabbi</v>
          </cell>
          <cell r="F489" t="str">
            <v>Narsingdhi</v>
          </cell>
        </row>
        <row r="490">
          <cell r="C490" t="str">
            <v>Nadim Electronics</v>
          </cell>
          <cell r="D490" t="str">
            <v>RET-00036</v>
          </cell>
          <cell r="E490" t="str">
            <v>Md.Mirazul Islam</v>
          </cell>
          <cell r="F490" t="str">
            <v>Dhaka Center</v>
          </cell>
        </row>
        <row r="491">
          <cell r="C491" t="str">
            <v>H.R Telecom </v>
          </cell>
          <cell r="D491" t="str">
            <v>RET-00043</v>
          </cell>
          <cell r="E491" t="str">
            <v xml:space="preserve">Md Amir </v>
          </cell>
          <cell r="F491" t="str">
            <v>Dhaka Center</v>
          </cell>
        </row>
        <row r="492">
          <cell r="C492" t="str">
            <v>Mobile Network</v>
          </cell>
          <cell r="D492" t="str">
            <v>RET-00068</v>
          </cell>
          <cell r="E492" t="str">
            <v>Md.Easin Ahamed</v>
          </cell>
          <cell r="F492" t="str">
            <v>Dhaka Center</v>
          </cell>
        </row>
        <row r="493">
          <cell r="C493" t="str">
            <v>Shahil Telecom</v>
          </cell>
          <cell r="D493" t="str">
            <v>RET-00187</v>
          </cell>
          <cell r="E493" t="str">
            <v>Shamol Kumar</v>
          </cell>
          <cell r="F493" t="str">
            <v>Dhaka Center</v>
          </cell>
        </row>
        <row r="494">
          <cell r="C494" t="str">
            <v>J.M Electronics</v>
          </cell>
          <cell r="D494" t="str">
            <v>RET-00464</v>
          </cell>
          <cell r="E494" t="str">
            <v>Siful Islam Tarek</v>
          </cell>
          <cell r="F494" t="str">
            <v>Dhaka Center</v>
          </cell>
        </row>
        <row r="495">
          <cell r="C495" t="str">
            <v>Tech City-2</v>
          </cell>
          <cell r="D495" t="str">
            <v>RET-00466</v>
          </cell>
          <cell r="E495" t="str">
            <v>Md.Zahid</v>
          </cell>
          <cell r="F495" t="str">
            <v>Dhaka Center</v>
          </cell>
        </row>
        <row r="496">
          <cell r="C496" t="str">
            <v>Grameen Center</v>
          </cell>
          <cell r="D496" t="str">
            <v>RET-14738</v>
          </cell>
          <cell r="E496" t="str">
            <v>Sajib Shah</v>
          </cell>
          <cell r="F496" t="str">
            <v>Dhaka Center</v>
          </cell>
        </row>
        <row r="497">
          <cell r="C497" t="str">
            <v>Tania Telecom</v>
          </cell>
          <cell r="D497" t="str">
            <v>RET-01994</v>
          </cell>
          <cell r="E497" t="str">
            <v>Zahidul Islam</v>
          </cell>
          <cell r="F497" t="str">
            <v>Dhaka Center</v>
          </cell>
        </row>
        <row r="498">
          <cell r="C498" t="str">
            <v>Mobile Network-2</v>
          </cell>
          <cell r="D498" t="str">
            <v>RET-18067</v>
          </cell>
          <cell r="E498" t="str">
            <v>Fuhad Hossain Ovi</v>
          </cell>
          <cell r="F498" t="str">
            <v>Dhaka Center</v>
          </cell>
        </row>
        <row r="499">
          <cell r="C499" t="str">
            <v>Haven Electronics</v>
          </cell>
          <cell r="D499" t="str">
            <v>RET-13444</v>
          </cell>
          <cell r="E499" t="str">
            <v>Md.Faisal Ali</v>
          </cell>
          <cell r="F499" t="str">
            <v>Dhaka Center</v>
          </cell>
        </row>
        <row r="500">
          <cell r="C500" t="str">
            <v>Ohid/Phone Land</v>
          </cell>
          <cell r="D500" t="str">
            <v>RET-00182</v>
          </cell>
          <cell r="E500" t="str">
            <v>Md.Abdul Aoul</v>
          </cell>
          <cell r="F500" t="str">
            <v>Dhaka Center</v>
          </cell>
        </row>
        <row r="501">
          <cell r="C501" t="str">
            <v>Melody Music-1</v>
          </cell>
          <cell r="D501" t="str">
            <v>RET-19936</v>
          </cell>
          <cell r="E501" t="str">
            <v>Minar Hossain</v>
          </cell>
          <cell r="F501" t="str">
            <v>Dhaka Center</v>
          </cell>
        </row>
        <row r="502">
          <cell r="C502" t="str">
            <v>Melody Music-2/Mahi Mobile A to Z</v>
          </cell>
          <cell r="D502" t="str">
            <v>RET-19937</v>
          </cell>
          <cell r="E502" t="str">
            <v>Rakibul islam</v>
          </cell>
          <cell r="F502" t="str">
            <v>B.City</v>
          </cell>
        </row>
        <row r="503">
          <cell r="C503" t="str">
            <v>Al-Insaf tele/Mobile Polli</v>
          </cell>
          <cell r="D503" t="str">
            <v>RET-14564</v>
          </cell>
          <cell r="E503" t="str">
            <v>Md Aslam</v>
          </cell>
          <cell r="F503" t="str">
            <v>Dhaka Center</v>
          </cell>
        </row>
        <row r="504">
          <cell r="C504" t="str">
            <v>D.S Ele.1</v>
          </cell>
          <cell r="D504" t="str">
            <v>RET-00088</v>
          </cell>
          <cell r="E504" t="str">
            <v>Arif Hossain</v>
          </cell>
          <cell r="F504" t="str">
            <v>Dhaka Center</v>
          </cell>
        </row>
        <row r="505">
          <cell r="C505" t="str">
            <v>Hossain Electronics</v>
          </cell>
          <cell r="D505" t="str">
            <v>RET-00457</v>
          </cell>
          <cell r="E505" t="str">
            <v>Sakib</v>
          </cell>
          <cell r="F505" t="str">
            <v>Dhaka Center</v>
          </cell>
        </row>
        <row r="506">
          <cell r="C506" t="str">
            <v>Star Telecom</v>
          </cell>
          <cell r="D506" t="str">
            <v>RET-00417</v>
          </cell>
          <cell r="E506" t="str">
            <v>Md Robin</v>
          </cell>
          <cell r="F506" t="str">
            <v>Shantinagar</v>
          </cell>
        </row>
        <row r="507">
          <cell r="C507" t="str">
            <v>S.S Telecom</v>
          </cell>
          <cell r="D507" t="str">
            <v>RET-01991</v>
          </cell>
          <cell r="E507" t="str">
            <v>Md.sabbir</v>
          </cell>
          <cell r="F507" t="str">
            <v>Paltan</v>
          </cell>
        </row>
        <row r="508">
          <cell r="C508" t="str">
            <v>Khan Electronic</v>
          </cell>
          <cell r="D508" t="str">
            <v>RET-14953</v>
          </cell>
          <cell r="E508" t="str">
            <v>Sajjad Hossain Komol</v>
          </cell>
          <cell r="F508" t="str">
            <v>Dhaka Center</v>
          </cell>
        </row>
        <row r="509">
          <cell r="C509" t="str">
            <v>Ananna Telecom</v>
          </cell>
          <cell r="D509" t="str">
            <v>RET-00463</v>
          </cell>
          <cell r="E509" t="str">
            <v>Md Imdadul haque</v>
          </cell>
          <cell r="F509" t="str">
            <v>Shantinagar</v>
          </cell>
        </row>
        <row r="510">
          <cell r="C510" t="str">
            <v>Rafi Electronics</v>
          </cell>
          <cell r="D510" t="str">
            <v>RET-14954</v>
          </cell>
          <cell r="E510" t="str">
            <v>Asir Uddin</v>
          </cell>
          <cell r="F510" t="str">
            <v>Dhaka Center</v>
          </cell>
        </row>
        <row r="511">
          <cell r="C511" t="str">
            <v>Al-Faruq telecom</v>
          </cell>
          <cell r="D511" t="str">
            <v>RET-00420</v>
          </cell>
          <cell r="E511" t="str">
            <v>Ariful Islam</v>
          </cell>
          <cell r="F511" t="str">
            <v>Shantinagar</v>
          </cell>
        </row>
        <row r="512">
          <cell r="C512" t="str">
            <v>Al-Haz Rafiq &amp; Sons</v>
          </cell>
          <cell r="D512" t="str">
            <v>RET-00433</v>
          </cell>
          <cell r="E512" t="str">
            <v>Md.saiful islam</v>
          </cell>
          <cell r="F512" t="str">
            <v>Shantinagar</v>
          </cell>
        </row>
        <row r="513">
          <cell r="C513" t="str">
            <v>Friends Mobile Net Com</v>
          </cell>
          <cell r="D513" t="str">
            <v>RET-00488</v>
          </cell>
          <cell r="E513" t="str">
            <v>Shaon Chowdhury</v>
          </cell>
          <cell r="F513" t="str">
            <v>Shantinagar</v>
          </cell>
        </row>
        <row r="514">
          <cell r="C514" t="str">
            <v>Shazia Telecom</v>
          </cell>
          <cell r="D514" t="str">
            <v>RET-00040</v>
          </cell>
          <cell r="E514" t="str">
            <v>Pranto shah</v>
          </cell>
          <cell r="F514" t="str">
            <v>Dhaka Center</v>
          </cell>
        </row>
        <row r="515">
          <cell r="C515" t="str">
            <v>New Air Link Telecom</v>
          </cell>
          <cell r="D515" t="str">
            <v>RET-01989</v>
          </cell>
          <cell r="E515" t="str">
            <v>Nayejesh Rana</v>
          </cell>
          <cell r="F515" t="str">
            <v>Dhaka Center</v>
          </cell>
        </row>
        <row r="516">
          <cell r="C516" t="str">
            <v>Telesource</v>
          </cell>
          <cell r="D516" t="str">
            <v>RET-01999</v>
          </cell>
          <cell r="E516" t="str">
            <v>MD Sakil Miya</v>
          </cell>
          <cell r="F516" t="str">
            <v>Dhaka Center</v>
          </cell>
        </row>
        <row r="517">
          <cell r="C517" t="str">
            <v>Farhan Enterprise</v>
          </cell>
          <cell r="D517" t="str">
            <v>RET-01995</v>
          </cell>
          <cell r="E517" t="str">
            <v>Md Sabuj</v>
          </cell>
          <cell r="F517" t="str">
            <v>Dhaka Center</v>
          </cell>
        </row>
        <row r="518">
          <cell r="C518" t="str">
            <v>Mobile Bazar</v>
          </cell>
          <cell r="D518" t="str">
            <v>RET-18822</v>
          </cell>
          <cell r="E518" t="str">
            <v>Yasin Kazi</v>
          </cell>
          <cell r="F518" t="str">
            <v>Dhaka Center</v>
          </cell>
        </row>
        <row r="519">
          <cell r="C519" t="str">
            <v>Happy Telecom-3</v>
          </cell>
          <cell r="D519" t="str">
            <v>RET-01075</v>
          </cell>
          <cell r="E519" t="str">
            <v>Sumon Howlader</v>
          </cell>
          <cell r="F519" t="str">
            <v>Gulshan</v>
          </cell>
        </row>
        <row r="520">
          <cell r="C520" t="str">
            <v>K &amp; K Electronics</v>
          </cell>
          <cell r="D520" t="str">
            <v>RET-14644</v>
          </cell>
          <cell r="E520" t="str">
            <v>Emdadul Hoque</v>
          </cell>
          <cell r="F520" t="str">
            <v>Gulshan</v>
          </cell>
        </row>
        <row r="521">
          <cell r="C521" t="str">
            <v>4G Mobile</v>
          </cell>
          <cell r="D521" t="str">
            <v>RET-20311</v>
          </cell>
          <cell r="E521" t="str">
            <v>Mahmud Al Kibria</v>
          </cell>
          <cell r="F521" t="str">
            <v>Gulshan</v>
          </cell>
        </row>
        <row r="522">
          <cell r="C522" t="str">
            <v>Arif Telecom</v>
          </cell>
          <cell r="D522" t="str">
            <v>RET-01234</v>
          </cell>
          <cell r="E522" t="str">
            <v>Shohagh Matobbor</v>
          </cell>
          <cell r="F522" t="str">
            <v>Gulshan</v>
          </cell>
        </row>
        <row r="523">
          <cell r="C523" t="str">
            <v>S B Tel</v>
          </cell>
          <cell r="D523" t="str">
            <v>RET-14026</v>
          </cell>
          <cell r="E523" t="str">
            <v>Shamim Hosain</v>
          </cell>
          <cell r="F523" t="str">
            <v>Gulshan</v>
          </cell>
        </row>
        <row r="524">
          <cell r="C524" t="str">
            <v>Mob Tel(Rasel Enterprise)</v>
          </cell>
          <cell r="D524" t="str">
            <v>RET-00623</v>
          </cell>
          <cell r="E524" t="str">
            <v>MD.Anowar Hossain</v>
          </cell>
          <cell r="F524" t="str">
            <v>Shantinagar</v>
          </cell>
        </row>
        <row r="525">
          <cell r="C525" t="str">
            <v>NAM Enterprise</v>
          </cell>
          <cell r="D525" t="str">
            <v>RET-02220</v>
          </cell>
          <cell r="E525" t="str">
            <v>Md.Ariful Islam</v>
          </cell>
          <cell r="F525" t="str">
            <v>Dhaka Center</v>
          </cell>
        </row>
        <row r="526">
          <cell r="C526" t="str">
            <v>Paradise Computer &amp; Communication</v>
          </cell>
          <cell r="D526" t="str">
            <v>RET-00601</v>
          </cell>
          <cell r="E526" t="str">
            <v>Md.Imran Hossain</v>
          </cell>
          <cell r="F526" t="str">
            <v>Shantinagar</v>
          </cell>
        </row>
        <row r="527">
          <cell r="C527" t="str">
            <v>New Global Telecom</v>
          </cell>
          <cell r="D527" t="str">
            <v>RET-00504</v>
          </cell>
          <cell r="E527" t="str">
            <v>Shakib Khan</v>
          </cell>
          <cell r="F527" t="str">
            <v>Shantinagar</v>
          </cell>
        </row>
        <row r="528">
          <cell r="C528" t="str">
            <v>City Telecom</v>
          </cell>
          <cell r="D528" t="str">
            <v>RET-13595</v>
          </cell>
          <cell r="E528" t="str">
            <v>Shakil Ahmed</v>
          </cell>
          <cell r="F528" t="str">
            <v>Jatrabari</v>
          </cell>
        </row>
        <row r="529">
          <cell r="C529" t="str">
            <v>Araf Telecom-2</v>
          </cell>
          <cell r="D529" t="str">
            <v>RET-00526</v>
          </cell>
          <cell r="E529" t="str">
            <v>Tanvirul Islam</v>
          </cell>
          <cell r="F529" t="str">
            <v>Shantinagar</v>
          </cell>
        </row>
        <row r="530">
          <cell r="C530" t="str">
            <v>Symphony Sales Center/BR Telecom</v>
          </cell>
          <cell r="D530" t="str">
            <v>RET-02153</v>
          </cell>
          <cell r="E530" t="str">
            <v>Md Nayan fakir</v>
          </cell>
          <cell r="F530" t="str">
            <v>Jatrabari</v>
          </cell>
        </row>
        <row r="531">
          <cell r="C531" t="str">
            <v>Mobile Bazar, Jatrabari</v>
          </cell>
          <cell r="D531" t="str">
            <v>RET-19268</v>
          </cell>
          <cell r="E531" t="str">
            <v>Md.Munna</v>
          </cell>
          <cell r="F531" t="str">
            <v>Jatrabari</v>
          </cell>
        </row>
        <row r="532">
          <cell r="C532" t="str">
            <v>Asian Electronics</v>
          </cell>
          <cell r="D532" t="str">
            <v>RET-02285</v>
          </cell>
          <cell r="E532" t="str">
            <v>Akash Nandi</v>
          </cell>
          <cell r="F532" t="str">
            <v>Jatrabari</v>
          </cell>
        </row>
        <row r="533">
          <cell r="C533" t="str">
            <v>Fancy Telecom</v>
          </cell>
          <cell r="D533" t="str">
            <v>RET-19156</v>
          </cell>
          <cell r="E533" t="str">
            <v>Shoib Hossain</v>
          </cell>
          <cell r="F533" t="str">
            <v>Jatrabari</v>
          </cell>
        </row>
        <row r="534">
          <cell r="C534" t="str">
            <v>R.K. Mobile Gallery</v>
          </cell>
          <cell r="D534" t="str">
            <v>RET-14676</v>
          </cell>
          <cell r="E534" t="str">
            <v>Md Ahlan</v>
          </cell>
          <cell r="F534" t="str">
            <v>Paltan</v>
          </cell>
        </row>
        <row r="535">
          <cell r="C535" t="str">
            <v>Sefa Telecom</v>
          </cell>
          <cell r="D535" t="str">
            <v>RET-02015</v>
          </cell>
          <cell r="E535" t="str">
            <v>Md Masud Rana</v>
          </cell>
          <cell r="F535" t="str">
            <v>Paltan</v>
          </cell>
        </row>
        <row r="536">
          <cell r="C536" t="str">
            <v>Nahian Telecom</v>
          </cell>
          <cell r="D536" t="str">
            <v>RET-02188</v>
          </cell>
          <cell r="E536" t="str">
            <v>Abdur Rahman</v>
          </cell>
          <cell r="F536" t="str">
            <v>Jatrabari</v>
          </cell>
        </row>
        <row r="537">
          <cell r="C537" t="str">
            <v>Friends Telecom (DSR-Masud)</v>
          </cell>
          <cell r="D537" t="str">
            <v>RET-00541</v>
          </cell>
          <cell r="E537" t="str">
            <v>Riaz Mahmud Rana</v>
          </cell>
          <cell r="F537" t="str">
            <v>Shantinagar</v>
          </cell>
        </row>
        <row r="538">
          <cell r="C538" t="str">
            <v>OK Telecom/Faisal Electronics</v>
          </cell>
          <cell r="D538" t="str">
            <v>RET-01953</v>
          </cell>
          <cell r="E538" t="str">
            <v>Khairul Alam</v>
          </cell>
          <cell r="F538" t="str">
            <v>Paltan</v>
          </cell>
        </row>
        <row r="539">
          <cell r="C539" t="str">
            <v>Noor Trade Electronics</v>
          </cell>
          <cell r="D539" t="str">
            <v>RET-01948</v>
          </cell>
          <cell r="E539" t="str">
            <v>Ranabir das</v>
          </cell>
          <cell r="F539" t="str">
            <v>Paltan</v>
          </cell>
        </row>
        <row r="540">
          <cell r="C540" t="str">
            <v>Barta Enterprise</v>
          </cell>
          <cell r="D540" t="str">
            <v>RET-00497</v>
          </cell>
          <cell r="E540" t="str">
            <v>Tamim Al hasan</v>
          </cell>
          <cell r="F540" t="str">
            <v>Shantinagar</v>
          </cell>
        </row>
        <row r="541">
          <cell r="C541" t="str">
            <v>K.M Telecom</v>
          </cell>
          <cell r="D541" t="str">
            <v>RET-00597</v>
          </cell>
          <cell r="E541" t="str">
            <v>Shamim Sikder</v>
          </cell>
          <cell r="F541" t="str">
            <v>Shantinagar</v>
          </cell>
        </row>
        <row r="542">
          <cell r="C542" t="str">
            <v>Friendship Telecom</v>
          </cell>
          <cell r="D542" t="str">
            <v>RET-02297</v>
          </cell>
          <cell r="E542" t="str">
            <v>Sheikh Mehedi Hasan</v>
          </cell>
          <cell r="F542" t="str">
            <v>Jatrabari</v>
          </cell>
        </row>
        <row r="543">
          <cell r="C543" t="str">
            <v>Shopna Mobile Corner</v>
          </cell>
          <cell r="D543" t="str">
            <v>RET-19436</v>
          </cell>
          <cell r="E543" t="str">
            <v>Forkan Uddin Hemel</v>
          </cell>
          <cell r="F543" t="str">
            <v>Jatrabari</v>
          </cell>
        </row>
        <row r="544">
          <cell r="C544" t="str">
            <v>Nipun Enterprise</v>
          </cell>
          <cell r="D544" t="str">
            <v>RET-00511</v>
          </cell>
          <cell r="E544" t="str">
            <v>Md.Pervez Sarkar</v>
          </cell>
          <cell r="F544" t="str">
            <v>Shantinagar</v>
          </cell>
        </row>
        <row r="545">
          <cell r="C545" t="str">
            <v>Mobile park</v>
          </cell>
          <cell r="D545" t="str">
            <v>RET-02245</v>
          </cell>
          <cell r="E545" t="str">
            <v>Ibn Sayed</v>
          </cell>
          <cell r="F545" t="str">
            <v>Jatrabari</v>
          </cell>
        </row>
        <row r="546">
          <cell r="C546" t="str">
            <v>Mim Mobile &amp; Servicing</v>
          </cell>
          <cell r="D546" t="str">
            <v>RET-02215</v>
          </cell>
          <cell r="E546" t="str">
            <v>Md Tanvir Hasan</v>
          </cell>
          <cell r="F546" t="str">
            <v>Jatrabari</v>
          </cell>
        </row>
        <row r="547">
          <cell r="C547" t="str">
            <v>Prottoy Telecom</v>
          </cell>
          <cell r="D547" t="str">
            <v>RET-02223</v>
          </cell>
          <cell r="E547" t="str">
            <v>Rifatul Islam</v>
          </cell>
          <cell r="F547" t="str">
            <v>Jatrabari</v>
          </cell>
        </row>
        <row r="548">
          <cell r="C548" t="str">
            <v>Green Bird Electronics</v>
          </cell>
          <cell r="D548" t="str">
            <v>RET-11714</v>
          </cell>
          <cell r="E548" t="str">
            <v>tarikur rahman</v>
          </cell>
          <cell r="F548" t="str">
            <v>Gulshan</v>
          </cell>
        </row>
        <row r="549">
          <cell r="C549" t="str">
            <v>Life Electronics</v>
          </cell>
          <cell r="D549" t="str">
            <v>RET-13765</v>
          </cell>
          <cell r="E549" t="str">
            <v>Nishat Kazi</v>
          </cell>
          <cell r="F549" t="str">
            <v>Gulshan</v>
          </cell>
        </row>
        <row r="550">
          <cell r="C550" t="str">
            <v>New tel</v>
          </cell>
          <cell r="D550" t="str">
            <v>RET-11713</v>
          </cell>
          <cell r="E550" t="str">
            <v>Abdul Al Zubayer</v>
          </cell>
          <cell r="F550" t="str">
            <v>Gulshan</v>
          </cell>
        </row>
        <row r="551">
          <cell r="C551" t="str">
            <v>Faruk Telecom, Mawna.EPO</v>
          </cell>
          <cell r="D551" t="str">
            <v>RET-11930</v>
          </cell>
          <cell r="E551" t="str">
            <v>Tarek Rahaman</v>
          </cell>
          <cell r="F551" t="str">
            <v>Gazipur</v>
          </cell>
        </row>
        <row r="552">
          <cell r="C552" t="str">
            <v>Trust Mobile</v>
          </cell>
          <cell r="D552" t="str">
            <v>RET-10456</v>
          </cell>
          <cell r="E552" t="str">
            <v xml:space="preserve">Mithun Chandro Dey </v>
          </cell>
          <cell r="F552" t="str">
            <v>Mymensingh</v>
          </cell>
        </row>
        <row r="553">
          <cell r="C553" t="str">
            <v>Shuveccha Electronics</v>
          </cell>
          <cell r="D553" t="str">
            <v>RET-10483</v>
          </cell>
          <cell r="E553" t="str">
            <v xml:space="preserve">Rahmatullah Supan </v>
          </cell>
          <cell r="F553" t="str">
            <v>Mymensingh</v>
          </cell>
        </row>
        <row r="554">
          <cell r="C554" t="str">
            <v>Ruma Telecom</v>
          </cell>
          <cell r="D554" t="str">
            <v>RET-10454</v>
          </cell>
          <cell r="E554" t="str">
            <v>Md.Juwel</v>
          </cell>
          <cell r="F554" t="str">
            <v>Mymensingh</v>
          </cell>
        </row>
        <row r="555">
          <cell r="C555" t="str">
            <v>Mobile Electronics</v>
          </cell>
          <cell r="D555" t="str">
            <v>RET-10450</v>
          </cell>
          <cell r="E555" t="str">
            <v>Boshiur Huda</v>
          </cell>
          <cell r="F555" t="str">
            <v>Mymensingh</v>
          </cell>
        </row>
        <row r="556">
          <cell r="C556" t="str">
            <v>Shourov Telecom</v>
          </cell>
          <cell r="D556" t="str">
            <v>RET-17998</v>
          </cell>
          <cell r="E556" t="str">
            <v>Shafiqul islam</v>
          </cell>
          <cell r="F556" t="str">
            <v>Mymensingh</v>
          </cell>
        </row>
        <row r="557">
          <cell r="C557" t="str">
            <v>Raina Telecom</v>
          </cell>
          <cell r="D557" t="str">
            <v>RET-11394</v>
          </cell>
          <cell r="E557" t="str">
            <v>habibur Rahman</v>
          </cell>
          <cell r="F557" t="str">
            <v>Jamalpur</v>
          </cell>
        </row>
        <row r="558">
          <cell r="C558" t="str">
            <v>Lutfa Telecom2</v>
          </cell>
          <cell r="D558" t="str">
            <v>RET-11111</v>
          </cell>
          <cell r="E558" t="str">
            <v>Muktadiruzzaman</v>
          </cell>
          <cell r="F558" t="str">
            <v>Bhaluka</v>
          </cell>
        </row>
        <row r="559">
          <cell r="C559" t="str">
            <v>Lemon Telecom</v>
          </cell>
          <cell r="D559" t="str">
            <v>RET-10771</v>
          </cell>
          <cell r="E559" t="str">
            <v>Md ashik Mahmud</v>
          </cell>
          <cell r="F559" t="str">
            <v>Mymensingh</v>
          </cell>
        </row>
        <row r="560">
          <cell r="C560" t="str">
            <v>Shujon Telecom</v>
          </cell>
          <cell r="D560" t="str">
            <v>RET-10410</v>
          </cell>
          <cell r="E560" t="str">
            <v>Md.Sajedul Islam Rony</v>
          </cell>
          <cell r="F560" t="str">
            <v>Netrokona</v>
          </cell>
        </row>
        <row r="561">
          <cell r="C561" t="str">
            <v>Mamun Telecom</v>
          </cell>
          <cell r="D561" t="str">
            <v>RET-18870</v>
          </cell>
          <cell r="E561" t="str">
            <v>md muzahid hossain</v>
          </cell>
          <cell r="F561" t="str">
            <v>Mymensingh</v>
          </cell>
        </row>
        <row r="562">
          <cell r="C562" t="str">
            <v>Gorai mobile collection &amp; Servicing Center</v>
          </cell>
          <cell r="D562" t="str">
            <v>RET-11519</v>
          </cell>
          <cell r="E562" t="str">
            <v>Md Firozzaman</v>
          </cell>
          <cell r="F562" t="str">
            <v>Tangail</v>
          </cell>
        </row>
        <row r="563">
          <cell r="C563" t="str">
            <v>Fn Mobile Point</v>
          </cell>
          <cell r="D563" t="str">
            <v>RET-10109</v>
          </cell>
          <cell r="E563" t="str">
            <v>Farhad uddin</v>
          </cell>
          <cell r="F563" t="str">
            <v>Bhaluka</v>
          </cell>
        </row>
        <row r="564">
          <cell r="C564" t="str">
            <v>Hello Netrokona</v>
          </cell>
          <cell r="D564" t="str">
            <v>RET-10320</v>
          </cell>
          <cell r="E564" t="str">
            <v>Asish Debnath</v>
          </cell>
          <cell r="F564" t="str">
            <v>Netrokona</v>
          </cell>
        </row>
        <row r="565">
          <cell r="C565" t="str">
            <v>Banarupa Telecom</v>
          </cell>
          <cell r="D565" t="str">
            <v>RET-10127</v>
          </cell>
          <cell r="E565" t="str">
            <v>Md.Ebrahim Khalil</v>
          </cell>
          <cell r="F565" t="str">
            <v>Bhaluka</v>
          </cell>
        </row>
        <row r="566">
          <cell r="C566" t="str">
            <v>Shopon Telecom</v>
          </cell>
          <cell r="D566" t="str">
            <v>RET-10499</v>
          </cell>
          <cell r="E566" t="str">
            <v>Afzal Hossain</v>
          </cell>
          <cell r="F566" t="str">
            <v>Bhaluka</v>
          </cell>
        </row>
        <row r="567">
          <cell r="C567" t="str">
            <v>Al-Modina Telecom</v>
          </cell>
          <cell r="D567" t="str">
            <v>RET-10295</v>
          </cell>
          <cell r="E567" t="str">
            <v>Mamun</v>
          </cell>
          <cell r="F567" t="str">
            <v>Kishoregonj</v>
          </cell>
        </row>
        <row r="568">
          <cell r="C568" t="str">
            <v>Mobile Corner</v>
          </cell>
          <cell r="D568" t="str">
            <v>RET-10106</v>
          </cell>
          <cell r="E568" t="str">
            <v>Mazharul islam</v>
          </cell>
          <cell r="F568" t="str">
            <v>Bhaluka</v>
          </cell>
        </row>
        <row r="569">
          <cell r="C569" t="str">
            <v>Grameen Communication</v>
          </cell>
          <cell r="D569" t="str">
            <v>RET-10477</v>
          </cell>
          <cell r="E569" t="str">
            <v>Forhad hossain</v>
          </cell>
          <cell r="F569" t="str">
            <v>Mymensingh</v>
          </cell>
        </row>
        <row r="570">
          <cell r="C570" t="str">
            <v>Sayem Telecom</v>
          </cell>
          <cell r="D570" t="str">
            <v>RET-10482</v>
          </cell>
          <cell r="E570" t="str">
            <v xml:space="preserve">Anik sorkar </v>
          </cell>
          <cell r="F570" t="str">
            <v>Mymensingh</v>
          </cell>
        </row>
        <row r="571">
          <cell r="C571" t="str">
            <v>ES Brand Mobile Shop</v>
          </cell>
          <cell r="D571" t="str">
            <v>RET-07052</v>
          </cell>
          <cell r="E571" t="str">
            <v>Rayhan</v>
          </cell>
          <cell r="F571" t="str">
            <v>Khulna</v>
          </cell>
        </row>
        <row r="572">
          <cell r="C572" t="str">
            <v>DS Gallery-2</v>
          </cell>
          <cell r="D572" t="str">
            <v>RET-14102</v>
          </cell>
          <cell r="E572" t="str">
            <v>Ruhudut Rashed</v>
          </cell>
          <cell r="F572" t="str">
            <v>Khulna</v>
          </cell>
        </row>
        <row r="573">
          <cell r="C573" t="str">
            <v>M.M. Telecom</v>
          </cell>
          <cell r="D573" t="str">
            <v>RET-15427</v>
          </cell>
          <cell r="E573" t="str">
            <v>Enamul Hossain</v>
          </cell>
          <cell r="F573" t="str">
            <v>Khulna</v>
          </cell>
        </row>
        <row r="574">
          <cell r="C574" t="str">
            <v>Nuhatara Mobile House</v>
          </cell>
          <cell r="D574" t="str">
            <v>RET-07337</v>
          </cell>
          <cell r="E574" t="str">
            <v>Md Al Mamun</v>
          </cell>
          <cell r="F574" t="str">
            <v>Khulna</v>
          </cell>
        </row>
        <row r="575">
          <cell r="C575" t="str">
            <v>Rahman Enterprise</v>
          </cell>
          <cell r="D575" t="str">
            <v>RET-07372</v>
          </cell>
          <cell r="E575" t="str">
            <v xml:space="preserve">Md Billal Hossan </v>
          </cell>
          <cell r="F575" t="str">
            <v>Khulna</v>
          </cell>
        </row>
        <row r="576">
          <cell r="C576" t="str">
            <v>Sazid Watch</v>
          </cell>
          <cell r="D576" t="str">
            <v>RET-07330</v>
          </cell>
          <cell r="E576" t="str">
            <v>Md samsuddin</v>
          </cell>
          <cell r="F576" t="str">
            <v>Khulna</v>
          </cell>
        </row>
        <row r="577">
          <cell r="C577" t="str">
            <v>Mobile King</v>
          </cell>
          <cell r="D577" t="str">
            <v>RET-07147</v>
          </cell>
          <cell r="E577" t="str">
            <v>Md Samim</v>
          </cell>
          <cell r="F577" t="str">
            <v>Khulna</v>
          </cell>
        </row>
        <row r="578">
          <cell r="C578" t="str">
            <v>My Fone Classic</v>
          </cell>
          <cell r="D578" t="str">
            <v>RET-06682</v>
          </cell>
          <cell r="E578" t="str">
            <v>Ibrahim Khan</v>
          </cell>
          <cell r="F578" t="str">
            <v>Barisal</v>
          </cell>
        </row>
        <row r="579">
          <cell r="C579" t="str">
            <v>Shariatpur Cmmercial</v>
          </cell>
          <cell r="D579" t="str">
            <v>RET-03170</v>
          </cell>
          <cell r="E579" t="str">
            <v>Md Shakibul Islam Shagor</v>
          </cell>
          <cell r="F579" t="str">
            <v>Madaripur</v>
          </cell>
        </row>
        <row r="580">
          <cell r="C580" t="str">
            <v>Tanim Telecom</v>
          </cell>
          <cell r="D580" t="str">
            <v>RET-07464</v>
          </cell>
          <cell r="E580" t="str">
            <v>Asif Newas</v>
          </cell>
          <cell r="F580" t="str">
            <v>Jessore</v>
          </cell>
        </row>
        <row r="581">
          <cell r="C581" t="str">
            <v>Raj Communication-2</v>
          </cell>
          <cell r="D581" t="str">
            <v>RET-20530</v>
          </cell>
          <cell r="E581" t="str">
            <v>Shimul Saha</v>
          </cell>
          <cell r="F581" t="str">
            <v>Khulna</v>
          </cell>
        </row>
        <row r="582">
          <cell r="C582" t="str">
            <v>Hasib Electronics</v>
          </cell>
          <cell r="D582" t="str">
            <v>RET-07435</v>
          </cell>
          <cell r="E582" t="str">
            <v>Md Lutfor Rahman</v>
          </cell>
          <cell r="F582" t="str">
            <v>Jessore</v>
          </cell>
        </row>
        <row r="583">
          <cell r="C583" t="str">
            <v>Rhydita Mobile Shop</v>
          </cell>
          <cell r="D583" t="str">
            <v>RET-07090</v>
          </cell>
          <cell r="E583" t="str">
            <v>Amit</v>
          </cell>
          <cell r="F583" t="str">
            <v>Khulna</v>
          </cell>
        </row>
        <row r="584">
          <cell r="C584" t="str">
            <v>Ranjona Mobile Bazar</v>
          </cell>
          <cell r="D584" t="str">
            <v>RET-11666</v>
          </cell>
          <cell r="E584" t="str">
            <v>Md Sha Alam Hossain</v>
          </cell>
          <cell r="F584" t="str">
            <v>Jessore</v>
          </cell>
        </row>
        <row r="585">
          <cell r="C585" t="str">
            <v>New ExFiles Telecom</v>
          </cell>
          <cell r="D585" t="str">
            <v>RET-07034</v>
          </cell>
          <cell r="E585" t="str">
            <v>Amit-2</v>
          </cell>
          <cell r="F585" t="str">
            <v>Khulna</v>
          </cell>
        </row>
        <row r="586">
          <cell r="C586" t="str">
            <v>Janata Telecom</v>
          </cell>
          <cell r="D586" t="str">
            <v>RET-06821</v>
          </cell>
          <cell r="E586" t="str">
            <v>tipusultan</v>
          </cell>
          <cell r="F586" t="str">
            <v>Pirojpur</v>
          </cell>
        </row>
        <row r="587">
          <cell r="C587" t="str">
            <v>Mobile Plus</v>
          </cell>
          <cell r="D587" t="str">
            <v>RET-07186</v>
          </cell>
          <cell r="E587" t="str">
            <v>Sujit Kumar Ghos</v>
          </cell>
          <cell r="F587" t="str">
            <v>Khulna</v>
          </cell>
        </row>
        <row r="588">
          <cell r="C588" t="str">
            <v>Lucky Electronics-2</v>
          </cell>
          <cell r="D588" t="str">
            <v>RET-07122</v>
          </cell>
          <cell r="E588" t="str">
            <v>Shaikh Samiul Islam</v>
          </cell>
          <cell r="F588" t="str">
            <v>Khulna</v>
          </cell>
        </row>
        <row r="589">
          <cell r="C589" t="str">
            <v>Model Watch</v>
          </cell>
          <cell r="D589" t="str">
            <v>RET-07341</v>
          </cell>
          <cell r="E589" t="str">
            <v>Mazadul Islam</v>
          </cell>
          <cell r="F589" t="str">
            <v>Jessore</v>
          </cell>
        </row>
        <row r="590">
          <cell r="C590" t="str">
            <v>Brothers Link</v>
          </cell>
          <cell r="D590" t="str">
            <v>RET-03166</v>
          </cell>
          <cell r="E590" t="str">
            <v xml:space="preserve">Md. Sohagh Khan Tushar </v>
          </cell>
          <cell r="F590" t="str">
            <v>Madaripur</v>
          </cell>
        </row>
        <row r="591">
          <cell r="C591" t="str">
            <v>Mobile Biz/Janata Telecom</v>
          </cell>
          <cell r="D591" t="str">
            <v>RET-07066</v>
          </cell>
          <cell r="E591" t="str">
            <v>Emthihan Rahman Swadesh</v>
          </cell>
          <cell r="F591" t="str">
            <v>Khulna</v>
          </cell>
        </row>
        <row r="592">
          <cell r="C592" t="str">
            <v>Das Telecom</v>
          </cell>
          <cell r="D592" t="str">
            <v>RET-07068</v>
          </cell>
          <cell r="E592" t="str">
            <v>SK. Kizar Hossain Shuvo</v>
          </cell>
          <cell r="F592" t="str">
            <v>Khulna</v>
          </cell>
        </row>
        <row r="593">
          <cell r="C593" t="str">
            <v>Cell Tone</v>
          </cell>
          <cell r="D593" t="str">
            <v>RET-07074</v>
          </cell>
          <cell r="E593" t="str">
            <v>Md.Shaid</v>
          </cell>
          <cell r="F593" t="str">
            <v>Khulna</v>
          </cell>
        </row>
        <row r="594">
          <cell r="C594" t="str">
            <v>Romance Business Centre</v>
          </cell>
          <cell r="D594" t="str">
            <v>RET-06333</v>
          </cell>
          <cell r="E594" t="str">
            <v>Arup Chandra Biswas</v>
          </cell>
          <cell r="F594" t="str">
            <v>Barisal</v>
          </cell>
        </row>
        <row r="595">
          <cell r="C595" t="str">
            <v>Talukder Telecom</v>
          </cell>
          <cell r="D595" t="str">
            <v>RET-06455</v>
          </cell>
          <cell r="E595" t="str">
            <v>Miraz Hossain</v>
          </cell>
          <cell r="F595" t="str">
            <v>Barisal</v>
          </cell>
        </row>
        <row r="596">
          <cell r="C596" t="str">
            <v>ES Telecom</v>
          </cell>
          <cell r="D596" t="str">
            <v>RET-14096</v>
          </cell>
          <cell r="E596" t="str">
            <v xml:space="preserve">Md. Sohagh Khan Tushar </v>
          </cell>
          <cell r="F596" t="str">
            <v>Khulna</v>
          </cell>
        </row>
        <row r="599">
          <cell r="G599" t="str">
            <v>E-5</v>
          </cell>
          <cell r="H599">
            <v>2090</v>
          </cell>
          <cell r="I599" t="str">
            <v>&lt;3K</v>
          </cell>
        </row>
        <row r="600">
          <cell r="G600" t="str">
            <v>E-7</v>
          </cell>
          <cell r="H600">
            <v>2490</v>
          </cell>
          <cell r="I600" t="str">
            <v>&lt;3K</v>
          </cell>
        </row>
        <row r="601">
          <cell r="G601" t="str">
            <v>E-10</v>
          </cell>
          <cell r="H601">
            <v>2740</v>
          </cell>
          <cell r="I601" t="str">
            <v>&lt;3K</v>
          </cell>
        </row>
        <row r="602">
          <cell r="G602" t="str">
            <v>E-12</v>
          </cell>
          <cell r="H602">
            <v>2390</v>
          </cell>
          <cell r="I602" t="str">
            <v>&lt;3K</v>
          </cell>
        </row>
        <row r="603">
          <cell r="G603" t="str">
            <v>E-15</v>
          </cell>
          <cell r="H603">
            <v>2695</v>
          </cell>
          <cell r="I603" t="str">
            <v>&lt;3K</v>
          </cell>
        </row>
        <row r="604">
          <cell r="G604" t="str">
            <v>E-55</v>
          </cell>
          <cell r="H604">
            <v>2690</v>
          </cell>
          <cell r="I604" t="str">
            <v>&lt;3K</v>
          </cell>
        </row>
        <row r="605">
          <cell r="G605" t="str">
            <v>E-58</v>
          </cell>
          <cell r="H605">
            <v>2590</v>
          </cell>
          <cell r="I605" t="str">
            <v>&lt;3K</v>
          </cell>
        </row>
        <row r="606">
          <cell r="G606" t="str">
            <v>E-60</v>
          </cell>
          <cell r="H606">
            <v>3390</v>
          </cell>
          <cell r="I606" t="str">
            <v>3-4.5K</v>
          </cell>
        </row>
        <row r="607">
          <cell r="G607" t="str">
            <v>E-76</v>
          </cell>
          <cell r="H607">
            <v>3690</v>
          </cell>
          <cell r="I607" t="str">
            <v>3-4.5K</v>
          </cell>
        </row>
        <row r="608">
          <cell r="G608" t="str">
            <v>E-78</v>
          </cell>
          <cell r="H608">
            <v>3190</v>
          </cell>
          <cell r="I608" t="str">
            <v>3-4.5K</v>
          </cell>
        </row>
        <row r="609">
          <cell r="G609" t="str">
            <v>E-79</v>
          </cell>
          <cell r="H609">
            <v>2990</v>
          </cell>
          <cell r="I609" t="str">
            <v>&lt;3K</v>
          </cell>
        </row>
        <row r="610">
          <cell r="G610" t="str">
            <v>H-58</v>
          </cell>
          <cell r="H610">
            <v>6290</v>
          </cell>
          <cell r="I610" t="str">
            <v>6-7K</v>
          </cell>
        </row>
        <row r="611">
          <cell r="G611" t="str">
            <v>H-60</v>
          </cell>
          <cell r="H611">
            <v>6490</v>
          </cell>
          <cell r="I611" t="str">
            <v>6-7K</v>
          </cell>
        </row>
        <row r="612">
          <cell r="G612" t="str">
            <v>H-200</v>
          </cell>
          <cell r="H612">
            <v>7990</v>
          </cell>
          <cell r="I612" t="str">
            <v>7-8K</v>
          </cell>
        </row>
        <row r="613">
          <cell r="G613" t="str">
            <v>H-300</v>
          </cell>
          <cell r="H613">
            <v>8590</v>
          </cell>
          <cell r="I613" t="str">
            <v>8-10K</v>
          </cell>
        </row>
        <row r="614">
          <cell r="G614" t="str">
            <v>H-120</v>
          </cell>
          <cell r="H614">
            <v>6990</v>
          </cell>
          <cell r="I614" t="str">
            <v>6-7K</v>
          </cell>
        </row>
        <row r="615">
          <cell r="G615" t="str">
            <v>H-175</v>
          </cell>
          <cell r="H615">
            <v>9990</v>
          </cell>
          <cell r="I615" t="str">
            <v>8-10K</v>
          </cell>
        </row>
        <row r="616">
          <cell r="G616" t="str">
            <v>H-250</v>
          </cell>
          <cell r="H616">
            <v>9190</v>
          </cell>
          <cell r="I616" t="str">
            <v>8-10K</v>
          </cell>
        </row>
        <row r="617">
          <cell r="G617" t="str">
            <v>H-400</v>
          </cell>
          <cell r="H617">
            <v>9990</v>
          </cell>
          <cell r="I617" t="str">
            <v>8-10K</v>
          </cell>
        </row>
        <row r="618">
          <cell r="G618" t="str">
            <v>i-10</v>
          </cell>
          <cell r="H618">
            <v>6990</v>
          </cell>
          <cell r="I618" t="str">
            <v>6-7K</v>
          </cell>
        </row>
        <row r="619">
          <cell r="G619" t="str">
            <v>Zviii</v>
          </cell>
          <cell r="H619">
            <v>13990</v>
          </cell>
          <cell r="I619" t="str">
            <v>13-16K</v>
          </cell>
        </row>
        <row r="620">
          <cell r="G620" t="str">
            <v>P-6</v>
          </cell>
          <cell r="H620">
            <v>7990</v>
          </cell>
          <cell r="I620" t="str">
            <v>7-8K</v>
          </cell>
        </row>
        <row r="621">
          <cell r="G621" t="str">
            <v>P6(2GB)</v>
          </cell>
          <cell r="H621">
            <v>7990</v>
          </cell>
          <cell r="I621" t="str">
            <v>7-8K</v>
          </cell>
        </row>
        <row r="622">
          <cell r="G622" t="str">
            <v>P6 PRO</v>
          </cell>
          <cell r="H622">
            <v>8990</v>
          </cell>
          <cell r="I622" t="str">
            <v>8-10K</v>
          </cell>
        </row>
        <row r="623">
          <cell r="G623" t="str">
            <v>P6 PRO(3GB)</v>
          </cell>
          <cell r="H623">
            <v>10490</v>
          </cell>
          <cell r="I623" t="str">
            <v>10-13K</v>
          </cell>
        </row>
        <row r="624">
          <cell r="G624" t="str">
            <v>TAB-20</v>
          </cell>
          <cell r="H624">
            <v>5990</v>
          </cell>
          <cell r="I624" t="str">
            <v>4.5-6K</v>
          </cell>
        </row>
        <row r="625">
          <cell r="G625" t="str">
            <v>TAB-50</v>
          </cell>
          <cell r="H625">
            <v>8490</v>
          </cell>
          <cell r="I625" t="str">
            <v>8-10K</v>
          </cell>
        </row>
        <row r="626">
          <cell r="G626" t="str">
            <v>i-25</v>
          </cell>
          <cell r="H626">
            <v>6790</v>
          </cell>
          <cell r="I626" t="str">
            <v>6-7K</v>
          </cell>
        </row>
        <row r="627">
          <cell r="G627" t="str">
            <v>T7 PRO</v>
          </cell>
          <cell r="H627">
            <v>8490</v>
          </cell>
          <cell r="I627" t="str">
            <v>8-10K</v>
          </cell>
        </row>
        <row r="628">
          <cell r="G628" t="str">
            <v>T8 PRO</v>
          </cell>
          <cell r="H628">
            <v>10490</v>
          </cell>
          <cell r="I628" t="str">
            <v>10-13K</v>
          </cell>
        </row>
        <row r="629">
          <cell r="G629" t="str">
            <v>V-25</v>
          </cell>
          <cell r="H629">
            <v>4090</v>
          </cell>
          <cell r="I629" t="str">
            <v>3-4.5K</v>
          </cell>
        </row>
        <row r="630">
          <cell r="G630" t="str">
            <v>V-28</v>
          </cell>
          <cell r="H630">
            <v>3690</v>
          </cell>
          <cell r="I630" t="str">
            <v>3-4.5K</v>
          </cell>
        </row>
        <row r="631">
          <cell r="G631" t="str">
            <v>V-30</v>
          </cell>
          <cell r="H631">
            <v>3990</v>
          </cell>
          <cell r="I631" t="str">
            <v>3-4.5K</v>
          </cell>
        </row>
        <row r="632">
          <cell r="G632" t="str">
            <v>V-32</v>
          </cell>
          <cell r="H632">
            <v>3690</v>
          </cell>
          <cell r="I632" t="str">
            <v>3-4.5K</v>
          </cell>
        </row>
        <row r="633">
          <cell r="G633" t="str">
            <v>V-45</v>
          </cell>
          <cell r="H633">
            <v>4890</v>
          </cell>
          <cell r="I633" t="str">
            <v>4.5-6K</v>
          </cell>
        </row>
        <row r="634">
          <cell r="G634" t="str">
            <v>V-46</v>
          </cell>
          <cell r="H634">
            <v>3990</v>
          </cell>
          <cell r="I634" t="str">
            <v>3-4.5K</v>
          </cell>
        </row>
        <row r="635">
          <cell r="G635" t="str">
            <v>V-49</v>
          </cell>
          <cell r="H635">
            <v>4590</v>
          </cell>
          <cell r="I635" t="str">
            <v>4.5-6K</v>
          </cell>
        </row>
        <row r="636">
          <cell r="G636" t="str">
            <v>V-50</v>
          </cell>
          <cell r="H636">
            <v>5390</v>
          </cell>
          <cell r="I636" t="str">
            <v>4.5-6K</v>
          </cell>
        </row>
        <row r="637">
          <cell r="G637" t="str">
            <v>V-52</v>
          </cell>
          <cell r="H637">
            <v>5990</v>
          </cell>
          <cell r="I637" t="str">
            <v>4.5-6K</v>
          </cell>
        </row>
        <row r="638">
          <cell r="G638" t="str">
            <v>V-60</v>
          </cell>
          <cell r="H638">
            <v>5690</v>
          </cell>
          <cell r="I638" t="str">
            <v>4.5-6K</v>
          </cell>
        </row>
        <row r="639">
          <cell r="G639" t="str">
            <v>V-75</v>
          </cell>
          <cell r="H639">
            <v>4990</v>
          </cell>
          <cell r="I639" t="str">
            <v>4.5-6K</v>
          </cell>
        </row>
        <row r="640">
          <cell r="G640" t="str">
            <v>V-80</v>
          </cell>
          <cell r="H640">
            <v>6290</v>
          </cell>
          <cell r="I640" t="str">
            <v>6-7K</v>
          </cell>
        </row>
        <row r="641">
          <cell r="G641" t="str">
            <v>V-85</v>
          </cell>
          <cell r="H641">
            <v>5990</v>
          </cell>
          <cell r="I641" t="str">
            <v>4.5-6K</v>
          </cell>
        </row>
        <row r="642">
          <cell r="G642" t="str">
            <v>V-100</v>
          </cell>
          <cell r="H642">
            <v>5490</v>
          </cell>
          <cell r="I642" t="str">
            <v>4.5-6K</v>
          </cell>
        </row>
        <row r="643">
          <cell r="G643" t="str">
            <v>i-20(2GB)</v>
          </cell>
          <cell r="H643">
            <v>7190</v>
          </cell>
          <cell r="I643" t="str">
            <v>7-8K</v>
          </cell>
        </row>
        <row r="644">
          <cell r="G644" t="str">
            <v>ZV PRO</v>
          </cell>
          <cell r="H644">
            <v>11990</v>
          </cell>
          <cell r="I644" t="str">
            <v>10-13K</v>
          </cell>
        </row>
        <row r="645">
          <cell r="G645" t="str">
            <v>Z-VI</v>
          </cell>
          <cell r="H645">
            <v>11890</v>
          </cell>
          <cell r="I645" t="str">
            <v>10-13K</v>
          </cell>
        </row>
        <row r="646">
          <cell r="G646" t="str">
            <v>ZVII(2GB)</v>
          </cell>
          <cell r="H646">
            <v>11490</v>
          </cell>
          <cell r="I646" t="str">
            <v>10-13K</v>
          </cell>
        </row>
        <row r="647">
          <cell r="G647" t="str">
            <v>ZVII(3GB)</v>
          </cell>
          <cell r="H647">
            <v>12490</v>
          </cell>
          <cell r="I647" t="str">
            <v>10-13K</v>
          </cell>
        </row>
        <row r="648">
          <cell r="G648" t="str">
            <v>ST-50</v>
          </cell>
          <cell r="H648">
            <v>8390</v>
          </cell>
          <cell r="I648" t="str">
            <v>8-10K</v>
          </cell>
        </row>
        <row r="649">
          <cell r="G649" t="str">
            <v>S-1</v>
          </cell>
          <cell r="H649">
            <v>14990</v>
          </cell>
          <cell r="I649" t="str">
            <v>13-16K</v>
          </cell>
        </row>
        <row r="650">
          <cell r="G650" t="str">
            <v>S-20</v>
          </cell>
          <cell r="H650">
            <v>25990</v>
          </cell>
          <cell r="I650" t="str">
            <v>16K+</v>
          </cell>
        </row>
        <row r="651">
          <cell r="G651" t="str">
            <v>S-2</v>
          </cell>
          <cell r="H651">
            <v>15990</v>
          </cell>
          <cell r="I651" t="str">
            <v>13-16K</v>
          </cell>
        </row>
        <row r="652">
          <cell r="G652" t="str">
            <v>P7</v>
          </cell>
          <cell r="H652">
            <v>8990</v>
          </cell>
          <cell r="I652" t="str">
            <v>8-10K</v>
          </cell>
        </row>
        <row r="653">
          <cell r="G653" t="str">
            <v>i-50</v>
          </cell>
          <cell r="H653">
            <v>7590</v>
          </cell>
          <cell r="I653" t="str">
            <v>7-8K</v>
          </cell>
        </row>
        <row r="654">
          <cell r="G654" t="str">
            <v>i-20</v>
          </cell>
          <cell r="H654">
            <v>6490</v>
          </cell>
          <cell r="I654" t="str">
            <v>6-7K</v>
          </cell>
        </row>
        <row r="655">
          <cell r="G655" t="str">
            <v>R100  2GB</v>
          </cell>
          <cell r="H655">
            <v>10990</v>
          </cell>
          <cell r="I655" t="str">
            <v>10-13K</v>
          </cell>
        </row>
        <row r="656">
          <cell r="G656" t="str">
            <v>R20</v>
          </cell>
          <cell r="H656">
            <v>7390</v>
          </cell>
          <cell r="I656" t="str">
            <v>7-8K</v>
          </cell>
        </row>
        <row r="657">
          <cell r="G657" t="str">
            <v>R100 3GB</v>
          </cell>
          <cell r="H657">
            <v>11990</v>
          </cell>
          <cell r="I657" t="str">
            <v>10-13K</v>
          </cell>
        </row>
        <row r="658">
          <cell r="G658" t="str">
            <v>I 10 (2GB)</v>
          </cell>
          <cell r="H658">
            <v>7990</v>
          </cell>
          <cell r="I658" t="str">
            <v>7-8K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hivement Sheet"/>
      <sheetName val="Target"/>
      <sheetName val="Summary"/>
      <sheetName val="HFM Plan"/>
      <sheetName val="Sheet2"/>
    </sheetNames>
    <sheetDataSet>
      <sheetData sheetId="0"/>
      <sheetData sheetId="1"/>
      <sheetData sheetId="2"/>
      <sheetData sheetId="3"/>
      <sheetData sheetId="4">
        <row r="2">
          <cell r="A2">
            <v>0</v>
          </cell>
          <cell r="B2" t="str">
            <v>S-25</v>
          </cell>
          <cell r="C2" t="str">
            <v>S-2</v>
          </cell>
          <cell r="D2" t="str">
            <v>S-20</v>
          </cell>
          <cell r="E2" t="str">
            <v>R100  2GB</v>
          </cell>
          <cell r="F2" t="str">
            <v>R100 3GB</v>
          </cell>
          <cell r="G2" t="str">
            <v>I 10 (2GB)</v>
          </cell>
          <cell r="H2" t="str">
            <v>i-25</v>
          </cell>
          <cell r="I2" t="str">
            <v>Zviii</v>
          </cell>
        </row>
        <row r="3">
          <cell r="A3" t="str">
            <v>Retail ID</v>
          </cell>
          <cell r="B3" t="str">
            <v>QTTY</v>
          </cell>
          <cell r="C3" t="str">
            <v>QTTY</v>
          </cell>
          <cell r="D3" t="str">
            <v>QTTY</v>
          </cell>
          <cell r="E3" t="str">
            <v>QTTY</v>
          </cell>
          <cell r="F3" t="str">
            <v>QTTY</v>
          </cell>
          <cell r="G3" t="str">
            <v>QTTY</v>
          </cell>
          <cell r="H3" t="str">
            <v>QTTY</v>
          </cell>
          <cell r="I3" t="str">
            <v>QTTY</v>
          </cell>
        </row>
        <row r="4">
          <cell r="A4" t="str">
            <v>RET-04280</v>
          </cell>
          <cell r="B4">
            <v>0</v>
          </cell>
          <cell r="C4">
            <v>0</v>
          </cell>
          <cell r="D4">
            <v>0</v>
          </cell>
          <cell r="E4">
            <v>10</v>
          </cell>
          <cell r="F4">
            <v>2</v>
          </cell>
          <cell r="G4">
            <v>0</v>
          </cell>
          <cell r="H4">
            <v>4</v>
          </cell>
          <cell r="I4">
            <v>2</v>
          </cell>
        </row>
        <row r="5">
          <cell r="A5" t="str">
            <v>RET-04292</v>
          </cell>
          <cell r="B5">
            <v>4</v>
          </cell>
          <cell r="C5">
            <v>0</v>
          </cell>
          <cell r="D5">
            <v>0</v>
          </cell>
          <cell r="E5">
            <v>14</v>
          </cell>
          <cell r="F5">
            <v>7</v>
          </cell>
          <cell r="G5">
            <v>9</v>
          </cell>
          <cell r="H5">
            <v>5</v>
          </cell>
          <cell r="I5">
            <v>0</v>
          </cell>
        </row>
        <row r="6">
          <cell r="A6" t="str">
            <v>RET-04300</v>
          </cell>
          <cell r="B6">
            <v>2</v>
          </cell>
          <cell r="C6">
            <v>0</v>
          </cell>
          <cell r="D6">
            <v>0</v>
          </cell>
          <cell r="E6">
            <v>11</v>
          </cell>
          <cell r="F6">
            <v>3</v>
          </cell>
          <cell r="G6">
            <v>3</v>
          </cell>
          <cell r="H6">
            <v>0</v>
          </cell>
          <cell r="I6">
            <v>3</v>
          </cell>
        </row>
        <row r="7">
          <cell r="A7" t="str">
            <v>RET-04372</v>
          </cell>
          <cell r="B7">
            <v>1</v>
          </cell>
          <cell r="C7">
            <v>1</v>
          </cell>
          <cell r="D7">
            <v>0</v>
          </cell>
          <cell r="E7">
            <v>3</v>
          </cell>
          <cell r="F7">
            <v>1</v>
          </cell>
          <cell r="G7">
            <v>0</v>
          </cell>
          <cell r="H7">
            <v>9</v>
          </cell>
          <cell r="I7">
            <v>0</v>
          </cell>
        </row>
        <row r="8">
          <cell r="A8" t="str">
            <v>RET-04389</v>
          </cell>
          <cell r="B8">
            <v>4</v>
          </cell>
          <cell r="C8">
            <v>3</v>
          </cell>
          <cell r="D8">
            <v>0</v>
          </cell>
          <cell r="E8">
            <v>4</v>
          </cell>
          <cell r="F8">
            <v>13</v>
          </cell>
          <cell r="G8">
            <v>21</v>
          </cell>
          <cell r="H8">
            <v>9</v>
          </cell>
          <cell r="I8">
            <v>2</v>
          </cell>
        </row>
        <row r="9">
          <cell r="A9" t="str">
            <v>RET-04439</v>
          </cell>
          <cell r="B9">
            <v>1</v>
          </cell>
          <cell r="C9">
            <v>0</v>
          </cell>
          <cell r="D9">
            <v>0</v>
          </cell>
          <cell r="E9">
            <v>33</v>
          </cell>
          <cell r="F9">
            <v>2</v>
          </cell>
          <cell r="G9">
            <v>4</v>
          </cell>
          <cell r="H9">
            <v>4</v>
          </cell>
          <cell r="I9">
            <v>3</v>
          </cell>
        </row>
        <row r="10">
          <cell r="A10" t="str">
            <v>RET-04445</v>
          </cell>
          <cell r="B10">
            <v>2</v>
          </cell>
          <cell r="C10">
            <v>2</v>
          </cell>
          <cell r="D10">
            <v>0</v>
          </cell>
          <cell r="E10">
            <v>9</v>
          </cell>
          <cell r="F10">
            <v>2</v>
          </cell>
          <cell r="G10">
            <v>2</v>
          </cell>
          <cell r="H10">
            <v>17</v>
          </cell>
          <cell r="I10">
            <v>3</v>
          </cell>
        </row>
        <row r="11">
          <cell r="A11" t="str">
            <v>RET-04535</v>
          </cell>
          <cell r="B11">
            <v>0</v>
          </cell>
          <cell r="C11">
            <v>3</v>
          </cell>
          <cell r="D11">
            <v>0</v>
          </cell>
          <cell r="E11">
            <v>4</v>
          </cell>
          <cell r="F11">
            <v>3</v>
          </cell>
          <cell r="G11">
            <v>2</v>
          </cell>
          <cell r="H11">
            <v>10</v>
          </cell>
          <cell r="I11">
            <v>0</v>
          </cell>
        </row>
        <row r="12">
          <cell r="A12" t="str">
            <v>RET-04554</v>
          </cell>
          <cell r="B12">
            <v>1</v>
          </cell>
          <cell r="C12">
            <v>1</v>
          </cell>
          <cell r="D12">
            <v>0</v>
          </cell>
          <cell r="E12">
            <v>31</v>
          </cell>
          <cell r="F12">
            <v>2</v>
          </cell>
          <cell r="G12">
            <v>3</v>
          </cell>
          <cell r="H12">
            <v>17</v>
          </cell>
          <cell r="I12">
            <v>2</v>
          </cell>
        </row>
        <row r="13">
          <cell r="A13" t="str">
            <v>RET-04562</v>
          </cell>
          <cell r="B13">
            <v>1</v>
          </cell>
          <cell r="C13">
            <v>2</v>
          </cell>
          <cell r="D13">
            <v>0</v>
          </cell>
          <cell r="E13">
            <v>5</v>
          </cell>
          <cell r="F13">
            <v>3</v>
          </cell>
          <cell r="G13">
            <v>5</v>
          </cell>
          <cell r="H13">
            <v>5</v>
          </cell>
          <cell r="I13">
            <v>4</v>
          </cell>
        </row>
        <row r="14">
          <cell r="A14" t="str">
            <v>RET-04563</v>
          </cell>
          <cell r="B14">
            <v>0</v>
          </cell>
          <cell r="C14">
            <v>2</v>
          </cell>
          <cell r="D14">
            <v>0</v>
          </cell>
          <cell r="E14">
            <v>10</v>
          </cell>
          <cell r="F14">
            <v>6</v>
          </cell>
          <cell r="G14">
            <v>1</v>
          </cell>
          <cell r="H14">
            <v>12</v>
          </cell>
          <cell r="I14">
            <v>4</v>
          </cell>
        </row>
        <row r="15">
          <cell r="A15" t="str">
            <v>RET-04566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15</v>
          </cell>
          <cell r="H15">
            <v>13</v>
          </cell>
          <cell r="I15">
            <v>3</v>
          </cell>
        </row>
        <row r="16">
          <cell r="A16" t="str">
            <v>RET-04661</v>
          </cell>
          <cell r="B16">
            <v>0</v>
          </cell>
          <cell r="C16">
            <v>0</v>
          </cell>
          <cell r="D16">
            <v>0</v>
          </cell>
          <cell r="E16">
            <v>3</v>
          </cell>
          <cell r="F16">
            <v>6</v>
          </cell>
          <cell r="G16">
            <v>2</v>
          </cell>
          <cell r="H16">
            <v>4</v>
          </cell>
          <cell r="I16">
            <v>0</v>
          </cell>
        </row>
        <row r="17">
          <cell r="A17" t="str">
            <v>RET-04753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</row>
        <row r="18">
          <cell r="A18" t="str">
            <v>RET-05016</v>
          </cell>
          <cell r="B18">
            <v>0</v>
          </cell>
          <cell r="C18">
            <v>0</v>
          </cell>
          <cell r="D18">
            <v>0</v>
          </cell>
          <cell r="E18">
            <v>1</v>
          </cell>
          <cell r="F18">
            <v>0</v>
          </cell>
          <cell r="G18">
            <v>2</v>
          </cell>
          <cell r="H18">
            <v>2</v>
          </cell>
          <cell r="I18">
            <v>0</v>
          </cell>
        </row>
        <row r="19">
          <cell r="A19" t="str">
            <v>RET-05024</v>
          </cell>
          <cell r="B19">
            <v>0</v>
          </cell>
          <cell r="C19">
            <v>0</v>
          </cell>
          <cell r="D19">
            <v>0</v>
          </cell>
          <cell r="E19">
            <v>2</v>
          </cell>
          <cell r="F19">
            <v>0</v>
          </cell>
          <cell r="G19">
            <v>5</v>
          </cell>
          <cell r="H19">
            <v>0</v>
          </cell>
          <cell r="I19">
            <v>0</v>
          </cell>
        </row>
        <row r="20">
          <cell r="A20" t="str">
            <v>RET-05047</v>
          </cell>
          <cell r="B20">
            <v>0</v>
          </cell>
          <cell r="C20">
            <v>0</v>
          </cell>
          <cell r="D20">
            <v>0</v>
          </cell>
          <cell r="E20">
            <v>4</v>
          </cell>
          <cell r="F20">
            <v>1</v>
          </cell>
          <cell r="G20">
            <v>3</v>
          </cell>
          <cell r="H20">
            <v>0</v>
          </cell>
          <cell r="I20">
            <v>0</v>
          </cell>
        </row>
        <row r="21">
          <cell r="A21" t="str">
            <v>RET-14630</v>
          </cell>
          <cell r="B21">
            <v>0</v>
          </cell>
          <cell r="C21">
            <v>1</v>
          </cell>
          <cell r="D21">
            <v>0</v>
          </cell>
          <cell r="E21">
            <v>14</v>
          </cell>
          <cell r="F21">
            <v>3</v>
          </cell>
          <cell r="G21">
            <v>2</v>
          </cell>
          <cell r="H21">
            <v>7</v>
          </cell>
          <cell r="I21">
            <v>3</v>
          </cell>
        </row>
        <row r="22">
          <cell r="A22" t="str">
            <v>RET-16313</v>
          </cell>
          <cell r="B22">
            <v>3</v>
          </cell>
          <cell r="C22">
            <v>0</v>
          </cell>
          <cell r="D22">
            <v>0</v>
          </cell>
          <cell r="E22">
            <v>4</v>
          </cell>
          <cell r="F22">
            <v>1</v>
          </cell>
          <cell r="G22">
            <v>4</v>
          </cell>
          <cell r="H22">
            <v>0</v>
          </cell>
          <cell r="I22">
            <v>3</v>
          </cell>
        </row>
        <row r="23">
          <cell r="A23" t="str">
            <v>RET-19391</v>
          </cell>
          <cell r="B23">
            <v>0</v>
          </cell>
          <cell r="C23">
            <v>0</v>
          </cell>
          <cell r="D23">
            <v>0</v>
          </cell>
          <cell r="E23">
            <v>4</v>
          </cell>
          <cell r="F23">
            <v>0</v>
          </cell>
          <cell r="G23">
            <v>1</v>
          </cell>
          <cell r="H23">
            <v>0</v>
          </cell>
          <cell r="I23">
            <v>0</v>
          </cell>
        </row>
        <row r="24">
          <cell r="A24" t="str">
            <v>RET-19395</v>
          </cell>
          <cell r="B24">
            <v>0</v>
          </cell>
          <cell r="C24">
            <v>0</v>
          </cell>
          <cell r="D24">
            <v>0</v>
          </cell>
          <cell r="E24">
            <v>4</v>
          </cell>
          <cell r="F24">
            <v>2</v>
          </cell>
          <cell r="G24">
            <v>4</v>
          </cell>
          <cell r="H24">
            <v>1</v>
          </cell>
          <cell r="I24">
            <v>5</v>
          </cell>
        </row>
        <row r="25">
          <cell r="A25" t="str">
            <v>RET-21563</v>
          </cell>
          <cell r="B25">
            <v>0</v>
          </cell>
          <cell r="C25">
            <v>0</v>
          </cell>
          <cell r="D25">
            <v>0</v>
          </cell>
          <cell r="E25">
            <v>5</v>
          </cell>
          <cell r="F25">
            <v>3</v>
          </cell>
          <cell r="G25">
            <v>4</v>
          </cell>
          <cell r="H25">
            <v>10</v>
          </cell>
          <cell r="I25">
            <v>4</v>
          </cell>
        </row>
        <row r="26">
          <cell r="A26" t="str">
            <v>RET-03797</v>
          </cell>
          <cell r="B26">
            <v>0</v>
          </cell>
          <cell r="C26">
            <v>0</v>
          </cell>
          <cell r="D26">
            <v>0</v>
          </cell>
          <cell r="E26">
            <v>4</v>
          </cell>
          <cell r="F26">
            <v>3</v>
          </cell>
          <cell r="G26">
            <v>5</v>
          </cell>
          <cell r="H26">
            <v>2</v>
          </cell>
          <cell r="I26">
            <v>2</v>
          </cell>
        </row>
        <row r="27">
          <cell r="A27" t="str">
            <v>RET-03827</v>
          </cell>
          <cell r="B27">
            <v>0</v>
          </cell>
          <cell r="C27">
            <v>4</v>
          </cell>
          <cell r="D27">
            <v>0</v>
          </cell>
          <cell r="E27">
            <v>4</v>
          </cell>
          <cell r="F27">
            <v>4</v>
          </cell>
          <cell r="G27">
            <v>8</v>
          </cell>
          <cell r="H27">
            <v>4</v>
          </cell>
          <cell r="I27">
            <v>0</v>
          </cell>
        </row>
        <row r="28">
          <cell r="A28" t="str">
            <v>RET-03886</v>
          </cell>
          <cell r="B28">
            <v>0</v>
          </cell>
          <cell r="C28">
            <v>2</v>
          </cell>
          <cell r="D28">
            <v>0</v>
          </cell>
          <cell r="E28">
            <v>4</v>
          </cell>
          <cell r="F28">
            <v>2</v>
          </cell>
          <cell r="G28">
            <v>4</v>
          </cell>
          <cell r="H28">
            <v>0</v>
          </cell>
          <cell r="I28">
            <v>3</v>
          </cell>
        </row>
        <row r="29">
          <cell r="A29" t="str">
            <v>RET-04039</v>
          </cell>
          <cell r="B29">
            <v>1</v>
          </cell>
          <cell r="C29">
            <v>0</v>
          </cell>
          <cell r="D29">
            <v>0</v>
          </cell>
          <cell r="E29">
            <v>1</v>
          </cell>
          <cell r="F29">
            <v>0</v>
          </cell>
          <cell r="G29">
            <v>1</v>
          </cell>
          <cell r="H29">
            <v>1</v>
          </cell>
          <cell r="I29">
            <v>1</v>
          </cell>
        </row>
        <row r="30">
          <cell r="A30" t="str">
            <v>RET-04075</v>
          </cell>
          <cell r="B30">
            <v>2</v>
          </cell>
          <cell r="C30">
            <v>0</v>
          </cell>
          <cell r="D30">
            <v>0</v>
          </cell>
          <cell r="E30">
            <v>3</v>
          </cell>
          <cell r="F30">
            <v>3</v>
          </cell>
          <cell r="G30">
            <v>3</v>
          </cell>
          <cell r="H30">
            <v>5</v>
          </cell>
          <cell r="I30">
            <v>2</v>
          </cell>
        </row>
        <row r="31">
          <cell r="A31" t="str">
            <v>RET-04177</v>
          </cell>
          <cell r="B31">
            <v>0</v>
          </cell>
          <cell r="C31">
            <v>0</v>
          </cell>
          <cell r="D31">
            <v>0</v>
          </cell>
          <cell r="E31">
            <v>2</v>
          </cell>
          <cell r="F31">
            <v>0</v>
          </cell>
          <cell r="G31">
            <v>3</v>
          </cell>
          <cell r="H31">
            <v>0</v>
          </cell>
          <cell r="I31">
            <v>0</v>
          </cell>
        </row>
        <row r="32">
          <cell r="A32" t="str">
            <v>RET-14298</v>
          </cell>
          <cell r="B32">
            <v>1</v>
          </cell>
          <cell r="C32">
            <v>1</v>
          </cell>
          <cell r="D32">
            <v>1</v>
          </cell>
          <cell r="E32">
            <v>26</v>
          </cell>
          <cell r="F32">
            <v>3</v>
          </cell>
          <cell r="G32">
            <v>8</v>
          </cell>
          <cell r="H32">
            <v>2</v>
          </cell>
          <cell r="I32">
            <v>6</v>
          </cell>
        </row>
        <row r="33">
          <cell r="A33" t="str">
            <v>RET-14535</v>
          </cell>
          <cell r="B33">
            <v>0</v>
          </cell>
          <cell r="C33">
            <v>0</v>
          </cell>
          <cell r="D33">
            <v>0</v>
          </cell>
          <cell r="E33">
            <v>15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</row>
        <row r="34">
          <cell r="A34" t="str">
            <v>RET-19281</v>
          </cell>
          <cell r="B34">
            <v>0</v>
          </cell>
          <cell r="C34">
            <v>2</v>
          </cell>
          <cell r="D34">
            <v>0</v>
          </cell>
          <cell r="E34">
            <v>7</v>
          </cell>
          <cell r="F34">
            <v>2</v>
          </cell>
          <cell r="G34">
            <v>0</v>
          </cell>
          <cell r="H34">
            <v>1</v>
          </cell>
          <cell r="I34">
            <v>5</v>
          </cell>
        </row>
        <row r="35">
          <cell r="A35" t="str">
            <v>RET-03166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3</v>
          </cell>
          <cell r="H35">
            <v>2</v>
          </cell>
          <cell r="I35">
            <v>0</v>
          </cell>
        </row>
        <row r="36">
          <cell r="A36" t="str">
            <v>RET-03170</v>
          </cell>
          <cell r="B36">
            <v>0</v>
          </cell>
          <cell r="C36">
            <v>0</v>
          </cell>
          <cell r="D36">
            <v>0</v>
          </cell>
          <cell r="E36">
            <v>3</v>
          </cell>
          <cell r="F36">
            <v>1</v>
          </cell>
          <cell r="G36">
            <v>1</v>
          </cell>
          <cell r="H36">
            <v>11</v>
          </cell>
          <cell r="I36">
            <v>8</v>
          </cell>
        </row>
        <row r="37">
          <cell r="A37" t="str">
            <v>RET-03235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</row>
        <row r="38">
          <cell r="A38" t="str">
            <v>RET-03363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</row>
        <row r="39">
          <cell r="A39" t="str">
            <v>RET-06333</v>
          </cell>
          <cell r="B39">
            <v>0</v>
          </cell>
          <cell r="C39">
            <v>0</v>
          </cell>
          <cell r="D39">
            <v>0</v>
          </cell>
          <cell r="E39">
            <v>3</v>
          </cell>
          <cell r="F39">
            <v>1</v>
          </cell>
          <cell r="G39">
            <v>6</v>
          </cell>
          <cell r="H39">
            <v>1</v>
          </cell>
          <cell r="I39">
            <v>0</v>
          </cell>
        </row>
        <row r="40">
          <cell r="A40" t="str">
            <v>RET-06334</v>
          </cell>
          <cell r="B40">
            <v>0</v>
          </cell>
          <cell r="C40">
            <v>0</v>
          </cell>
          <cell r="D40">
            <v>0</v>
          </cell>
          <cell r="E40">
            <v>2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A41" t="str">
            <v>RET-06345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2</v>
          </cell>
        </row>
        <row r="42">
          <cell r="A42" t="str">
            <v>RET-06682</v>
          </cell>
          <cell r="B42">
            <v>0</v>
          </cell>
          <cell r="C42">
            <v>2</v>
          </cell>
          <cell r="D42">
            <v>0</v>
          </cell>
          <cell r="E42">
            <v>2</v>
          </cell>
          <cell r="F42">
            <v>0</v>
          </cell>
          <cell r="G42">
            <v>5</v>
          </cell>
          <cell r="H42">
            <v>0</v>
          </cell>
          <cell r="I42">
            <v>0</v>
          </cell>
        </row>
        <row r="43">
          <cell r="A43" t="str">
            <v>RET-06821</v>
          </cell>
          <cell r="B43">
            <v>0</v>
          </cell>
          <cell r="C43">
            <v>2</v>
          </cell>
          <cell r="D43">
            <v>0</v>
          </cell>
          <cell r="E43">
            <v>6</v>
          </cell>
          <cell r="F43">
            <v>1</v>
          </cell>
          <cell r="G43">
            <v>3</v>
          </cell>
          <cell r="H43">
            <v>2</v>
          </cell>
          <cell r="I43">
            <v>1</v>
          </cell>
        </row>
        <row r="44">
          <cell r="A44" t="str">
            <v>RET-07034</v>
          </cell>
          <cell r="B44">
            <v>0</v>
          </cell>
          <cell r="C44">
            <v>0</v>
          </cell>
          <cell r="D44">
            <v>0</v>
          </cell>
          <cell r="E44">
            <v>5</v>
          </cell>
          <cell r="F44">
            <v>0</v>
          </cell>
          <cell r="G44">
            <v>8</v>
          </cell>
          <cell r="H44">
            <v>0</v>
          </cell>
          <cell r="I44">
            <v>2</v>
          </cell>
        </row>
        <row r="45">
          <cell r="A45" t="str">
            <v>RET-07052</v>
          </cell>
          <cell r="B45">
            <v>1</v>
          </cell>
          <cell r="C45">
            <v>0</v>
          </cell>
          <cell r="D45">
            <v>0</v>
          </cell>
          <cell r="E45">
            <v>5</v>
          </cell>
          <cell r="F45">
            <v>1</v>
          </cell>
          <cell r="G45">
            <v>8</v>
          </cell>
          <cell r="H45">
            <v>2</v>
          </cell>
          <cell r="I45">
            <v>1</v>
          </cell>
        </row>
        <row r="46">
          <cell r="A46" t="str">
            <v>RET-07066</v>
          </cell>
          <cell r="B46">
            <v>0</v>
          </cell>
          <cell r="C46">
            <v>1</v>
          </cell>
          <cell r="D46">
            <v>0</v>
          </cell>
          <cell r="E46">
            <v>2</v>
          </cell>
          <cell r="F46">
            <v>2</v>
          </cell>
          <cell r="G46">
            <v>8</v>
          </cell>
          <cell r="H46">
            <v>1</v>
          </cell>
          <cell r="I46">
            <v>0</v>
          </cell>
        </row>
        <row r="47">
          <cell r="A47" t="str">
            <v>RET-07068</v>
          </cell>
          <cell r="B47">
            <v>0</v>
          </cell>
          <cell r="C47">
            <v>0</v>
          </cell>
          <cell r="D47">
            <v>0</v>
          </cell>
          <cell r="E47">
            <v>6</v>
          </cell>
          <cell r="F47">
            <v>0</v>
          </cell>
          <cell r="G47">
            <v>5</v>
          </cell>
          <cell r="H47">
            <v>0</v>
          </cell>
          <cell r="I47">
            <v>0</v>
          </cell>
        </row>
        <row r="48">
          <cell r="A48" t="str">
            <v>RET-07074</v>
          </cell>
          <cell r="B48">
            <v>1</v>
          </cell>
          <cell r="C48">
            <v>0</v>
          </cell>
          <cell r="D48">
            <v>0</v>
          </cell>
          <cell r="E48">
            <v>4</v>
          </cell>
          <cell r="F48">
            <v>2</v>
          </cell>
          <cell r="G48">
            <v>3</v>
          </cell>
          <cell r="H48">
            <v>11</v>
          </cell>
          <cell r="I48">
            <v>1</v>
          </cell>
        </row>
        <row r="49">
          <cell r="A49" t="str">
            <v>RET-07090</v>
          </cell>
          <cell r="B49">
            <v>0</v>
          </cell>
          <cell r="C49">
            <v>3</v>
          </cell>
          <cell r="D49">
            <v>0</v>
          </cell>
          <cell r="E49">
            <v>4</v>
          </cell>
          <cell r="F49">
            <v>3</v>
          </cell>
          <cell r="G49">
            <v>1</v>
          </cell>
          <cell r="H49">
            <v>1</v>
          </cell>
          <cell r="I49">
            <v>0</v>
          </cell>
        </row>
        <row r="50">
          <cell r="A50" t="str">
            <v>RET-07122</v>
          </cell>
          <cell r="B50">
            <v>0</v>
          </cell>
          <cell r="C50">
            <v>0</v>
          </cell>
          <cell r="D50">
            <v>0</v>
          </cell>
          <cell r="E50">
            <v>1</v>
          </cell>
          <cell r="F50">
            <v>3</v>
          </cell>
          <cell r="G50">
            <v>6</v>
          </cell>
          <cell r="H50">
            <v>3</v>
          </cell>
          <cell r="I50">
            <v>2</v>
          </cell>
        </row>
        <row r="51">
          <cell r="A51" t="str">
            <v>RET-07147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5</v>
          </cell>
          <cell r="I51">
            <v>0</v>
          </cell>
        </row>
        <row r="52">
          <cell r="A52" t="str">
            <v>RET-07186</v>
          </cell>
          <cell r="B52">
            <v>2</v>
          </cell>
          <cell r="C52">
            <v>1</v>
          </cell>
          <cell r="D52">
            <v>0</v>
          </cell>
          <cell r="E52">
            <v>5</v>
          </cell>
          <cell r="F52">
            <v>0</v>
          </cell>
          <cell r="G52">
            <v>4</v>
          </cell>
          <cell r="H52">
            <v>4</v>
          </cell>
          <cell r="I52">
            <v>2</v>
          </cell>
        </row>
        <row r="53">
          <cell r="A53" t="str">
            <v>RET-07330</v>
          </cell>
          <cell r="B53">
            <v>0</v>
          </cell>
          <cell r="C53">
            <v>0</v>
          </cell>
          <cell r="D53">
            <v>0</v>
          </cell>
          <cell r="E53">
            <v>7</v>
          </cell>
          <cell r="F53">
            <v>0</v>
          </cell>
          <cell r="G53">
            <v>3</v>
          </cell>
          <cell r="H53">
            <v>1</v>
          </cell>
          <cell r="I53">
            <v>0</v>
          </cell>
        </row>
        <row r="54">
          <cell r="A54" t="str">
            <v>RET-07331</v>
          </cell>
          <cell r="B54">
            <v>1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2</v>
          </cell>
          <cell r="H54">
            <v>0</v>
          </cell>
          <cell r="I54">
            <v>2</v>
          </cell>
        </row>
        <row r="55">
          <cell r="A55" t="str">
            <v>RET-07337</v>
          </cell>
          <cell r="B55">
            <v>1</v>
          </cell>
          <cell r="C55">
            <v>1</v>
          </cell>
          <cell r="D55">
            <v>0</v>
          </cell>
          <cell r="E55">
            <v>5</v>
          </cell>
          <cell r="F55">
            <v>1</v>
          </cell>
          <cell r="G55">
            <v>11</v>
          </cell>
          <cell r="H55">
            <v>1</v>
          </cell>
          <cell r="I55">
            <v>4</v>
          </cell>
        </row>
        <row r="56">
          <cell r="A56" t="str">
            <v>RET-07341</v>
          </cell>
          <cell r="B56">
            <v>0</v>
          </cell>
          <cell r="C56">
            <v>0</v>
          </cell>
          <cell r="D56">
            <v>0</v>
          </cell>
          <cell r="E56">
            <v>6</v>
          </cell>
          <cell r="F56">
            <v>0</v>
          </cell>
          <cell r="G56">
            <v>5</v>
          </cell>
          <cell r="H56">
            <v>2</v>
          </cell>
          <cell r="I56">
            <v>1</v>
          </cell>
        </row>
        <row r="57">
          <cell r="A57" t="str">
            <v>RET-07372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3</v>
          </cell>
          <cell r="H57">
            <v>1</v>
          </cell>
          <cell r="I57">
            <v>1</v>
          </cell>
        </row>
        <row r="58">
          <cell r="A58" t="str">
            <v>RET-07435</v>
          </cell>
          <cell r="B58">
            <v>0</v>
          </cell>
          <cell r="C58">
            <v>0</v>
          </cell>
          <cell r="D58">
            <v>1</v>
          </cell>
          <cell r="E58">
            <v>1</v>
          </cell>
          <cell r="F58">
            <v>0</v>
          </cell>
          <cell r="G58">
            <v>9</v>
          </cell>
          <cell r="H58">
            <v>3</v>
          </cell>
          <cell r="I58">
            <v>0</v>
          </cell>
        </row>
        <row r="59">
          <cell r="A59" t="str">
            <v>RET-07464</v>
          </cell>
          <cell r="B59">
            <v>0</v>
          </cell>
          <cell r="C59">
            <v>2</v>
          </cell>
          <cell r="D59">
            <v>0</v>
          </cell>
          <cell r="E59">
            <v>4</v>
          </cell>
          <cell r="F59">
            <v>1</v>
          </cell>
          <cell r="G59">
            <v>2</v>
          </cell>
          <cell r="H59">
            <v>0</v>
          </cell>
          <cell r="I59">
            <v>4</v>
          </cell>
        </row>
        <row r="60">
          <cell r="A60" t="str">
            <v xml:space="preserve">RET-07515 </v>
          </cell>
          <cell r="B60">
            <v>0</v>
          </cell>
          <cell r="C60">
            <v>0</v>
          </cell>
          <cell r="D60">
            <v>0</v>
          </cell>
          <cell r="E60">
            <v>2</v>
          </cell>
          <cell r="F60">
            <v>0</v>
          </cell>
          <cell r="G60">
            <v>10</v>
          </cell>
          <cell r="H60">
            <v>7</v>
          </cell>
          <cell r="I60">
            <v>0</v>
          </cell>
        </row>
        <row r="61">
          <cell r="A61" t="str">
            <v>RET-11666</v>
          </cell>
          <cell r="B61">
            <v>0</v>
          </cell>
          <cell r="C61">
            <v>1</v>
          </cell>
          <cell r="D61">
            <v>0</v>
          </cell>
          <cell r="E61">
            <v>4</v>
          </cell>
          <cell r="F61">
            <v>1</v>
          </cell>
          <cell r="G61">
            <v>7</v>
          </cell>
          <cell r="H61">
            <v>2</v>
          </cell>
          <cell r="I61">
            <v>1</v>
          </cell>
        </row>
        <row r="62">
          <cell r="A62" t="str">
            <v>RET-14096</v>
          </cell>
          <cell r="B62">
            <v>2</v>
          </cell>
          <cell r="C62">
            <v>0</v>
          </cell>
          <cell r="D62">
            <v>0</v>
          </cell>
          <cell r="E62">
            <v>7</v>
          </cell>
          <cell r="F62">
            <v>4</v>
          </cell>
          <cell r="G62">
            <v>3</v>
          </cell>
          <cell r="H62">
            <v>2</v>
          </cell>
          <cell r="I62">
            <v>2</v>
          </cell>
        </row>
        <row r="63">
          <cell r="A63" t="str">
            <v>RET-14102</v>
          </cell>
          <cell r="B63">
            <v>0</v>
          </cell>
          <cell r="C63">
            <v>0</v>
          </cell>
          <cell r="D63">
            <v>0</v>
          </cell>
          <cell r="E63">
            <v>6</v>
          </cell>
          <cell r="F63">
            <v>0</v>
          </cell>
          <cell r="G63">
            <v>5</v>
          </cell>
          <cell r="H63">
            <v>1</v>
          </cell>
          <cell r="I63">
            <v>1</v>
          </cell>
        </row>
        <row r="64">
          <cell r="A64" t="str">
            <v>RET-14715</v>
          </cell>
          <cell r="B64">
            <v>1</v>
          </cell>
          <cell r="C64">
            <v>0</v>
          </cell>
          <cell r="D64">
            <v>0</v>
          </cell>
          <cell r="E64">
            <v>6</v>
          </cell>
          <cell r="F64">
            <v>0</v>
          </cell>
          <cell r="G64">
            <v>2</v>
          </cell>
          <cell r="H64">
            <v>0</v>
          </cell>
          <cell r="I64">
            <v>0</v>
          </cell>
        </row>
        <row r="65">
          <cell r="A65" t="str">
            <v>RET-20312</v>
          </cell>
          <cell r="B65">
            <v>0</v>
          </cell>
          <cell r="C65">
            <v>0</v>
          </cell>
          <cell r="D65">
            <v>0</v>
          </cell>
          <cell r="E65">
            <v>1</v>
          </cell>
          <cell r="F65">
            <v>1</v>
          </cell>
          <cell r="G65">
            <v>0</v>
          </cell>
          <cell r="H65">
            <v>0</v>
          </cell>
          <cell r="I65">
            <v>0</v>
          </cell>
        </row>
        <row r="66">
          <cell r="A66" t="str">
            <v>RET-20530</v>
          </cell>
          <cell r="B66">
            <v>0</v>
          </cell>
          <cell r="C66">
            <v>0</v>
          </cell>
          <cell r="D66">
            <v>0</v>
          </cell>
          <cell r="E66">
            <v>2</v>
          </cell>
          <cell r="F66">
            <v>1</v>
          </cell>
          <cell r="G66">
            <v>4</v>
          </cell>
          <cell r="H66">
            <v>2</v>
          </cell>
          <cell r="I66">
            <v>2</v>
          </cell>
        </row>
        <row r="67">
          <cell r="A67" t="str">
            <v>TMP-00001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A68" t="str">
            <v>RET-03012</v>
          </cell>
          <cell r="B68">
            <v>1</v>
          </cell>
          <cell r="C68">
            <v>0</v>
          </cell>
          <cell r="D68">
            <v>1</v>
          </cell>
          <cell r="E68">
            <v>5</v>
          </cell>
          <cell r="F68">
            <v>1</v>
          </cell>
          <cell r="G68">
            <v>5</v>
          </cell>
          <cell r="H68">
            <v>3</v>
          </cell>
          <cell r="I68">
            <v>5</v>
          </cell>
        </row>
        <row r="69">
          <cell r="A69" t="str">
            <v>RET-03036</v>
          </cell>
          <cell r="B69">
            <v>0</v>
          </cell>
          <cell r="C69">
            <v>0</v>
          </cell>
          <cell r="D69">
            <v>0</v>
          </cell>
          <cell r="E69">
            <v>5</v>
          </cell>
          <cell r="F69">
            <v>1</v>
          </cell>
          <cell r="G69">
            <v>6</v>
          </cell>
          <cell r="H69">
            <v>7</v>
          </cell>
          <cell r="I69">
            <v>3</v>
          </cell>
        </row>
        <row r="70">
          <cell r="A70" t="str">
            <v>RET-03044</v>
          </cell>
          <cell r="B70">
            <v>0</v>
          </cell>
          <cell r="C70">
            <v>0</v>
          </cell>
          <cell r="D70">
            <v>1</v>
          </cell>
          <cell r="E70">
            <v>3</v>
          </cell>
          <cell r="F70">
            <v>3</v>
          </cell>
          <cell r="G70">
            <v>2</v>
          </cell>
          <cell r="H70">
            <v>8</v>
          </cell>
          <cell r="I70">
            <v>0</v>
          </cell>
        </row>
        <row r="71">
          <cell r="A71" t="str">
            <v>RET-03065</v>
          </cell>
          <cell r="B71">
            <v>0</v>
          </cell>
          <cell r="C71">
            <v>0</v>
          </cell>
          <cell r="D71">
            <v>0</v>
          </cell>
          <cell r="E71">
            <v>3</v>
          </cell>
          <cell r="F71">
            <v>3</v>
          </cell>
          <cell r="G71">
            <v>4</v>
          </cell>
          <cell r="H71">
            <v>9</v>
          </cell>
          <cell r="I71">
            <v>0</v>
          </cell>
        </row>
        <row r="72">
          <cell r="A72" t="str">
            <v>RET-05192</v>
          </cell>
          <cell r="B72">
            <v>1</v>
          </cell>
          <cell r="C72">
            <v>3</v>
          </cell>
          <cell r="D72">
            <v>0</v>
          </cell>
          <cell r="E72">
            <v>4</v>
          </cell>
          <cell r="F72">
            <v>1</v>
          </cell>
          <cell r="G72">
            <v>5</v>
          </cell>
          <cell r="H72">
            <v>0</v>
          </cell>
          <cell r="I72">
            <v>2</v>
          </cell>
        </row>
        <row r="73">
          <cell r="A73" t="str">
            <v>RET-05249</v>
          </cell>
          <cell r="B73">
            <v>1</v>
          </cell>
          <cell r="C73">
            <v>4</v>
          </cell>
          <cell r="D73">
            <v>0</v>
          </cell>
          <cell r="E73">
            <v>23</v>
          </cell>
          <cell r="F73">
            <v>9</v>
          </cell>
          <cell r="G73">
            <v>16</v>
          </cell>
          <cell r="H73">
            <v>5</v>
          </cell>
          <cell r="I73">
            <v>3</v>
          </cell>
        </row>
        <row r="74">
          <cell r="A74" t="str">
            <v>RET-05250</v>
          </cell>
          <cell r="B74">
            <v>0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1</v>
          </cell>
          <cell r="H74">
            <v>3</v>
          </cell>
          <cell r="I74">
            <v>1</v>
          </cell>
        </row>
        <row r="75">
          <cell r="A75" t="str">
            <v>RET-05279</v>
          </cell>
          <cell r="B75">
            <v>0</v>
          </cell>
          <cell r="C75">
            <v>0</v>
          </cell>
          <cell r="D75">
            <v>0</v>
          </cell>
          <cell r="E75">
            <v>3</v>
          </cell>
          <cell r="F75">
            <v>5</v>
          </cell>
          <cell r="G75">
            <v>2</v>
          </cell>
          <cell r="H75">
            <v>3</v>
          </cell>
          <cell r="I75">
            <v>0</v>
          </cell>
        </row>
        <row r="76">
          <cell r="A76" t="str">
            <v>RET-05395</v>
          </cell>
          <cell r="B76">
            <v>1</v>
          </cell>
          <cell r="C76">
            <v>3</v>
          </cell>
          <cell r="D76">
            <v>0</v>
          </cell>
          <cell r="E76">
            <v>5</v>
          </cell>
          <cell r="F76">
            <v>1</v>
          </cell>
          <cell r="G76">
            <v>3</v>
          </cell>
          <cell r="H76">
            <v>4</v>
          </cell>
          <cell r="I76">
            <v>0</v>
          </cell>
        </row>
        <row r="77">
          <cell r="A77" t="str">
            <v>RET-05421</v>
          </cell>
          <cell r="B77">
            <v>1</v>
          </cell>
          <cell r="C77">
            <v>0</v>
          </cell>
          <cell r="D77">
            <v>0</v>
          </cell>
          <cell r="E77">
            <v>1</v>
          </cell>
          <cell r="F77">
            <v>0</v>
          </cell>
          <cell r="G77">
            <v>0</v>
          </cell>
          <cell r="H77">
            <v>2</v>
          </cell>
          <cell r="I77">
            <v>0</v>
          </cell>
        </row>
        <row r="78">
          <cell r="A78" t="str">
            <v>RET-05460</v>
          </cell>
          <cell r="B78">
            <v>0</v>
          </cell>
          <cell r="C78">
            <v>0</v>
          </cell>
          <cell r="D78">
            <v>0</v>
          </cell>
          <cell r="E78">
            <v>1</v>
          </cell>
          <cell r="F78">
            <v>1</v>
          </cell>
          <cell r="G78">
            <v>0</v>
          </cell>
          <cell r="H78">
            <v>2</v>
          </cell>
          <cell r="I78">
            <v>1</v>
          </cell>
        </row>
        <row r="79">
          <cell r="A79" t="str">
            <v>RET-05465</v>
          </cell>
          <cell r="B79">
            <v>0</v>
          </cell>
          <cell r="C79">
            <v>0</v>
          </cell>
          <cell r="D79">
            <v>0</v>
          </cell>
          <cell r="E79">
            <v>3</v>
          </cell>
          <cell r="F79">
            <v>2</v>
          </cell>
          <cell r="G79">
            <v>5</v>
          </cell>
          <cell r="H79">
            <v>5</v>
          </cell>
          <cell r="I79">
            <v>1</v>
          </cell>
        </row>
        <row r="80">
          <cell r="A80" t="str">
            <v>RET-05599</v>
          </cell>
          <cell r="B80">
            <v>0</v>
          </cell>
          <cell r="C80">
            <v>0</v>
          </cell>
          <cell r="D80">
            <v>0</v>
          </cell>
          <cell r="E80">
            <v>8</v>
          </cell>
          <cell r="F80">
            <v>3</v>
          </cell>
          <cell r="G80">
            <v>2</v>
          </cell>
          <cell r="H80">
            <v>0</v>
          </cell>
          <cell r="I80">
            <v>2</v>
          </cell>
        </row>
        <row r="81">
          <cell r="A81" t="str">
            <v>RET-06188</v>
          </cell>
          <cell r="B81">
            <v>0</v>
          </cell>
          <cell r="C81">
            <v>0</v>
          </cell>
          <cell r="D81">
            <v>0</v>
          </cell>
          <cell r="E81">
            <v>3</v>
          </cell>
          <cell r="F81">
            <v>4</v>
          </cell>
          <cell r="G81">
            <v>6</v>
          </cell>
          <cell r="H81">
            <v>5</v>
          </cell>
          <cell r="I81">
            <v>1</v>
          </cell>
        </row>
        <row r="82">
          <cell r="A82" t="str">
            <v>RET-06192</v>
          </cell>
          <cell r="B82">
            <v>1</v>
          </cell>
          <cell r="C82">
            <v>2</v>
          </cell>
          <cell r="D82">
            <v>0</v>
          </cell>
          <cell r="E82">
            <v>6</v>
          </cell>
          <cell r="F82">
            <v>1</v>
          </cell>
          <cell r="G82">
            <v>5</v>
          </cell>
          <cell r="H82">
            <v>11</v>
          </cell>
          <cell r="I82">
            <v>1</v>
          </cell>
        </row>
        <row r="83">
          <cell r="A83" t="str">
            <v>RET-06204</v>
          </cell>
          <cell r="B83">
            <v>0</v>
          </cell>
          <cell r="C83">
            <v>0</v>
          </cell>
          <cell r="D83">
            <v>0</v>
          </cell>
          <cell r="E83">
            <v>1</v>
          </cell>
          <cell r="F83">
            <v>2</v>
          </cell>
          <cell r="G83">
            <v>2</v>
          </cell>
          <cell r="H83">
            <v>1</v>
          </cell>
          <cell r="I83">
            <v>0</v>
          </cell>
        </row>
        <row r="84">
          <cell r="A84" t="str">
            <v>RET-06216</v>
          </cell>
          <cell r="B84">
            <v>0</v>
          </cell>
          <cell r="C84">
            <v>2</v>
          </cell>
          <cell r="D84">
            <v>0</v>
          </cell>
          <cell r="E84">
            <v>4</v>
          </cell>
          <cell r="F84">
            <v>3</v>
          </cell>
          <cell r="G84">
            <v>2</v>
          </cell>
          <cell r="H84">
            <v>4</v>
          </cell>
          <cell r="I84">
            <v>4</v>
          </cell>
        </row>
        <row r="85">
          <cell r="A85" t="str">
            <v>RET-06277</v>
          </cell>
          <cell r="B85">
            <v>0</v>
          </cell>
          <cell r="C85">
            <v>1</v>
          </cell>
          <cell r="D85">
            <v>0</v>
          </cell>
          <cell r="E85">
            <v>3</v>
          </cell>
          <cell r="F85">
            <v>3</v>
          </cell>
          <cell r="G85">
            <v>4</v>
          </cell>
          <cell r="H85">
            <v>2</v>
          </cell>
          <cell r="I85">
            <v>0</v>
          </cell>
        </row>
        <row r="86">
          <cell r="A86" t="str">
            <v>RET-13497</v>
          </cell>
          <cell r="B86">
            <v>0</v>
          </cell>
          <cell r="C86">
            <v>0</v>
          </cell>
          <cell r="D86">
            <v>0</v>
          </cell>
          <cell r="E86">
            <v>2</v>
          </cell>
          <cell r="F86">
            <v>0</v>
          </cell>
          <cell r="G86">
            <v>2</v>
          </cell>
          <cell r="H86">
            <v>0</v>
          </cell>
          <cell r="I86">
            <v>0</v>
          </cell>
        </row>
        <row r="87">
          <cell r="A87" t="str">
            <v>RET-18776</v>
          </cell>
          <cell r="B87">
            <v>1</v>
          </cell>
          <cell r="C87">
            <v>1</v>
          </cell>
          <cell r="D87">
            <v>0</v>
          </cell>
          <cell r="E87">
            <v>3</v>
          </cell>
          <cell r="F87">
            <v>2</v>
          </cell>
          <cell r="G87">
            <v>3</v>
          </cell>
          <cell r="H87">
            <v>1</v>
          </cell>
          <cell r="I87">
            <v>1</v>
          </cell>
        </row>
        <row r="88">
          <cell r="A88" t="str">
            <v>RET-21185</v>
          </cell>
          <cell r="B88">
            <v>0</v>
          </cell>
          <cell r="C88">
            <v>2</v>
          </cell>
          <cell r="D88">
            <v>0</v>
          </cell>
          <cell r="E88">
            <v>1</v>
          </cell>
          <cell r="F88">
            <v>1</v>
          </cell>
          <cell r="G88">
            <v>2</v>
          </cell>
          <cell r="H88">
            <v>2</v>
          </cell>
          <cell r="I88">
            <v>0</v>
          </cell>
        </row>
        <row r="89">
          <cell r="A89" t="str">
            <v>RET-08926</v>
          </cell>
          <cell r="B89">
            <v>0</v>
          </cell>
          <cell r="C89">
            <v>1</v>
          </cell>
          <cell r="D89">
            <v>0</v>
          </cell>
          <cell r="E89">
            <v>9</v>
          </cell>
          <cell r="F89">
            <v>2</v>
          </cell>
          <cell r="G89">
            <v>6</v>
          </cell>
          <cell r="H89">
            <v>2</v>
          </cell>
          <cell r="I89">
            <v>5</v>
          </cell>
        </row>
        <row r="90">
          <cell r="A90" t="str">
            <v>RET-08928</v>
          </cell>
          <cell r="B90">
            <v>3</v>
          </cell>
          <cell r="C90">
            <v>4</v>
          </cell>
          <cell r="D90">
            <v>0</v>
          </cell>
          <cell r="E90">
            <v>14</v>
          </cell>
          <cell r="F90">
            <v>3</v>
          </cell>
          <cell r="G90">
            <v>20</v>
          </cell>
          <cell r="H90">
            <v>7</v>
          </cell>
          <cell r="I90">
            <v>2</v>
          </cell>
        </row>
        <row r="91">
          <cell r="A91" t="str">
            <v>RET-08970</v>
          </cell>
          <cell r="B91">
            <v>0</v>
          </cell>
          <cell r="C91">
            <v>2</v>
          </cell>
          <cell r="D91">
            <v>0</v>
          </cell>
          <cell r="E91">
            <v>3</v>
          </cell>
          <cell r="F91">
            <v>2</v>
          </cell>
          <cell r="G91">
            <v>1</v>
          </cell>
          <cell r="H91">
            <v>0</v>
          </cell>
          <cell r="I91">
            <v>1</v>
          </cell>
        </row>
        <row r="92">
          <cell r="A92" t="str">
            <v>RET-09068</v>
          </cell>
          <cell r="B92">
            <v>0</v>
          </cell>
          <cell r="C92">
            <v>2</v>
          </cell>
          <cell r="D92">
            <v>0</v>
          </cell>
          <cell r="E92">
            <v>4</v>
          </cell>
          <cell r="F92">
            <v>1</v>
          </cell>
          <cell r="G92">
            <v>12</v>
          </cell>
          <cell r="H92">
            <v>3</v>
          </cell>
          <cell r="I92">
            <v>0</v>
          </cell>
        </row>
        <row r="93">
          <cell r="A93" t="str">
            <v>RET-09146</v>
          </cell>
          <cell r="B93">
            <v>0</v>
          </cell>
          <cell r="C93">
            <v>0</v>
          </cell>
          <cell r="D93">
            <v>0</v>
          </cell>
          <cell r="E93">
            <v>4</v>
          </cell>
          <cell r="F93">
            <v>2</v>
          </cell>
          <cell r="G93">
            <v>5</v>
          </cell>
          <cell r="H93">
            <v>1</v>
          </cell>
          <cell r="I93">
            <v>0</v>
          </cell>
        </row>
        <row r="94">
          <cell r="A94" t="str">
            <v>RET-09150</v>
          </cell>
          <cell r="B94">
            <v>0</v>
          </cell>
          <cell r="C94">
            <v>0</v>
          </cell>
          <cell r="D94">
            <v>1</v>
          </cell>
          <cell r="E94">
            <v>1</v>
          </cell>
          <cell r="F94">
            <v>0</v>
          </cell>
          <cell r="G94">
            <v>7</v>
          </cell>
          <cell r="H94">
            <v>3</v>
          </cell>
          <cell r="I94">
            <v>2</v>
          </cell>
        </row>
        <row r="95">
          <cell r="A95" t="str">
            <v>RET-09363</v>
          </cell>
          <cell r="B95">
            <v>0</v>
          </cell>
          <cell r="C95">
            <v>0</v>
          </cell>
          <cell r="D95">
            <v>0</v>
          </cell>
          <cell r="E95">
            <v>2</v>
          </cell>
          <cell r="F95">
            <v>0</v>
          </cell>
          <cell r="G95">
            <v>6</v>
          </cell>
          <cell r="H95">
            <v>0</v>
          </cell>
          <cell r="I95">
            <v>0</v>
          </cell>
        </row>
        <row r="96">
          <cell r="A96" t="str">
            <v>RET-09386</v>
          </cell>
          <cell r="B96">
            <v>1</v>
          </cell>
          <cell r="C96">
            <v>0</v>
          </cell>
          <cell r="D96">
            <v>0</v>
          </cell>
          <cell r="E96">
            <v>4</v>
          </cell>
          <cell r="F96">
            <v>5</v>
          </cell>
          <cell r="G96">
            <v>13</v>
          </cell>
          <cell r="H96">
            <v>2</v>
          </cell>
          <cell r="I96">
            <v>1</v>
          </cell>
        </row>
        <row r="97">
          <cell r="A97" t="str">
            <v>RET-09742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1</v>
          </cell>
          <cell r="H97">
            <v>0</v>
          </cell>
          <cell r="I97">
            <v>0</v>
          </cell>
        </row>
        <row r="98">
          <cell r="A98" t="str">
            <v>RET-09968</v>
          </cell>
          <cell r="B98">
            <v>0</v>
          </cell>
          <cell r="C98">
            <v>0</v>
          </cell>
          <cell r="D98">
            <v>0</v>
          </cell>
          <cell r="E98">
            <v>8</v>
          </cell>
          <cell r="F98">
            <v>1</v>
          </cell>
          <cell r="G98">
            <v>7</v>
          </cell>
          <cell r="H98">
            <v>1</v>
          </cell>
          <cell r="I98">
            <v>1</v>
          </cell>
        </row>
        <row r="99">
          <cell r="A99" t="str">
            <v>RET-10004</v>
          </cell>
          <cell r="B99">
            <v>0</v>
          </cell>
          <cell r="C99">
            <v>0</v>
          </cell>
          <cell r="D99">
            <v>0</v>
          </cell>
          <cell r="E99">
            <v>3</v>
          </cell>
          <cell r="F99">
            <v>2</v>
          </cell>
          <cell r="G99">
            <v>4</v>
          </cell>
          <cell r="H99">
            <v>3</v>
          </cell>
          <cell r="I99">
            <v>1</v>
          </cell>
        </row>
        <row r="100">
          <cell r="A100" t="str">
            <v>RET-10044</v>
          </cell>
          <cell r="B100">
            <v>0</v>
          </cell>
          <cell r="C100">
            <v>1</v>
          </cell>
          <cell r="D100">
            <v>0</v>
          </cell>
          <cell r="E100">
            <v>5</v>
          </cell>
          <cell r="F100">
            <v>0</v>
          </cell>
          <cell r="G100">
            <v>0</v>
          </cell>
          <cell r="H100">
            <v>0</v>
          </cell>
          <cell r="I100">
            <v>2</v>
          </cell>
        </row>
        <row r="101">
          <cell r="A101" t="str">
            <v>RET-20990</v>
          </cell>
          <cell r="B101">
            <v>1</v>
          </cell>
          <cell r="C101">
            <v>1</v>
          </cell>
          <cell r="D101">
            <v>1</v>
          </cell>
          <cell r="E101">
            <v>4</v>
          </cell>
          <cell r="F101">
            <v>3</v>
          </cell>
          <cell r="G101">
            <v>11</v>
          </cell>
          <cell r="H101">
            <v>2</v>
          </cell>
          <cell r="I101">
            <v>0</v>
          </cell>
        </row>
        <row r="102">
          <cell r="A102" t="str">
            <v>RET-18154</v>
          </cell>
          <cell r="B102">
            <v>0</v>
          </cell>
          <cell r="C102">
            <v>0</v>
          </cell>
          <cell r="D102">
            <v>0</v>
          </cell>
          <cell r="E102">
            <v>7</v>
          </cell>
          <cell r="F102">
            <v>2</v>
          </cell>
          <cell r="G102">
            <v>10</v>
          </cell>
          <cell r="H102">
            <v>3</v>
          </cell>
          <cell r="I102">
            <v>0</v>
          </cell>
        </row>
        <row r="103">
          <cell r="A103" t="str">
            <v>RET-21037</v>
          </cell>
          <cell r="B103">
            <v>0</v>
          </cell>
          <cell r="C103">
            <v>0</v>
          </cell>
          <cell r="D103">
            <v>0</v>
          </cell>
          <cell r="E103">
            <v>2</v>
          </cell>
          <cell r="F103">
            <v>0</v>
          </cell>
          <cell r="G103">
            <v>3</v>
          </cell>
          <cell r="H103">
            <v>3</v>
          </cell>
          <cell r="I103">
            <v>0</v>
          </cell>
        </row>
        <row r="104">
          <cell r="A104" t="str">
            <v>RET-00732</v>
          </cell>
          <cell r="B104">
            <v>7</v>
          </cell>
          <cell r="C104">
            <v>5</v>
          </cell>
          <cell r="D104">
            <v>1</v>
          </cell>
          <cell r="E104">
            <v>33</v>
          </cell>
          <cell r="F104">
            <v>16</v>
          </cell>
          <cell r="G104">
            <v>36</v>
          </cell>
          <cell r="H104">
            <v>18</v>
          </cell>
          <cell r="I104">
            <v>6</v>
          </cell>
        </row>
        <row r="105">
          <cell r="A105" t="str">
            <v>RET-00740</v>
          </cell>
          <cell r="B105">
            <v>3</v>
          </cell>
          <cell r="C105">
            <v>6</v>
          </cell>
          <cell r="D105">
            <v>0</v>
          </cell>
          <cell r="E105">
            <v>25</v>
          </cell>
          <cell r="F105">
            <v>11</v>
          </cell>
          <cell r="G105">
            <v>10</v>
          </cell>
          <cell r="H105">
            <v>20</v>
          </cell>
          <cell r="I105">
            <v>8</v>
          </cell>
        </row>
        <row r="106">
          <cell r="A106" t="str">
            <v>RET-00752</v>
          </cell>
          <cell r="B106">
            <v>5</v>
          </cell>
          <cell r="C106">
            <v>4</v>
          </cell>
          <cell r="D106">
            <v>0</v>
          </cell>
          <cell r="E106">
            <v>24</v>
          </cell>
          <cell r="F106">
            <v>9</v>
          </cell>
          <cell r="G106">
            <v>6</v>
          </cell>
          <cell r="H106">
            <v>20</v>
          </cell>
          <cell r="I106">
            <v>7</v>
          </cell>
        </row>
        <row r="107">
          <cell r="A107" t="str">
            <v>RET-00753</v>
          </cell>
          <cell r="B107">
            <v>0</v>
          </cell>
          <cell r="C107">
            <v>0</v>
          </cell>
          <cell r="D107">
            <v>0</v>
          </cell>
          <cell r="E107">
            <v>4</v>
          </cell>
          <cell r="F107">
            <v>0</v>
          </cell>
          <cell r="G107">
            <v>6</v>
          </cell>
          <cell r="H107">
            <v>1</v>
          </cell>
          <cell r="I107">
            <v>2</v>
          </cell>
        </row>
        <row r="108">
          <cell r="A108" t="str">
            <v>RET-00767</v>
          </cell>
          <cell r="B108">
            <v>0</v>
          </cell>
          <cell r="C108">
            <v>1</v>
          </cell>
          <cell r="D108">
            <v>0</v>
          </cell>
          <cell r="E108">
            <v>8</v>
          </cell>
          <cell r="F108">
            <v>3</v>
          </cell>
          <cell r="G108">
            <v>15</v>
          </cell>
          <cell r="H108">
            <v>12</v>
          </cell>
          <cell r="I108">
            <v>0</v>
          </cell>
        </row>
        <row r="109">
          <cell r="A109" t="str">
            <v>RET-00795</v>
          </cell>
          <cell r="B109">
            <v>2</v>
          </cell>
          <cell r="C109">
            <v>0</v>
          </cell>
          <cell r="D109">
            <v>0</v>
          </cell>
          <cell r="E109">
            <v>26</v>
          </cell>
          <cell r="F109">
            <v>0</v>
          </cell>
          <cell r="G109">
            <v>2</v>
          </cell>
          <cell r="H109">
            <v>15</v>
          </cell>
          <cell r="I109">
            <v>0</v>
          </cell>
        </row>
        <row r="110">
          <cell r="A110" t="str">
            <v>RET-00799</v>
          </cell>
          <cell r="B110">
            <v>1</v>
          </cell>
          <cell r="C110">
            <v>3</v>
          </cell>
          <cell r="D110">
            <v>0</v>
          </cell>
          <cell r="E110">
            <v>25</v>
          </cell>
          <cell r="F110">
            <v>3</v>
          </cell>
          <cell r="G110">
            <v>0</v>
          </cell>
          <cell r="H110">
            <v>10</v>
          </cell>
          <cell r="I110">
            <v>3</v>
          </cell>
        </row>
        <row r="111">
          <cell r="A111" t="str">
            <v>RET-00815</v>
          </cell>
          <cell r="B111">
            <v>1</v>
          </cell>
          <cell r="C111">
            <v>0</v>
          </cell>
          <cell r="D111">
            <v>0</v>
          </cell>
          <cell r="E111">
            <v>8</v>
          </cell>
          <cell r="F111">
            <v>3</v>
          </cell>
          <cell r="G111">
            <v>9</v>
          </cell>
          <cell r="H111">
            <v>9</v>
          </cell>
          <cell r="I111">
            <v>3</v>
          </cell>
        </row>
        <row r="112">
          <cell r="A112" t="str">
            <v>RET-00818</v>
          </cell>
          <cell r="B112">
            <v>0</v>
          </cell>
          <cell r="C112">
            <v>2</v>
          </cell>
          <cell r="D112">
            <v>0</v>
          </cell>
          <cell r="E112">
            <v>4</v>
          </cell>
          <cell r="F112">
            <v>15</v>
          </cell>
          <cell r="G112">
            <v>32</v>
          </cell>
          <cell r="H112">
            <v>21</v>
          </cell>
          <cell r="I112">
            <v>7</v>
          </cell>
        </row>
        <row r="113">
          <cell r="A113" t="str">
            <v>RET-00819</v>
          </cell>
          <cell r="B113">
            <v>0</v>
          </cell>
          <cell r="C113">
            <v>2</v>
          </cell>
          <cell r="D113">
            <v>0</v>
          </cell>
          <cell r="E113">
            <v>19</v>
          </cell>
          <cell r="F113">
            <v>10</v>
          </cell>
          <cell r="G113">
            <v>20</v>
          </cell>
          <cell r="H113">
            <v>36</v>
          </cell>
          <cell r="I113">
            <v>2</v>
          </cell>
        </row>
        <row r="114">
          <cell r="A114" t="str">
            <v>RET-00899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8</v>
          </cell>
          <cell r="G114">
            <v>0</v>
          </cell>
          <cell r="H114">
            <v>26</v>
          </cell>
          <cell r="I114">
            <v>2</v>
          </cell>
        </row>
        <row r="115">
          <cell r="A115" t="str">
            <v>RET-00904</v>
          </cell>
          <cell r="B115">
            <v>0</v>
          </cell>
          <cell r="C115">
            <v>2</v>
          </cell>
          <cell r="D115">
            <v>0</v>
          </cell>
          <cell r="E115">
            <v>3</v>
          </cell>
          <cell r="F115">
            <v>5</v>
          </cell>
          <cell r="G115">
            <v>0</v>
          </cell>
          <cell r="H115">
            <v>18</v>
          </cell>
          <cell r="I115">
            <v>0</v>
          </cell>
        </row>
        <row r="116">
          <cell r="A116" t="str">
            <v>RET-00943</v>
          </cell>
          <cell r="B116">
            <v>0</v>
          </cell>
          <cell r="C116">
            <v>2</v>
          </cell>
          <cell r="D116">
            <v>0</v>
          </cell>
          <cell r="E116">
            <v>4</v>
          </cell>
          <cell r="F116">
            <v>2</v>
          </cell>
          <cell r="G116">
            <v>14</v>
          </cell>
          <cell r="H116">
            <v>7</v>
          </cell>
          <cell r="I116">
            <v>3</v>
          </cell>
        </row>
        <row r="117">
          <cell r="A117" t="str">
            <v>RET-01537</v>
          </cell>
          <cell r="B117">
            <v>1</v>
          </cell>
          <cell r="C117">
            <v>0</v>
          </cell>
          <cell r="D117">
            <v>1</v>
          </cell>
          <cell r="E117">
            <v>12</v>
          </cell>
          <cell r="F117">
            <v>4</v>
          </cell>
          <cell r="G117">
            <v>11</v>
          </cell>
          <cell r="H117">
            <v>16</v>
          </cell>
          <cell r="I117">
            <v>5</v>
          </cell>
        </row>
        <row r="118">
          <cell r="A118" t="str">
            <v>RET-01620</v>
          </cell>
          <cell r="B118">
            <v>2</v>
          </cell>
          <cell r="C118">
            <v>1</v>
          </cell>
          <cell r="D118">
            <v>0</v>
          </cell>
          <cell r="E118">
            <v>13</v>
          </cell>
          <cell r="F118">
            <v>2</v>
          </cell>
          <cell r="G118">
            <v>24</v>
          </cell>
          <cell r="H118">
            <v>6</v>
          </cell>
          <cell r="I118">
            <v>6</v>
          </cell>
        </row>
        <row r="119">
          <cell r="A119" t="str">
            <v>RET-10849</v>
          </cell>
          <cell r="B119">
            <v>0</v>
          </cell>
          <cell r="C119">
            <v>0</v>
          </cell>
          <cell r="D119">
            <v>0</v>
          </cell>
          <cell r="E119">
            <v>4</v>
          </cell>
          <cell r="F119">
            <v>1</v>
          </cell>
          <cell r="G119">
            <v>0</v>
          </cell>
          <cell r="H119">
            <v>8</v>
          </cell>
          <cell r="I119">
            <v>1</v>
          </cell>
        </row>
        <row r="120">
          <cell r="A120" t="str">
            <v>RET-10947</v>
          </cell>
          <cell r="B120">
            <v>0</v>
          </cell>
          <cell r="C120">
            <v>0</v>
          </cell>
          <cell r="D120">
            <v>0</v>
          </cell>
          <cell r="E120">
            <v>7</v>
          </cell>
          <cell r="F120">
            <v>2</v>
          </cell>
          <cell r="G120">
            <v>23</v>
          </cell>
          <cell r="H120">
            <v>22</v>
          </cell>
          <cell r="I120">
            <v>3</v>
          </cell>
        </row>
        <row r="121">
          <cell r="A121" t="str">
            <v>RET-10956</v>
          </cell>
          <cell r="B121">
            <v>1</v>
          </cell>
          <cell r="C121">
            <v>0</v>
          </cell>
          <cell r="D121">
            <v>0</v>
          </cell>
          <cell r="E121">
            <v>4</v>
          </cell>
          <cell r="F121">
            <v>0</v>
          </cell>
          <cell r="G121">
            <v>9</v>
          </cell>
          <cell r="H121">
            <v>3</v>
          </cell>
          <cell r="I121">
            <v>1</v>
          </cell>
        </row>
        <row r="122">
          <cell r="A122" t="str">
            <v>RET-10973</v>
          </cell>
          <cell r="B122">
            <v>0</v>
          </cell>
          <cell r="C122">
            <v>0</v>
          </cell>
          <cell r="D122">
            <v>0</v>
          </cell>
          <cell r="E122">
            <v>6</v>
          </cell>
          <cell r="F122">
            <v>3</v>
          </cell>
          <cell r="G122">
            <v>3</v>
          </cell>
          <cell r="H122">
            <v>4</v>
          </cell>
          <cell r="I122">
            <v>7</v>
          </cell>
        </row>
        <row r="123">
          <cell r="A123" t="str">
            <v>RET-10987</v>
          </cell>
          <cell r="B123">
            <v>0</v>
          </cell>
          <cell r="C123">
            <v>0</v>
          </cell>
          <cell r="D123">
            <v>0</v>
          </cell>
          <cell r="E123">
            <v>5</v>
          </cell>
          <cell r="F123">
            <v>0</v>
          </cell>
          <cell r="G123">
            <v>2</v>
          </cell>
          <cell r="H123">
            <v>2</v>
          </cell>
          <cell r="I123">
            <v>1</v>
          </cell>
        </row>
        <row r="124">
          <cell r="A124" t="str">
            <v>RET-10992</v>
          </cell>
          <cell r="B124">
            <v>0</v>
          </cell>
          <cell r="C124">
            <v>0</v>
          </cell>
          <cell r="D124">
            <v>0</v>
          </cell>
          <cell r="E124">
            <v>8</v>
          </cell>
          <cell r="F124">
            <v>7</v>
          </cell>
          <cell r="G124">
            <v>26</v>
          </cell>
          <cell r="H124">
            <v>26</v>
          </cell>
          <cell r="I124">
            <v>3</v>
          </cell>
        </row>
        <row r="125">
          <cell r="A125" t="str">
            <v>RET-11025</v>
          </cell>
          <cell r="B125">
            <v>0</v>
          </cell>
          <cell r="C125">
            <v>0</v>
          </cell>
          <cell r="D125">
            <v>0</v>
          </cell>
          <cell r="E125">
            <v>2</v>
          </cell>
          <cell r="F125">
            <v>1</v>
          </cell>
          <cell r="G125">
            <v>4</v>
          </cell>
          <cell r="H125">
            <v>5</v>
          </cell>
          <cell r="I125">
            <v>0</v>
          </cell>
        </row>
        <row r="126">
          <cell r="A126" t="str">
            <v>RET-11054</v>
          </cell>
          <cell r="B126">
            <v>2</v>
          </cell>
          <cell r="C126">
            <v>3</v>
          </cell>
          <cell r="D126">
            <v>1</v>
          </cell>
          <cell r="E126">
            <v>24</v>
          </cell>
          <cell r="F126">
            <v>18</v>
          </cell>
          <cell r="G126">
            <v>14</v>
          </cell>
          <cell r="H126">
            <v>59</v>
          </cell>
          <cell r="I126">
            <v>4</v>
          </cell>
        </row>
        <row r="127">
          <cell r="A127" t="str">
            <v>RET-12788</v>
          </cell>
          <cell r="B127">
            <v>0</v>
          </cell>
          <cell r="C127">
            <v>0</v>
          </cell>
          <cell r="D127">
            <v>0</v>
          </cell>
          <cell r="E127">
            <v>1</v>
          </cell>
          <cell r="F127">
            <v>0</v>
          </cell>
          <cell r="G127">
            <v>1</v>
          </cell>
          <cell r="H127">
            <v>2</v>
          </cell>
          <cell r="I127">
            <v>0</v>
          </cell>
        </row>
        <row r="128">
          <cell r="A128" t="str">
            <v>RET-14041</v>
          </cell>
          <cell r="B128">
            <v>0</v>
          </cell>
          <cell r="C128">
            <v>0</v>
          </cell>
          <cell r="D128">
            <v>0</v>
          </cell>
          <cell r="E128">
            <v>2</v>
          </cell>
          <cell r="F128">
            <v>2</v>
          </cell>
          <cell r="G128">
            <v>3</v>
          </cell>
          <cell r="H128">
            <v>2</v>
          </cell>
          <cell r="I128">
            <v>0</v>
          </cell>
        </row>
        <row r="129">
          <cell r="A129" t="str">
            <v>RET-14531</v>
          </cell>
          <cell r="B129">
            <v>1</v>
          </cell>
          <cell r="C129">
            <v>3</v>
          </cell>
          <cell r="D129">
            <v>0</v>
          </cell>
          <cell r="E129">
            <v>5</v>
          </cell>
          <cell r="F129">
            <v>6</v>
          </cell>
          <cell r="G129">
            <v>4</v>
          </cell>
          <cell r="H129">
            <v>15</v>
          </cell>
          <cell r="I129">
            <v>7</v>
          </cell>
        </row>
        <row r="130">
          <cell r="A130" t="str">
            <v>RET-17530</v>
          </cell>
          <cell r="B130">
            <v>0</v>
          </cell>
          <cell r="C130">
            <v>2</v>
          </cell>
          <cell r="D130">
            <v>0</v>
          </cell>
          <cell r="E130">
            <v>4</v>
          </cell>
          <cell r="F130">
            <v>6</v>
          </cell>
          <cell r="G130">
            <v>5</v>
          </cell>
          <cell r="H130">
            <v>6</v>
          </cell>
          <cell r="I130">
            <v>0</v>
          </cell>
        </row>
        <row r="131">
          <cell r="A131" t="str">
            <v>RET-18298</v>
          </cell>
          <cell r="B131">
            <v>1</v>
          </cell>
          <cell r="C131">
            <v>1</v>
          </cell>
          <cell r="D131">
            <v>0</v>
          </cell>
          <cell r="E131">
            <v>13</v>
          </cell>
          <cell r="F131">
            <v>10</v>
          </cell>
          <cell r="G131">
            <v>19</v>
          </cell>
          <cell r="H131">
            <v>2</v>
          </cell>
          <cell r="I131">
            <v>4</v>
          </cell>
        </row>
        <row r="132">
          <cell r="A132" t="str">
            <v>RET-19439</v>
          </cell>
          <cell r="B132">
            <v>0</v>
          </cell>
          <cell r="C132">
            <v>0</v>
          </cell>
          <cell r="D132">
            <v>0</v>
          </cell>
          <cell r="E132">
            <v>3</v>
          </cell>
          <cell r="F132">
            <v>6</v>
          </cell>
          <cell r="G132">
            <v>5</v>
          </cell>
          <cell r="H132">
            <v>9</v>
          </cell>
          <cell r="I132">
            <v>4</v>
          </cell>
        </row>
        <row r="133">
          <cell r="A133" t="str">
            <v>RET-20877</v>
          </cell>
          <cell r="B133">
            <v>0</v>
          </cell>
          <cell r="C133">
            <v>0</v>
          </cell>
          <cell r="D133">
            <v>0</v>
          </cell>
          <cell r="E133">
            <v>3</v>
          </cell>
          <cell r="F133">
            <v>1</v>
          </cell>
          <cell r="G133">
            <v>14</v>
          </cell>
          <cell r="H133">
            <v>6</v>
          </cell>
          <cell r="I133">
            <v>2</v>
          </cell>
        </row>
        <row r="134">
          <cell r="A134" t="str">
            <v>RET-01059</v>
          </cell>
          <cell r="B134">
            <v>0</v>
          </cell>
          <cell r="C134">
            <v>2</v>
          </cell>
          <cell r="D134">
            <v>0</v>
          </cell>
          <cell r="E134">
            <v>4</v>
          </cell>
          <cell r="F134">
            <v>3</v>
          </cell>
          <cell r="G134">
            <v>7</v>
          </cell>
          <cell r="H134">
            <v>2</v>
          </cell>
          <cell r="I134">
            <v>3</v>
          </cell>
        </row>
        <row r="135">
          <cell r="A135" t="str">
            <v>RET-01062</v>
          </cell>
          <cell r="B135">
            <v>1</v>
          </cell>
          <cell r="C135">
            <v>0</v>
          </cell>
          <cell r="D135">
            <v>0</v>
          </cell>
          <cell r="E135">
            <v>2</v>
          </cell>
          <cell r="F135">
            <v>3</v>
          </cell>
          <cell r="G135">
            <v>0</v>
          </cell>
          <cell r="H135">
            <v>1</v>
          </cell>
          <cell r="I135">
            <v>1</v>
          </cell>
        </row>
        <row r="136">
          <cell r="A136" t="str">
            <v>RET-01111</v>
          </cell>
          <cell r="B136">
            <v>3</v>
          </cell>
          <cell r="C136">
            <v>2</v>
          </cell>
          <cell r="D136">
            <v>0</v>
          </cell>
          <cell r="E136">
            <v>5</v>
          </cell>
          <cell r="F136">
            <v>3</v>
          </cell>
          <cell r="G136">
            <v>2</v>
          </cell>
          <cell r="H136">
            <v>12</v>
          </cell>
          <cell r="I136">
            <v>3</v>
          </cell>
        </row>
        <row r="137">
          <cell r="A137" t="str">
            <v>RET-01114</v>
          </cell>
          <cell r="B137">
            <v>0</v>
          </cell>
          <cell r="C137">
            <v>0</v>
          </cell>
          <cell r="D137">
            <v>0</v>
          </cell>
          <cell r="E137">
            <v>2</v>
          </cell>
          <cell r="F137">
            <v>0</v>
          </cell>
          <cell r="G137">
            <v>1</v>
          </cell>
          <cell r="H137">
            <v>3</v>
          </cell>
          <cell r="I137">
            <v>0</v>
          </cell>
        </row>
        <row r="138">
          <cell r="A138" t="str">
            <v>RET-01115</v>
          </cell>
          <cell r="B138">
            <v>3</v>
          </cell>
          <cell r="C138">
            <v>3</v>
          </cell>
          <cell r="D138">
            <v>1</v>
          </cell>
          <cell r="E138">
            <v>5</v>
          </cell>
          <cell r="F138">
            <v>2</v>
          </cell>
          <cell r="G138">
            <v>4</v>
          </cell>
          <cell r="H138">
            <v>13</v>
          </cell>
          <cell r="I138">
            <v>0</v>
          </cell>
        </row>
        <row r="139">
          <cell r="A139" t="str">
            <v>RET-01117</v>
          </cell>
          <cell r="B139">
            <v>0</v>
          </cell>
          <cell r="C139">
            <v>0</v>
          </cell>
          <cell r="D139">
            <v>0</v>
          </cell>
          <cell r="E139">
            <v>2</v>
          </cell>
          <cell r="F139">
            <v>5</v>
          </cell>
          <cell r="G139">
            <v>14</v>
          </cell>
          <cell r="H139">
            <v>8</v>
          </cell>
          <cell r="I139">
            <v>0</v>
          </cell>
        </row>
        <row r="140">
          <cell r="A140" t="str">
            <v>RET-01133</v>
          </cell>
          <cell r="B140">
            <v>2</v>
          </cell>
          <cell r="C140">
            <v>0</v>
          </cell>
          <cell r="D140">
            <v>0</v>
          </cell>
          <cell r="E140">
            <v>3</v>
          </cell>
          <cell r="F140">
            <v>6</v>
          </cell>
          <cell r="G140">
            <v>11</v>
          </cell>
          <cell r="H140">
            <v>9</v>
          </cell>
          <cell r="I140">
            <v>1</v>
          </cell>
        </row>
        <row r="141">
          <cell r="A141" t="str">
            <v>RET-01244</v>
          </cell>
          <cell r="B141">
            <v>0</v>
          </cell>
          <cell r="C141">
            <v>2</v>
          </cell>
          <cell r="D141">
            <v>0</v>
          </cell>
          <cell r="E141">
            <v>6</v>
          </cell>
          <cell r="F141">
            <v>0</v>
          </cell>
          <cell r="G141">
            <v>5</v>
          </cell>
          <cell r="H141">
            <v>6</v>
          </cell>
          <cell r="I141">
            <v>2</v>
          </cell>
        </row>
        <row r="142">
          <cell r="A142" t="str">
            <v>RET-01258</v>
          </cell>
          <cell r="B142">
            <v>1</v>
          </cell>
          <cell r="C142">
            <v>0</v>
          </cell>
          <cell r="D142">
            <v>0</v>
          </cell>
          <cell r="E142">
            <v>7</v>
          </cell>
          <cell r="F142">
            <v>1</v>
          </cell>
          <cell r="G142">
            <v>2</v>
          </cell>
          <cell r="H142">
            <v>0</v>
          </cell>
          <cell r="I142">
            <v>2</v>
          </cell>
        </row>
        <row r="143">
          <cell r="A143" t="str">
            <v>RET-01273</v>
          </cell>
          <cell r="B143">
            <v>0</v>
          </cell>
          <cell r="C143">
            <v>0</v>
          </cell>
          <cell r="D143">
            <v>0</v>
          </cell>
          <cell r="E143">
            <v>8</v>
          </cell>
          <cell r="F143">
            <v>2</v>
          </cell>
          <cell r="G143">
            <v>6</v>
          </cell>
          <cell r="H143">
            <v>4</v>
          </cell>
          <cell r="I143">
            <v>2</v>
          </cell>
        </row>
        <row r="144">
          <cell r="A144" t="str">
            <v>RET-01283</v>
          </cell>
          <cell r="B144">
            <v>0</v>
          </cell>
          <cell r="C144">
            <v>8</v>
          </cell>
          <cell r="D144">
            <v>1</v>
          </cell>
          <cell r="E144">
            <v>19</v>
          </cell>
          <cell r="F144">
            <v>18</v>
          </cell>
          <cell r="G144">
            <v>49</v>
          </cell>
          <cell r="H144">
            <v>28</v>
          </cell>
          <cell r="I144">
            <v>6</v>
          </cell>
        </row>
        <row r="145">
          <cell r="A145" t="str">
            <v>RET-01285</v>
          </cell>
          <cell r="B145">
            <v>0</v>
          </cell>
          <cell r="C145">
            <v>4</v>
          </cell>
          <cell r="D145">
            <v>0</v>
          </cell>
          <cell r="E145">
            <v>12</v>
          </cell>
          <cell r="F145">
            <v>11</v>
          </cell>
          <cell r="G145">
            <v>21</v>
          </cell>
          <cell r="H145">
            <v>32</v>
          </cell>
          <cell r="I145">
            <v>10</v>
          </cell>
        </row>
        <row r="146">
          <cell r="A146" t="str">
            <v>RET-01423</v>
          </cell>
          <cell r="B146">
            <v>3</v>
          </cell>
          <cell r="C146">
            <v>1</v>
          </cell>
          <cell r="D146">
            <v>0</v>
          </cell>
          <cell r="E146">
            <v>5</v>
          </cell>
          <cell r="F146">
            <v>4</v>
          </cell>
          <cell r="G146">
            <v>5</v>
          </cell>
          <cell r="H146">
            <v>2</v>
          </cell>
          <cell r="I146">
            <v>2</v>
          </cell>
        </row>
        <row r="147">
          <cell r="A147" t="str">
            <v>RET-01301</v>
          </cell>
          <cell r="B147">
            <v>1</v>
          </cell>
          <cell r="C147">
            <v>3</v>
          </cell>
          <cell r="D147">
            <v>0</v>
          </cell>
          <cell r="E147">
            <v>21</v>
          </cell>
          <cell r="F147">
            <v>6</v>
          </cell>
          <cell r="G147">
            <v>30</v>
          </cell>
          <cell r="H147">
            <v>12</v>
          </cell>
          <cell r="I147">
            <v>4</v>
          </cell>
        </row>
        <row r="148">
          <cell r="A148" t="str">
            <v>RET-01322</v>
          </cell>
          <cell r="B148">
            <v>0</v>
          </cell>
          <cell r="C148">
            <v>0</v>
          </cell>
          <cell r="D148">
            <v>0</v>
          </cell>
          <cell r="E148">
            <v>4</v>
          </cell>
          <cell r="F148">
            <v>3</v>
          </cell>
          <cell r="G148">
            <v>12</v>
          </cell>
          <cell r="H148">
            <v>4</v>
          </cell>
          <cell r="I148">
            <v>0</v>
          </cell>
        </row>
        <row r="149">
          <cell r="A149" t="str">
            <v>RET-01392</v>
          </cell>
          <cell r="B149">
            <v>0</v>
          </cell>
          <cell r="C149">
            <v>1</v>
          </cell>
          <cell r="D149">
            <v>0</v>
          </cell>
          <cell r="E149">
            <v>7</v>
          </cell>
          <cell r="F149">
            <v>0</v>
          </cell>
          <cell r="G149">
            <v>3</v>
          </cell>
          <cell r="H149">
            <v>2</v>
          </cell>
          <cell r="I149">
            <v>0</v>
          </cell>
        </row>
        <row r="150">
          <cell r="A150" t="str">
            <v>RET-01291</v>
          </cell>
          <cell r="B150">
            <v>0</v>
          </cell>
          <cell r="C150">
            <v>1</v>
          </cell>
          <cell r="D150">
            <v>0</v>
          </cell>
          <cell r="E150">
            <v>3</v>
          </cell>
          <cell r="F150">
            <v>3</v>
          </cell>
          <cell r="G150">
            <v>16</v>
          </cell>
          <cell r="H150">
            <v>18</v>
          </cell>
          <cell r="I150">
            <v>0</v>
          </cell>
        </row>
        <row r="151">
          <cell r="A151" t="str">
            <v>RET-01443</v>
          </cell>
          <cell r="B151">
            <v>0</v>
          </cell>
          <cell r="C151">
            <v>2</v>
          </cell>
          <cell r="D151">
            <v>0</v>
          </cell>
          <cell r="E151">
            <v>0</v>
          </cell>
          <cell r="F151">
            <v>0</v>
          </cell>
          <cell r="G151">
            <v>2</v>
          </cell>
          <cell r="H151">
            <v>5</v>
          </cell>
          <cell r="I151">
            <v>2</v>
          </cell>
        </row>
        <row r="152">
          <cell r="A152" t="str">
            <v>RET-01451</v>
          </cell>
          <cell r="B152">
            <v>1</v>
          </cell>
          <cell r="C152">
            <v>2</v>
          </cell>
          <cell r="D152">
            <v>0</v>
          </cell>
          <cell r="E152">
            <v>21</v>
          </cell>
          <cell r="F152">
            <v>5</v>
          </cell>
          <cell r="G152">
            <v>21</v>
          </cell>
          <cell r="H152">
            <v>12</v>
          </cell>
          <cell r="I152">
            <v>5</v>
          </cell>
        </row>
        <row r="153">
          <cell r="A153" t="str">
            <v>RET-01454</v>
          </cell>
          <cell r="B153">
            <v>0</v>
          </cell>
          <cell r="C153">
            <v>3</v>
          </cell>
          <cell r="D153">
            <v>0</v>
          </cell>
          <cell r="E153">
            <v>44</v>
          </cell>
          <cell r="F153">
            <v>9</v>
          </cell>
          <cell r="G153">
            <v>17</v>
          </cell>
          <cell r="H153">
            <v>19</v>
          </cell>
          <cell r="I153">
            <v>5</v>
          </cell>
        </row>
        <row r="154">
          <cell r="A154" t="str">
            <v>RET-01455</v>
          </cell>
          <cell r="B154">
            <v>1</v>
          </cell>
          <cell r="C154">
            <v>6</v>
          </cell>
          <cell r="D154">
            <v>0</v>
          </cell>
          <cell r="E154">
            <v>15</v>
          </cell>
          <cell r="F154">
            <v>7</v>
          </cell>
          <cell r="G154">
            <v>13</v>
          </cell>
          <cell r="H154">
            <v>29</v>
          </cell>
          <cell r="I154">
            <v>5</v>
          </cell>
        </row>
        <row r="155">
          <cell r="A155" t="str">
            <v>RET-01456</v>
          </cell>
          <cell r="B155">
            <v>0</v>
          </cell>
          <cell r="C155">
            <v>2</v>
          </cell>
          <cell r="D155">
            <v>0</v>
          </cell>
          <cell r="E155">
            <v>7</v>
          </cell>
          <cell r="F155">
            <v>2</v>
          </cell>
          <cell r="G155">
            <v>1</v>
          </cell>
          <cell r="H155">
            <v>3</v>
          </cell>
          <cell r="I155">
            <v>1</v>
          </cell>
        </row>
        <row r="156">
          <cell r="A156" t="str">
            <v>RET-01482</v>
          </cell>
          <cell r="B156">
            <v>0</v>
          </cell>
          <cell r="C156">
            <v>0</v>
          </cell>
          <cell r="D156">
            <v>0</v>
          </cell>
          <cell r="E156">
            <v>8</v>
          </cell>
          <cell r="F156">
            <v>1</v>
          </cell>
          <cell r="G156">
            <v>4</v>
          </cell>
          <cell r="H156">
            <v>10</v>
          </cell>
          <cell r="I156">
            <v>0</v>
          </cell>
        </row>
        <row r="157">
          <cell r="A157" t="str">
            <v>RET-01483</v>
          </cell>
          <cell r="B157">
            <v>0</v>
          </cell>
          <cell r="C157">
            <v>0</v>
          </cell>
          <cell r="D157">
            <v>0</v>
          </cell>
          <cell r="E157">
            <v>1</v>
          </cell>
          <cell r="F157">
            <v>2</v>
          </cell>
          <cell r="G157">
            <v>9</v>
          </cell>
          <cell r="H157">
            <v>7</v>
          </cell>
          <cell r="I157">
            <v>0</v>
          </cell>
        </row>
        <row r="158">
          <cell r="A158" t="str">
            <v>RET-01622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A159" t="str">
            <v>RET-01654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2</v>
          </cell>
          <cell r="G159">
            <v>0</v>
          </cell>
          <cell r="H159">
            <v>3</v>
          </cell>
          <cell r="I159">
            <v>0</v>
          </cell>
        </row>
        <row r="160">
          <cell r="A160" t="str">
            <v>RET-01671</v>
          </cell>
          <cell r="B160">
            <v>0</v>
          </cell>
          <cell r="C160">
            <v>0</v>
          </cell>
          <cell r="D160">
            <v>1</v>
          </cell>
          <cell r="E160">
            <v>14</v>
          </cell>
          <cell r="F160">
            <v>4</v>
          </cell>
          <cell r="G160">
            <v>32</v>
          </cell>
          <cell r="H160">
            <v>21</v>
          </cell>
          <cell r="I160">
            <v>8</v>
          </cell>
        </row>
        <row r="161">
          <cell r="A161" t="str">
            <v>RET-01682</v>
          </cell>
          <cell r="B161">
            <v>0</v>
          </cell>
          <cell r="C161">
            <v>1</v>
          </cell>
          <cell r="D161">
            <v>0</v>
          </cell>
          <cell r="E161">
            <v>12</v>
          </cell>
          <cell r="F161">
            <v>1</v>
          </cell>
          <cell r="G161">
            <v>2</v>
          </cell>
          <cell r="H161">
            <v>6</v>
          </cell>
          <cell r="I161">
            <v>3</v>
          </cell>
        </row>
        <row r="162">
          <cell r="A162" t="str">
            <v>RET-01683</v>
          </cell>
          <cell r="B162">
            <v>0</v>
          </cell>
          <cell r="C162">
            <v>0</v>
          </cell>
          <cell r="D162">
            <v>0</v>
          </cell>
          <cell r="E162">
            <v>2</v>
          </cell>
          <cell r="F162">
            <v>8</v>
          </cell>
          <cell r="G162">
            <v>20</v>
          </cell>
          <cell r="H162">
            <v>14</v>
          </cell>
          <cell r="I162">
            <v>5</v>
          </cell>
        </row>
        <row r="163">
          <cell r="A163" t="str">
            <v>RET-01692</v>
          </cell>
          <cell r="B163">
            <v>1</v>
          </cell>
          <cell r="C163">
            <v>2</v>
          </cell>
          <cell r="D163">
            <v>0</v>
          </cell>
          <cell r="E163">
            <v>19</v>
          </cell>
          <cell r="F163">
            <v>3</v>
          </cell>
          <cell r="G163">
            <v>11</v>
          </cell>
          <cell r="H163">
            <v>9</v>
          </cell>
          <cell r="I163">
            <v>11</v>
          </cell>
        </row>
        <row r="164">
          <cell r="A164" t="str">
            <v>RET-01693</v>
          </cell>
          <cell r="B164">
            <v>0</v>
          </cell>
          <cell r="C164">
            <v>1</v>
          </cell>
          <cell r="D164">
            <v>0</v>
          </cell>
          <cell r="E164">
            <v>8</v>
          </cell>
          <cell r="F164">
            <v>0</v>
          </cell>
          <cell r="G164">
            <v>5</v>
          </cell>
          <cell r="H164">
            <v>3</v>
          </cell>
          <cell r="I164">
            <v>1</v>
          </cell>
        </row>
        <row r="165">
          <cell r="A165" t="str">
            <v>RET-01709</v>
          </cell>
          <cell r="B165">
            <v>1</v>
          </cell>
          <cell r="C165">
            <v>0</v>
          </cell>
          <cell r="D165">
            <v>0</v>
          </cell>
          <cell r="E165">
            <v>2</v>
          </cell>
          <cell r="F165">
            <v>1</v>
          </cell>
          <cell r="G165">
            <v>16</v>
          </cell>
          <cell r="H165">
            <v>7</v>
          </cell>
          <cell r="I165">
            <v>2</v>
          </cell>
        </row>
        <row r="166">
          <cell r="A166" t="str">
            <v>RET-01811</v>
          </cell>
          <cell r="B166">
            <v>0</v>
          </cell>
          <cell r="C166">
            <v>0</v>
          </cell>
          <cell r="D166">
            <v>0</v>
          </cell>
          <cell r="E166">
            <v>7</v>
          </cell>
          <cell r="F166">
            <v>1</v>
          </cell>
          <cell r="G166">
            <v>5</v>
          </cell>
          <cell r="H166">
            <v>2</v>
          </cell>
          <cell r="I166">
            <v>0</v>
          </cell>
        </row>
        <row r="167">
          <cell r="A167" t="str">
            <v>RET-17329</v>
          </cell>
          <cell r="B167">
            <v>0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2</v>
          </cell>
          <cell r="H167">
            <v>5</v>
          </cell>
          <cell r="I167">
            <v>0</v>
          </cell>
        </row>
        <row r="168">
          <cell r="A168" t="str">
            <v>RET-19083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3</v>
          </cell>
          <cell r="G168">
            <v>13</v>
          </cell>
          <cell r="H168">
            <v>23</v>
          </cell>
          <cell r="I168">
            <v>1</v>
          </cell>
        </row>
        <row r="169">
          <cell r="A169" t="str">
            <v>RET-19142</v>
          </cell>
          <cell r="B169">
            <v>0</v>
          </cell>
          <cell r="C169">
            <v>0</v>
          </cell>
          <cell r="D169">
            <v>0</v>
          </cell>
          <cell r="E169">
            <v>8</v>
          </cell>
          <cell r="F169">
            <v>0</v>
          </cell>
          <cell r="G169">
            <v>6</v>
          </cell>
          <cell r="H169">
            <v>3</v>
          </cell>
          <cell r="I169">
            <v>4</v>
          </cell>
        </row>
        <row r="170">
          <cell r="A170" t="str">
            <v>RET-20234</v>
          </cell>
          <cell r="B170">
            <v>0</v>
          </cell>
          <cell r="C170">
            <v>0</v>
          </cell>
          <cell r="D170">
            <v>0</v>
          </cell>
          <cell r="E170">
            <v>2</v>
          </cell>
          <cell r="F170">
            <v>6</v>
          </cell>
          <cell r="G170">
            <v>6</v>
          </cell>
          <cell r="H170">
            <v>13</v>
          </cell>
          <cell r="I170">
            <v>0</v>
          </cell>
        </row>
        <row r="171">
          <cell r="A171" t="str">
            <v>RET-22161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  <cell r="G171">
            <v>11</v>
          </cell>
          <cell r="H171">
            <v>11</v>
          </cell>
          <cell r="I171">
            <v>2</v>
          </cell>
        </row>
        <row r="172">
          <cell r="A172" t="str">
            <v>RET-22220</v>
          </cell>
          <cell r="B172">
            <v>3</v>
          </cell>
          <cell r="C172">
            <v>2</v>
          </cell>
          <cell r="D172">
            <v>0</v>
          </cell>
          <cell r="E172">
            <v>12</v>
          </cell>
          <cell r="F172">
            <v>9</v>
          </cell>
          <cell r="G172">
            <v>14</v>
          </cell>
          <cell r="H172">
            <v>15</v>
          </cell>
          <cell r="I172">
            <v>3</v>
          </cell>
        </row>
        <row r="173">
          <cell r="A173" t="str">
            <v>RET-22616</v>
          </cell>
          <cell r="B173">
            <v>0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  <cell r="G173">
            <v>0</v>
          </cell>
          <cell r="H173">
            <v>2</v>
          </cell>
          <cell r="I173">
            <v>0</v>
          </cell>
        </row>
        <row r="174">
          <cell r="A174" t="str">
            <v>RET-02304</v>
          </cell>
          <cell r="B174">
            <v>0</v>
          </cell>
          <cell r="C174">
            <v>4</v>
          </cell>
          <cell r="D174">
            <v>0</v>
          </cell>
          <cell r="E174">
            <v>2</v>
          </cell>
          <cell r="F174">
            <v>2</v>
          </cell>
          <cell r="G174">
            <v>5</v>
          </cell>
          <cell r="H174">
            <v>5</v>
          </cell>
          <cell r="I174">
            <v>2</v>
          </cell>
        </row>
        <row r="175">
          <cell r="A175" t="str">
            <v>RET-02426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</row>
        <row r="176">
          <cell r="A176" t="str">
            <v>RET-02596</v>
          </cell>
          <cell r="B176">
            <v>1</v>
          </cell>
          <cell r="C176">
            <v>2</v>
          </cell>
          <cell r="D176">
            <v>0</v>
          </cell>
          <cell r="E176">
            <v>0</v>
          </cell>
          <cell r="F176">
            <v>12</v>
          </cell>
          <cell r="G176">
            <v>23</v>
          </cell>
          <cell r="H176">
            <v>42</v>
          </cell>
          <cell r="I176">
            <v>3</v>
          </cell>
        </row>
        <row r="177">
          <cell r="A177" t="str">
            <v>RET-02642</v>
          </cell>
          <cell r="B177">
            <v>0</v>
          </cell>
          <cell r="C177">
            <v>3</v>
          </cell>
          <cell r="D177">
            <v>0</v>
          </cell>
          <cell r="E177">
            <v>0</v>
          </cell>
          <cell r="F177">
            <v>0</v>
          </cell>
          <cell r="G177">
            <v>28</v>
          </cell>
          <cell r="H177">
            <v>29</v>
          </cell>
          <cell r="I177">
            <v>2</v>
          </cell>
        </row>
        <row r="178">
          <cell r="A178" t="str">
            <v>RET-02646</v>
          </cell>
          <cell r="B178">
            <v>0</v>
          </cell>
          <cell r="C178">
            <v>4</v>
          </cell>
          <cell r="D178">
            <v>0</v>
          </cell>
          <cell r="E178">
            <v>4</v>
          </cell>
          <cell r="F178">
            <v>7</v>
          </cell>
          <cell r="G178">
            <v>7</v>
          </cell>
          <cell r="H178">
            <v>13</v>
          </cell>
          <cell r="I178">
            <v>6</v>
          </cell>
        </row>
        <row r="179">
          <cell r="A179" t="str">
            <v>RET-02747</v>
          </cell>
          <cell r="B179">
            <v>8</v>
          </cell>
          <cell r="C179">
            <v>4</v>
          </cell>
          <cell r="D179">
            <v>0</v>
          </cell>
          <cell r="E179">
            <v>28</v>
          </cell>
          <cell r="F179">
            <v>6</v>
          </cell>
          <cell r="G179">
            <v>12</v>
          </cell>
          <cell r="H179">
            <v>15</v>
          </cell>
          <cell r="I179">
            <v>0</v>
          </cell>
        </row>
        <row r="180">
          <cell r="A180" t="str">
            <v>RET-02766</v>
          </cell>
          <cell r="B180">
            <v>1</v>
          </cell>
          <cell r="C180">
            <v>5</v>
          </cell>
          <cell r="D180">
            <v>0</v>
          </cell>
          <cell r="E180">
            <v>9</v>
          </cell>
          <cell r="F180">
            <v>3</v>
          </cell>
          <cell r="G180">
            <v>1</v>
          </cell>
          <cell r="H180">
            <v>10</v>
          </cell>
          <cell r="I180">
            <v>3</v>
          </cell>
        </row>
        <row r="181">
          <cell r="A181" t="str">
            <v>RET-02771</v>
          </cell>
          <cell r="B181">
            <v>0</v>
          </cell>
          <cell r="C181">
            <v>0</v>
          </cell>
          <cell r="D181">
            <v>1</v>
          </cell>
          <cell r="E181">
            <v>14</v>
          </cell>
          <cell r="F181">
            <v>0</v>
          </cell>
          <cell r="G181">
            <v>6</v>
          </cell>
          <cell r="H181">
            <v>8</v>
          </cell>
          <cell r="I181">
            <v>7</v>
          </cell>
        </row>
        <row r="182">
          <cell r="A182" t="str">
            <v>RET-02794</v>
          </cell>
          <cell r="B182">
            <v>0</v>
          </cell>
          <cell r="C182">
            <v>0</v>
          </cell>
          <cell r="D182">
            <v>0</v>
          </cell>
          <cell r="E182">
            <v>7</v>
          </cell>
          <cell r="F182">
            <v>5</v>
          </cell>
          <cell r="G182">
            <v>0</v>
          </cell>
          <cell r="H182">
            <v>12</v>
          </cell>
          <cell r="I182">
            <v>5</v>
          </cell>
        </row>
        <row r="183">
          <cell r="A183" t="str">
            <v>RET-02826</v>
          </cell>
          <cell r="B183">
            <v>1</v>
          </cell>
          <cell r="C183">
            <v>2</v>
          </cell>
          <cell r="D183">
            <v>0</v>
          </cell>
          <cell r="E183">
            <v>3</v>
          </cell>
          <cell r="F183">
            <v>1</v>
          </cell>
          <cell r="G183">
            <v>12</v>
          </cell>
          <cell r="H183">
            <v>9</v>
          </cell>
          <cell r="I183">
            <v>3</v>
          </cell>
        </row>
        <row r="184">
          <cell r="A184" t="str">
            <v>RET-02850</v>
          </cell>
          <cell r="B184">
            <v>0</v>
          </cell>
          <cell r="C184">
            <v>2</v>
          </cell>
          <cell r="D184">
            <v>0</v>
          </cell>
          <cell r="E184">
            <v>0</v>
          </cell>
          <cell r="F184">
            <v>2</v>
          </cell>
          <cell r="G184">
            <v>2</v>
          </cell>
          <cell r="H184">
            <v>1</v>
          </cell>
          <cell r="I184">
            <v>0</v>
          </cell>
        </row>
        <row r="185">
          <cell r="A185" t="str">
            <v>RET-02877</v>
          </cell>
          <cell r="B185">
            <v>0</v>
          </cell>
          <cell r="C185">
            <v>0</v>
          </cell>
          <cell r="D185">
            <v>0</v>
          </cell>
          <cell r="E185">
            <v>5</v>
          </cell>
          <cell r="F185">
            <v>1</v>
          </cell>
          <cell r="G185">
            <v>3</v>
          </cell>
          <cell r="H185">
            <v>0</v>
          </cell>
          <cell r="I185">
            <v>0</v>
          </cell>
        </row>
        <row r="186">
          <cell r="A186" t="str">
            <v>RET-13088</v>
          </cell>
          <cell r="B186">
            <v>2</v>
          </cell>
          <cell r="C186">
            <v>1</v>
          </cell>
          <cell r="D186">
            <v>0</v>
          </cell>
          <cell r="E186">
            <v>5</v>
          </cell>
          <cell r="F186">
            <v>4</v>
          </cell>
          <cell r="G186">
            <v>4</v>
          </cell>
          <cell r="H186">
            <v>21</v>
          </cell>
          <cell r="I186">
            <v>0</v>
          </cell>
        </row>
        <row r="187">
          <cell r="A187" t="str">
            <v>RET-13098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15</v>
          </cell>
          <cell r="H187">
            <v>5</v>
          </cell>
          <cell r="I187">
            <v>3</v>
          </cell>
        </row>
        <row r="188">
          <cell r="A188" t="str">
            <v>RET-13107</v>
          </cell>
          <cell r="B188">
            <v>0</v>
          </cell>
          <cell r="C188">
            <v>1</v>
          </cell>
          <cell r="D188">
            <v>1</v>
          </cell>
          <cell r="E188">
            <v>3</v>
          </cell>
          <cell r="F188">
            <v>2</v>
          </cell>
          <cell r="G188">
            <v>4</v>
          </cell>
          <cell r="H188">
            <v>3</v>
          </cell>
          <cell r="I188">
            <v>1</v>
          </cell>
        </row>
        <row r="189">
          <cell r="A189" t="str">
            <v>RET-13121</v>
          </cell>
          <cell r="B189">
            <v>0</v>
          </cell>
          <cell r="C189">
            <v>1</v>
          </cell>
          <cell r="D189">
            <v>0</v>
          </cell>
          <cell r="E189">
            <v>3</v>
          </cell>
          <cell r="F189">
            <v>1</v>
          </cell>
          <cell r="G189">
            <v>14</v>
          </cell>
          <cell r="H189">
            <v>3</v>
          </cell>
          <cell r="I189">
            <v>0</v>
          </cell>
        </row>
        <row r="190">
          <cell r="A190" t="str">
            <v>RET-13447</v>
          </cell>
          <cell r="B190">
            <v>0</v>
          </cell>
          <cell r="C190">
            <v>1</v>
          </cell>
          <cell r="D190">
            <v>0</v>
          </cell>
          <cell r="E190">
            <v>3</v>
          </cell>
          <cell r="F190">
            <v>1</v>
          </cell>
          <cell r="G190">
            <v>2</v>
          </cell>
          <cell r="H190">
            <v>5</v>
          </cell>
          <cell r="I190">
            <v>0</v>
          </cell>
        </row>
        <row r="191">
          <cell r="A191" t="str">
            <v>RET-13593</v>
          </cell>
          <cell r="B191">
            <v>0</v>
          </cell>
          <cell r="C191">
            <v>0</v>
          </cell>
          <cell r="D191">
            <v>0</v>
          </cell>
          <cell r="E191">
            <v>3</v>
          </cell>
          <cell r="F191">
            <v>0</v>
          </cell>
          <cell r="G191">
            <v>2</v>
          </cell>
          <cell r="H191">
            <v>4</v>
          </cell>
          <cell r="I191">
            <v>1</v>
          </cell>
        </row>
        <row r="192">
          <cell r="A192" t="str">
            <v>RET-13626</v>
          </cell>
          <cell r="B192">
            <v>1</v>
          </cell>
          <cell r="C192">
            <v>4</v>
          </cell>
          <cell r="D192">
            <v>0</v>
          </cell>
          <cell r="E192">
            <v>11</v>
          </cell>
          <cell r="F192">
            <v>9</v>
          </cell>
          <cell r="G192">
            <v>2</v>
          </cell>
          <cell r="H192">
            <v>3</v>
          </cell>
          <cell r="I192">
            <v>2</v>
          </cell>
        </row>
        <row r="193">
          <cell r="A193" t="str">
            <v>RET-13697</v>
          </cell>
          <cell r="B193">
            <v>3</v>
          </cell>
          <cell r="C193">
            <v>3</v>
          </cell>
          <cell r="D193">
            <v>0</v>
          </cell>
          <cell r="E193">
            <v>19</v>
          </cell>
          <cell r="F193">
            <v>9</v>
          </cell>
          <cell r="G193">
            <v>29</v>
          </cell>
          <cell r="H193">
            <v>19</v>
          </cell>
          <cell r="I193">
            <v>12</v>
          </cell>
        </row>
        <row r="194">
          <cell r="A194" t="str">
            <v>RET-17327</v>
          </cell>
          <cell r="B194">
            <v>1</v>
          </cell>
          <cell r="C194">
            <v>1</v>
          </cell>
          <cell r="D194">
            <v>0</v>
          </cell>
          <cell r="E194">
            <v>4</v>
          </cell>
          <cell r="F194">
            <v>3</v>
          </cell>
          <cell r="G194">
            <v>11</v>
          </cell>
          <cell r="H194">
            <v>28</v>
          </cell>
          <cell r="I194">
            <v>1</v>
          </cell>
        </row>
        <row r="195">
          <cell r="A195" t="str">
            <v>RET-17959</v>
          </cell>
          <cell r="B195">
            <v>0</v>
          </cell>
          <cell r="C195">
            <v>0</v>
          </cell>
          <cell r="D195">
            <v>0</v>
          </cell>
          <cell r="E195">
            <v>8</v>
          </cell>
          <cell r="F195">
            <v>0</v>
          </cell>
          <cell r="G195">
            <v>9</v>
          </cell>
          <cell r="H195">
            <v>5</v>
          </cell>
          <cell r="I195">
            <v>3</v>
          </cell>
        </row>
        <row r="196">
          <cell r="A196" t="str">
            <v>RET-18068</v>
          </cell>
          <cell r="B196">
            <v>1</v>
          </cell>
          <cell r="C196">
            <v>2</v>
          </cell>
          <cell r="D196">
            <v>0</v>
          </cell>
          <cell r="E196">
            <v>20</v>
          </cell>
          <cell r="F196">
            <v>2</v>
          </cell>
          <cell r="G196">
            <v>9</v>
          </cell>
          <cell r="H196">
            <v>7</v>
          </cell>
          <cell r="I196">
            <v>2</v>
          </cell>
        </row>
        <row r="197">
          <cell r="A197" t="str">
            <v>RET-18274</v>
          </cell>
          <cell r="B197">
            <v>0</v>
          </cell>
          <cell r="C197">
            <v>0</v>
          </cell>
          <cell r="D197">
            <v>0</v>
          </cell>
          <cell r="E197">
            <v>7</v>
          </cell>
          <cell r="F197">
            <v>0</v>
          </cell>
          <cell r="G197">
            <v>2</v>
          </cell>
          <cell r="H197">
            <v>1</v>
          </cell>
          <cell r="I197">
            <v>0</v>
          </cell>
        </row>
        <row r="198">
          <cell r="A198" t="str">
            <v>RET-19599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1</v>
          </cell>
          <cell r="G198">
            <v>8</v>
          </cell>
          <cell r="H198">
            <v>12</v>
          </cell>
          <cell r="I198">
            <v>1</v>
          </cell>
        </row>
        <row r="199">
          <cell r="A199" t="str">
            <v>RET-21920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3</v>
          </cell>
          <cell r="G199">
            <v>5</v>
          </cell>
          <cell r="H199">
            <v>6</v>
          </cell>
          <cell r="I199">
            <v>0</v>
          </cell>
        </row>
        <row r="200">
          <cell r="A200" t="str">
            <v>RET-22134</v>
          </cell>
          <cell r="B200">
            <v>0</v>
          </cell>
          <cell r="C200">
            <v>2</v>
          </cell>
          <cell r="D200">
            <v>0</v>
          </cell>
          <cell r="E200">
            <v>3</v>
          </cell>
          <cell r="F200">
            <v>2</v>
          </cell>
          <cell r="G200">
            <v>0</v>
          </cell>
          <cell r="H200">
            <v>3</v>
          </cell>
          <cell r="I200">
            <v>1</v>
          </cell>
        </row>
        <row r="201">
          <cell r="A201" t="str">
            <v>RET-02592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</row>
        <row r="202">
          <cell r="A202" t="str">
            <v>RET-02609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</row>
        <row r="203">
          <cell r="A203" t="str">
            <v>RET-07685</v>
          </cell>
          <cell r="B203">
            <v>1</v>
          </cell>
          <cell r="C203">
            <v>0</v>
          </cell>
          <cell r="D203">
            <v>1</v>
          </cell>
          <cell r="E203">
            <v>21</v>
          </cell>
          <cell r="F203">
            <v>10</v>
          </cell>
          <cell r="G203">
            <v>39</v>
          </cell>
          <cell r="H203">
            <v>4</v>
          </cell>
          <cell r="I203">
            <v>1</v>
          </cell>
        </row>
        <row r="204">
          <cell r="A204" t="str">
            <v>RET-07856</v>
          </cell>
          <cell r="B204">
            <v>2</v>
          </cell>
          <cell r="C204">
            <v>1</v>
          </cell>
          <cell r="D204">
            <v>0</v>
          </cell>
          <cell r="E204">
            <v>3</v>
          </cell>
          <cell r="F204">
            <v>6</v>
          </cell>
          <cell r="G204">
            <v>5</v>
          </cell>
          <cell r="H204">
            <v>5</v>
          </cell>
          <cell r="I204">
            <v>4</v>
          </cell>
        </row>
        <row r="205">
          <cell r="A205" t="str">
            <v>RET-08377</v>
          </cell>
          <cell r="B205">
            <v>0</v>
          </cell>
          <cell r="C205">
            <v>2</v>
          </cell>
          <cell r="D205">
            <v>0</v>
          </cell>
          <cell r="E205">
            <v>4</v>
          </cell>
          <cell r="F205">
            <v>4</v>
          </cell>
          <cell r="G205">
            <v>5</v>
          </cell>
          <cell r="H205">
            <v>2</v>
          </cell>
          <cell r="I205">
            <v>0</v>
          </cell>
        </row>
        <row r="206">
          <cell r="A206" t="str">
            <v>RET-08545</v>
          </cell>
          <cell r="B206">
            <v>0</v>
          </cell>
          <cell r="C206">
            <v>1</v>
          </cell>
          <cell r="D206">
            <v>0</v>
          </cell>
          <cell r="E206">
            <v>2</v>
          </cell>
          <cell r="F206">
            <v>0</v>
          </cell>
          <cell r="G206">
            <v>0</v>
          </cell>
          <cell r="H206">
            <v>0</v>
          </cell>
          <cell r="I206">
            <v>7</v>
          </cell>
        </row>
        <row r="207">
          <cell r="A207" t="str">
            <v>RET-08597</v>
          </cell>
          <cell r="B207">
            <v>0</v>
          </cell>
          <cell r="C207">
            <v>0</v>
          </cell>
          <cell r="D207">
            <v>0</v>
          </cell>
          <cell r="E207">
            <v>13</v>
          </cell>
          <cell r="F207">
            <v>14</v>
          </cell>
          <cell r="G207">
            <v>9</v>
          </cell>
          <cell r="H207">
            <v>6</v>
          </cell>
          <cell r="I207">
            <v>4</v>
          </cell>
        </row>
        <row r="208">
          <cell r="A208" t="str">
            <v>RET-08678</v>
          </cell>
          <cell r="B208">
            <v>0</v>
          </cell>
          <cell r="C208">
            <v>0</v>
          </cell>
          <cell r="D208">
            <v>0</v>
          </cell>
          <cell r="E208">
            <v>4</v>
          </cell>
          <cell r="F208">
            <v>1</v>
          </cell>
          <cell r="G208">
            <v>3</v>
          </cell>
          <cell r="H208">
            <v>0</v>
          </cell>
          <cell r="I208">
            <v>4</v>
          </cell>
        </row>
        <row r="209">
          <cell r="A209" t="str">
            <v>RET-08841</v>
          </cell>
          <cell r="B209">
            <v>0</v>
          </cell>
          <cell r="C209">
            <v>0</v>
          </cell>
          <cell r="D209">
            <v>0</v>
          </cell>
          <cell r="E209">
            <v>4</v>
          </cell>
          <cell r="F209">
            <v>1</v>
          </cell>
          <cell r="G209">
            <v>3</v>
          </cell>
          <cell r="H209">
            <v>7</v>
          </cell>
          <cell r="I209">
            <v>1</v>
          </cell>
        </row>
        <row r="210">
          <cell r="A210" t="str">
            <v>RET-08848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5</v>
          </cell>
          <cell r="H210">
            <v>1</v>
          </cell>
          <cell r="I210">
            <v>0</v>
          </cell>
        </row>
        <row r="211">
          <cell r="A211" t="str">
            <v>RET-09891</v>
          </cell>
          <cell r="B211">
            <v>0</v>
          </cell>
          <cell r="C211">
            <v>2</v>
          </cell>
          <cell r="D211">
            <v>0</v>
          </cell>
          <cell r="E211">
            <v>2</v>
          </cell>
          <cell r="F211">
            <v>1</v>
          </cell>
          <cell r="G211">
            <v>9</v>
          </cell>
          <cell r="H211">
            <v>9</v>
          </cell>
          <cell r="I211">
            <v>6</v>
          </cell>
        </row>
        <row r="212">
          <cell r="A212" t="str">
            <v>RET-09924</v>
          </cell>
          <cell r="B212">
            <v>0</v>
          </cell>
          <cell r="C212">
            <v>0</v>
          </cell>
          <cell r="D212">
            <v>0</v>
          </cell>
          <cell r="E212">
            <v>7</v>
          </cell>
          <cell r="F212">
            <v>4</v>
          </cell>
          <cell r="G212">
            <v>9</v>
          </cell>
          <cell r="H212">
            <v>7</v>
          </cell>
          <cell r="I212">
            <v>6</v>
          </cell>
        </row>
        <row r="213">
          <cell r="A213" t="str">
            <v>RET-09956</v>
          </cell>
          <cell r="B213">
            <v>0</v>
          </cell>
          <cell r="C213">
            <v>0</v>
          </cell>
          <cell r="D213">
            <v>0</v>
          </cell>
          <cell r="E213">
            <v>3</v>
          </cell>
          <cell r="F213">
            <v>7</v>
          </cell>
          <cell r="G213">
            <v>1</v>
          </cell>
          <cell r="H213">
            <v>1</v>
          </cell>
          <cell r="I213">
            <v>0</v>
          </cell>
        </row>
        <row r="214">
          <cell r="A214" t="str">
            <v>RET-13586</v>
          </cell>
          <cell r="B214">
            <v>1</v>
          </cell>
          <cell r="C214">
            <v>4</v>
          </cell>
          <cell r="D214">
            <v>0</v>
          </cell>
          <cell r="E214">
            <v>1</v>
          </cell>
          <cell r="F214">
            <v>1</v>
          </cell>
          <cell r="G214">
            <v>8</v>
          </cell>
          <cell r="H214">
            <v>1</v>
          </cell>
          <cell r="I214">
            <v>0</v>
          </cell>
        </row>
        <row r="215">
          <cell r="A215" t="str">
            <v>RET-14710</v>
          </cell>
          <cell r="B215">
            <v>0</v>
          </cell>
          <cell r="C215">
            <v>1</v>
          </cell>
          <cell r="D215">
            <v>0</v>
          </cell>
          <cell r="E215">
            <v>5</v>
          </cell>
          <cell r="F215">
            <v>0</v>
          </cell>
          <cell r="G215">
            <v>4</v>
          </cell>
          <cell r="H215">
            <v>2</v>
          </cell>
          <cell r="I215">
            <v>1</v>
          </cell>
        </row>
        <row r="216">
          <cell r="A216" t="str">
            <v>RET-19040</v>
          </cell>
          <cell r="B216">
            <v>0</v>
          </cell>
          <cell r="C216">
            <v>0</v>
          </cell>
          <cell r="D216">
            <v>0</v>
          </cell>
          <cell r="E216">
            <v>5</v>
          </cell>
          <cell r="F216">
            <v>4</v>
          </cell>
          <cell r="G216">
            <v>2</v>
          </cell>
          <cell r="H216">
            <v>2</v>
          </cell>
          <cell r="I216">
            <v>2</v>
          </cell>
        </row>
        <row r="217">
          <cell r="A217" t="str">
            <v>RET-20172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4</v>
          </cell>
          <cell r="I217">
            <v>0</v>
          </cell>
        </row>
        <row r="218">
          <cell r="A218" t="str">
            <v>RET-20645</v>
          </cell>
          <cell r="B218">
            <v>2</v>
          </cell>
          <cell r="C218">
            <v>3</v>
          </cell>
          <cell r="D218">
            <v>0</v>
          </cell>
          <cell r="E218">
            <v>2</v>
          </cell>
          <cell r="F218">
            <v>3</v>
          </cell>
          <cell r="G218">
            <v>3</v>
          </cell>
          <cell r="H218">
            <v>2</v>
          </cell>
          <cell r="I218">
            <v>4</v>
          </cell>
        </row>
        <row r="219">
          <cell r="A219" t="str">
            <v>RET-21230</v>
          </cell>
          <cell r="B219">
            <v>0</v>
          </cell>
          <cell r="C219">
            <v>0</v>
          </cell>
          <cell r="D219">
            <v>0</v>
          </cell>
          <cell r="E219">
            <v>3</v>
          </cell>
          <cell r="F219">
            <v>2</v>
          </cell>
          <cell r="G219">
            <v>0</v>
          </cell>
          <cell r="H219">
            <v>3</v>
          </cell>
          <cell r="I219">
            <v>0</v>
          </cell>
        </row>
        <row r="220">
          <cell r="A220" t="str">
            <v>RET-21937</v>
          </cell>
          <cell r="B220">
            <v>0</v>
          </cell>
          <cell r="C220">
            <v>0</v>
          </cell>
          <cell r="D220">
            <v>0</v>
          </cell>
          <cell r="E220">
            <v>14</v>
          </cell>
          <cell r="F220">
            <v>3</v>
          </cell>
          <cell r="G220">
            <v>7</v>
          </cell>
          <cell r="H220">
            <v>9</v>
          </cell>
          <cell r="I220">
            <v>6</v>
          </cell>
        </row>
        <row r="221">
          <cell r="A221" t="str">
            <v>RET-22721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</row>
        <row r="222">
          <cell r="A222" t="str">
            <v>RET-00036</v>
          </cell>
          <cell r="B222">
            <v>1</v>
          </cell>
          <cell r="C222">
            <v>2</v>
          </cell>
          <cell r="D222">
            <v>0</v>
          </cell>
          <cell r="E222">
            <v>23</v>
          </cell>
          <cell r="F222">
            <v>14</v>
          </cell>
          <cell r="G222">
            <v>8</v>
          </cell>
          <cell r="H222">
            <v>31</v>
          </cell>
          <cell r="I222">
            <v>8</v>
          </cell>
        </row>
        <row r="223">
          <cell r="A223" t="str">
            <v>RET-00040</v>
          </cell>
          <cell r="B223">
            <v>2</v>
          </cell>
          <cell r="C223">
            <v>3</v>
          </cell>
          <cell r="D223">
            <v>0</v>
          </cell>
          <cell r="E223">
            <v>17</v>
          </cell>
          <cell r="F223">
            <v>3</v>
          </cell>
          <cell r="G223">
            <v>24</v>
          </cell>
          <cell r="H223">
            <v>14</v>
          </cell>
          <cell r="I223">
            <v>11</v>
          </cell>
        </row>
        <row r="224">
          <cell r="A224" t="str">
            <v>RET-00043</v>
          </cell>
          <cell r="B224">
            <v>4</v>
          </cell>
          <cell r="C224">
            <v>1</v>
          </cell>
          <cell r="D224">
            <v>0</v>
          </cell>
          <cell r="E224">
            <v>22</v>
          </cell>
          <cell r="F224">
            <v>7</v>
          </cell>
          <cell r="G224">
            <v>32</v>
          </cell>
          <cell r="H224">
            <v>12</v>
          </cell>
          <cell r="I224">
            <v>5</v>
          </cell>
        </row>
        <row r="225">
          <cell r="A225" t="str">
            <v>RET-00068</v>
          </cell>
          <cell r="B225">
            <v>5</v>
          </cell>
          <cell r="C225">
            <v>11</v>
          </cell>
          <cell r="D225">
            <v>0</v>
          </cell>
          <cell r="E225">
            <v>44</v>
          </cell>
          <cell r="F225">
            <v>15</v>
          </cell>
          <cell r="G225">
            <v>26</v>
          </cell>
          <cell r="H225">
            <v>25</v>
          </cell>
          <cell r="I225">
            <v>17</v>
          </cell>
        </row>
        <row r="226">
          <cell r="A226" t="str">
            <v>RET-00088</v>
          </cell>
          <cell r="B226">
            <v>0</v>
          </cell>
          <cell r="C226">
            <v>0</v>
          </cell>
          <cell r="D226">
            <v>0</v>
          </cell>
          <cell r="E226">
            <v>10</v>
          </cell>
          <cell r="F226">
            <v>4</v>
          </cell>
          <cell r="G226">
            <v>5</v>
          </cell>
          <cell r="H226">
            <v>2</v>
          </cell>
          <cell r="I226">
            <v>9</v>
          </cell>
        </row>
        <row r="227">
          <cell r="A227" t="str">
            <v>RET-00182</v>
          </cell>
          <cell r="B227">
            <v>0</v>
          </cell>
          <cell r="C227">
            <v>3</v>
          </cell>
          <cell r="D227">
            <v>0</v>
          </cell>
          <cell r="E227">
            <v>1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A228" t="str">
            <v>RET-00187</v>
          </cell>
          <cell r="B228">
            <v>4</v>
          </cell>
          <cell r="C228">
            <v>4</v>
          </cell>
          <cell r="D228">
            <v>0</v>
          </cell>
          <cell r="E228">
            <v>17</v>
          </cell>
          <cell r="F228">
            <v>21</v>
          </cell>
          <cell r="G228">
            <v>16</v>
          </cell>
          <cell r="H228">
            <v>11</v>
          </cell>
          <cell r="I228">
            <v>8</v>
          </cell>
        </row>
        <row r="229">
          <cell r="A229" t="str">
            <v>RET-00417</v>
          </cell>
          <cell r="B229">
            <v>1</v>
          </cell>
          <cell r="C229">
            <v>2</v>
          </cell>
          <cell r="D229">
            <v>0</v>
          </cell>
          <cell r="E229">
            <v>1</v>
          </cell>
          <cell r="F229">
            <v>0</v>
          </cell>
          <cell r="G229">
            <v>6</v>
          </cell>
          <cell r="H229">
            <v>6</v>
          </cell>
          <cell r="I229">
            <v>2</v>
          </cell>
        </row>
        <row r="230">
          <cell r="A230" t="str">
            <v>RET-00420</v>
          </cell>
          <cell r="B230">
            <v>0</v>
          </cell>
          <cell r="C230">
            <v>0</v>
          </cell>
          <cell r="D230">
            <v>0</v>
          </cell>
          <cell r="E230">
            <v>6</v>
          </cell>
          <cell r="F230">
            <v>3</v>
          </cell>
          <cell r="G230">
            <v>4</v>
          </cell>
          <cell r="H230">
            <v>12</v>
          </cell>
          <cell r="I230">
            <v>0</v>
          </cell>
        </row>
        <row r="231">
          <cell r="A231" t="str">
            <v>RET-00433</v>
          </cell>
          <cell r="B231">
            <v>0</v>
          </cell>
          <cell r="C231">
            <v>0</v>
          </cell>
          <cell r="D231">
            <v>0</v>
          </cell>
          <cell r="E231">
            <v>4</v>
          </cell>
          <cell r="F231">
            <v>1</v>
          </cell>
          <cell r="G231">
            <v>5</v>
          </cell>
          <cell r="H231">
            <v>3</v>
          </cell>
          <cell r="I231">
            <v>0</v>
          </cell>
        </row>
        <row r="232">
          <cell r="A232" t="str">
            <v>RET-00457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3</v>
          </cell>
          <cell r="H232">
            <v>0</v>
          </cell>
          <cell r="I232">
            <v>0</v>
          </cell>
        </row>
        <row r="233">
          <cell r="A233" t="str">
            <v>RET-00463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1</v>
          </cell>
          <cell r="I233">
            <v>0</v>
          </cell>
        </row>
        <row r="234">
          <cell r="A234" t="str">
            <v>RET-00464</v>
          </cell>
          <cell r="B234">
            <v>2</v>
          </cell>
          <cell r="C234">
            <v>2</v>
          </cell>
          <cell r="D234">
            <v>0</v>
          </cell>
          <cell r="E234">
            <v>5</v>
          </cell>
          <cell r="F234">
            <v>4</v>
          </cell>
          <cell r="G234">
            <v>22</v>
          </cell>
          <cell r="H234">
            <v>10</v>
          </cell>
          <cell r="I234">
            <v>2</v>
          </cell>
        </row>
        <row r="235">
          <cell r="A235" t="str">
            <v>RET-00466</v>
          </cell>
          <cell r="B235">
            <v>1</v>
          </cell>
          <cell r="C235">
            <v>6</v>
          </cell>
          <cell r="D235">
            <v>0</v>
          </cell>
          <cell r="E235">
            <v>3</v>
          </cell>
          <cell r="F235">
            <v>18</v>
          </cell>
          <cell r="G235">
            <v>33</v>
          </cell>
          <cell r="H235">
            <v>23</v>
          </cell>
          <cell r="I235">
            <v>8</v>
          </cell>
        </row>
        <row r="236">
          <cell r="A236" t="str">
            <v>RET-01075</v>
          </cell>
          <cell r="B236">
            <v>2</v>
          </cell>
          <cell r="C236">
            <v>0</v>
          </cell>
          <cell r="D236">
            <v>0</v>
          </cell>
          <cell r="E236">
            <v>4</v>
          </cell>
          <cell r="F236">
            <v>2</v>
          </cell>
          <cell r="G236">
            <v>1</v>
          </cell>
          <cell r="H236">
            <v>1</v>
          </cell>
          <cell r="I236">
            <v>2</v>
          </cell>
        </row>
        <row r="237">
          <cell r="A237" t="str">
            <v>RET-01234</v>
          </cell>
          <cell r="B237">
            <v>1</v>
          </cell>
          <cell r="C237">
            <v>0</v>
          </cell>
          <cell r="D237">
            <v>0</v>
          </cell>
          <cell r="E237">
            <v>3</v>
          </cell>
          <cell r="F237">
            <v>2</v>
          </cell>
          <cell r="G237">
            <v>3</v>
          </cell>
          <cell r="H237">
            <v>2</v>
          </cell>
          <cell r="I237">
            <v>6</v>
          </cell>
        </row>
        <row r="238">
          <cell r="A238" t="str">
            <v>RET-01989</v>
          </cell>
          <cell r="B238">
            <v>1</v>
          </cell>
          <cell r="C238">
            <v>0</v>
          </cell>
          <cell r="D238">
            <v>0</v>
          </cell>
          <cell r="E238">
            <v>15</v>
          </cell>
          <cell r="F238">
            <v>3</v>
          </cell>
          <cell r="G238">
            <v>0</v>
          </cell>
          <cell r="H238">
            <v>13</v>
          </cell>
          <cell r="I238">
            <v>0</v>
          </cell>
        </row>
        <row r="239">
          <cell r="A239" t="str">
            <v>RET-01991</v>
          </cell>
          <cell r="B239">
            <v>4</v>
          </cell>
          <cell r="C239">
            <v>4</v>
          </cell>
          <cell r="D239">
            <v>0</v>
          </cell>
          <cell r="E239">
            <v>21</v>
          </cell>
          <cell r="F239">
            <v>5</v>
          </cell>
          <cell r="G239">
            <v>2</v>
          </cell>
          <cell r="H239">
            <v>6</v>
          </cell>
          <cell r="I239">
            <v>4</v>
          </cell>
        </row>
        <row r="240">
          <cell r="A240" t="str">
            <v>RET-01995</v>
          </cell>
          <cell r="B240">
            <v>1</v>
          </cell>
          <cell r="C240">
            <v>0</v>
          </cell>
          <cell r="D240">
            <v>1</v>
          </cell>
          <cell r="E240">
            <v>10</v>
          </cell>
          <cell r="F240">
            <v>3</v>
          </cell>
          <cell r="G240">
            <v>3</v>
          </cell>
          <cell r="H240">
            <v>11</v>
          </cell>
          <cell r="I240">
            <v>2</v>
          </cell>
        </row>
        <row r="241">
          <cell r="A241" t="str">
            <v>RET-01999</v>
          </cell>
          <cell r="B241">
            <v>0</v>
          </cell>
          <cell r="C241">
            <v>1</v>
          </cell>
          <cell r="D241">
            <v>0</v>
          </cell>
          <cell r="E241">
            <v>5</v>
          </cell>
          <cell r="F241">
            <v>5</v>
          </cell>
          <cell r="G241">
            <v>18</v>
          </cell>
          <cell r="H241">
            <v>11</v>
          </cell>
          <cell r="I241">
            <v>4</v>
          </cell>
        </row>
        <row r="242">
          <cell r="A242" t="str">
            <v>RET-14026</v>
          </cell>
          <cell r="B242">
            <v>0</v>
          </cell>
          <cell r="C242">
            <v>0</v>
          </cell>
          <cell r="D242">
            <v>0</v>
          </cell>
          <cell r="E242">
            <v>7</v>
          </cell>
          <cell r="F242">
            <v>2</v>
          </cell>
          <cell r="G242">
            <v>4</v>
          </cell>
          <cell r="H242">
            <v>6</v>
          </cell>
          <cell r="I242">
            <v>0</v>
          </cell>
        </row>
        <row r="243">
          <cell r="A243" t="str">
            <v>RET-14564</v>
          </cell>
          <cell r="B243">
            <v>1</v>
          </cell>
          <cell r="C243">
            <v>1</v>
          </cell>
          <cell r="D243">
            <v>0</v>
          </cell>
          <cell r="E243">
            <v>3</v>
          </cell>
          <cell r="F243">
            <v>4</v>
          </cell>
          <cell r="G243">
            <v>5</v>
          </cell>
          <cell r="H243">
            <v>4</v>
          </cell>
          <cell r="I243">
            <v>0</v>
          </cell>
        </row>
        <row r="244">
          <cell r="A244" t="str">
            <v>RET-14644</v>
          </cell>
          <cell r="B244">
            <v>0</v>
          </cell>
          <cell r="C244">
            <v>1</v>
          </cell>
          <cell r="D244">
            <v>0</v>
          </cell>
          <cell r="E244">
            <v>6</v>
          </cell>
          <cell r="F244">
            <v>0</v>
          </cell>
          <cell r="G244">
            <v>2</v>
          </cell>
          <cell r="H244">
            <v>0</v>
          </cell>
          <cell r="I244">
            <v>0</v>
          </cell>
        </row>
        <row r="245">
          <cell r="A245" t="str">
            <v>RET-14738</v>
          </cell>
          <cell r="B245">
            <v>0</v>
          </cell>
          <cell r="C245">
            <v>6</v>
          </cell>
          <cell r="D245">
            <v>3</v>
          </cell>
          <cell r="E245">
            <v>13</v>
          </cell>
          <cell r="F245">
            <v>0</v>
          </cell>
          <cell r="G245">
            <v>7</v>
          </cell>
          <cell r="H245">
            <v>4</v>
          </cell>
          <cell r="I245">
            <v>1</v>
          </cell>
        </row>
        <row r="246">
          <cell r="A246" t="str">
            <v>RET-14953</v>
          </cell>
          <cell r="B246">
            <v>1</v>
          </cell>
          <cell r="C246">
            <v>0</v>
          </cell>
          <cell r="D246">
            <v>0</v>
          </cell>
          <cell r="E246">
            <v>17</v>
          </cell>
          <cell r="F246">
            <v>2</v>
          </cell>
          <cell r="G246">
            <v>9</v>
          </cell>
          <cell r="H246">
            <v>4</v>
          </cell>
          <cell r="I246">
            <v>2</v>
          </cell>
        </row>
        <row r="247">
          <cell r="A247" t="str">
            <v>RET-14954</v>
          </cell>
          <cell r="B247">
            <v>0</v>
          </cell>
          <cell r="C247">
            <v>1</v>
          </cell>
          <cell r="D247">
            <v>0</v>
          </cell>
          <cell r="E247">
            <v>6</v>
          </cell>
          <cell r="F247">
            <v>3</v>
          </cell>
          <cell r="G247">
            <v>3</v>
          </cell>
          <cell r="H247">
            <v>2</v>
          </cell>
          <cell r="I247">
            <v>3</v>
          </cell>
        </row>
        <row r="248">
          <cell r="A248" t="str">
            <v>RET-18067</v>
          </cell>
          <cell r="B248">
            <v>1</v>
          </cell>
          <cell r="C248">
            <v>0</v>
          </cell>
          <cell r="D248">
            <v>0</v>
          </cell>
          <cell r="E248">
            <v>13</v>
          </cell>
          <cell r="F248">
            <v>3</v>
          </cell>
          <cell r="G248">
            <v>0</v>
          </cell>
          <cell r="H248">
            <v>2</v>
          </cell>
          <cell r="I248">
            <v>3</v>
          </cell>
        </row>
        <row r="249">
          <cell r="A249" t="str">
            <v>RET-18126</v>
          </cell>
          <cell r="B249">
            <v>0</v>
          </cell>
          <cell r="C249">
            <v>0</v>
          </cell>
          <cell r="D249">
            <v>0</v>
          </cell>
          <cell r="E249">
            <v>3</v>
          </cell>
          <cell r="F249">
            <v>2</v>
          </cell>
          <cell r="G249">
            <v>0</v>
          </cell>
          <cell r="H249">
            <v>5</v>
          </cell>
          <cell r="I249">
            <v>1</v>
          </cell>
        </row>
        <row r="250">
          <cell r="A250" t="str">
            <v>RET-18822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1</v>
          </cell>
          <cell r="G250">
            <v>0</v>
          </cell>
          <cell r="H250">
            <v>2</v>
          </cell>
          <cell r="I250">
            <v>0</v>
          </cell>
        </row>
        <row r="251">
          <cell r="A251" t="str">
            <v>RET-19936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1</v>
          </cell>
          <cell r="H251">
            <v>0</v>
          </cell>
          <cell r="I251">
            <v>1</v>
          </cell>
        </row>
        <row r="252">
          <cell r="A252" t="str">
            <v>RET-20311</v>
          </cell>
          <cell r="B252">
            <v>1</v>
          </cell>
          <cell r="C252">
            <v>2</v>
          </cell>
          <cell r="D252">
            <v>1</v>
          </cell>
          <cell r="E252">
            <v>6</v>
          </cell>
          <cell r="F252">
            <v>3</v>
          </cell>
          <cell r="G252">
            <v>1</v>
          </cell>
          <cell r="H252">
            <v>1</v>
          </cell>
          <cell r="I252">
            <v>0</v>
          </cell>
        </row>
        <row r="253">
          <cell r="A253" t="str">
            <v>TMP-00002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A254" t="str">
            <v>RET-10106</v>
          </cell>
          <cell r="B254">
            <v>0</v>
          </cell>
          <cell r="C254">
            <v>0</v>
          </cell>
          <cell r="D254">
            <v>0</v>
          </cell>
          <cell r="E254">
            <v>1</v>
          </cell>
          <cell r="F254">
            <v>1</v>
          </cell>
          <cell r="G254">
            <v>3</v>
          </cell>
          <cell r="H254">
            <v>3</v>
          </cell>
          <cell r="I254">
            <v>0</v>
          </cell>
        </row>
        <row r="255">
          <cell r="A255" t="str">
            <v>RET-10109</v>
          </cell>
          <cell r="B255">
            <v>1</v>
          </cell>
          <cell r="C255">
            <v>0</v>
          </cell>
          <cell r="D255">
            <v>0</v>
          </cell>
          <cell r="E255">
            <v>5</v>
          </cell>
          <cell r="F255">
            <v>0</v>
          </cell>
          <cell r="G255">
            <v>11</v>
          </cell>
          <cell r="H255">
            <v>2</v>
          </cell>
          <cell r="I255">
            <v>1</v>
          </cell>
        </row>
        <row r="256">
          <cell r="A256" t="str">
            <v>RET-10127</v>
          </cell>
          <cell r="B256">
            <v>0</v>
          </cell>
          <cell r="C256">
            <v>0</v>
          </cell>
          <cell r="D256">
            <v>0</v>
          </cell>
          <cell r="E256">
            <v>5</v>
          </cell>
          <cell r="F256">
            <v>2</v>
          </cell>
          <cell r="G256">
            <v>3</v>
          </cell>
          <cell r="H256">
            <v>1</v>
          </cell>
          <cell r="I256">
            <v>2</v>
          </cell>
        </row>
        <row r="257">
          <cell r="A257" t="str">
            <v>RET-10320</v>
          </cell>
          <cell r="B257">
            <v>1</v>
          </cell>
          <cell r="C257">
            <v>0</v>
          </cell>
          <cell r="D257">
            <v>0</v>
          </cell>
          <cell r="E257">
            <v>2</v>
          </cell>
          <cell r="F257">
            <v>0</v>
          </cell>
          <cell r="G257">
            <v>0</v>
          </cell>
          <cell r="H257">
            <v>1</v>
          </cell>
          <cell r="I257">
            <v>0</v>
          </cell>
        </row>
        <row r="258">
          <cell r="A258" t="str">
            <v>RET-10410</v>
          </cell>
          <cell r="B258">
            <v>2</v>
          </cell>
          <cell r="C258">
            <v>0</v>
          </cell>
          <cell r="D258">
            <v>0</v>
          </cell>
          <cell r="E258">
            <v>2</v>
          </cell>
          <cell r="F258">
            <v>1</v>
          </cell>
          <cell r="G258">
            <v>12</v>
          </cell>
          <cell r="H258">
            <v>5</v>
          </cell>
          <cell r="I258">
            <v>1</v>
          </cell>
        </row>
        <row r="259">
          <cell r="A259" t="str">
            <v>RET-10450</v>
          </cell>
          <cell r="B259">
            <v>0</v>
          </cell>
          <cell r="C259">
            <v>0</v>
          </cell>
          <cell r="D259">
            <v>0</v>
          </cell>
          <cell r="E259">
            <v>2</v>
          </cell>
          <cell r="F259">
            <v>2</v>
          </cell>
          <cell r="G259">
            <v>0</v>
          </cell>
          <cell r="H259">
            <v>1</v>
          </cell>
          <cell r="I259">
            <v>0</v>
          </cell>
        </row>
        <row r="260">
          <cell r="A260" t="str">
            <v>RET-10454</v>
          </cell>
          <cell r="B260">
            <v>0</v>
          </cell>
          <cell r="C260">
            <v>1</v>
          </cell>
          <cell r="D260">
            <v>0</v>
          </cell>
          <cell r="E260">
            <v>3</v>
          </cell>
          <cell r="F260">
            <v>4</v>
          </cell>
          <cell r="G260">
            <v>2</v>
          </cell>
          <cell r="H260">
            <v>3</v>
          </cell>
          <cell r="I260">
            <v>3</v>
          </cell>
        </row>
        <row r="261">
          <cell r="A261" t="str">
            <v>RET-10456</v>
          </cell>
          <cell r="B261">
            <v>0</v>
          </cell>
          <cell r="C261">
            <v>2</v>
          </cell>
          <cell r="D261">
            <v>0</v>
          </cell>
          <cell r="E261">
            <v>3</v>
          </cell>
          <cell r="F261">
            <v>4</v>
          </cell>
          <cell r="G261">
            <v>1</v>
          </cell>
          <cell r="H261">
            <v>0</v>
          </cell>
          <cell r="I261">
            <v>8</v>
          </cell>
        </row>
        <row r="262">
          <cell r="A262" t="str">
            <v>RET-10477</v>
          </cell>
          <cell r="B262">
            <v>0</v>
          </cell>
          <cell r="C262">
            <v>1</v>
          </cell>
          <cell r="D262">
            <v>0</v>
          </cell>
          <cell r="E262">
            <v>4</v>
          </cell>
          <cell r="F262">
            <v>0</v>
          </cell>
          <cell r="G262">
            <v>8</v>
          </cell>
          <cell r="H262">
            <v>1</v>
          </cell>
          <cell r="I262">
            <v>1</v>
          </cell>
        </row>
        <row r="263">
          <cell r="A263" t="str">
            <v>RET-10482</v>
          </cell>
          <cell r="B263">
            <v>0</v>
          </cell>
          <cell r="C263">
            <v>0</v>
          </cell>
          <cell r="D263">
            <v>0</v>
          </cell>
          <cell r="E263">
            <v>3</v>
          </cell>
          <cell r="F263">
            <v>0</v>
          </cell>
          <cell r="G263">
            <v>2</v>
          </cell>
          <cell r="H263">
            <v>0</v>
          </cell>
          <cell r="I263">
            <v>0</v>
          </cell>
        </row>
        <row r="264">
          <cell r="A264" t="str">
            <v>RET-10483</v>
          </cell>
          <cell r="B264">
            <v>0</v>
          </cell>
          <cell r="C264">
            <v>1</v>
          </cell>
          <cell r="D264">
            <v>0</v>
          </cell>
          <cell r="E264">
            <v>3</v>
          </cell>
          <cell r="F264">
            <v>0</v>
          </cell>
          <cell r="G264">
            <v>3</v>
          </cell>
          <cell r="H264">
            <v>1</v>
          </cell>
          <cell r="I264">
            <v>0</v>
          </cell>
        </row>
        <row r="265">
          <cell r="A265" t="str">
            <v>RET-10499</v>
          </cell>
          <cell r="B265">
            <v>0</v>
          </cell>
          <cell r="C265">
            <v>0</v>
          </cell>
          <cell r="D265">
            <v>0</v>
          </cell>
          <cell r="E265">
            <v>2</v>
          </cell>
          <cell r="F265">
            <v>2</v>
          </cell>
          <cell r="G265">
            <v>9</v>
          </cell>
          <cell r="H265">
            <v>7</v>
          </cell>
          <cell r="I265">
            <v>0</v>
          </cell>
        </row>
        <row r="266">
          <cell r="A266" t="str">
            <v>RET-10736</v>
          </cell>
          <cell r="B266">
            <v>0</v>
          </cell>
          <cell r="C266">
            <v>0</v>
          </cell>
          <cell r="D266">
            <v>0</v>
          </cell>
          <cell r="E266">
            <v>3</v>
          </cell>
          <cell r="F266">
            <v>0</v>
          </cell>
          <cell r="G266">
            <v>4</v>
          </cell>
          <cell r="H266">
            <v>2</v>
          </cell>
          <cell r="I266">
            <v>1</v>
          </cell>
        </row>
        <row r="267">
          <cell r="A267" t="str">
            <v>RET-10771</v>
          </cell>
          <cell r="B267">
            <v>0</v>
          </cell>
          <cell r="C267">
            <v>1</v>
          </cell>
          <cell r="D267">
            <v>0</v>
          </cell>
          <cell r="E267">
            <v>2</v>
          </cell>
          <cell r="F267">
            <v>1</v>
          </cell>
          <cell r="G267">
            <v>3</v>
          </cell>
          <cell r="H267">
            <v>1</v>
          </cell>
          <cell r="I267">
            <v>0</v>
          </cell>
        </row>
        <row r="268">
          <cell r="A268" t="str">
            <v>RET-11111</v>
          </cell>
          <cell r="B268">
            <v>0</v>
          </cell>
          <cell r="C268">
            <v>1</v>
          </cell>
          <cell r="D268">
            <v>0</v>
          </cell>
          <cell r="E268">
            <v>4</v>
          </cell>
          <cell r="F268">
            <v>0</v>
          </cell>
          <cell r="G268">
            <v>13</v>
          </cell>
          <cell r="H268">
            <v>6</v>
          </cell>
          <cell r="I268">
            <v>4</v>
          </cell>
        </row>
        <row r="269">
          <cell r="A269" t="str">
            <v>RET-11394</v>
          </cell>
          <cell r="B269">
            <v>0</v>
          </cell>
          <cell r="C269">
            <v>0</v>
          </cell>
          <cell r="D269">
            <v>0</v>
          </cell>
          <cell r="E269">
            <v>13</v>
          </cell>
          <cell r="F269">
            <v>3</v>
          </cell>
          <cell r="G269">
            <v>8</v>
          </cell>
          <cell r="H269">
            <v>3</v>
          </cell>
          <cell r="I269">
            <v>1</v>
          </cell>
        </row>
        <row r="270">
          <cell r="A270" t="str">
            <v>RET-11519</v>
          </cell>
          <cell r="B270">
            <v>0</v>
          </cell>
          <cell r="C270">
            <v>0</v>
          </cell>
          <cell r="D270">
            <v>0</v>
          </cell>
          <cell r="E270">
            <v>4</v>
          </cell>
          <cell r="F270">
            <v>4</v>
          </cell>
          <cell r="G270">
            <v>8</v>
          </cell>
          <cell r="H270">
            <v>6</v>
          </cell>
          <cell r="I270">
            <v>4</v>
          </cell>
        </row>
        <row r="271">
          <cell r="A271" t="str">
            <v>RET-11930</v>
          </cell>
          <cell r="B271">
            <v>1</v>
          </cell>
          <cell r="C271">
            <v>0</v>
          </cell>
          <cell r="D271">
            <v>0</v>
          </cell>
          <cell r="E271">
            <v>2</v>
          </cell>
          <cell r="F271">
            <v>1</v>
          </cell>
          <cell r="G271">
            <v>5</v>
          </cell>
          <cell r="H271">
            <v>1</v>
          </cell>
          <cell r="I271">
            <v>2</v>
          </cell>
        </row>
        <row r="272">
          <cell r="A272" t="str">
            <v>RET-17998</v>
          </cell>
          <cell r="B272">
            <v>7</v>
          </cell>
          <cell r="C272">
            <v>1</v>
          </cell>
          <cell r="D272">
            <v>0</v>
          </cell>
          <cell r="E272">
            <v>7</v>
          </cell>
          <cell r="F272">
            <v>0</v>
          </cell>
          <cell r="G272">
            <v>9</v>
          </cell>
          <cell r="H272">
            <v>1</v>
          </cell>
          <cell r="I272">
            <v>4</v>
          </cell>
        </row>
        <row r="273">
          <cell r="A273" t="str">
            <v>RET-18870</v>
          </cell>
          <cell r="B273">
            <v>1</v>
          </cell>
          <cell r="C273">
            <v>0</v>
          </cell>
          <cell r="D273">
            <v>0</v>
          </cell>
          <cell r="E273">
            <v>7</v>
          </cell>
          <cell r="F273">
            <v>0</v>
          </cell>
          <cell r="G273">
            <v>2</v>
          </cell>
          <cell r="H273">
            <v>0</v>
          </cell>
          <cell r="I273">
            <v>1</v>
          </cell>
        </row>
        <row r="274">
          <cell r="A274" t="str">
            <v>RET-00497</v>
          </cell>
          <cell r="B274">
            <v>0</v>
          </cell>
          <cell r="C274">
            <v>0</v>
          </cell>
          <cell r="D274">
            <v>0</v>
          </cell>
          <cell r="E274">
            <v>6</v>
          </cell>
          <cell r="F274">
            <v>7</v>
          </cell>
          <cell r="G274">
            <v>5</v>
          </cell>
          <cell r="H274">
            <v>7</v>
          </cell>
          <cell r="I274">
            <v>3</v>
          </cell>
        </row>
        <row r="275">
          <cell r="A275" t="str">
            <v>RET-00504</v>
          </cell>
          <cell r="B275">
            <v>2</v>
          </cell>
          <cell r="C275">
            <v>1</v>
          </cell>
          <cell r="D275">
            <v>0</v>
          </cell>
          <cell r="E275">
            <v>9</v>
          </cell>
          <cell r="F275">
            <v>8</v>
          </cell>
          <cell r="G275">
            <v>3</v>
          </cell>
          <cell r="H275">
            <v>13</v>
          </cell>
          <cell r="I275">
            <v>7</v>
          </cell>
        </row>
        <row r="276">
          <cell r="A276" t="str">
            <v>RET-00526</v>
          </cell>
          <cell r="B276">
            <v>0</v>
          </cell>
          <cell r="C276">
            <v>0</v>
          </cell>
          <cell r="D276">
            <v>0</v>
          </cell>
          <cell r="E276">
            <v>4</v>
          </cell>
          <cell r="F276">
            <v>0</v>
          </cell>
          <cell r="G276">
            <v>5</v>
          </cell>
          <cell r="H276">
            <v>3</v>
          </cell>
          <cell r="I276">
            <v>1</v>
          </cell>
        </row>
        <row r="277">
          <cell r="A277" t="str">
            <v>RET-00541</v>
          </cell>
          <cell r="B277">
            <v>0</v>
          </cell>
          <cell r="C277">
            <v>0</v>
          </cell>
          <cell r="D277">
            <v>0</v>
          </cell>
          <cell r="E277">
            <v>6</v>
          </cell>
          <cell r="F277">
            <v>3</v>
          </cell>
          <cell r="G277">
            <v>16</v>
          </cell>
          <cell r="H277">
            <v>4</v>
          </cell>
          <cell r="I277">
            <v>3</v>
          </cell>
        </row>
        <row r="278">
          <cell r="A278" t="str">
            <v>RET-00580</v>
          </cell>
          <cell r="B278">
            <v>1</v>
          </cell>
          <cell r="C278">
            <v>0</v>
          </cell>
          <cell r="D278">
            <v>0</v>
          </cell>
          <cell r="E278">
            <v>6</v>
          </cell>
          <cell r="F278">
            <v>6</v>
          </cell>
          <cell r="G278">
            <v>9</v>
          </cell>
          <cell r="H278">
            <v>5</v>
          </cell>
          <cell r="I278">
            <v>2</v>
          </cell>
        </row>
        <row r="279">
          <cell r="A279" t="str">
            <v>RET-00597</v>
          </cell>
          <cell r="B279">
            <v>1</v>
          </cell>
          <cell r="C279">
            <v>0</v>
          </cell>
          <cell r="D279">
            <v>0</v>
          </cell>
          <cell r="E279">
            <v>12</v>
          </cell>
          <cell r="F279">
            <v>3</v>
          </cell>
          <cell r="G279">
            <v>0</v>
          </cell>
          <cell r="H279">
            <v>4</v>
          </cell>
          <cell r="I279">
            <v>3</v>
          </cell>
        </row>
        <row r="280">
          <cell r="A280" t="str">
            <v>RET-00601</v>
          </cell>
          <cell r="B280">
            <v>0</v>
          </cell>
          <cell r="C280">
            <v>0</v>
          </cell>
          <cell r="D280">
            <v>0</v>
          </cell>
          <cell r="E280">
            <v>1</v>
          </cell>
          <cell r="F280">
            <v>3</v>
          </cell>
          <cell r="G280">
            <v>2</v>
          </cell>
          <cell r="H280">
            <v>0</v>
          </cell>
          <cell r="I280">
            <v>0</v>
          </cell>
        </row>
        <row r="281">
          <cell r="A281" t="str">
            <v>RET-00623</v>
          </cell>
          <cell r="B281">
            <v>6</v>
          </cell>
          <cell r="C281">
            <v>8</v>
          </cell>
          <cell r="D281">
            <v>0</v>
          </cell>
          <cell r="E281">
            <v>14</v>
          </cell>
          <cell r="F281">
            <v>18</v>
          </cell>
          <cell r="G281">
            <v>32</v>
          </cell>
          <cell r="H281">
            <v>43</v>
          </cell>
          <cell r="I281">
            <v>6</v>
          </cell>
        </row>
        <row r="282">
          <cell r="A282" t="str">
            <v>RET-01948</v>
          </cell>
          <cell r="B282">
            <v>1</v>
          </cell>
          <cell r="C282">
            <v>0</v>
          </cell>
          <cell r="D282">
            <v>0</v>
          </cell>
          <cell r="E282">
            <v>0</v>
          </cell>
          <cell r="F282">
            <v>2</v>
          </cell>
          <cell r="G282">
            <v>0</v>
          </cell>
          <cell r="H282">
            <v>1</v>
          </cell>
          <cell r="I282">
            <v>0</v>
          </cell>
        </row>
        <row r="283">
          <cell r="A283" t="str">
            <v>RET-01953</v>
          </cell>
          <cell r="B283">
            <v>1</v>
          </cell>
          <cell r="C283">
            <v>2</v>
          </cell>
          <cell r="D283">
            <v>0</v>
          </cell>
          <cell r="E283">
            <v>2</v>
          </cell>
          <cell r="F283">
            <v>5</v>
          </cell>
          <cell r="G283">
            <v>13</v>
          </cell>
          <cell r="H283">
            <v>5</v>
          </cell>
          <cell r="I283">
            <v>3</v>
          </cell>
        </row>
        <row r="284">
          <cell r="A284" t="str">
            <v>RET-02015</v>
          </cell>
          <cell r="B284">
            <v>0</v>
          </cell>
          <cell r="C284">
            <v>1</v>
          </cell>
          <cell r="D284">
            <v>0</v>
          </cell>
          <cell r="E284">
            <v>5</v>
          </cell>
          <cell r="F284">
            <v>2</v>
          </cell>
          <cell r="G284">
            <v>5</v>
          </cell>
          <cell r="H284">
            <v>0</v>
          </cell>
          <cell r="I284">
            <v>0</v>
          </cell>
        </row>
        <row r="285">
          <cell r="A285" t="str">
            <v>RET-02022</v>
          </cell>
          <cell r="B285">
            <v>0</v>
          </cell>
          <cell r="C285">
            <v>0</v>
          </cell>
          <cell r="D285">
            <v>0</v>
          </cell>
          <cell r="E285">
            <v>1</v>
          </cell>
          <cell r="F285">
            <v>0</v>
          </cell>
          <cell r="G285">
            <v>1</v>
          </cell>
          <cell r="H285">
            <v>2</v>
          </cell>
          <cell r="I285">
            <v>0</v>
          </cell>
        </row>
        <row r="286">
          <cell r="A286" t="str">
            <v>RET-02153</v>
          </cell>
          <cell r="B286">
            <v>0</v>
          </cell>
          <cell r="C286">
            <v>0</v>
          </cell>
          <cell r="D286">
            <v>1</v>
          </cell>
          <cell r="E286">
            <v>17</v>
          </cell>
          <cell r="F286">
            <v>4</v>
          </cell>
          <cell r="G286">
            <v>12</v>
          </cell>
          <cell r="H286">
            <v>18</v>
          </cell>
          <cell r="I286">
            <v>4</v>
          </cell>
        </row>
        <row r="287">
          <cell r="A287" t="str">
            <v>RET-02188</v>
          </cell>
          <cell r="B287">
            <v>0</v>
          </cell>
          <cell r="C287">
            <v>0</v>
          </cell>
          <cell r="D287">
            <v>0</v>
          </cell>
          <cell r="E287">
            <v>9</v>
          </cell>
          <cell r="F287">
            <v>3</v>
          </cell>
          <cell r="G287">
            <v>5</v>
          </cell>
          <cell r="H287">
            <v>18</v>
          </cell>
          <cell r="I287">
            <v>4</v>
          </cell>
        </row>
        <row r="288">
          <cell r="A288" t="str">
            <v>RET-02215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2</v>
          </cell>
          <cell r="G288">
            <v>0</v>
          </cell>
          <cell r="H288">
            <v>2</v>
          </cell>
          <cell r="I288">
            <v>0</v>
          </cell>
        </row>
        <row r="289">
          <cell r="A289" t="str">
            <v>RET-02220</v>
          </cell>
          <cell r="B289">
            <v>2</v>
          </cell>
          <cell r="C289">
            <v>4</v>
          </cell>
          <cell r="D289">
            <v>0</v>
          </cell>
          <cell r="E289">
            <v>5</v>
          </cell>
          <cell r="F289">
            <v>33</v>
          </cell>
          <cell r="G289">
            <v>78</v>
          </cell>
          <cell r="H289">
            <v>27</v>
          </cell>
          <cell r="I289">
            <v>19</v>
          </cell>
        </row>
        <row r="290">
          <cell r="A290" t="str">
            <v>RET-02223</v>
          </cell>
          <cell r="B290">
            <v>0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15</v>
          </cell>
          <cell r="H290">
            <v>10</v>
          </cell>
          <cell r="I290">
            <v>2</v>
          </cell>
        </row>
        <row r="291">
          <cell r="A291" t="str">
            <v>RET-02245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5</v>
          </cell>
          <cell r="G291">
            <v>1</v>
          </cell>
          <cell r="H291">
            <v>2</v>
          </cell>
          <cell r="I291">
            <v>2</v>
          </cell>
        </row>
        <row r="292">
          <cell r="A292" t="str">
            <v>RET-02285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1</v>
          </cell>
          <cell r="H292">
            <v>5</v>
          </cell>
          <cell r="I292">
            <v>0</v>
          </cell>
        </row>
        <row r="293">
          <cell r="A293" t="str">
            <v>RET-02297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6</v>
          </cell>
          <cell r="H293">
            <v>16</v>
          </cell>
          <cell r="I293">
            <v>0</v>
          </cell>
        </row>
        <row r="294">
          <cell r="A294" t="str">
            <v>RET-11713</v>
          </cell>
          <cell r="B294">
            <v>1</v>
          </cell>
          <cell r="C294">
            <v>0</v>
          </cell>
          <cell r="D294">
            <v>0</v>
          </cell>
          <cell r="E294">
            <v>7</v>
          </cell>
          <cell r="F294">
            <v>1</v>
          </cell>
          <cell r="G294">
            <v>4</v>
          </cell>
          <cell r="H294">
            <v>12</v>
          </cell>
          <cell r="I294">
            <v>2</v>
          </cell>
        </row>
        <row r="295">
          <cell r="A295" t="str">
            <v>RET-11714</v>
          </cell>
          <cell r="B295">
            <v>0</v>
          </cell>
          <cell r="C295">
            <v>0</v>
          </cell>
          <cell r="D295">
            <v>0</v>
          </cell>
          <cell r="E295">
            <v>8</v>
          </cell>
          <cell r="F295">
            <v>6</v>
          </cell>
          <cell r="G295">
            <v>7</v>
          </cell>
          <cell r="H295">
            <v>0</v>
          </cell>
          <cell r="I295">
            <v>2</v>
          </cell>
        </row>
        <row r="296">
          <cell r="A296" t="str">
            <v>RET-13595</v>
          </cell>
          <cell r="B296">
            <v>0</v>
          </cell>
          <cell r="C296">
            <v>1</v>
          </cell>
          <cell r="D296">
            <v>0</v>
          </cell>
          <cell r="E296">
            <v>3</v>
          </cell>
          <cell r="F296">
            <v>5</v>
          </cell>
          <cell r="G296">
            <v>3</v>
          </cell>
          <cell r="H296">
            <v>2</v>
          </cell>
          <cell r="I296">
            <v>3</v>
          </cell>
        </row>
        <row r="297">
          <cell r="A297" t="str">
            <v>RET-13765</v>
          </cell>
          <cell r="B297">
            <v>0</v>
          </cell>
          <cell r="C297">
            <v>0</v>
          </cell>
          <cell r="D297">
            <v>0</v>
          </cell>
          <cell r="E297">
            <v>1</v>
          </cell>
          <cell r="F297">
            <v>3</v>
          </cell>
          <cell r="G297">
            <v>2</v>
          </cell>
          <cell r="H297">
            <v>0</v>
          </cell>
          <cell r="I297">
            <v>1</v>
          </cell>
        </row>
        <row r="298">
          <cell r="A298" t="str">
            <v>RET-14676</v>
          </cell>
          <cell r="B298">
            <v>0</v>
          </cell>
          <cell r="C298">
            <v>5</v>
          </cell>
          <cell r="D298">
            <v>0</v>
          </cell>
          <cell r="E298">
            <v>20</v>
          </cell>
          <cell r="F298">
            <v>2</v>
          </cell>
          <cell r="G298">
            <v>7</v>
          </cell>
          <cell r="H298">
            <v>0</v>
          </cell>
          <cell r="I298">
            <v>1</v>
          </cell>
        </row>
        <row r="299">
          <cell r="A299" t="str">
            <v>RET-19156</v>
          </cell>
          <cell r="B299">
            <v>0</v>
          </cell>
          <cell r="C299">
            <v>0</v>
          </cell>
          <cell r="D299">
            <v>0</v>
          </cell>
          <cell r="E299">
            <v>3</v>
          </cell>
          <cell r="F299">
            <v>3</v>
          </cell>
          <cell r="G299">
            <v>2</v>
          </cell>
          <cell r="H299">
            <v>0</v>
          </cell>
          <cell r="I299">
            <v>3</v>
          </cell>
        </row>
        <row r="300">
          <cell r="A300" t="str">
            <v>RET-19268</v>
          </cell>
          <cell r="B300">
            <v>0</v>
          </cell>
          <cell r="C300">
            <v>0</v>
          </cell>
          <cell r="D300">
            <v>0</v>
          </cell>
          <cell r="E300">
            <v>1</v>
          </cell>
          <cell r="F300">
            <v>1</v>
          </cell>
          <cell r="G300">
            <v>2</v>
          </cell>
          <cell r="H300">
            <v>0</v>
          </cell>
          <cell r="I300">
            <v>1</v>
          </cell>
        </row>
        <row r="301">
          <cell r="A301" t="str">
            <v>RET-19436</v>
          </cell>
          <cell r="B301">
            <v>0</v>
          </cell>
          <cell r="C301">
            <v>0</v>
          </cell>
          <cell r="D301">
            <v>0</v>
          </cell>
          <cell r="E301">
            <v>1</v>
          </cell>
          <cell r="F301">
            <v>1</v>
          </cell>
          <cell r="G301">
            <v>0</v>
          </cell>
          <cell r="H301">
            <v>0</v>
          </cell>
          <cell r="I301">
            <v>2</v>
          </cell>
        </row>
        <row r="302">
          <cell r="A302">
            <v>0</v>
          </cell>
          <cell r="B302">
            <v>178</v>
          </cell>
          <cell r="C302">
            <v>288</v>
          </cell>
          <cell r="D302">
            <v>21</v>
          </cell>
          <cell r="E302">
            <v>1855</v>
          </cell>
          <cell r="F302">
            <v>878</v>
          </cell>
          <cell r="G302">
            <v>2063</v>
          </cell>
          <cell r="H302">
            <v>1903</v>
          </cell>
          <cell r="I302">
            <v>634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P21"/>
  <sheetViews>
    <sheetView showGridLines="0" showRowColHeaders="0" tabSelected="1" zoomScale="85" zoomScaleNormal="85" workbookViewId="0">
      <selection activeCell="E10" sqref="E10"/>
    </sheetView>
  </sheetViews>
  <sheetFormatPr defaultRowHeight="15"/>
  <cols>
    <col min="1" max="1" width="10.7109375" bestFit="1" customWidth="1"/>
    <col min="2" max="2" width="51.42578125" customWidth="1"/>
    <col min="4" max="4" width="11.140625" bestFit="1" customWidth="1"/>
    <col min="9" max="9" width="10.7109375" customWidth="1"/>
    <col min="12" max="12" width="12.42578125" bestFit="1" customWidth="1"/>
    <col min="13" max="13" width="10.7109375" bestFit="1" customWidth="1"/>
  </cols>
  <sheetData>
    <row r="1" spans="1:16" ht="40.5" customHeight="1">
      <c r="C1" s="29" t="str">
        <f>"Welcome Back "&amp; IF(CurrentUser="","", CurrentUser)</f>
        <v>Welcome Back admin</v>
      </c>
    </row>
    <row r="3" spans="1:16">
      <c r="L3" s="1" t="s">
        <v>5</v>
      </c>
      <c r="M3" s="1" t="s">
        <v>10</v>
      </c>
    </row>
    <row r="4" spans="1:16">
      <c r="L4" s="2" t="s">
        <v>1</v>
      </c>
      <c r="M4" s="2" t="s">
        <v>11</v>
      </c>
    </row>
    <row r="5" spans="1:16">
      <c r="L5" s="2" t="s">
        <v>6</v>
      </c>
      <c r="M5" s="2" t="s">
        <v>12</v>
      </c>
    </row>
    <row r="6" spans="1:16">
      <c r="D6" s="3"/>
      <c r="E6" s="4"/>
      <c r="G6" s="3"/>
      <c r="H6" s="3"/>
      <c r="L6" s="2" t="s">
        <v>3</v>
      </c>
      <c r="M6" s="2" t="s">
        <v>13</v>
      </c>
    </row>
    <row r="7" spans="1:16" ht="15.75">
      <c r="D7" s="5"/>
      <c r="G7" s="3"/>
      <c r="H7" s="3"/>
      <c r="L7" s="2" t="s">
        <v>7</v>
      </c>
      <c r="M7" s="2" t="s">
        <v>14</v>
      </c>
    </row>
    <row r="8" spans="1:16" ht="15.75">
      <c r="D8" s="5"/>
      <c r="G8" s="3"/>
      <c r="H8" s="3"/>
      <c r="I8" s="6"/>
      <c r="J8" s="6"/>
      <c r="K8" s="6"/>
      <c r="L8" s="7" t="s">
        <v>8</v>
      </c>
      <c r="M8" s="2" t="s">
        <v>41</v>
      </c>
    </row>
    <row r="9" spans="1:16" ht="15.75">
      <c r="D9" s="5"/>
      <c r="G9" s="3"/>
      <c r="H9" s="3"/>
      <c r="I9" s="6"/>
      <c r="J9" s="6"/>
      <c r="K9" s="6"/>
      <c r="L9" s="2" t="s">
        <v>4</v>
      </c>
      <c r="M9" s="2" t="s">
        <v>15</v>
      </c>
    </row>
    <row r="10" spans="1:16">
      <c r="A10" s="3"/>
      <c r="G10" s="3"/>
      <c r="H10" s="3"/>
      <c r="L10" s="2" t="s">
        <v>0</v>
      </c>
      <c r="M10" s="2" t="s">
        <v>16</v>
      </c>
    </row>
    <row r="11" spans="1:16" ht="15.75">
      <c r="A11" s="3"/>
      <c r="C11" s="8"/>
      <c r="D11" s="5"/>
      <c r="G11" s="86"/>
      <c r="H11" s="86"/>
      <c r="L11" s="2" t="s">
        <v>9</v>
      </c>
      <c r="M11" s="2" t="s">
        <v>17</v>
      </c>
    </row>
    <row r="12" spans="1:16" ht="15.75">
      <c r="A12" s="3"/>
      <c r="D12" s="5"/>
      <c r="G12" s="3"/>
      <c r="H12" s="3"/>
      <c r="L12" s="2" t="s">
        <v>2</v>
      </c>
      <c r="M12" s="2" t="s">
        <v>18</v>
      </c>
    </row>
    <row r="13" spans="1:16" ht="15.75">
      <c r="A13" s="3"/>
      <c r="D13" s="5"/>
      <c r="G13" s="9"/>
      <c r="H13" s="3"/>
      <c r="L13" s="10" t="s">
        <v>19</v>
      </c>
      <c r="M13" s="10" t="s">
        <v>20</v>
      </c>
    </row>
    <row r="14" spans="1:16" ht="15.75">
      <c r="A14" s="3"/>
      <c r="D14" s="5"/>
      <c r="G14" s="3"/>
      <c r="H14" s="3"/>
    </row>
    <row r="15" spans="1:16" ht="15.75">
      <c r="A15" s="3"/>
      <c r="D15" s="5"/>
      <c r="L15" s="11" t="s">
        <v>21</v>
      </c>
      <c r="M15" s="12"/>
      <c r="N15" s="12"/>
      <c r="O15" s="12"/>
      <c r="P15" s="12"/>
    </row>
    <row r="16" spans="1:16" ht="15.75">
      <c r="A16" s="3"/>
      <c r="D16" s="1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</sheetData>
  <mergeCells count="1">
    <mergeCell ref="G11:H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1:T313"/>
  <sheetViews>
    <sheetView showGridLines="0" topLeftCell="D1" workbookViewId="0">
      <selection activeCell="I9" sqref="I9"/>
    </sheetView>
  </sheetViews>
  <sheetFormatPr defaultRowHeight="15"/>
  <cols>
    <col min="2" max="2" width="12.7109375" bestFit="1" customWidth="1"/>
    <col min="3" max="3" width="23.425781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9" width="23.42578125" bestFit="1" customWidth="1"/>
    <col min="10" max="10" width="24.5703125" bestFit="1" customWidth="1"/>
    <col min="11" max="11" width="22.5703125" bestFit="1" customWidth="1"/>
    <col min="12" max="12" width="27" bestFit="1" customWidth="1"/>
    <col min="13" max="13" width="27" customWidth="1"/>
    <col min="14" max="14" width="24.5703125" customWidth="1"/>
    <col min="15" max="15" width="16.85546875" bestFit="1" customWidth="1"/>
    <col min="16" max="16" width="3.85546875" customWidth="1"/>
    <col min="17" max="17" width="30.7109375" bestFit="1" customWidth="1"/>
    <col min="18" max="18" width="24.85546875" bestFit="1" customWidth="1"/>
    <col min="19" max="19" width="10.140625" bestFit="1" customWidth="1"/>
    <col min="20" max="20" width="9.140625" bestFit="1" customWidth="1"/>
  </cols>
  <sheetData>
    <row r="1" spans="2:20">
      <c r="L1" s="14" t="s">
        <v>22</v>
      </c>
    </row>
    <row r="5" spans="2:20" ht="33" customHeight="1">
      <c r="B5" s="87" t="s">
        <v>23</v>
      </c>
      <c r="C5" s="88"/>
      <c r="D5" s="15"/>
      <c r="E5" s="15"/>
      <c r="F5" s="15"/>
      <c r="G5" s="87" t="s">
        <v>24</v>
      </c>
      <c r="H5" s="88"/>
      <c r="I5" s="88"/>
      <c r="J5" s="88"/>
      <c r="K5" s="88"/>
      <c r="L5" s="88"/>
      <c r="M5" s="88"/>
      <c r="N5" s="88"/>
      <c r="O5" s="15"/>
      <c r="P5" s="15"/>
      <c r="Q5" s="16" t="s">
        <v>25</v>
      </c>
      <c r="R5" s="16" t="s">
        <v>26</v>
      </c>
      <c r="S5" s="89" t="s">
        <v>27</v>
      </c>
      <c r="T5" s="89"/>
    </row>
    <row r="6" spans="2:20">
      <c r="J6" t="s">
        <v>28</v>
      </c>
      <c r="K6" t="s">
        <v>29</v>
      </c>
      <c r="L6" t="s">
        <v>30</v>
      </c>
    </row>
    <row r="7" spans="2:20">
      <c r="B7" s="17" t="s">
        <v>31</v>
      </c>
      <c r="C7" s="17" t="s">
        <v>32</v>
      </c>
      <c r="G7" s="17" t="s">
        <v>33</v>
      </c>
      <c r="H7" s="17" t="s">
        <v>34</v>
      </c>
      <c r="I7" s="17" t="s">
        <v>35</v>
      </c>
      <c r="J7" s="17" t="s">
        <v>35</v>
      </c>
      <c r="K7" s="17" t="s">
        <v>35</v>
      </c>
      <c r="L7" s="17" t="s">
        <v>35</v>
      </c>
      <c r="M7" s="17" t="s">
        <v>35</v>
      </c>
      <c r="N7" s="17" t="s">
        <v>35</v>
      </c>
      <c r="O7" s="17" t="s">
        <v>35</v>
      </c>
      <c r="Q7" s="17" t="s">
        <v>36</v>
      </c>
      <c r="R7" s="17" t="s">
        <v>37</v>
      </c>
      <c r="S7" s="17" t="s">
        <v>33</v>
      </c>
      <c r="T7" s="17" t="s">
        <v>34</v>
      </c>
    </row>
    <row r="8" spans="2:20">
      <c r="B8" s="18" t="s">
        <v>42</v>
      </c>
      <c r="C8" s="19">
        <v>43212.690625000003</v>
      </c>
      <c r="G8" s="20" t="s">
        <v>20</v>
      </c>
      <c r="H8" s="21">
        <v>1010</v>
      </c>
      <c r="I8" s="22" t="s">
        <v>3667</v>
      </c>
      <c r="J8" s="22"/>
      <c r="K8" s="22"/>
      <c r="L8" s="22"/>
      <c r="M8" s="22"/>
      <c r="N8" s="22"/>
      <c r="O8" s="22"/>
      <c r="Q8" t="s">
        <v>38</v>
      </c>
      <c r="R8" s="23" t="s">
        <v>42</v>
      </c>
      <c r="S8" s="24" t="s">
        <v>39</v>
      </c>
      <c r="T8" s="24">
        <v>1606</v>
      </c>
    </row>
    <row r="9" spans="2:20">
      <c r="B9" s="18" t="s">
        <v>211</v>
      </c>
      <c r="C9" s="19">
        <v>43212.692476851851</v>
      </c>
      <c r="G9" s="20" t="s">
        <v>20</v>
      </c>
      <c r="H9" s="21">
        <v>1010</v>
      </c>
      <c r="I9" s="22"/>
      <c r="J9" s="22"/>
      <c r="K9" s="22"/>
      <c r="L9" s="22"/>
      <c r="M9" s="22"/>
      <c r="N9" s="22"/>
      <c r="O9" s="22"/>
      <c r="Q9" t="s">
        <v>40</v>
      </c>
      <c r="S9" s="24" t="s">
        <v>42</v>
      </c>
      <c r="T9" s="24">
        <v>101010</v>
      </c>
    </row>
    <row r="10" spans="2:20">
      <c r="B10" s="18" t="s">
        <v>20</v>
      </c>
      <c r="C10" s="19">
        <v>43212.693032407406</v>
      </c>
      <c r="G10" s="20"/>
      <c r="H10" s="21"/>
      <c r="I10" s="22"/>
      <c r="J10" s="22"/>
      <c r="K10" s="22"/>
      <c r="L10" s="22"/>
      <c r="M10" s="22"/>
      <c r="N10" s="22"/>
      <c r="O10" s="22"/>
      <c r="Q10" t="s">
        <v>2961</v>
      </c>
      <c r="S10" s="24"/>
      <c r="T10" s="24"/>
    </row>
    <row r="11" spans="2:20">
      <c r="B11" s="18" t="s">
        <v>42</v>
      </c>
      <c r="C11" s="19">
        <v>43212.693483796298</v>
      </c>
      <c r="G11" s="25" t="s">
        <v>11</v>
      </c>
      <c r="H11" s="21">
        <v>1122</v>
      </c>
      <c r="I11" s="22" t="s">
        <v>1</v>
      </c>
      <c r="J11" s="22" t="s">
        <v>3219</v>
      </c>
      <c r="K11" s="22"/>
      <c r="L11" s="22"/>
      <c r="M11" s="22"/>
      <c r="N11" s="22"/>
      <c r="O11" s="22"/>
      <c r="Q11" t="s">
        <v>3667</v>
      </c>
      <c r="S11" s="24"/>
      <c r="T11" s="24"/>
    </row>
    <row r="12" spans="2:20">
      <c r="B12" s="18" t="s">
        <v>20</v>
      </c>
      <c r="C12" s="19">
        <v>43212.694120370368</v>
      </c>
      <c r="G12" s="26" t="s">
        <v>12</v>
      </c>
      <c r="H12" s="21">
        <v>3444</v>
      </c>
      <c r="I12" s="22" t="s">
        <v>6</v>
      </c>
      <c r="J12" s="22" t="s">
        <v>3219</v>
      </c>
      <c r="K12" s="22"/>
      <c r="L12" s="22"/>
      <c r="M12" s="22"/>
      <c r="N12" s="22"/>
      <c r="O12" s="22"/>
      <c r="Q12" t="s">
        <v>3219</v>
      </c>
      <c r="S12" s="24"/>
      <c r="T12" s="24"/>
    </row>
    <row r="13" spans="2:20">
      <c r="B13" s="18" t="s">
        <v>42</v>
      </c>
      <c r="C13" s="19">
        <v>43212.694398148145</v>
      </c>
      <c r="G13" s="25" t="s">
        <v>13</v>
      </c>
      <c r="H13" s="21">
        <v>5232</v>
      </c>
      <c r="I13" s="22" t="s">
        <v>3</v>
      </c>
      <c r="J13" s="22" t="s">
        <v>3219</v>
      </c>
      <c r="K13" s="22"/>
      <c r="L13" s="22"/>
      <c r="M13" s="22"/>
      <c r="N13" s="22"/>
      <c r="O13" s="22"/>
      <c r="Q13" t="s">
        <v>7</v>
      </c>
      <c r="S13" s="24"/>
      <c r="T13" s="24"/>
    </row>
    <row r="14" spans="2:20">
      <c r="B14" s="18" t="s">
        <v>20</v>
      </c>
      <c r="C14" s="19">
        <v>43212.694930555554</v>
      </c>
      <c r="G14" s="26" t="s">
        <v>14</v>
      </c>
      <c r="H14" s="21">
        <v>6543</v>
      </c>
      <c r="I14" s="22" t="s">
        <v>7</v>
      </c>
      <c r="J14" s="22" t="s">
        <v>3219</v>
      </c>
      <c r="K14" s="22"/>
      <c r="L14" s="22"/>
      <c r="M14" s="22"/>
      <c r="N14" s="22"/>
      <c r="O14" s="22"/>
      <c r="Q14" t="s">
        <v>8</v>
      </c>
      <c r="S14" s="24"/>
      <c r="T14" s="24"/>
    </row>
    <row r="15" spans="2:20">
      <c r="B15" s="18" t="s">
        <v>42</v>
      </c>
      <c r="C15" s="19">
        <v>43212.695069444446</v>
      </c>
      <c r="G15" s="25" t="s">
        <v>41</v>
      </c>
      <c r="H15" s="21">
        <v>7633</v>
      </c>
      <c r="I15" s="22" t="s">
        <v>8</v>
      </c>
      <c r="J15" s="22" t="s">
        <v>3219</v>
      </c>
      <c r="K15" s="22"/>
      <c r="L15" s="22"/>
      <c r="M15" s="22"/>
      <c r="N15" s="22"/>
      <c r="O15" s="22"/>
      <c r="Q15" t="s">
        <v>3</v>
      </c>
      <c r="S15" s="24"/>
      <c r="T15" s="24"/>
    </row>
    <row r="16" spans="2:20" ht="15.75">
      <c r="B16" s="18" t="s">
        <v>20</v>
      </c>
      <c r="C16" s="19">
        <v>43212.696192129632</v>
      </c>
      <c r="G16" s="27" t="s">
        <v>15</v>
      </c>
      <c r="H16" s="21">
        <v>5673</v>
      </c>
      <c r="I16" s="22" t="s">
        <v>4</v>
      </c>
      <c r="J16" s="22" t="s">
        <v>3219</v>
      </c>
      <c r="K16" s="22"/>
      <c r="L16" s="22"/>
      <c r="M16" s="22"/>
      <c r="N16" s="22"/>
      <c r="O16" s="22"/>
      <c r="Q16" t="s">
        <v>1</v>
      </c>
      <c r="S16" s="24"/>
      <c r="T16" s="24"/>
    </row>
    <row r="17" spans="2:20">
      <c r="B17" s="18" t="s">
        <v>42</v>
      </c>
      <c r="C17" s="19">
        <v>43212.69635416667</v>
      </c>
      <c r="G17" s="25" t="s">
        <v>16</v>
      </c>
      <c r="H17" s="21">
        <v>8754</v>
      </c>
      <c r="I17" s="22" t="s">
        <v>2958</v>
      </c>
      <c r="J17" s="22" t="s">
        <v>3219</v>
      </c>
      <c r="K17" s="22"/>
      <c r="L17" s="22"/>
      <c r="M17" s="22"/>
      <c r="N17" s="22"/>
      <c r="O17" s="22"/>
      <c r="Q17" t="s">
        <v>2958</v>
      </c>
      <c r="S17" s="24"/>
      <c r="T17" s="24"/>
    </row>
    <row r="18" spans="2:20">
      <c r="B18" s="18" t="s">
        <v>20</v>
      </c>
      <c r="C18" s="19">
        <v>43212.697291666664</v>
      </c>
      <c r="G18" s="21" t="s">
        <v>17</v>
      </c>
      <c r="H18" s="21">
        <v>2456</v>
      </c>
      <c r="I18" s="22" t="s">
        <v>9</v>
      </c>
      <c r="J18" s="22" t="s">
        <v>3219</v>
      </c>
      <c r="K18" s="22"/>
      <c r="L18" s="22"/>
      <c r="M18" s="22"/>
      <c r="N18" s="22"/>
      <c r="O18" s="22"/>
      <c r="Q18" t="s">
        <v>4</v>
      </c>
      <c r="S18" s="24"/>
      <c r="T18" s="24"/>
    </row>
    <row r="19" spans="2:20">
      <c r="B19" s="18" t="s">
        <v>42</v>
      </c>
      <c r="C19" s="19">
        <v>43212.698020833333</v>
      </c>
      <c r="G19" s="21" t="s">
        <v>18</v>
      </c>
      <c r="H19" s="21">
        <v>8564</v>
      </c>
      <c r="I19" s="22" t="s">
        <v>2</v>
      </c>
      <c r="J19" s="22" t="s">
        <v>3219</v>
      </c>
      <c r="K19" s="22"/>
      <c r="L19" s="22"/>
      <c r="M19" s="22"/>
      <c r="N19" s="22"/>
      <c r="O19" s="22"/>
      <c r="Q19" t="s">
        <v>6</v>
      </c>
      <c r="S19" s="24"/>
      <c r="T19" s="24"/>
    </row>
    <row r="20" spans="2:20">
      <c r="B20" s="18" t="s">
        <v>11</v>
      </c>
      <c r="C20" s="19">
        <v>43212.698263888888</v>
      </c>
      <c r="G20" s="20"/>
      <c r="H20" s="21"/>
      <c r="I20" s="22"/>
      <c r="J20" s="22"/>
      <c r="K20" s="22"/>
      <c r="L20" s="22"/>
      <c r="M20" s="22"/>
      <c r="N20" s="22"/>
      <c r="Q20" t="s">
        <v>2</v>
      </c>
      <c r="S20" s="24"/>
      <c r="T20" s="24"/>
    </row>
    <row r="21" spans="2:20">
      <c r="B21" s="18" t="s">
        <v>42</v>
      </c>
      <c r="C21" s="19">
        <v>43212.698796296296</v>
      </c>
      <c r="G21" s="20"/>
      <c r="H21" s="21"/>
      <c r="I21" s="22"/>
      <c r="J21" s="22"/>
      <c r="K21" s="22"/>
      <c r="L21" s="22"/>
      <c r="M21" s="22"/>
      <c r="N21" s="22"/>
      <c r="Q21" t="s">
        <v>9</v>
      </c>
      <c r="S21" s="24"/>
      <c r="T21" s="24"/>
    </row>
    <row r="22" spans="2:20">
      <c r="B22" s="18" t="s">
        <v>20</v>
      </c>
      <c r="C22" s="19">
        <v>43212.706655092596</v>
      </c>
      <c r="G22" s="24"/>
      <c r="H22" s="24"/>
      <c r="I22" s="22"/>
      <c r="J22" s="22"/>
      <c r="K22" s="22"/>
      <c r="L22" s="22"/>
      <c r="M22" s="22"/>
      <c r="N22" s="22"/>
      <c r="S22" s="24"/>
      <c r="T22" s="24"/>
    </row>
    <row r="23" spans="2:20">
      <c r="B23" s="18" t="s">
        <v>211</v>
      </c>
      <c r="C23" s="19">
        <v>43212.70685185185</v>
      </c>
      <c r="G23" s="24"/>
      <c r="H23" s="24"/>
      <c r="I23" s="22"/>
      <c r="J23" s="22"/>
      <c r="K23" s="22"/>
      <c r="L23" s="22"/>
      <c r="M23" s="22"/>
      <c r="N23" s="22"/>
      <c r="S23" s="24"/>
      <c r="T23" s="24"/>
    </row>
    <row r="24" spans="2:20">
      <c r="B24" s="18" t="s">
        <v>42</v>
      </c>
      <c r="C24" s="19">
        <v>43212.707094907404</v>
      </c>
      <c r="G24" s="24"/>
      <c r="H24" s="24"/>
      <c r="I24" s="22"/>
      <c r="J24" s="22"/>
      <c r="K24" s="22"/>
      <c r="L24" s="22"/>
      <c r="M24" s="22"/>
      <c r="N24" s="22"/>
      <c r="S24" s="24"/>
      <c r="T24" s="24"/>
    </row>
    <row r="25" spans="2:20">
      <c r="B25" s="18" t="s">
        <v>211</v>
      </c>
      <c r="C25" s="19">
        <v>43212.70815972222</v>
      </c>
      <c r="G25" s="24"/>
      <c r="H25" s="24"/>
      <c r="I25" s="22"/>
      <c r="J25" s="22"/>
      <c r="K25" s="22"/>
      <c r="L25" s="22"/>
      <c r="M25" s="22"/>
      <c r="N25" s="22"/>
      <c r="S25" s="24"/>
      <c r="T25" s="24"/>
    </row>
    <row r="26" spans="2:20">
      <c r="B26" s="18" t="s">
        <v>42</v>
      </c>
      <c r="C26" s="19">
        <v>43212.708437499998</v>
      </c>
      <c r="G26" s="24"/>
      <c r="H26" s="24"/>
      <c r="I26" s="22"/>
      <c r="J26" s="22"/>
      <c r="K26" s="22"/>
      <c r="L26" s="22"/>
      <c r="M26" s="22"/>
      <c r="N26" s="22"/>
      <c r="S26" s="24"/>
      <c r="T26" s="24"/>
    </row>
    <row r="27" spans="2:20">
      <c r="B27" s="18" t="s">
        <v>20</v>
      </c>
      <c r="C27" s="19">
        <v>43212.708912037036</v>
      </c>
      <c r="G27" s="24"/>
      <c r="H27" s="24"/>
      <c r="I27" s="22"/>
      <c r="J27" s="22"/>
      <c r="K27" s="22"/>
      <c r="L27" s="22"/>
      <c r="M27" s="22"/>
      <c r="N27" s="22"/>
      <c r="S27" s="24"/>
      <c r="T27" s="24"/>
    </row>
    <row r="28" spans="2:20">
      <c r="B28" s="18" t="s">
        <v>42</v>
      </c>
      <c r="C28" s="19">
        <v>43212.709745370368</v>
      </c>
      <c r="G28" s="24"/>
      <c r="H28" s="24"/>
      <c r="I28" s="22"/>
      <c r="J28" s="22"/>
      <c r="K28" s="22"/>
      <c r="L28" s="22"/>
      <c r="M28" s="22"/>
      <c r="N28" s="22"/>
      <c r="S28" s="24"/>
      <c r="T28" s="24"/>
    </row>
    <row r="29" spans="2:20">
      <c r="B29" s="18" t="s">
        <v>42</v>
      </c>
      <c r="C29" s="19">
        <v>43212.713333333333</v>
      </c>
      <c r="G29" s="24"/>
      <c r="H29" s="24"/>
      <c r="I29" s="22"/>
      <c r="J29" s="22"/>
      <c r="K29" s="22"/>
      <c r="L29" s="22"/>
      <c r="M29" s="22"/>
      <c r="N29" s="22"/>
      <c r="S29" s="24"/>
      <c r="T29" s="24"/>
    </row>
    <row r="30" spans="2:20">
      <c r="B30" s="18" t="s">
        <v>211</v>
      </c>
      <c r="C30" s="19">
        <v>43212.714189814818</v>
      </c>
      <c r="G30" s="24"/>
      <c r="H30" s="24"/>
      <c r="I30" s="22"/>
      <c r="J30" s="22"/>
      <c r="K30" s="22"/>
      <c r="L30" s="22"/>
      <c r="M30" s="22"/>
      <c r="N30" s="22"/>
      <c r="S30" s="24"/>
      <c r="T30" s="24"/>
    </row>
    <row r="31" spans="2:20">
      <c r="B31" s="18" t="s">
        <v>11</v>
      </c>
      <c r="C31" s="19">
        <v>43212.715150462966</v>
      </c>
      <c r="G31" s="24"/>
      <c r="H31" s="24"/>
      <c r="I31" s="22"/>
      <c r="J31" s="22"/>
      <c r="K31" s="22"/>
      <c r="L31" s="22"/>
      <c r="M31" s="22"/>
      <c r="N31" s="22"/>
      <c r="S31" s="24"/>
      <c r="T31" s="24"/>
    </row>
    <row r="32" spans="2:20">
      <c r="B32" s="18" t="s">
        <v>12</v>
      </c>
      <c r="C32" s="19">
        <v>43212.715405092589</v>
      </c>
      <c r="G32" s="24"/>
      <c r="H32" s="24"/>
      <c r="I32" s="22"/>
      <c r="J32" s="22"/>
      <c r="K32" s="22"/>
      <c r="L32" s="22"/>
      <c r="M32" s="22"/>
      <c r="N32" s="22"/>
      <c r="S32" s="24"/>
      <c r="T32" s="24"/>
    </row>
    <row r="33" spans="2:20">
      <c r="B33" s="18" t="s">
        <v>13</v>
      </c>
      <c r="C33" s="19">
        <v>43212.715671296297</v>
      </c>
      <c r="G33" s="24"/>
      <c r="H33" s="24"/>
      <c r="I33" s="22"/>
      <c r="J33" s="22"/>
      <c r="K33" s="22"/>
      <c r="L33" s="22"/>
      <c r="M33" s="22"/>
      <c r="N33" s="22"/>
      <c r="S33" s="24"/>
      <c r="T33" s="24"/>
    </row>
    <row r="34" spans="2:20">
      <c r="B34" s="18" t="s">
        <v>14</v>
      </c>
      <c r="C34" s="19">
        <v>43212.715925925928</v>
      </c>
      <c r="G34" s="24"/>
      <c r="H34" s="24"/>
      <c r="I34" s="22"/>
      <c r="J34" s="22"/>
      <c r="K34" s="22"/>
      <c r="L34" s="22"/>
      <c r="M34" s="22"/>
      <c r="N34" s="22"/>
      <c r="S34" s="24"/>
      <c r="T34" s="24"/>
    </row>
    <row r="35" spans="2:20">
      <c r="B35" s="18" t="s">
        <v>41</v>
      </c>
      <c r="C35" s="19">
        <v>43212.716215277775</v>
      </c>
      <c r="G35" s="24"/>
      <c r="H35" s="24"/>
      <c r="I35" s="22"/>
      <c r="J35" s="22"/>
      <c r="K35" s="22"/>
      <c r="L35" s="22"/>
      <c r="M35" s="22"/>
      <c r="N35" s="22"/>
      <c r="S35" s="24"/>
      <c r="T35" s="24"/>
    </row>
    <row r="36" spans="2:20">
      <c r="B36" t="s">
        <v>15</v>
      </c>
      <c r="C36" s="28">
        <v>43212.716446759259</v>
      </c>
    </row>
    <row r="37" spans="2:20">
      <c r="B37" t="s">
        <v>42</v>
      </c>
      <c r="C37" s="28">
        <v>43212.716608796298</v>
      </c>
    </row>
    <row r="38" spans="2:20">
      <c r="B38" t="s">
        <v>42</v>
      </c>
      <c r="C38" s="28">
        <v>43212.716932870368</v>
      </c>
    </row>
    <row r="39" spans="2:20">
      <c r="B39" t="s">
        <v>15</v>
      </c>
      <c r="C39" s="28">
        <v>43212.717824074076</v>
      </c>
    </row>
    <row r="40" spans="2:20">
      <c r="B40" t="s">
        <v>16</v>
      </c>
      <c r="C40" s="28">
        <v>43212.718043981484</v>
      </c>
    </row>
    <row r="41" spans="2:20">
      <c r="B41" t="s">
        <v>17</v>
      </c>
      <c r="C41" s="28">
        <v>43212.718229166669</v>
      </c>
    </row>
    <row r="42" spans="2:20">
      <c r="B42" t="s">
        <v>18</v>
      </c>
      <c r="C42" s="28">
        <v>43212.718402777777</v>
      </c>
    </row>
    <row r="43" spans="2:20">
      <c r="B43" t="s">
        <v>20</v>
      </c>
      <c r="C43" s="28">
        <v>43212.718518518515</v>
      </c>
    </row>
    <row r="44" spans="2:20">
      <c r="B44" t="s">
        <v>42</v>
      </c>
      <c r="C44" s="28">
        <v>43212.718877314815</v>
      </c>
    </row>
    <row r="45" spans="2:20">
      <c r="B45" t="s">
        <v>42</v>
      </c>
      <c r="C45" s="28">
        <v>43212.719594907408</v>
      </c>
    </row>
    <row r="46" spans="2:20">
      <c r="B46" t="s">
        <v>20</v>
      </c>
      <c r="C46" s="28">
        <v>43212.719780092593</v>
      </c>
    </row>
    <row r="47" spans="2:20">
      <c r="B47" t="s">
        <v>42</v>
      </c>
      <c r="C47" s="28">
        <v>43213.4765162037</v>
      </c>
    </row>
    <row r="48" spans="2:20">
      <c r="B48" t="s">
        <v>42</v>
      </c>
      <c r="C48" s="28">
        <v>43213.603344907409</v>
      </c>
    </row>
    <row r="49" spans="2:3">
      <c r="B49" t="s">
        <v>20</v>
      </c>
      <c r="C49" s="28">
        <v>43213.614398148151</v>
      </c>
    </row>
    <row r="50" spans="2:3">
      <c r="B50" t="s">
        <v>42</v>
      </c>
      <c r="C50" s="28">
        <v>43213.614525462966</v>
      </c>
    </row>
    <row r="51" spans="2:3">
      <c r="B51" t="s">
        <v>20</v>
      </c>
      <c r="C51" s="28">
        <v>43213.614687499998</v>
      </c>
    </row>
    <row r="52" spans="2:3">
      <c r="B52" t="s">
        <v>20</v>
      </c>
      <c r="C52" s="28">
        <v>43213.615601851852</v>
      </c>
    </row>
    <row r="53" spans="2:3">
      <c r="B53" t="s">
        <v>42</v>
      </c>
      <c r="C53" s="28">
        <v>43213.616064814814</v>
      </c>
    </row>
    <row r="54" spans="2:3">
      <c r="B54" t="s">
        <v>20</v>
      </c>
      <c r="C54" s="28">
        <v>43213.616249999999</v>
      </c>
    </row>
    <row r="55" spans="2:3">
      <c r="B55" t="s">
        <v>42</v>
      </c>
      <c r="C55" s="28">
        <v>43213.616400462961</v>
      </c>
    </row>
    <row r="56" spans="2:3">
      <c r="B56" t="s">
        <v>20</v>
      </c>
      <c r="C56" s="28">
        <v>43213.617268518516</v>
      </c>
    </row>
    <row r="57" spans="2:3">
      <c r="B57" t="s">
        <v>42</v>
      </c>
      <c r="C57" s="28">
        <v>43213.617696759262</v>
      </c>
    </row>
    <row r="58" spans="2:3">
      <c r="B58" t="s">
        <v>211</v>
      </c>
      <c r="C58" s="28">
        <v>43213.618750000001</v>
      </c>
    </row>
    <row r="59" spans="2:3">
      <c r="B59" t="s">
        <v>42</v>
      </c>
      <c r="C59" s="28">
        <v>43213.619085648148</v>
      </c>
    </row>
    <row r="60" spans="2:3">
      <c r="B60" t="s">
        <v>42</v>
      </c>
      <c r="C60" s="28">
        <v>43213.62736111111</v>
      </c>
    </row>
    <row r="61" spans="2:3">
      <c r="B61" t="s">
        <v>212</v>
      </c>
      <c r="C61" s="28">
        <v>43213.640300925923</v>
      </c>
    </row>
    <row r="62" spans="2:3">
      <c r="B62" t="s">
        <v>212</v>
      </c>
      <c r="C62" s="28">
        <v>43213.640567129631</v>
      </c>
    </row>
    <row r="63" spans="2:3">
      <c r="B63" t="s">
        <v>20</v>
      </c>
      <c r="C63" s="28">
        <v>43213.641087962962</v>
      </c>
    </row>
    <row r="64" spans="2:3">
      <c r="B64" t="s">
        <v>20</v>
      </c>
      <c r="C64" s="28">
        <v>43215.518530092595</v>
      </c>
    </row>
    <row r="65" spans="2:3">
      <c r="B65" t="s">
        <v>212</v>
      </c>
      <c r="C65" s="28">
        <v>43215.518750000003</v>
      </c>
    </row>
    <row r="66" spans="2:3">
      <c r="B66" t="s">
        <v>20</v>
      </c>
      <c r="C66" s="28">
        <v>43215.523379629631</v>
      </c>
    </row>
    <row r="67" spans="2:3">
      <c r="B67" t="s">
        <v>212</v>
      </c>
      <c r="C67" s="28">
        <v>43216.973171296297</v>
      </c>
    </row>
    <row r="68" spans="2:3">
      <c r="B68" t="s">
        <v>20</v>
      </c>
      <c r="C68" s="28">
        <v>43216.983912037038</v>
      </c>
    </row>
    <row r="69" spans="2:3">
      <c r="B69" t="s">
        <v>212</v>
      </c>
      <c r="C69" s="28">
        <v>43220.476157407407</v>
      </c>
    </row>
    <row r="70" spans="2:3">
      <c r="B70" t="s">
        <v>20</v>
      </c>
      <c r="C70" s="28">
        <v>43220.485185185185</v>
      </c>
    </row>
    <row r="71" spans="2:3">
      <c r="B71" t="s">
        <v>212</v>
      </c>
      <c r="C71" s="28">
        <v>43222.626087962963</v>
      </c>
    </row>
    <row r="72" spans="2:3">
      <c r="B72" t="s">
        <v>212</v>
      </c>
      <c r="C72" s="28">
        <v>43226.462106481478</v>
      </c>
    </row>
    <row r="73" spans="2:3">
      <c r="B73" t="s">
        <v>20</v>
      </c>
      <c r="C73" s="28">
        <v>43226.471087962964</v>
      </c>
    </row>
    <row r="74" spans="2:3">
      <c r="B74" t="s">
        <v>212</v>
      </c>
      <c r="C74" s="28">
        <v>43226.471446759257</v>
      </c>
    </row>
    <row r="75" spans="2:3">
      <c r="B75" t="s">
        <v>20</v>
      </c>
      <c r="C75" s="28">
        <v>43226.471909722219</v>
      </c>
    </row>
    <row r="76" spans="2:3">
      <c r="B76" t="s">
        <v>20</v>
      </c>
      <c r="C76" s="28">
        <v>43226.47552083333</v>
      </c>
    </row>
    <row r="77" spans="2:3">
      <c r="B77" t="s">
        <v>20</v>
      </c>
      <c r="C77" s="28">
        <v>43226.478634259256</v>
      </c>
    </row>
    <row r="78" spans="2:3">
      <c r="B78" t="s">
        <v>212</v>
      </c>
      <c r="C78" s="28">
        <v>43226.810057870367</v>
      </c>
    </row>
    <row r="79" spans="2:3">
      <c r="B79" t="s">
        <v>212</v>
      </c>
      <c r="C79" s="28">
        <v>43226.817210648151</v>
      </c>
    </row>
    <row r="80" spans="2:3">
      <c r="B80" t="s">
        <v>211</v>
      </c>
      <c r="C80" s="28">
        <v>43226.818726851852</v>
      </c>
    </row>
    <row r="81" spans="2:3">
      <c r="B81" t="s">
        <v>20</v>
      </c>
      <c r="C81" s="28">
        <v>43226.819143518522</v>
      </c>
    </row>
    <row r="82" spans="2:3">
      <c r="B82" t="s">
        <v>212</v>
      </c>
      <c r="C82" s="28">
        <v>43226.819849537038</v>
      </c>
    </row>
    <row r="83" spans="2:3">
      <c r="B83" t="s">
        <v>212</v>
      </c>
      <c r="C83" s="28">
        <v>43226.820104166669</v>
      </c>
    </row>
    <row r="84" spans="2:3">
      <c r="B84" t="s">
        <v>20</v>
      </c>
      <c r="C84" s="28">
        <v>43226.820243055554</v>
      </c>
    </row>
    <row r="85" spans="2:3">
      <c r="B85" t="s">
        <v>20</v>
      </c>
      <c r="C85" s="28">
        <v>43226.823634259257</v>
      </c>
    </row>
    <row r="86" spans="2:3">
      <c r="B86" t="s">
        <v>212</v>
      </c>
      <c r="C86" s="28">
        <v>43226.826921296299</v>
      </c>
    </row>
    <row r="87" spans="2:3">
      <c r="B87" t="s">
        <v>20</v>
      </c>
      <c r="C87" s="28">
        <v>43226.836319444446</v>
      </c>
    </row>
    <row r="88" spans="2:3">
      <c r="B88" t="s">
        <v>212</v>
      </c>
      <c r="C88" s="28">
        <v>43226.838136574072</v>
      </c>
    </row>
    <row r="89" spans="2:3">
      <c r="B89" t="s">
        <v>20</v>
      </c>
      <c r="C89" s="28">
        <v>43226.843055555553</v>
      </c>
    </row>
    <row r="90" spans="2:3">
      <c r="B90" t="s">
        <v>20</v>
      </c>
      <c r="C90" s="28">
        <v>43226.851377314815</v>
      </c>
    </row>
    <row r="91" spans="2:3">
      <c r="B91" t="s">
        <v>212</v>
      </c>
      <c r="C91" s="28">
        <v>43227.690462962964</v>
      </c>
    </row>
    <row r="92" spans="2:3">
      <c r="B92" t="s">
        <v>212</v>
      </c>
      <c r="C92" s="28">
        <v>43228.497129629628</v>
      </c>
    </row>
    <row r="93" spans="2:3">
      <c r="B93" t="s">
        <v>20</v>
      </c>
      <c r="C93" s="28">
        <v>43228.497245370374</v>
      </c>
    </row>
    <row r="94" spans="2:3">
      <c r="B94" t="s">
        <v>212</v>
      </c>
      <c r="C94" s="28">
        <v>43229.480254629627</v>
      </c>
    </row>
    <row r="95" spans="2:3">
      <c r="B95" t="s">
        <v>212</v>
      </c>
      <c r="C95" s="28">
        <v>43229.511342592596</v>
      </c>
    </row>
    <row r="96" spans="2:3">
      <c r="B96" t="s">
        <v>212</v>
      </c>
      <c r="C96" s="28">
        <v>43229.687847222223</v>
      </c>
    </row>
    <row r="97" spans="2:3">
      <c r="B97" t="s">
        <v>212</v>
      </c>
      <c r="C97" s="28">
        <v>43234.768796296295</v>
      </c>
    </row>
    <row r="98" spans="2:3">
      <c r="B98" t="s">
        <v>20</v>
      </c>
      <c r="C98" s="28">
        <v>43248.503148148149</v>
      </c>
    </row>
    <row r="99" spans="2:3">
      <c r="B99" t="s">
        <v>212</v>
      </c>
      <c r="C99" s="28">
        <v>43248.503379629627</v>
      </c>
    </row>
    <row r="100" spans="2:3">
      <c r="B100" t="s">
        <v>20</v>
      </c>
      <c r="C100" s="28">
        <v>43248.503738425927</v>
      </c>
    </row>
    <row r="101" spans="2:3">
      <c r="B101" t="s">
        <v>212</v>
      </c>
      <c r="C101" s="28">
        <v>43248.503958333335</v>
      </c>
    </row>
    <row r="102" spans="2:3">
      <c r="B102" t="s">
        <v>20</v>
      </c>
      <c r="C102" s="28">
        <v>43248.504641203705</v>
      </c>
    </row>
    <row r="103" spans="2:3">
      <c r="B103" t="s">
        <v>211</v>
      </c>
      <c r="C103" s="28">
        <v>43248.504791666666</v>
      </c>
    </row>
    <row r="104" spans="2:3">
      <c r="B104" t="s">
        <v>211</v>
      </c>
      <c r="C104" s="28">
        <v>43248.504826388889</v>
      </c>
    </row>
    <row r="105" spans="2:3">
      <c r="B105" t="s">
        <v>212</v>
      </c>
      <c r="C105" s="28">
        <v>43248.504976851851</v>
      </c>
    </row>
    <row r="106" spans="2:3">
      <c r="B106" t="s">
        <v>20</v>
      </c>
      <c r="C106" s="28">
        <v>43248.505543981482</v>
      </c>
    </row>
    <row r="107" spans="2:3">
      <c r="B107" t="s">
        <v>212</v>
      </c>
      <c r="C107" s="28">
        <v>43248.513449074075</v>
      </c>
    </row>
    <row r="108" spans="2:3">
      <c r="B108" t="s">
        <v>212</v>
      </c>
      <c r="C108" s="28">
        <v>43251.69153935185</v>
      </c>
    </row>
    <row r="109" spans="2:3">
      <c r="B109" t="s">
        <v>20</v>
      </c>
      <c r="C109" s="28">
        <v>43251.696018518516</v>
      </c>
    </row>
    <row r="110" spans="2:3">
      <c r="B110" t="s">
        <v>212</v>
      </c>
      <c r="C110" s="28">
        <v>43253.644629629627</v>
      </c>
    </row>
    <row r="111" spans="2:3">
      <c r="B111" t="s">
        <v>212</v>
      </c>
      <c r="C111" s="28">
        <v>43254.476377314815</v>
      </c>
    </row>
    <row r="112" spans="2:3">
      <c r="B112" t="s">
        <v>20</v>
      </c>
      <c r="C112" s="28">
        <v>43254.495127314818</v>
      </c>
    </row>
    <row r="113" spans="2:3">
      <c r="B113" t="s">
        <v>212</v>
      </c>
      <c r="C113" s="28">
        <v>43254.51226851852</v>
      </c>
    </row>
    <row r="114" spans="2:3">
      <c r="B114" t="s">
        <v>20</v>
      </c>
      <c r="C114" s="28">
        <v>43254.516111111108</v>
      </c>
    </row>
    <row r="115" spans="2:3">
      <c r="B115" t="s">
        <v>212</v>
      </c>
      <c r="C115" s="28">
        <v>43257.482210648152</v>
      </c>
    </row>
    <row r="116" spans="2:3">
      <c r="B116" t="s">
        <v>212</v>
      </c>
      <c r="C116" s="28">
        <v>43257.510763888888</v>
      </c>
    </row>
    <row r="117" spans="2:3">
      <c r="B117" t="s">
        <v>212</v>
      </c>
      <c r="C117" s="28">
        <v>43260.433807870373</v>
      </c>
    </row>
    <row r="118" spans="2:3">
      <c r="B118" t="s">
        <v>20</v>
      </c>
      <c r="C118" s="28">
        <v>43262.627418981479</v>
      </c>
    </row>
    <row r="119" spans="2:3">
      <c r="B119" t="s">
        <v>212</v>
      </c>
      <c r="C119" s="28">
        <v>43282.437349537038</v>
      </c>
    </row>
    <row r="120" spans="2:3">
      <c r="B120" t="s">
        <v>20</v>
      </c>
      <c r="C120" s="28">
        <v>43282.459456018521</v>
      </c>
    </row>
    <row r="121" spans="2:3">
      <c r="B121" t="s">
        <v>212</v>
      </c>
      <c r="C121" s="28">
        <v>43282.671111111114</v>
      </c>
    </row>
    <row r="122" spans="2:3">
      <c r="B122" t="s">
        <v>212</v>
      </c>
      <c r="C122" s="28">
        <v>43282.837187500001</v>
      </c>
    </row>
    <row r="123" spans="2:3">
      <c r="B123" t="s">
        <v>212</v>
      </c>
      <c r="C123" s="28">
        <v>43282.837673611109</v>
      </c>
    </row>
    <row r="124" spans="2:3">
      <c r="B124" t="s">
        <v>20</v>
      </c>
      <c r="C124" s="28">
        <v>43282.837824074071</v>
      </c>
    </row>
    <row r="125" spans="2:3">
      <c r="B125" t="s">
        <v>212</v>
      </c>
      <c r="C125" s="28">
        <v>43286.469166666669</v>
      </c>
    </row>
    <row r="126" spans="2:3">
      <c r="B126" t="s">
        <v>20</v>
      </c>
      <c r="C126" s="28">
        <v>43290.442314814813</v>
      </c>
    </row>
    <row r="127" spans="2:3">
      <c r="B127" t="s">
        <v>212</v>
      </c>
      <c r="C127" s="28">
        <v>43290.442523148151</v>
      </c>
    </row>
    <row r="128" spans="2:3">
      <c r="B128" t="s">
        <v>20</v>
      </c>
      <c r="C128" s="28">
        <v>43290.443819444445</v>
      </c>
    </row>
    <row r="129" spans="2:3">
      <c r="B129" t="s">
        <v>20</v>
      </c>
      <c r="C129" s="28">
        <v>43291.442523148151</v>
      </c>
    </row>
    <row r="130" spans="2:3">
      <c r="B130" t="s">
        <v>212</v>
      </c>
      <c r="C130" s="28">
        <v>43291.444039351853</v>
      </c>
    </row>
    <row r="131" spans="2:3">
      <c r="B131" t="s">
        <v>212</v>
      </c>
      <c r="C131" s="28">
        <v>43291.512488425928</v>
      </c>
    </row>
    <row r="132" spans="2:3">
      <c r="B132" t="s">
        <v>20</v>
      </c>
      <c r="C132" s="28">
        <v>43291.513287037036</v>
      </c>
    </row>
    <row r="133" spans="2:3">
      <c r="B133" t="s">
        <v>212</v>
      </c>
      <c r="C133" s="28">
        <v>43291.626886574071</v>
      </c>
    </row>
    <row r="134" spans="2:3">
      <c r="B134" t="s">
        <v>212</v>
      </c>
      <c r="C134" s="28">
        <v>43292.464062500003</v>
      </c>
    </row>
    <row r="135" spans="2:3">
      <c r="B135" t="s">
        <v>212</v>
      </c>
      <c r="C135" s="28">
        <v>43293.513749999998</v>
      </c>
    </row>
    <row r="136" spans="2:3">
      <c r="B136" t="s">
        <v>212</v>
      </c>
      <c r="C136" s="28">
        <v>43306.527650462966</v>
      </c>
    </row>
    <row r="137" spans="2:3">
      <c r="B137" t="s">
        <v>212</v>
      </c>
      <c r="C137" s="28">
        <v>43306.528194444443</v>
      </c>
    </row>
    <row r="138" spans="2:3">
      <c r="B138" t="s">
        <v>20</v>
      </c>
      <c r="C138" s="28">
        <v>43306.529178240744</v>
      </c>
    </row>
    <row r="139" spans="2:3">
      <c r="B139" t="s">
        <v>212</v>
      </c>
      <c r="C139" s="28">
        <v>43310.72420138889</v>
      </c>
    </row>
    <row r="140" spans="2:3">
      <c r="B140" t="s">
        <v>20</v>
      </c>
      <c r="C140" s="28">
        <v>43310.728576388887</v>
      </c>
    </row>
    <row r="141" spans="2:3">
      <c r="B141" t="s">
        <v>212</v>
      </c>
      <c r="C141" s="28">
        <v>43310.771111111113</v>
      </c>
    </row>
    <row r="142" spans="2:3">
      <c r="B142" t="s">
        <v>212</v>
      </c>
      <c r="C142" s="28">
        <v>43313.743854166663</v>
      </c>
    </row>
    <row r="143" spans="2:3">
      <c r="B143" t="s">
        <v>20</v>
      </c>
      <c r="C143" s="28">
        <v>43313.744699074072</v>
      </c>
    </row>
    <row r="144" spans="2:3">
      <c r="B144" t="s">
        <v>212</v>
      </c>
      <c r="C144" s="28">
        <v>43314.629537037035</v>
      </c>
    </row>
    <row r="145" spans="2:3">
      <c r="B145" t="s">
        <v>212</v>
      </c>
      <c r="C145" s="28">
        <v>43319.762974537036</v>
      </c>
    </row>
    <row r="146" spans="2:3">
      <c r="B146" t="s">
        <v>20</v>
      </c>
      <c r="C146" s="28">
        <v>43319.763252314813</v>
      </c>
    </row>
    <row r="147" spans="2:3">
      <c r="B147" t="s">
        <v>212</v>
      </c>
      <c r="C147" s="28">
        <v>43319.778194444443</v>
      </c>
    </row>
    <row r="148" spans="2:3">
      <c r="B148" t="s">
        <v>20</v>
      </c>
      <c r="C148" s="28">
        <v>43319.795717592591</v>
      </c>
    </row>
    <row r="149" spans="2:3">
      <c r="B149" t="s">
        <v>212</v>
      </c>
      <c r="C149" s="28">
        <v>43319.795810185184</v>
      </c>
    </row>
    <row r="150" spans="2:3">
      <c r="B150" t="s">
        <v>20</v>
      </c>
      <c r="C150" s="28">
        <v>43319.795972222222</v>
      </c>
    </row>
    <row r="151" spans="2:3">
      <c r="B151" t="s">
        <v>212</v>
      </c>
      <c r="C151" s="28">
        <v>43319.798263888886</v>
      </c>
    </row>
    <row r="152" spans="2:3">
      <c r="B152" t="s">
        <v>212</v>
      </c>
      <c r="C152" s="28">
        <v>43319.79859953704</v>
      </c>
    </row>
    <row r="153" spans="2:3">
      <c r="B153" t="s">
        <v>212</v>
      </c>
      <c r="C153" s="28">
        <v>43319.808229166665</v>
      </c>
    </row>
    <row r="154" spans="2:3">
      <c r="B154" t="s">
        <v>212</v>
      </c>
      <c r="C154" s="28">
        <v>43319.810324074075</v>
      </c>
    </row>
    <row r="155" spans="2:3">
      <c r="B155" t="s">
        <v>14</v>
      </c>
      <c r="C155" s="28">
        <v>43319.811724537038</v>
      </c>
    </row>
    <row r="156" spans="2:3">
      <c r="B156" t="s">
        <v>13</v>
      </c>
      <c r="C156" s="28">
        <v>43319.812430555554</v>
      </c>
    </row>
    <row r="157" spans="2:3">
      <c r="B157" t="s">
        <v>13</v>
      </c>
      <c r="C157" s="28">
        <v>43319.812800925924</v>
      </c>
    </row>
    <row r="158" spans="2:3">
      <c r="B158" t="s">
        <v>15</v>
      </c>
      <c r="C158" s="28">
        <v>43319.812974537039</v>
      </c>
    </row>
    <row r="159" spans="2:3">
      <c r="B159" t="s">
        <v>16</v>
      </c>
      <c r="C159" s="28">
        <v>43319.813298611109</v>
      </c>
    </row>
    <row r="160" spans="2:3">
      <c r="B160" t="s">
        <v>212</v>
      </c>
      <c r="C160" s="28">
        <v>43319.813530092593</v>
      </c>
    </row>
    <row r="161" spans="2:3">
      <c r="B161" t="s">
        <v>20</v>
      </c>
      <c r="C161" s="28">
        <v>43319.814143518517</v>
      </c>
    </row>
    <row r="162" spans="2:3">
      <c r="B162" t="s">
        <v>212</v>
      </c>
      <c r="C162" s="28">
        <v>43321.776516203703</v>
      </c>
    </row>
    <row r="163" spans="2:3">
      <c r="B163" t="s">
        <v>212</v>
      </c>
      <c r="C163" s="28">
        <v>43324.515347222223</v>
      </c>
    </row>
    <row r="164" spans="2:3">
      <c r="B164" t="s">
        <v>212</v>
      </c>
      <c r="C164" s="28">
        <v>43324.516180555554</v>
      </c>
    </row>
    <row r="165" spans="2:3">
      <c r="B165" t="s">
        <v>42</v>
      </c>
      <c r="C165" s="28">
        <v>43324.516481481478</v>
      </c>
    </row>
    <row r="166" spans="2:3">
      <c r="B166" t="s">
        <v>20</v>
      </c>
      <c r="C166" s="28">
        <v>43324.517210648148</v>
      </c>
    </row>
    <row r="167" spans="2:3">
      <c r="B167" t="s">
        <v>42</v>
      </c>
      <c r="C167" s="28">
        <v>43324.574918981481</v>
      </c>
    </row>
    <row r="168" spans="2:3">
      <c r="B168" t="s">
        <v>42</v>
      </c>
      <c r="C168" s="28">
        <v>43324.584409722222</v>
      </c>
    </row>
    <row r="169" spans="2:3">
      <c r="B169" t="s">
        <v>20</v>
      </c>
      <c r="C169" s="28">
        <v>43324.586956018517</v>
      </c>
    </row>
    <row r="170" spans="2:3">
      <c r="B170" t="s">
        <v>42</v>
      </c>
      <c r="C170" s="28">
        <v>43324.587037037039</v>
      </c>
    </row>
    <row r="171" spans="2:3">
      <c r="B171" t="s">
        <v>20</v>
      </c>
      <c r="C171" s="28">
        <v>43324.587141203701</v>
      </c>
    </row>
    <row r="172" spans="2:3">
      <c r="B172" t="s">
        <v>42</v>
      </c>
      <c r="C172" s="28">
        <v>43324.668298611112</v>
      </c>
    </row>
    <row r="173" spans="2:3">
      <c r="B173" t="s">
        <v>20</v>
      </c>
      <c r="C173" s="28">
        <v>43324.734594907408</v>
      </c>
    </row>
    <row r="174" spans="2:3">
      <c r="B174" t="s">
        <v>42</v>
      </c>
      <c r="C174" s="28">
        <v>43328.468622685185</v>
      </c>
    </row>
    <row r="175" spans="2:3">
      <c r="B175" t="s">
        <v>42</v>
      </c>
      <c r="C175" s="28">
        <v>43331.413287037038</v>
      </c>
    </row>
    <row r="176" spans="2:3">
      <c r="B176" t="s">
        <v>42</v>
      </c>
      <c r="C176" s="28">
        <v>43331.414027777777</v>
      </c>
    </row>
    <row r="177" spans="2:3">
      <c r="B177" t="s">
        <v>11</v>
      </c>
      <c r="C177" s="28">
        <v>43331.445856481485</v>
      </c>
    </row>
    <row r="178" spans="2:3">
      <c r="B178" t="s">
        <v>42</v>
      </c>
      <c r="C178" s="28">
        <v>43331.462569444448</v>
      </c>
    </row>
    <row r="179" spans="2:3">
      <c r="B179" t="s">
        <v>42</v>
      </c>
      <c r="C179" s="28">
        <v>43332.411261574074</v>
      </c>
    </row>
    <row r="180" spans="2:3">
      <c r="B180" t="s">
        <v>42</v>
      </c>
      <c r="C180" s="28">
        <v>43332.436203703706</v>
      </c>
    </row>
    <row r="181" spans="2:3">
      <c r="B181" t="s">
        <v>42</v>
      </c>
      <c r="C181" s="28">
        <v>43338.458495370367</v>
      </c>
    </row>
    <row r="182" spans="2:3">
      <c r="B182" t="s">
        <v>42</v>
      </c>
      <c r="C182" s="28">
        <v>43342.395011574074</v>
      </c>
    </row>
    <row r="183" spans="2:3">
      <c r="B183" t="s">
        <v>42</v>
      </c>
      <c r="C183" s="28">
        <v>43342.40861111111</v>
      </c>
    </row>
    <row r="184" spans="2:3">
      <c r="B184" t="s">
        <v>11</v>
      </c>
      <c r="C184" s="28">
        <v>43354.69635416667</v>
      </c>
    </row>
    <row r="185" spans="2:3">
      <c r="B185" t="s">
        <v>14</v>
      </c>
      <c r="C185" s="28">
        <v>43354.715532407405</v>
      </c>
    </row>
    <row r="186" spans="2:3">
      <c r="B186" t="s">
        <v>42</v>
      </c>
      <c r="C186" s="28">
        <v>43354.759155092594</v>
      </c>
    </row>
    <row r="187" spans="2:3">
      <c r="B187" t="s">
        <v>42</v>
      </c>
      <c r="C187" s="28">
        <v>43359.402222222219</v>
      </c>
    </row>
    <row r="188" spans="2:3">
      <c r="B188" t="s">
        <v>20</v>
      </c>
      <c r="C188" s="28">
        <v>43362.462083333332</v>
      </c>
    </row>
    <row r="189" spans="2:3">
      <c r="B189" t="s">
        <v>42</v>
      </c>
      <c r="C189" s="28">
        <v>43362.462210648147</v>
      </c>
    </row>
    <row r="190" spans="2:3">
      <c r="B190" t="s">
        <v>20</v>
      </c>
      <c r="C190" s="28">
        <v>43362.463078703702</v>
      </c>
    </row>
    <row r="191" spans="2:3">
      <c r="B191" t="s">
        <v>42</v>
      </c>
      <c r="C191" s="28">
        <v>43367.426805555559</v>
      </c>
    </row>
    <row r="192" spans="2:3">
      <c r="B192" t="s">
        <v>42</v>
      </c>
      <c r="C192" s="28">
        <v>43369.434884259259</v>
      </c>
    </row>
    <row r="193" spans="2:3">
      <c r="B193" t="s">
        <v>20</v>
      </c>
      <c r="C193" s="28">
        <v>43373.565844907411</v>
      </c>
    </row>
    <row r="194" spans="2:3">
      <c r="B194" t="s">
        <v>42</v>
      </c>
      <c r="C194" s="28">
        <v>43373.607708333337</v>
      </c>
    </row>
    <row r="195" spans="2:3">
      <c r="B195" t="s">
        <v>20</v>
      </c>
      <c r="C195" s="28">
        <v>43373.622141203705</v>
      </c>
    </row>
    <row r="196" spans="2:3">
      <c r="B196" t="s">
        <v>42</v>
      </c>
      <c r="C196" s="28">
        <v>43373.62232638889</v>
      </c>
    </row>
    <row r="197" spans="2:3">
      <c r="B197" t="s">
        <v>42</v>
      </c>
      <c r="C197" s="28">
        <v>43381.615127314813</v>
      </c>
    </row>
    <row r="198" spans="2:3">
      <c r="B198" t="s">
        <v>42</v>
      </c>
      <c r="C198" s="28">
        <v>43382.482499999998</v>
      </c>
    </row>
    <row r="199" spans="2:3">
      <c r="B199" t="s">
        <v>42</v>
      </c>
      <c r="C199" s="28">
        <v>43382.514363425929</v>
      </c>
    </row>
    <row r="200" spans="2:3">
      <c r="B200" t="s">
        <v>42</v>
      </c>
      <c r="C200" s="28">
        <v>43387.439560185187</v>
      </c>
    </row>
    <row r="201" spans="2:3">
      <c r="B201" t="s">
        <v>11</v>
      </c>
      <c r="C201" s="28">
        <v>43398.544548611113</v>
      </c>
    </row>
    <row r="202" spans="2:3">
      <c r="B202" t="s">
        <v>42</v>
      </c>
      <c r="C202" s="28">
        <v>43398.546041666668</v>
      </c>
    </row>
    <row r="203" spans="2:3">
      <c r="B203" t="s">
        <v>42</v>
      </c>
      <c r="C203" s="28">
        <v>43401.416909722226</v>
      </c>
    </row>
    <row r="204" spans="2:3">
      <c r="B204" t="s">
        <v>42</v>
      </c>
      <c r="C204" s="28">
        <v>43403.565821759257</v>
      </c>
    </row>
    <row r="205" spans="2:3">
      <c r="B205" t="s">
        <v>42</v>
      </c>
      <c r="C205" s="28">
        <v>43404.426921296297</v>
      </c>
    </row>
    <row r="206" spans="2:3">
      <c r="B206" t="s">
        <v>42</v>
      </c>
      <c r="C206" s="28">
        <v>43416.719340277778</v>
      </c>
    </row>
    <row r="207" spans="2:3">
      <c r="B207" t="s">
        <v>42</v>
      </c>
      <c r="C207" s="28">
        <v>43416.782511574071</v>
      </c>
    </row>
    <row r="208" spans="2:3">
      <c r="B208" t="s">
        <v>42</v>
      </c>
      <c r="C208" s="28">
        <v>43416.785046296296</v>
      </c>
    </row>
    <row r="209" spans="2:3">
      <c r="B209" t="s">
        <v>42</v>
      </c>
      <c r="C209" s="28">
        <v>43418.457650462966</v>
      </c>
    </row>
    <row r="210" spans="2:3">
      <c r="B210" t="s">
        <v>42</v>
      </c>
      <c r="C210" s="28">
        <v>43418.463090277779</v>
      </c>
    </row>
    <row r="211" spans="2:3">
      <c r="B211" t="s">
        <v>42</v>
      </c>
      <c r="C211" s="28">
        <v>43419.520439814813</v>
      </c>
    </row>
    <row r="212" spans="2:3">
      <c r="B212" t="s">
        <v>42</v>
      </c>
      <c r="C212" s="28">
        <v>43422.430127314816</v>
      </c>
    </row>
    <row r="213" spans="2:3">
      <c r="B213" t="s">
        <v>42</v>
      </c>
      <c r="C213" s="28">
        <v>43424.422210648147</v>
      </c>
    </row>
    <row r="214" spans="2:3">
      <c r="B214" t="s">
        <v>42</v>
      </c>
      <c r="C214" s="28">
        <v>43424.512349537035</v>
      </c>
    </row>
    <row r="215" spans="2:3">
      <c r="B215" t="s">
        <v>17</v>
      </c>
      <c r="C215" s="28">
        <v>43424.512754629628</v>
      </c>
    </row>
    <row r="216" spans="2:3">
      <c r="B216" t="s">
        <v>18</v>
      </c>
      <c r="C216" s="28">
        <v>43424.513182870367</v>
      </c>
    </row>
    <row r="217" spans="2:3">
      <c r="B217" t="s">
        <v>42</v>
      </c>
      <c r="C217" s="28">
        <v>43424.513333333336</v>
      </c>
    </row>
    <row r="218" spans="2:3">
      <c r="B218" t="s">
        <v>17</v>
      </c>
      <c r="C218" s="28">
        <v>43424.515081018515</v>
      </c>
    </row>
    <row r="219" spans="2:3">
      <c r="B219" t="s">
        <v>42</v>
      </c>
      <c r="C219" s="28">
        <v>43426.489155092589</v>
      </c>
    </row>
    <row r="220" spans="2:3">
      <c r="B220" t="s">
        <v>42</v>
      </c>
      <c r="C220" s="28">
        <v>43429.459016203706</v>
      </c>
    </row>
    <row r="221" spans="2:3">
      <c r="B221" t="s">
        <v>42</v>
      </c>
      <c r="C221" s="28">
        <v>43431.432951388888</v>
      </c>
    </row>
    <row r="222" spans="2:3">
      <c r="B222" t="s">
        <v>42</v>
      </c>
      <c r="C222" s="28">
        <v>43433.44803240741</v>
      </c>
    </row>
    <row r="223" spans="2:3">
      <c r="B223" t="s">
        <v>42</v>
      </c>
      <c r="C223" s="28">
        <v>43444.572442129633</v>
      </c>
    </row>
    <row r="224" spans="2:3">
      <c r="B224" t="s">
        <v>42</v>
      </c>
      <c r="C224" s="28">
        <v>43444.597210648149</v>
      </c>
    </row>
    <row r="225" spans="2:3">
      <c r="B225" t="s">
        <v>14</v>
      </c>
      <c r="C225" s="28">
        <v>43444.626377314817</v>
      </c>
    </row>
    <row r="226" spans="2:3">
      <c r="B226" t="s">
        <v>14</v>
      </c>
      <c r="C226" s="28">
        <v>43444.626539351855</v>
      </c>
    </row>
    <row r="227" spans="2:3">
      <c r="B227" t="s">
        <v>11</v>
      </c>
      <c r="C227" s="28">
        <v>43444.626770833333</v>
      </c>
    </row>
    <row r="228" spans="2:3">
      <c r="B228" t="s">
        <v>17</v>
      </c>
      <c r="C228" s="28">
        <v>43444.627083333333</v>
      </c>
    </row>
    <row r="229" spans="2:3">
      <c r="B229" t="s">
        <v>18</v>
      </c>
      <c r="C229" s="28">
        <v>43444.627326388887</v>
      </c>
    </row>
    <row r="230" spans="2:3">
      <c r="B230" t="s">
        <v>16</v>
      </c>
      <c r="C230" s="28">
        <v>43444.627662037034</v>
      </c>
    </row>
    <row r="231" spans="2:3">
      <c r="B231" t="s">
        <v>15</v>
      </c>
      <c r="C231" s="28">
        <v>43444.628055555557</v>
      </c>
    </row>
    <row r="232" spans="2:3">
      <c r="B232" t="s">
        <v>41</v>
      </c>
      <c r="C232" s="28">
        <v>43444.62840277778</v>
      </c>
    </row>
    <row r="233" spans="2:3">
      <c r="B233" t="s">
        <v>42</v>
      </c>
      <c r="C233" s="28">
        <v>43445.44604166667</v>
      </c>
    </row>
    <row r="234" spans="2:3">
      <c r="B234" t="s">
        <v>42</v>
      </c>
      <c r="C234" s="28">
        <v>43452.464618055557</v>
      </c>
    </row>
    <row r="235" spans="2:3">
      <c r="B235" t="s">
        <v>42</v>
      </c>
      <c r="C235" s="28">
        <v>43453.472280092596</v>
      </c>
    </row>
    <row r="236" spans="2:3">
      <c r="B236" t="s">
        <v>42</v>
      </c>
      <c r="C236" s="28">
        <v>43457.452488425923</v>
      </c>
    </row>
    <row r="237" spans="2:3">
      <c r="B237" t="s">
        <v>42</v>
      </c>
      <c r="C237" s="28">
        <v>43460.554571759261</v>
      </c>
    </row>
    <row r="238" spans="2:3">
      <c r="B238" t="s">
        <v>42</v>
      </c>
      <c r="C238" s="28">
        <v>43461.520497685182</v>
      </c>
    </row>
    <row r="239" spans="2:3">
      <c r="B239" t="s">
        <v>42</v>
      </c>
      <c r="C239" s="28">
        <v>43461.540023148147</v>
      </c>
    </row>
    <row r="240" spans="2:3">
      <c r="B240" t="s">
        <v>42</v>
      </c>
      <c r="C240" s="28">
        <v>43461.540590277778</v>
      </c>
    </row>
    <row r="241" spans="2:3">
      <c r="B241" t="s">
        <v>42</v>
      </c>
      <c r="C241" s="28">
        <v>43466.429062499999</v>
      </c>
    </row>
    <row r="242" spans="2:3">
      <c r="B242" t="s">
        <v>42</v>
      </c>
      <c r="C242" s="28">
        <v>43472.421527777777</v>
      </c>
    </row>
    <row r="243" spans="2:3">
      <c r="B243" t="s">
        <v>42</v>
      </c>
      <c r="C243" s="28">
        <v>43481.410601851851</v>
      </c>
    </row>
    <row r="244" spans="2:3">
      <c r="B244" t="s">
        <v>42</v>
      </c>
      <c r="C244" s="28">
        <v>43481.48641203704</v>
      </c>
    </row>
    <row r="245" spans="2:3">
      <c r="B245" t="s">
        <v>42</v>
      </c>
      <c r="C245" s="28">
        <v>43481.486747685187</v>
      </c>
    </row>
    <row r="246" spans="2:3">
      <c r="B246" t="s">
        <v>42</v>
      </c>
      <c r="C246" s="28">
        <v>43481.487835648149</v>
      </c>
    </row>
    <row r="247" spans="2:3">
      <c r="B247" t="s">
        <v>42</v>
      </c>
      <c r="C247" s="28">
        <v>43481.511284722219</v>
      </c>
    </row>
    <row r="248" spans="2:3">
      <c r="B248" t="s">
        <v>42</v>
      </c>
      <c r="C248" s="28">
        <v>43481.669189814813</v>
      </c>
    </row>
    <row r="249" spans="2:3">
      <c r="B249" t="s">
        <v>42</v>
      </c>
      <c r="C249" s="28">
        <v>43485.399942129632</v>
      </c>
    </row>
    <row r="250" spans="2:3">
      <c r="B250" t="s">
        <v>42</v>
      </c>
      <c r="C250" s="28">
        <v>43487.420775462961</v>
      </c>
    </row>
    <row r="251" spans="2:3">
      <c r="B251" t="s">
        <v>42</v>
      </c>
      <c r="C251" s="28">
        <v>43489.717372685183</v>
      </c>
    </row>
    <row r="252" spans="2:3">
      <c r="B252" t="s">
        <v>42</v>
      </c>
      <c r="C252" s="28">
        <v>43489.734293981484</v>
      </c>
    </row>
    <row r="253" spans="2:3">
      <c r="B253" t="s">
        <v>42</v>
      </c>
      <c r="C253" s="28">
        <v>43492.427476851852</v>
      </c>
    </row>
    <row r="254" spans="2:3">
      <c r="B254" t="s">
        <v>42</v>
      </c>
      <c r="C254" s="28">
        <v>43494.440312500003</v>
      </c>
    </row>
    <row r="255" spans="2:3">
      <c r="B255" t="s">
        <v>42</v>
      </c>
      <c r="C255" s="28">
        <v>43494.554120370369</v>
      </c>
    </row>
    <row r="256" spans="2:3">
      <c r="B256" t="s">
        <v>42</v>
      </c>
      <c r="C256" s="28">
        <v>43496.524062500001</v>
      </c>
    </row>
    <row r="257" spans="2:3">
      <c r="B257" t="s">
        <v>42</v>
      </c>
      <c r="C257" s="28">
        <v>43507.539988425924</v>
      </c>
    </row>
    <row r="258" spans="2:3">
      <c r="B258" t="s">
        <v>42</v>
      </c>
      <c r="C258" s="28">
        <v>43509.553032407406</v>
      </c>
    </row>
    <row r="259" spans="2:3">
      <c r="B259" t="s">
        <v>42</v>
      </c>
      <c r="C259" s="28">
        <v>43509.574571759258</v>
      </c>
    </row>
    <row r="260" spans="2:3">
      <c r="B260" t="s">
        <v>42</v>
      </c>
      <c r="C260" s="28">
        <v>43509.57576388889</v>
      </c>
    </row>
    <row r="261" spans="2:3">
      <c r="B261" t="s">
        <v>42</v>
      </c>
      <c r="C261" s="28">
        <v>43509.576527777775</v>
      </c>
    </row>
    <row r="262" spans="2:3">
      <c r="B262" t="s">
        <v>42</v>
      </c>
      <c r="C262" s="28">
        <v>43509.635254629633</v>
      </c>
    </row>
    <row r="263" spans="2:3">
      <c r="B263" t="s">
        <v>42</v>
      </c>
      <c r="C263" s="28">
        <v>43509.647766203707</v>
      </c>
    </row>
    <row r="264" spans="2:3">
      <c r="B264" t="s">
        <v>42</v>
      </c>
      <c r="C264" s="28">
        <v>43509.661921296298</v>
      </c>
    </row>
    <row r="265" spans="2:3">
      <c r="B265" t="s">
        <v>42</v>
      </c>
      <c r="C265" s="28">
        <v>43510.443240740744</v>
      </c>
    </row>
    <row r="266" spans="2:3">
      <c r="B266" t="s">
        <v>42</v>
      </c>
      <c r="C266" s="28">
        <v>43510.50608796296</v>
      </c>
    </row>
    <row r="267" spans="2:3">
      <c r="B267" t="s">
        <v>42</v>
      </c>
      <c r="C267" s="28">
        <v>43513.478078703702</v>
      </c>
    </row>
    <row r="268" spans="2:3">
      <c r="B268" t="s">
        <v>42</v>
      </c>
      <c r="C268" s="28">
        <v>43513.528877314813</v>
      </c>
    </row>
    <row r="269" spans="2:3">
      <c r="B269" t="s">
        <v>42</v>
      </c>
      <c r="C269" s="28">
        <v>43514.77175925926</v>
      </c>
    </row>
    <row r="270" spans="2:3">
      <c r="B270" t="s">
        <v>42</v>
      </c>
      <c r="C270" s="28">
        <v>43514.777384259258</v>
      </c>
    </row>
    <row r="271" spans="2:3">
      <c r="B271" t="s">
        <v>42</v>
      </c>
      <c r="C271" s="28">
        <v>43514.779548611114</v>
      </c>
    </row>
    <row r="272" spans="2:3">
      <c r="B272" t="s">
        <v>42</v>
      </c>
      <c r="C272" s="28">
        <v>43515.670717592591</v>
      </c>
    </row>
    <row r="273" spans="2:3">
      <c r="B273" t="s">
        <v>42</v>
      </c>
      <c r="C273" s="28">
        <v>43515.672881944447</v>
      </c>
    </row>
    <row r="274" spans="2:3">
      <c r="B274" t="s">
        <v>42</v>
      </c>
      <c r="C274" s="28">
        <v>43515.691365740742</v>
      </c>
    </row>
    <row r="275" spans="2:3">
      <c r="B275" t="s">
        <v>42</v>
      </c>
      <c r="C275" s="28">
        <v>43516.439849537041</v>
      </c>
    </row>
    <row r="276" spans="2:3">
      <c r="B276" t="s">
        <v>42</v>
      </c>
      <c r="C276" s="28">
        <v>43516.470277777778</v>
      </c>
    </row>
    <row r="277" spans="2:3">
      <c r="B277" t="s">
        <v>42</v>
      </c>
      <c r="C277" s="28">
        <v>43516.602002314816</v>
      </c>
    </row>
    <row r="278" spans="2:3">
      <c r="B278" t="s">
        <v>42</v>
      </c>
      <c r="C278" s="28">
        <v>43520.425844907404</v>
      </c>
    </row>
    <row r="279" spans="2:3">
      <c r="B279" t="s">
        <v>42</v>
      </c>
      <c r="C279" s="28">
        <v>43520.501354166663</v>
      </c>
    </row>
    <row r="280" spans="2:3">
      <c r="B280" t="s">
        <v>42</v>
      </c>
      <c r="C280" s="28">
        <v>43522.407372685186</v>
      </c>
    </row>
    <row r="281" spans="2:3">
      <c r="B281" t="s">
        <v>42</v>
      </c>
      <c r="C281" s="28">
        <v>43522.641018518516</v>
      </c>
    </row>
    <row r="282" spans="2:3">
      <c r="B282" t="s">
        <v>42</v>
      </c>
      <c r="C282" s="28">
        <v>43523.766956018517</v>
      </c>
    </row>
    <row r="283" spans="2:3">
      <c r="B283" t="s">
        <v>42</v>
      </c>
      <c r="C283" s="28">
        <v>43531.551516203705</v>
      </c>
    </row>
    <row r="284" spans="2:3">
      <c r="B284" t="s">
        <v>42</v>
      </c>
      <c r="C284" s="28">
        <v>43534.785868055558</v>
      </c>
    </row>
    <row r="285" spans="2:3">
      <c r="B285" t="s">
        <v>42</v>
      </c>
      <c r="C285" s="28">
        <v>43534.799664351849</v>
      </c>
    </row>
    <row r="286" spans="2:3">
      <c r="B286" t="s">
        <v>42</v>
      </c>
      <c r="C286" s="28">
        <v>43534.799872685187</v>
      </c>
    </row>
    <row r="287" spans="2:3">
      <c r="B287" t="s">
        <v>42</v>
      </c>
      <c r="C287" s="28">
        <v>43535.434548611112</v>
      </c>
    </row>
    <row r="288" spans="2:3">
      <c r="B288" t="s">
        <v>42</v>
      </c>
      <c r="C288" s="28">
        <v>43535.452997685185</v>
      </c>
    </row>
    <row r="289" spans="3:3">
      <c r="C289" s="28"/>
    </row>
    <row r="290" spans="3:3">
      <c r="C290" s="28"/>
    </row>
    <row r="291" spans="3:3">
      <c r="C291" s="28"/>
    </row>
    <row r="292" spans="3:3">
      <c r="C292" s="28"/>
    </row>
    <row r="293" spans="3:3">
      <c r="C293" s="28"/>
    </row>
    <row r="294" spans="3:3">
      <c r="C294" s="28"/>
    </row>
    <row r="295" spans="3:3">
      <c r="C295" s="28"/>
    </row>
    <row r="296" spans="3:3">
      <c r="C296" s="28"/>
    </row>
    <row r="297" spans="3:3">
      <c r="C297" s="28"/>
    </row>
    <row r="298" spans="3:3">
      <c r="C298" s="28"/>
    </row>
    <row r="299" spans="3:3">
      <c r="C299" s="28"/>
    </row>
    <row r="300" spans="3:3">
      <c r="C300" s="28"/>
    </row>
    <row r="301" spans="3:3">
      <c r="C301" s="28"/>
    </row>
    <row r="302" spans="3:3">
      <c r="C302" s="28"/>
    </row>
    <row r="303" spans="3:3">
      <c r="C303" s="28"/>
    </row>
    <row r="304" spans="3:3">
      <c r="C304" s="28"/>
    </row>
    <row r="305" spans="3:3">
      <c r="C305" s="28"/>
    </row>
    <row r="306" spans="3:3">
      <c r="C306" s="28"/>
    </row>
    <row r="307" spans="3:3">
      <c r="C307" s="28"/>
    </row>
    <row r="308" spans="3:3">
      <c r="C308" s="28"/>
    </row>
    <row r="309" spans="3:3">
      <c r="C309" s="28"/>
    </row>
    <row r="310" spans="3:3">
      <c r="C310" s="28"/>
    </row>
    <row r="311" spans="3:3">
      <c r="C311" s="28"/>
    </row>
    <row r="312" spans="3:3">
      <c r="C312" s="28"/>
    </row>
    <row r="313" spans="3:3">
      <c r="C313" s="28"/>
    </row>
  </sheetData>
  <mergeCells count="3">
    <mergeCell ref="B5:C5"/>
    <mergeCell ref="G5:N5"/>
    <mergeCell ref="S5:T5"/>
  </mergeCells>
  <dataValidations count="2">
    <dataValidation type="list" allowBlank="1" showInputMessage="1" showErrorMessage="1" sqref="I8:O19">
      <formula1>OFFSET($Q$8,,,COUNTA($Q$8:$Q$1000))</formula1>
    </dataValidation>
    <dataValidation type="list" allowBlank="1" showInputMessage="1" showErrorMessage="1" sqref="I20:N35">
      <formula1>OFFSET(#REF!,,,COUNTA(#REF!))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pageSetUpPr fitToPage="1"/>
  </sheetPr>
  <dimension ref="B1:N28"/>
  <sheetViews>
    <sheetView topLeftCell="A10" workbookViewId="0">
      <selection activeCell="D24" sqref="D24"/>
    </sheetView>
  </sheetViews>
  <sheetFormatPr defaultRowHeight="15"/>
  <cols>
    <col min="1" max="1" width="3.42578125" customWidth="1"/>
    <col min="2" max="2" width="23.85546875" bestFit="1" customWidth="1"/>
    <col min="3" max="4" width="12.5703125" bestFit="1" customWidth="1"/>
    <col min="5" max="5" width="12.28515625" bestFit="1" customWidth="1"/>
    <col min="6" max="6" width="9" bestFit="1" customWidth="1"/>
    <col min="7" max="7" width="14.28515625" bestFit="1" customWidth="1"/>
    <col min="8" max="8" width="15.42578125" bestFit="1" customWidth="1"/>
    <col min="9" max="9" width="16.7109375" bestFit="1" customWidth="1"/>
    <col min="10" max="11" width="15.28515625" bestFit="1" customWidth="1"/>
    <col min="12" max="12" width="11.28515625" bestFit="1" customWidth="1"/>
    <col min="13" max="13" width="8.140625" bestFit="1" customWidth="1"/>
    <col min="14" max="14" width="5.28515625" bestFit="1" customWidth="1"/>
  </cols>
  <sheetData>
    <row r="1" spans="2:14" ht="15.75" thickBot="1"/>
    <row r="2" spans="2:14">
      <c r="B2" s="60" t="s">
        <v>3144</v>
      </c>
      <c r="C2" s="61">
        <v>31</v>
      </c>
    </row>
    <row r="3" spans="2:14">
      <c r="B3" s="62" t="s">
        <v>2974</v>
      </c>
      <c r="C3" s="63">
        <v>10</v>
      </c>
    </row>
    <row r="4" spans="2:14" ht="15.75" thickBot="1">
      <c r="B4" s="64" t="s">
        <v>3145</v>
      </c>
      <c r="C4" s="65">
        <f>C2-C3</f>
        <v>21</v>
      </c>
    </row>
    <row r="5" spans="2:14" ht="15.75" thickBot="1"/>
    <row r="6" spans="2:14" ht="15" customHeight="1">
      <c r="B6" s="91" t="s">
        <v>3668</v>
      </c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</row>
    <row r="7" spans="2:14" ht="15" customHeight="1">
      <c r="B7" s="93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</row>
    <row r="8" spans="2:14">
      <c r="B8" s="56" t="s">
        <v>5</v>
      </c>
      <c r="C8" s="56" t="s">
        <v>2967</v>
      </c>
      <c r="D8" s="56" t="s">
        <v>2897</v>
      </c>
      <c r="E8" s="56" t="s">
        <v>2968</v>
      </c>
      <c r="F8" s="56" t="s">
        <v>2971</v>
      </c>
      <c r="G8" s="56" t="s">
        <v>2969</v>
      </c>
      <c r="H8" s="56" t="s">
        <v>2970</v>
      </c>
      <c r="I8" s="56" t="s">
        <v>2971</v>
      </c>
      <c r="J8" s="40" t="s">
        <v>3507</v>
      </c>
      <c r="K8" s="79" t="s">
        <v>3512</v>
      </c>
      <c r="L8" s="41" t="s">
        <v>3513</v>
      </c>
      <c r="M8" s="42" t="s">
        <v>3351</v>
      </c>
      <c r="N8" s="56" t="s">
        <v>2975</v>
      </c>
    </row>
    <row r="9" spans="2:14">
      <c r="B9" s="54" t="s">
        <v>6</v>
      </c>
      <c r="C9" s="57">
        <f>COUNTIFS('SSP_March''19'!$E$3:$E$1193,Summary!B9)</f>
        <v>118</v>
      </c>
      <c r="D9" s="50">
        <f>SUMIFS('SSP_March''19'!$K$3:$K$1193,'SSP_March''19'!$E$3:$E$1193,Summary!B9)</f>
        <v>18618372</v>
      </c>
      <c r="E9" s="50">
        <f>SUMIFS('SSP_March''19'!$L$3:$L$1193,'SSP_March''19'!$E$3:$E$1193,Summary!B9)</f>
        <v>4400465</v>
      </c>
      <c r="F9" s="51">
        <f>E9/D9</f>
        <v>0.23635068630060674</v>
      </c>
      <c r="G9" s="50">
        <f>SUMIFS('SSP_March''19'!$P$3:$P$1193,'SSP_March''19'!$E$3:$E$1193,Summary!B9)</f>
        <v>1266</v>
      </c>
      <c r="H9" s="50">
        <f>SUMIFS('SSP_March''19'!$Q$3:$Q$1193,'SSP_March''19'!$E$3:$E$1193,Summary!B9)</f>
        <v>186</v>
      </c>
      <c r="I9" s="51">
        <f t="shared" ref="I9:I18" si="0">H9/G9</f>
        <v>0.14691943127962084</v>
      </c>
      <c r="J9" s="50">
        <f>SUMIFS('SSP_March''19'!$U$3:$U$1193,'SSP_March''19'!$E$3:$E$1193,Summary!B9)</f>
        <v>47</v>
      </c>
      <c r="K9" s="50">
        <f>SUMIFS('SSP_March''19'!$V$3:$V$1193,'SSP_March''19'!$E$3:$E$1193,Summary!B9)</f>
        <v>35</v>
      </c>
      <c r="L9" s="50">
        <f>SUMIFS('SSP_March''19'!$W$3:$W$1193,'SSP_March''19'!$E$3:$E$1193,Summary!B9)</f>
        <v>7</v>
      </c>
      <c r="M9" s="50">
        <f>SUMIFS('SSP_March''19'!$X$3:$X$1193,'SSP_March''19'!$E$3:$E$1193,Summary!B9)</f>
        <v>12</v>
      </c>
      <c r="N9" s="34">
        <f t="shared" ref="N9:N17" si="1">RANK(F9,$F$9:$F$17)</f>
        <v>9</v>
      </c>
    </row>
    <row r="10" spans="2:14">
      <c r="B10" s="54" t="s">
        <v>3</v>
      </c>
      <c r="C10" s="57">
        <f>COUNTIFS('SSP_March''19'!$E$3:$E$1193,Summary!B10)</f>
        <v>168</v>
      </c>
      <c r="D10" s="50">
        <f>SUMIFS('SSP_March''19'!$K$3:$K$1193,'SSP_March''19'!$E$3:$E$1193,Summary!B10)</f>
        <v>31252427</v>
      </c>
      <c r="E10" s="50">
        <f>SUMIFS('SSP_March''19'!$L$3:$L$1193,'SSP_March''19'!$E$3:$E$1193,Summary!B10)</f>
        <v>7565614</v>
      </c>
      <c r="F10" s="51">
        <f t="shared" ref="F10:F18" si="2">E10/D10</f>
        <v>0.24208084703309601</v>
      </c>
      <c r="G10" s="50">
        <f>SUMIFS('SSP_March''19'!$P$3:$P$1193,'SSP_March''19'!$E$3:$E$1193,Summary!B10)</f>
        <v>1877</v>
      </c>
      <c r="H10" s="50">
        <f>SUMIFS('SSP_March''19'!$Q$3:$Q$1193,'SSP_March''19'!$E$3:$E$1193,Summary!B10)</f>
        <v>297</v>
      </c>
      <c r="I10" s="51">
        <f t="shared" si="0"/>
        <v>0.15823122003196591</v>
      </c>
      <c r="J10" s="50">
        <f>SUMIFS('SSP_March''19'!$U$3:$U$1193,'SSP_March''19'!$E$3:$E$1193,Summary!B10)</f>
        <v>76</v>
      </c>
      <c r="K10" s="50">
        <f>SUMIFS('SSP_March''19'!$V$3:$V$1193,'SSP_March''19'!$E$3:$E$1193,Summary!B10)</f>
        <v>44</v>
      </c>
      <c r="L10" s="50">
        <f>SUMIFS('SSP_March''19'!$W$3:$W$1193,'SSP_March''19'!$E$3:$E$1193,Summary!B10)</f>
        <v>15</v>
      </c>
      <c r="M10" s="50">
        <f>SUMIFS('SSP_March''19'!$X$3:$X$1193,'SSP_March''19'!$E$3:$E$1193,Summary!B10)</f>
        <v>17</v>
      </c>
      <c r="N10" s="34">
        <f t="shared" si="1"/>
        <v>7</v>
      </c>
    </row>
    <row r="11" spans="2:14">
      <c r="B11" s="54" t="s">
        <v>7</v>
      </c>
      <c r="C11" s="57">
        <f>COUNTIFS('SSP_March''19'!$E$3:$E$1193,Summary!B11)</f>
        <v>88</v>
      </c>
      <c r="D11" s="50">
        <f>SUMIFS('SSP_March''19'!$K$3:$K$1193,'SSP_March''19'!$E$3:$E$1193,Summary!B11)</f>
        <v>15371053</v>
      </c>
      <c r="E11" s="50">
        <f>SUMIFS('SSP_March''19'!$L$3:$L$1193,'SSP_March''19'!$E$3:$E$1193,Summary!B11)</f>
        <v>3722807</v>
      </c>
      <c r="F11" s="51">
        <f t="shared" si="2"/>
        <v>0.24219596406309965</v>
      </c>
      <c r="G11" s="50">
        <f>SUMIFS('SSP_March''19'!$P$3:$P$1193,'SSP_March''19'!$E$3:$E$1193,Summary!B11)</f>
        <v>1088</v>
      </c>
      <c r="H11" s="50">
        <f>SUMIFS('SSP_March''19'!$Q$3:$Q$1193,'SSP_March''19'!$E$3:$E$1193,Summary!B11)</f>
        <v>206</v>
      </c>
      <c r="I11" s="51">
        <f t="shared" si="0"/>
        <v>0.18933823529411764</v>
      </c>
      <c r="J11" s="50">
        <f>SUMIFS('SSP_March''19'!$U$3:$U$1193,'SSP_March''19'!$E$3:$E$1193,Summary!B11)</f>
        <v>17</v>
      </c>
      <c r="K11" s="50">
        <f>SUMIFS('SSP_March''19'!$V$3:$V$1193,'SSP_March''19'!$E$3:$E$1193,Summary!B11)</f>
        <v>50</v>
      </c>
      <c r="L11" s="50">
        <f>SUMIFS('SSP_March''19'!$W$3:$W$1193,'SSP_March''19'!$E$3:$E$1193,Summary!B11)</f>
        <v>7</v>
      </c>
      <c r="M11" s="50">
        <f>SUMIFS('SSP_March''19'!$X$3:$X$1193,'SSP_March''19'!$E$3:$E$1193,Summary!B11)</f>
        <v>12</v>
      </c>
      <c r="N11" s="34">
        <f t="shared" si="1"/>
        <v>6</v>
      </c>
    </row>
    <row r="12" spans="2:14">
      <c r="B12" s="54" t="s">
        <v>8</v>
      </c>
      <c r="C12" s="57">
        <f>COUNTIFS('SSP_March''19'!$E$3:$E$1193,Summary!B12)</f>
        <v>106</v>
      </c>
      <c r="D12" s="50">
        <f>SUMIFS('SSP_March''19'!$K$3:$K$1193,'SSP_March''19'!$E$3:$E$1193,Summary!B12)</f>
        <v>19641866</v>
      </c>
      <c r="E12" s="50">
        <f>SUMIFS('SSP_March''19'!$L$3:$L$1193,'SSP_March''19'!$E$3:$E$1193,Summary!B12)</f>
        <v>5491731</v>
      </c>
      <c r="F12" s="51">
        <f t="shared" si="2"/>
        <v>0.27959314048879064</v>
      </c>
      <c r="G12" s="50">
        <f>SUMIFS('SSP_March''19'!$P$3:$P$1193,'SSP_March''19'!$E$3:$E$1193,Summary!B12)</f>
        <v>1350</v>
      </c>
      <c r="H12" s="50">
        <f>SUMIFS('SSP_March''19'!$Q$3:$Q$1193,'SSP_March''19'!$E$3:$E$1193,Summary!B12)</f>
        <v>332</v>
      </c>
      <c r="I12" s="51">
        <f t="shared" si="0"/>
        <v>0.24592592592592594</v>
      </c>
      <c r="J12" s="50">
        <f>SUMIFS('SSP_March''19'!$U$3:$U$1193,'SSP_March''19'!$E$3:$E$1193,Summary!B12)</f>
        <v>18</v>
      </c>
      <c r="K12" s="50">
        <f>SUMIFS('SSP_March''19'!$V$3:$V$1193,'SSP_March''19'!$E$3:$E$1193,Summary!B12)</f>
        <v>97</v>
      </c>
      <c r="L12" s="50">
        <f>SUMIFS('SSP_March''19'!$W$3:$W$1193,'SSP_March''19'!$E$3:$E$1193,Summary!B12)</f>
        <v>4</v>
      </c>
      <c r="M12" s="50">
        <f>SUMIFS('SSP_March''19'!$X$3:$X$1193,'SSP_March''19'!$E$3:$E$1193,Summary!B12)</f>
        <v>14</v>
      </c>
      <c r="N12" s="34">
        <f t="shared" si="1"/>
        <v>2</v>
      </c>
    </row>
    <row r="13" spans="2:14">
      <c r="B13" s="54" t="s">
        <v>4</v>
      </c>
      <c r="C13" s="57">
        <f>COUNTIFS('SSP_March''19'!$E$3:$E$1193,Summary!B13)</f>
        <v>164</v>
      </c>
      <c r="D13" s="50">
        <f>SUMIFS('SSP_March''19'!$K$3:$K$1193,'SSP_March''19'!$E$3:$E$1193,Summary!B13)</f>
        <v>27409645</v>
      </c>
      <c r="E13" s="50">
        <f>SUMIFS('SSP_March''19'!$L$3:$L$1193,'SSP_March''19'!$E$3:$E$1193,Summary!B13)</f>
        <v>6859454</v>
      </c>
      <c r="F13" s="51">
        <f t="shared" si="2"/>
        <v>0.25025694422529005</v>
      </c>
      <c r="G13" s="50">
        <f>SUMIFS('SSP_March''19'!$P$3:$P$1193,'SSP_March''19'!$E$3:$E$1193,Summary!B13)</f>
        <v>1890</v>
      </c>
      <c r="H13" s="50">
        <f>SUMIFS('SSP_March''19'!$Q$3:$Q$1193,'SSP_March''19'!$E$3:$E$1193,Summary!B13)</f>
        <v>376</v>
      </c>
      <c r="I13" s="51">
        <f t="shared" si="0"/>
        <v>0.19894179894179895</v>
      </c>
      <c r="J13" s="50">
        <f>SUMIFS('SSP_March''19'!$U$3:$U$1193,'SSP_March''19'!$E$3:$E$1193,Summary!B13)</f>
        <v>138</v>
      </c>
      <c r="K13" s="50">
        <f>SUMIFS('SSP_March''19'!$V$3:$V$1193,'SSP_March''19'!$E$3:$E$1193,Summary!B13)</f>
        <v>84</v>
      </c>
      <c r="L13" s="50">
        <f>SUMIFS('SSP_March''19'!$W$3:$W$1193,'SSP_March''19'!$E$3:$E$1193,Summary!B13)</f>
        <v>5</v>
      </c>
      <c r="M13" s="50">
        <f>SUMIFS('SSP_March''19'!$X$3:$X$1193,'SSP_March''19'!$E$3:$E$1193,Summary!B13)</f>
        <v>19</v>
      </c>
      <c r="N13" s="34">
        <f t="shared" si="1"/>
        <v>5</v>
      </c>
    </row>
    <row r="14" spans="2:14">
      <c r="B14" s="54" t="s">
        <v>0</v>
      </c>
      <c r="C14" s="57">
        <f>COUNTIFS('SSP_March''19'!$E$3:$E$1193,Summary!B14)</f>
        <v>251</v>
      </c>
      <c r="D14" s="50">
        <f>SUMIFS('SSP_March''19'!$K$3:$K$1193,'SSP_March''19'!$E$3:$E$1193,Summary!B14)</f>
        <v>42983672</v>
      </c>
      <c r="E14" s="50">
        <f>SUMIFS('SSP_March''19'!$L$3:$L$1193,'SSP_March''19'!$E$3:$E$1193,Summary!B14)</f>
        <v>10242698</v>
      </c>
      <c r="F14" s="51">
        <f t="shared" si="2"/>
        <v>0.23829276381971276</v>
      </c>
      <c r="G14" s="50">
        <f>SUMIFS('SSP_March''19'!$P$3:$P$1193,'SSP_March''19'!$E$3:$E$1193,Summary!B14)</f>
        <v>2801</v>
      </c>
      <c r="H14" s="50">
        <f>SUMIFS('SSP_March''19'!$Q$3:$Q$1193,'SSP_March''19'!$E$3:$E$1193,Summary!B14)</f>
        <v>513</v>
      </c>
      <c r="I14" s="51">
        <f t="shared" si="0"/>
        <v>0.18314887540164226</v>
      </c>
      <c r="J14" s="50">
        <f>SUMIFS('SSP_March''19'!$U$3:$U$1193,'SSP_March''19'!$E$3:$E$1193,Summary!B14)</f>
        <v>122</v>
      </c>
      <c r="K14" s="50">
        <f>SUMIFS('SSP_March''19'!$V$3:$V$1193,'SSP_March''19'!$E$3:$E$1193,Summary!B14)</f>
        <v>134</v>
      </c>
      <c r="L14" s="50">
        <f>SUMIFS('SSP_March''19'!$W$3:$W$1193,'SSP_March''19'!$E$3:$E$1193,Summary!B14)</f>
        <v>12</v>
      </c>
      <c r="M14" s="50">
        <f>SUMIFS('SSP_March''19'!$X$3:$X$1193,'SSP_March''19'!$E$3:$E$1193,Summary!B14)</f>
        <v>23</v>
      </c>
      <c r="N14" s="34">
        <f t="shared" si="1"/>
        <v>8</v>
      </c>
    </row>
    <row r="15" spans="2:14">
      <c r="B15" s="54" t="s">
        <v>9</v>
      </c>
      <c r="C15" s="57">
        <f>COUNTIFS('SSP_March''19'!$E$3:$E$1193,Summary!B15)</f>
        <v>85</v>
      </c>
      <c r="D15" s="50">
        <f>SUMIFS('SSP_March''19'!$K$3:$K$1193,'SSP_March''19'!$E$3:$E$1193,Summary!B15)</f>
        <v>14075963</v>
      </c>
      <c r="E15" s="50">
        <f>SUMIFS('SSP_March''19'!$L$3:$L$1193,'SSP_March''19'!$E$3:$E$1193,Summary!B15)</f>
        <v>3789082</v>
      </c>
      <c r="F15" s="51">
        <f t="shared" si="2"/>
        <v>0.26918811878093174</v>
      </c>
      <c r="G15" s="50">
        <f>SUMIFS('SSP_March''19'!$P$3:$P$1193,'SSP_March''19'!$E$3:$E$1193,Summary!B15)</f>
        <v>960</v>
      </c>
      <c r="H15" s="50">
        <f>SUMIFS('SSP_March''19'!$Q$3:$Q$1193,'SSP_March''19'!$E$3:$E$1193,Summary!B15)</f>
        <v>201</v>
      </c>
      <c r="I15" s="51">
        <f t="shared" si="0"/>
        <v>0.20937500000000001</v>
      </c>
      <c r="J15" s="50">
        <f>SUMIFS('SSP_March''19'!$U$3:$U$1193,'SSP_March''19'!$E$3:$E$1193,Summary!B15)</f>
        <v>67</v>
      </c>
      <c r="K15" s="50">
        <f>SUMIFS('SSP_March''19'!$V$3:$V$1193,'SSP_March''19'!$E$3:$E$1193,Summary!B15)</f>
        <v>61</v>
      </c>
      <c r="L15" s="50">
        <f>SUMIFS('SSP_March''19'!$W$3:$W$1193,'SSP_March''19'!$E$3:$E$1193,Summary!B15)</f>
        <v>5</v>
      </c>
      <c r="M15" s="50">
        <f>SUMIFS('SSP_March''19'!$X$3:$X$1193,'SSP_March''19'!$E$3:$E$1193,Summary!B15)</f>
        <v>6</v>
      </c>
      <c r="N15" s="34">
        <f t="shared" si="1"/>
        <v>3</v>
      </c>
    </row>
    <row r="16" spans="2:14">
      <c r="B16" s="54" t="s">
        <v>2</v>
      </c>
      <c r="C16" s="57">
        <f>COUNTIFS('SSP_March''19'!$E$3:$E$1193,Summary!B16)</f>
        <v>105</v>
      </c>
      <c r="D16" s="50">
        <f>SUMIFS('SSP_March''19'!$K$3:$K$1193,'SSP_March''19'!$E$3:$E$1193,Summary!B16)</f>
        <v>18400346</v>
      </c>
      <c r="E16" s="50">
        <f>SUMIFS('SSP_March''19'!$L$3:$L$1193,'SSP_March''19'!$E$3:$E$1193,Summary!B16)</f>
        <v>5353301</v>
      </c>
      <c r="F16" s="51">
        <f t="shared" si="2"/>
        <v>0.29093480089993962</v>
      </c>
      <c r="G16" s="50">
        <f>SUMIFS('SSP_March''19'!$P$3:$P$1193,'SSP_March''19'!$E$3:$E$1193,Summary!B16)</f>
        <v>1233</v>
      </c>
      <c r="H16" s="50">
        <f>SUMIFS('SSP_March''19'!$Q$3:$Q$1193,'SSP_March''19'!$E$3:$E$1193,Summary!B16)</f>
        <v>288</v>
      </c>
      <c r="I16" s="51">
        <f t="shared" si="0"/>
        <v>0.23357664233576642</v>
      </c>
      <c r="J16" s="50">
        <f>SUMIFS('SSP_March''19'!$U$3:$U$1193,'SSP_March''19'!$E$3:$E$1193,Summary!B16)</f>
        <v>56</v>
      </c>
      <c r="K16" s="50">
        <f>SUMIFS('SSP_March''19'!$V$3:$V$1193,'SSP_March''19'!$E$3:$E$1193,Summary!B16)</f>
        <v>59</v>
      </c>
      <c r="L16" s="50">
        <f>SUMIFS('SSP_March''19'!$W$3:$W$1193,'SSP_March''19'!$E$3:$E$1193,Summary!B16)</f>
        <v>10</v>
      </c>
      <c r="M16" s="50">
        <f>SUMIFS('SSP_March''19'!$X$3:$X$1193,'SSP_March''19'!$E$3:$E$1193,Summary!B16)</f>
        <v>14</v>
      </c>
      <c r="N16" s="34">
        <f t="shared" si="1"/>
        <v>1</v>
      </c>
    </row>
    <row r="17" spans="2:14">
      <c r="B17" s="54" t="s">
        <v>1</v>
      </c>
      <c r="C17" s="57">
        <f>COUNTIFS('SSP_March''19'!$E$3:$E$1193,Summary!B17)</f>
        <v>106</v>
      </c>
      <c r="D17" s="50">
        <f>SUMIFS('SSP_March''19'!$K$3:$K$1193,'SSP_March''19'!$E$3:$E$1193,Summary!B17)</f>
        <v>18721258</v>
      </c>
      <c r="E17" s="50">
        <f>SUMIFS('SSP_March''19'!$L$3:$L$1193,'SSP_March''19'!$E$3:$E$1193,Summary!B17)</f>
        <v>5002866</v>
      </c>
      <c r="F17" s="51">
        <f t="shared" si="2"/>
        <v>0.26722915735684</v>
      </c>
      <c r="G17" s="50">
        <f>SUMIFS('SSP_March''19'!$P$3:$P$1193,'SSP_March''19'!$E$3:$E$1193,Summary!B17)</f>
        <v>1148</v>
      </c>
      <c r="H17" s="50">
        <f>SUMIFS('SSP_March''19'!$Q$3:$Q$1193,'SSP_March''19'!$E$3:$E$1193,Summary!B17)</f>
        <v>181</v>
      </c>
      <c r="I17" s="51">
        <f t="shared" si="0"/>
        <v>0.15766550522648085</v>
      </c>
      <c r="J17" s="50">
        <f>SUMIFS('SSP_March''19'!$U$3:$U$1193,'SSP_March''19'!$E$3:$E$1193,Summary!B17)</f>
        <v>64</v>
      </c>
      <c r="K17" s="50">
        <f>SUMIFS('SSP_March''19'!$V$3:$V$1193,'SSP_March''19'!$E$3:$E$1193,Summary!B17)</f>
        <v>37</v>
      </c>
      <c r="L17" s="50">
        <f>SUMIFS('SSP_March''19'!$W$3:$W$1193,'SSP_March''19'!$E$3:$E$1193,Summary!B17)</f>
        <v>9</v>
      </c>
      <c r="M17" s="50">
        <f>SUMIFS('SSP_March''19'!$X$3:$X$1193,'SSP_March''19'!$E$3:$E$1193,Summary!B17)</f>
        <v>4</v>
      </c>
      <c r="N17" s="34">
        <f t="shared" si="1"/>
        <v>4</v>
      </c>
    </row>
    <row r="18" spans="2:14">
      <c r="B18" s="56" t="s">
        <v>2966</v>
      </c>
      <c r="C18" s="59">
        <f>SUM(C9:C17)</f>
        <v>1191</v>
      </c>
      <c r="D18" s="59">
        <f>SUM(D9:D17)</f>
        <v>206474602</v>
      </c>
      <c r="E18" s="59">
        <f>SUM(E9:E17)</f>
        <v>52428018</v>
      </c>
      <c r="F18" s="58">
        <f t="shared" si="2"/>
        <v>0.25391993732962859</v>
      </c>
      <c r="G18" s="59">
        <f t="shared" ref="G18:H18" si="3">SUM(G9:G17)</f>
        <v>13613</v>
      </c>
      <c r="H18" s="59">
        <f t="shared" si="3"/>
        <v>2580</v>
      </c>
      <c r="I18" s="58">
        <f t="shared" si="0"/>
        <v>0.18952471901858517</v>
      </c>
      <c r="J18" s="59">
        <f t="shared" ref="J18" si="4">SUM(J9:J17)</f>
        <v>605</v>
      </c>
      <c r="K18" s="59">
        <f t="shared" ref="K18" si="5">SUM(K9:K17)</f>
        <v>601</v>
      </c>
      <c r="L18" s="59">
        <f t="shared" ref="L18:M18" si="6">SUM(L9:L17)</f>
        <v>74</v>
      </c>
      <c r="M18" s="59">
        <f t="shared" si="6"/>
        <v>121</v>
      </c>
      <c r="N18" s="34"/>
    </row>
    <row r="20" spans="2:14">
      <c r="B20" s="90" t="s">
        <v>19</v>
      </c>
      <c r="C20" s="90"/>
      <c r="D20" s="53" t="s">
        <v>2972</v>
      </c>
      <c r="E20" s="55" t="s">
        <v>2973</v>
      </c>
    </row>
    <row r="21" spans="2:14">
      <c r="B21" s="34" t="s">
        <v>2962</v>
      </c>
      <c r="C21" s="50">
        <v>34505</v>
      </c>
      <c r="D21" s="66">
        <v>9325</v>
      </c>
      <c r="E21" s="35">
        <f>D21/C21</f>
        <v>0.2702506883060426</v>
      </c>
      <c r="G21" s="31"/>
      <c r="H21" s="31"/>
    </row>
    <row r="22" spans="2:14">
      <c r="B22" s="34" t="s">
        <v>2963</v>
      </c>
      <c r="C22" s="50">
        <v>197187054</v>
      </c>
      <c r="D22" s="50">
        <f>E18</f>
        <v>52428018</v>
      </c>
      <c r="E22" s="35">
        <f t="shared" ref="E22:E24" si="7">D22/C22</f>
        <v>0.265879614997443</v>
      </c>
      <c r="H22" s="31"/>
      <c r="I22" s="31"/>
    </row>
    <row r="23" spans="2:14">
      <c r="B23" s="34" t="s">
        <v>2964</v>
      </c>
      <c r="C23" s="50">
        <v>10790</v>
      </c>
      <c r="D23" s="50">
        <f>H18</f>
        <v>2580</v>
      </c>
      <c r="E23" s="35">
        <f t="shared" si="7"/>
        <v>0.23911028730305839</v>
      </c>
      <c r="G23" s="31"/>
    </row>
    <row r="24" spans="2:14">
      <c r="B24" s="34" t="s">
        <v>2965</v>
      </c>
      <c r="C24" s="50">
        <v>82735035</v>
      </c>
      <c r="D24" s="66">
        <v>19716855</v>
      </c>
      <c r="E24" s="35">
        <f t="shared" si="7"/>
        <v>0.2383132490365176</v>
      </c>
      <c r="G24" s="31"/>
    </row>
    <row r="25" spans="2:14">
      <c r="B25" s="74" t="s">
        <v>3507</v>
      </c>
      <c r="C25" s="66">
        <v>1974</v>
      </c>
      <c r="D25" s="50">
        <f>J18</f>
        <v>605</v>
      </c>
      <c r="E25" s="35">
        <f t="shared" ref="E25:E28" si="8">D25/C25</f>
        <v>0.30648429584599796</v>
      </c>
    </row>
    <row r="26" spans="2:14">
      <c r="B26" s="40" t="s">
        <v>3512</v>
      </c>
      <c r="C26" s="66">
        <v>2944</v>
      </c>
      <c r="D26" s="52">
        <f>K18</f>
        <v>601</v>
      </c>
      <c r="E26" s="35">
        <f t="shared" si="8"/>
        <v>0.20414402173913043</v>
      </c>
    </row>
    <row r="27" spans="2:14">
      <c r="B27" s="73" t="s">
        <v>3513</v>
      </c>
      <c r="C27" s="66">
        <v>293</v>
      </c>
      <c r="D27" s="52">
        <f>L18</f>
        <v>74</v>
      </c>
      <c r="E27" s="35">
        <f t="shared" si="8"/>
        <v>0.25255972696245732</v>
      </c>
    </row>
    <row r="28" spans="2:14">
      <c r="B28" s="42" t="s">
        <v>3351</v>
      </c>
      <c r="C28" s="66">
        <v>512</v>
      </c>
      <c r="D28" s="52">
        <f>M18</f>
        <v>121</v>
      </c>
      <c r="E28" s="35">
        <f t="shared" si="8"/>
        <v>0.236328125</v>
      </c>
    </row>
  </sheetData>
  <mergeCells count="2">
    <mergeCell ref="B20:C20"/>
    <mergeCell ref="B6:M7"/>
  </mergeCells>
  <pageMargins left="0.7" right="0.7" top="0.75" bottom="0.75" header="0.3" footer="0.3"/>
  <pageSetup paperSize="9" scale="76" orientation="landscape" r:id="rId1"/>
  <ignoredErrors>
    <ignoredError sqref="I1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X1193"/>
  <sheetViews>
    <sheetView workbookViewId="0">
      <pane xSplit="2" ySplit="2" topLeftCell="O199" activePane="bottomRight" state="frozen"/>
      <selection pane="topRight" activeCell="C1" sqref="C1"/>
      <selection pane="bottomLeft" activeCell="A3" sqref="A3"/>
      <selection pane="bottomRight" activeCell="A2" sqref="A2:X1134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8" max="8" width="12.140625" customWidth="1"/>
    <col min="11" max="13" width="15" customWidth="1"/>
    <col min="14" max="14" width="15" style="48" customWidth="1"/>
    <col min="15" max="15" width="15" customWidth="1"/>
    <col min="16" max="16" width="11.28515625" style="46" customWidth="1"/>
    <col min="17" max="17" width="16.85546875" bestFit="1" customWidth="1"/>
    <col min="19" max="19" width="15" style="48" customWidth="1"/>
    <col min="20" max="20" width="15" customWidth="1"/>
  </cols>
  <sheetData>
    <row r="1" spans="1:24">
      <c r="K1" s="31">
        <f>SUBTOTAL(9,K3:K1193)</f>
        <v>3429483</v>
      </c>
      <c r="L1" s="31">
        <f>SUBTOTAL(9,L3:L1193)</f>
        <v>0</v>
      </c>
      <c r="M1" s="30">
        <f>L1/K1</f>
        <v>0</v>
      </c>
      <c r="N1" s="49">
        <f>ROUND(L1/Summary!$C$3*Summary!$C$2,0)</f>
        <v>0</v>
      </c>
      <c r="O1" s="30">
        <f>N1/K1</f>
        <v>0</v>
      </c>
      <c r="P1" s="31">
        <f>SUBTOTAL(9,P3:P1193)</f>
        <v>260</v>
      </c>
      <c r="Q1" s="31">
        <f>SUBTOTAL(9,Q3:Q1193)</f>
        <v>0</v>
      </c>
      <c r="R1" s="30">
        <f>Q1/P1</f>
        <v>0</v>
      </c>
      <c r="S1" s="49">
        <f>ROUND(Q1/Summary!$C$3*Summary!$C$2,0)</f>
        <v>0</v>
      </c>
      <c r="T1" s="30">
        <f>S1/P1</f>
        <v>0</v>
      </c>
      <c r="U1" s="31">
        <f>SUBTOTAL(9,U3:U1193)</f>
        <v>0</v>
      </c>
      <c r="V1" s="31">
        <f>SUBTOTAL(9,V3:V1193)</f>
        <v>0</v>
      </c>
      <c r="W1" s="31">
        <f>SUBTOTAL(9,W3:W1193)</f>
        <v>0</v>
      </c>
      <c r="X1" s="31">
        <f>SUBTOTAL(9,X3:X1193)</f>
        <v>0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3023</v>
      </c>
      <c r="K2" s="36" t="s">
        <v>2897</v>
      </c>
      <c r="L2" s="36" t="s">
        <v>3669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">
        <v>3670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 hidden="1">
      <c r="A3" s="34" t="s">
        <v>1793</v>
      </c>
      <c r="B3" s="34" t="s">
        <v>1794</v>
      </c>
      <c r="C3" s="34" t="s">
        <v>46</v>
      </c>
      <c r="D3" s="34" t="s">
        <v>6</v>
      </c>
      <c r="E3" s="34" t="s">
        <v>6</v>
      </c>
      <c r="F3" s="34" t="s">
        <v>1795</v>
      </c>
      <c r="G3" s="54">
        <v>1715951783</v>
      </c>
      <c r="H3" s="54" t="s">
        <v>229</v>
      </c>
      <c r="I3" s="54" t="s">
        <v>3514</v>
      </c>
      <c r="J3" s="34" t="s">
        <v>3421</v>
      </c>
      <c r="K3" s="50">
        <v>130000</v>
      </c>
      <c r="L3" s="43">
        <v>13489</v>
      </c>
      <c r="M3" s="44">
        <f>L3/K3</f>
        <v>0.10376153846153846</v>
      </c>
      <c r="N3" s="49">
        <f>ROUND(L3/Summary!$C$3*Summary!$C$2,0)</f>
        <v>41816</v>
      </c>
      <c r="O3" s="44">
        <f>N3/K3</f>
        <v>0.32166153846153844</v>
      </c>
      <c r="P3" s="78">
        <v>10</v>
      </c>
      <c r="Q3" s="34">
        <v>1</v>
      </c>
      <c r="R3" s="35">
        <f>Q3/P3</f>
        <v>0.1</v>
      </c>
      <c r="S3" s="49">
        <f>ROUND(Q3/Summary!$C$3*Summary!$C$2,0)</f>
        <v>3</v>
      </c>
      <c r="T3" s="44">
        <f>S3/P3</f>
        <v>0.3</v>
      </c>
      <c r="U3" s="34">
        <v>0</v>
      </c>
      <c r="V3" s="34">
        <v>0</v>
      </c>
      <c r="W3" s="34">
        <v>0</v>
      </c>
      <c r="X3" s="34">
        <v>0</v>
      </c>
    </row>
    <row r="4" spans="1:24">
      <c r="A4" s="34" t="s">
        <v>1680</v>
      </c>
      <c r="B4" s="34" t="s">
        <v>1681</v>
      </c>
      <c r="C4" s="34" t="s">
        <v>46</v>
      </c>
      <c r="D4" s="34" t="s">
        <v>6</v>
      </c>
      <c r="E4" s="34" t="s">
        <v>6</v>
      </c>
      <c r="F4" s="34" t="s">
        <v>1682</v>
      </c>
      <c r="G4" s="54">
        <v>1726587497</v>
      </c>
      <c r="H4" s="54" t="s">
        <v>229</v>
      </c>
      <c r="I4" s="54" t="s">
        <v>3514</v>
      </c>
      <c r="J4" s="34" t="s">
        <v>3419</v>
      </c>
      <c r="K4" s="50">
        <v>130000</v>
      </c>
      <c r="L4" s="43">
        <v>0</v>
      </c>
      <c r="M4" s="44">
        <f t="shared" ref="M4:M72" si="0">L4/K4</f>
        <v>0</v>
      </c>
      <c r="N4" s="49">
        <f>ROUND(L4/Summary!$C$3*Summary!$C$2,0)</f>
        <v>0</v>
      </c>
      <c r="O4" s="44">
        <f t="shared" ref="O4:O72" si="1">N4/K4</f>
        <v>0</v>
      </c>
      <c r="P4" s="78">
        <v>10</v>
      </c>
      <c r="Q4" s="34">
        <v>0</v>
      </c>
      <c r="R4" s="35">
        <f t="shared" ref="R4:R72" si="2">Q4/P4</f>
        <v>0</v>
      </c>
      <c r="S4" s="49">
        <f>ROUND(Q4/Summary!$C$3*Summary!$C$2,0)</f>
        <v>0</v>
      </c>
      <c r="T4" s="44">
        <f t="shared" ref="T4:T72" si="3">S4/P4</f>
        <v>0</v>
      </c>
      <c r="U4" s="34">
        <v>0</v>
      </c>
      <c r="V4" s="34">
        <v>0</v>
      </c>
      <c r="W4" s="34">
        <v>0</v>
      </c>
      <c r="X4" s="34">
        <v>0</v>
      </c>
    </row>
    <row r="5" spans="1:24" hidden="1">
      <c r="A5" s="34" t="s">
        <v>1674</v>
      </c>
      <c r="B5" s="34" t="s">
        <v>1675</v>
      </c>
      <c r="C5" s="34" t="s">
        <v>46</v>
      </c>
      <c r="D5" s="34" t="s">
        <v>6</v>
      </c>
      <c r="E5" s="34" t="s">
        <v>6</v>
      </c>
      <c r="F5" s="34" t="s">
        <v>1676</v>
      </c>
      <c r="G5" s="54">
        <v>1741409972</v>
      </c>
      <c r="H5" s="54" t="s">
        <v>229</v>
      </c>
      <c r="I5" s="54" t="s">
        <v>3514</v>
      </c>
      <c r="J5" s="34" t="s">
        <v>3515</v>
      </c>
      <c r="K5" s="50">
        <v>130000</v>
      </c>
      <c r="L5" s="43">
        <v>56300</v>
      </c>
      <c r="M5" s="44">
        <f t="shared" si="0"/>
        <v>0.43307692307692308</v>
      </c>
      <c r="N5" s="49">
        <f>ROUND(L5/Summary!$C$3*Summary!$C$2,0)</f>
        <v>174530</v>
      </c>
      <c r="O5" s="44">
        <f t="shared" si="1"/>
        <v>1.3425384615384615</v>
      </c>
      <c r="P5" s="78">
        <v>10</v>
      </c>
      <c r="Q5" s="34">
        <v>2</v>
      </c>
      <c r="R5" s="35">
        <f t="shared" si="2"/>
        <v>0.2</v>
      </c>
      <c r="S5" s="49">
        <f>ROUND(Q5/Summary!$C$3*Summary!$C$2,0)</f>
        <v>6</v>
      </c>
      <c r="T5" s="44">
        <f t="shared" si="3"/>
        <v>0.6</v>
      </c>
      <c r="U5" s="34">
        <v>0</v>
      </c>
      <c r="V5" s="34">
        <v>0</v>
      </c>
      <c r="W5" s="34">
        <v>0</v>
      </c>
      <c r="X5" s="34">
        <v>1</v>
      </c>
    </row>
    <row r="6" spans="1:24" hidden="1">
      <c r="A6" s="34" t="s">
        <v>1629</v>
      </c>
      <c r="B6" s="34" t="s">
        <v>133</v>
      </c>
      <c r="C6" s="34" t="s">
        <v>46</v>
      </c>
      <c r="D6" s="34" t="s">
        <v>6</v>
      </c>
      <c r="E6" s="34" t="s">
        <v>6</v>
      </c>
      <c r="F6" s="34" t="s">
        <v>1630</v>
      </c>
      <c r="G6" s="54">
        <v>1723709495</v>
      </c>
      <c r="H6" s="54" t="s">
        <v>229</v>
      </c>
      <c r="I6" s="54" t="s">
        <v>3514</v>
      </c>
      <c r="J6" s="34" t="s">
        <v>3419</v>
      </c>
      <c r="K6" s="50">
        <v>130000</v>
      </c>
      <c r="L6" s="43">
        <v>40248</v>
      </c>
      <c r="M6" s="44">
        <f t="shared" si="0"/>
        <v>0.30959999999999999</v>
      </c>
      <c r="N6" s="49">
        <f>ROUND(L6/Summary!$C$3*Summary!$C$2,0)</f>
        <v>124769</v>
      </c>
      <c r="O6" s="44">
        <f t="shared" si="1"/>
        <v>0.95976153846153844</v>
      </c>
      <c r="P6" s="78">
        <v>10</v>
      </c>
      <c r="Q6" s="34">
        <v>1</v>
      </c>
      <c r="R6" s="35">
        <f t="shared" si="2"/>
        <v>0.1</v>
      </c>
      <c r="S6" s="49">
        <f>ROUND(Q6/Summary!$C$3*Summary!$C$2,0)</f>
        <v>3</v>
      </c>
      <c r="T6" s="44">
        <f t="shared" si="3"/>
        <v>0.3</v>
      </c>
      <c r="U6" s="34">
        <v>1</v>
      </c>
      <c r="V6" s="34">
        <v>0</v>
      </c>
      <c r="W6" s="34">
        <v>0</v>
      </c>
      <c r="X6" s="34">
        <v>0</v>
      </c>
    </row>
    <row r="7" spans="1:24" hidden="1">
      <c r="A7" s="34" t="s">
        <v>1742</v>
      </c>
      <c r="B7" s="34" t="s">
        <v>1743</v>
      </c>
      <c r="C7" s="34" t="s">
        <v>46</v>
      </c>
      <c r="D7" s="34" t="s">
        <v>6</v>
      </c>
      <c r="E7" s="34" t="s">
        <v>6</v>
      </c>
      <c r="F7" s="34" t="s">
        <v>1744</v>
      </c>
      <c r="G7" s="54">
        <v>1812099599</v>
      </c>
      <c r="H7" s="54" t="s">
        <v>229</v>
      </c>
      <c r="I7" s="54" t="s">
        <v>3514</v>
      </c>
      <c r="J7" s="34" t="s">
        <v>3419</v>
      </c>
      <c r="K7" s="50">
        <v>130000</v>
      </c>
      <c r="L7" s="43">
        <v>17370</v>
      </c>
      <c r="M7" s="44">
        <f t="shared" si="0"/>
        <v>0.13361538461538461</v>
      </c>
      <c r="N7" s="49">
        <f>ROUND(L7/Summary!$C$3*Summary!$C$2,0)</f>
        <v>53847</v>
      </c>
      <c r="O7" s="44">
        <f t="shared" si="1"/>
        <v>0.41420769230769233</v>
      </c>
      <c r="P7" s="78">
        <v>10</v>
      </c>
      <c r="Q7" s="34">
        <v>1</v>
      </c>
      <c r="R7" s="35">
        <f t="shared" si="2"/>
        <v>0.1</v>
      </c>
      <c r="S7" s="49">
        <f>ROUND(Q7/Summary!$C$3*Summary!$C$2,0)</f>
        <v>3</v>
      </c>
      <c r="T7" s="44">
        <f t="shared" si="3"/>
        <v>0.3</v>
      </c>
      <c r="U7" s="34">
        <v>0</v>
      </c>
      <c r="V7" s="34">
        <v>0</v>
      </c>
      <c r="W7" s="34">
        <v>0</v>
      </c>
      <c r="X7" s="34">
        <v>0</v>
      </c>
    </row>
    <row r="8" spans="1:24" hidden="1">
      <c r="A8" s="34" t="s">
        <v>1668</v>
      </c>
      <c r="B8" s="34" t="s">
        <v>1669</v>
      </c>
      <c r="C8" s="34" t="s">
        <v>46</v>
      </c>
      <c r="D8" s="34" t="s">
        <v>6</v>
      </c>
      <c r="E8" s="34" t="s">
        <v>6</v>
      </c>
      <c r="F8" s="34" t="s">
        <v>1670</v>
      </c>
      <c r="G8" s="54">
        <v>1719936558</v>
      </c>
      <c r="H8" s="54" t="s">
        <v>229</v>
      </c>
      <c r="I8" s="54" t="s">
        <v>3514</v>
      </c>
      <c r="J8" s="34" t="s">
        <v>3419</v>
      </c>
      <c r="K8" s="50">
        <v>187333</v>
      </c>
      <c r="L8" s="43">
        <v>54344</v>
      </c>
      <c r="M8" s="44">
        <f t="shared" ref="M8" si="4">L8/K8</f>
        <v>0.29009304287018306</v>
      </c>
      <c r="N8" s="49">
        <f>ROUND(L8/Summary!$C$3*Summary!$C$2,0)</f>
        <v>168466</v>
      </c>
      <c r="O8" s="44">
        <f t="shared" ref="O8" si="5">N8/K8</f>
        <v>0.89928629766245138</v>
      </c>
      <c r="P8" s="78">
        <v>10</v>
      </c>
      <c r="Q8" s="34">
        <v>3</v>
      </c>
      <c r="R8" s="35">
        <f t="shared" ref="R8" si="6">Q8/P8</f>
        <v>0.3</v>
      </c>
      <c r="S8" s="49">
        <f>ROUND(Q8/Summary!$C$3*Summary!$C$2,0)</f>
        <v>9</v>
      </c>
      <c r="T8" s="44">
        <f t="shared" ref="T8" si="7">S8/P8</f>
        <v>0.9</v>
      </c>
      <c r="U8" s="34">
        <v>0</v>
      </c>
      <c r="V8" s="34">
        <v>2</v>
      </c>
      <c r="W8" s="34">
        <v>0</v>
      </c>
      <c r="X8" s="34">
        <v>0</v>
      </c>
    </row>
    <row r="9" spans="1:24" hidden="1">
      <c r="A9" s="34" t="s">
        <v>1748</v>
      </c>
      <c r="B9" s="34" t="s">
        <v>1749</v>
      </c>
      <c r="C9" s="34" t="s">
        <v>46</v>
      </c>
      <c r="D9" s="34" t="s">
        <v>6</v>
      </c>
      <c r="E9" s="34" t="s">
        <v>6</v>
      </c>
      <c r="F9" s="34" t="s">
        <v>1750</v>
      </c>
      <c r="G9" s="54">
        <v>1712884910</v>
      </c>
      <c r="H9" s="54" t="s">
        <v>229</v>
      </c>
      <c r="I9" s="54" t="s">
        <v>3514</v>
      </c>
      <c r="J9" s="34" t="s">
        <v>3515</v>
      </c>
      <c r="K9" s="50">
        <v>130000</v>
      </c>
      <c r="L9" s="43">
        <v>14520</v>
      </c>
      <c r="M9" s="44">
        <f t="shared" si="0"/>
        <v>0.11169230769230769</v>
      </c>
      <c r="N9" s="49">
        <f>ROUND(L9/Summary!$C$3*Summary!$C$2,0)</f>
        <v>45012</v>
      </c>
      <c r="O9" s="44">
        <f t="shared" si="1"/>
        <v>0.34624615384615387</v>
      </c>
      <c r="P9" s="78">
        <v>10</v>
      </c>
      <c r="Q9" s="34">
        <v>0</v>
      </c>
      <c r="R9" s="35">
        <f t="shared" si="2"/>
        <v>0</v>
      </c>
      <c r="S9" s="49">
        <f>ROUND(Q9/Summary!$C$3*Summary!$C$2,0)</f>
        <v>0</v>
      </c>
      <c r="T9" s="44">
        <f t="shared" si="3"/>
        <v>0</v>
      </c>
      <c r="U9" s="34">
        <v>0</v>
      </c>
      <c r="V9" s="34">
        <v>0</v>
      </c>
      <c r="W9" s="34">
        <v>0</v>
      </c>
      <c r="X9" s="34">
        <v>0</v>
      </c>
    </row>
    <row r="10" spans="1:24" hidden="1">
      <c r="A10" s="34" t="s">
        <v>1739</v>
      </c>
      <c r="B10" s="34" t="s">
        <v>1740</v>
      </c>
      <c r="C10" s="34" t="s">
        <v>46</v>
      </c>
      <c r="D10" s="34" t="s">
        <v>6</v>
      </c>
      <c r="E10" s="34" t="s">
        <v>6</v>
      </c>
      <c r="F10" s="34" t="s">
        <v>1741</v>
      </c>
      <c r="G10" s="54">
        <v>1724700600</v>
      </c>
      <c r="H10" s="54" t="s">
        <v>229</v>
      </c>
      <c r="I10" s="54" t="s">
        <v>3514</v>
      </c>
      <c r="J10" s="34" t="s">
        <v>3419</v>
      </c>
      <c r="K10" s="50">
        <v>130000</v>
      </c>
      <c r="L10" s="43">
        <v>62590</v>
      </c>
      <c r="M10" s="44">
        <f t="shared" ref="M10" si="8">L10/K10</f>
        <v>0.48146153846153844</v>
      </c>
      <c r="N10" s="49">
        <f>ROUND(L10/Summary!$C$3*Summary!$C$2,0)</f>
        <v>194029</v>
      </c>
      <c r="O10" s="44">
        <f t="shared" ref="O10" si="9">N10/K10</f>
        <v>1.4925307692307692</v>
      </c>
      <c r="P10" s="78">
        <v>10</v>
      </c>
      <c r="Q10" s="34">
        <v>3</v>
      </c>
      <c r="R10" s="35">
        <f t="shared" ref="R10" si="10">Q10/P10</f>
        <v>0.3</v>
      </c>
      <c r="S10" s="49">
        <f>ROUND(Q10/Summary!$C$3*Summary!$C$2,0)</f>
        <v>9</v>
      </c>
      <c r="T10" s="44">
        <f t="shared" ref="T10" si="11">S10/P10</f>
        <v>0.9</v>
      </c>
      <c r="U10" s="34">
        <v>1</v>
      </c>
      <c r="V10" s="34">
        <v>1</v>
      </c>
      <c r="W10" s="34">
        <v>0</v>
      </c>
      <c r="X10" s="34">
        <v>0</v>
      </c>
    </row>
    <row r="11" spans="1:24" hidden="1">
      <c r="A11" s="34" t="s">
        <v>1778</v>
      </c>
      <c r="B11" s="34" t="s">
        <v>1779</v>
      </c>
      <c r="C11" s="34" t="s">
        <v>46</v>
      </c>
      <c r="D11" s="34" t="s">
        <v>6</v>
      </c>
      <c r="E11" s="34" t="s">
        <v>6</v>
      </c>
      <c r="F11" s="34" t="s">
        <v>1780</v>
      </c>
      <c r="G11" s="54">
        <v>1749980194</v>
      </c>
      <c r="H11" s="54" t="s">
        <v>229</v>
      </c>
      <c r="I11" s="54" t="s">
        <v>3514</v>
      </c>
      <c r="J11" s="34" t="s">
        <v>3421</v>
      </c>
      <c r="K11" s="50">
        <v>130000</v>
      </c>
      <c r="L11" s="43">
        <v>4740</v>
      </c>
      <c r="M11" s="44">
        <f t="shared" si="0"/>
        <v>3.6461538461538462E-2</v>
      </c>
      <c r="N11" s="49">
        <f>ROUND(L11/Summary!$C$3*Summary!$C$2,0)</f>
        <v>14694</v>
      </c>
      <c r="O11" s="44">
        <f t="shared" si="1"/>
        <v>0.11303076923076923</v>
      </c>
      <c r="P11" s="78">
        <v>10</v>
      </c>
      <c r="Q11" s="34">
        <v>0</v>
      </c>
      <c r="R11" s="35">
        <f t="shared" si="2"/>
        <v>0</v>
      </c>
      <c r="S11" s="49">
        <f>ROUND(Q11/Summary!$C$3*Summary!$C$2,0)</f>
        <v>0</v>
      </c>
      <c r="T11" s="44">
        <f t="shared" si="3"/>
        <v>0</v>
      </c>
      <c r="U11" s="34">
        <v>0</v>
      </c>
      <c r="V11" s="34">
        <v>0</v>
      </c>
      <c r="W11" s="34">
        <v>0</v>
      </c>
      <c r="X11" s="34">
        <v>0</v>
      </c>
    </row>
    <row r="12" spans="1:24" hidden="1">
      <c r="A12" s="34" t="s">
        <v>1719</v>
      </c>
      <c r="B12" s="34" t="s">
        <v>1720</v>
      </c>
      <c r="C12" s="34" t="s">
        <v>46</v>
      </c>
      <c r="D12" s="34" t="s">
        <v>6</v>
      </c>
      <c r="E12" s="34" t="s">
        <v>6</v>
      </c>
      <c r="F12" s="34" t="s">
        <v>1721</v>
      </c>
      <c r="G12" s="54">
        <v>1717585139</v>
      </c>
      <c r="H12" s="54" t="s">
        <v>229</v>
      </c>
      <c r="I12" s="54" t="s">
        <v>3514</v>
      </c>
      <c r="J12" s="34" t="s">
        <v>3421</v>
      </c>
      <c r="K12" s="50">
        <v>130000</v>
      </c>
      <c r="L12" s="43">
        <v>21220</v>
      </c>
      <c r="M12" s="44">
        <f t="shared" ref="M12" si="12">L12/K12</f>
        <v>0.16323076923076923</v>
      </c>
      <c r="N12" s="49">
        <f>ROUND(L12/Summary!$C$3*Summary!$C$2,0)</f>
        <v>65782</v>
      </c>
      <c r="O12" s="44">
        <f t="shared" ref="O12" si="13">N12/K12</f>
        <v>0.50601538461538464</v>
      </c>
      <c r="P12" s="78">
        <v>10</v>
      </c>
      <c r="Q12" s="34">
        <v>1</v>
      </c>
      <c r="R12" s="35">
        <f t="shared" ref="R12" si="14">Q12/P12</f>
        <v>0.1</v>
      </c>
      <c r="S12" s="49">
        <f>ROUND(Q12/Summary!$C$3*Summary!$C$2,0)</f>
        <v>3</v>
      </c>
      <c r="T12" s="44">
        <f t="shared" ref="T12" si="15">S12/P12</f>
        <v>0.3</v>
      </c>
      <c r="U12" s="34">
        <v>0</v>
      </c>
      <c r="V12" s="34">
        <v>0</v>
      </c>
      <c r="W12" s="34">
        <v>0</v>
      </c>
      <c r="X12" s="34">
        <v>0</v>
      </c>
    </row>
    <row r="13" spans="1:24" hidden="1">
      <c r="A13" s="34" t="s">
        <v>1634</v>
      </c>
      <c r="B13" s="34" t="s">
        <v>52</v>
      </c>
      <c r="C13" s="34" t="s">
        <v>46</v>
      </c>
      <c r="D13" s="34" t="s">
        <v>6</v>
      </c>
      <c r="E13" s="34" t="s">
        <v>6</v>
      </c>
      <c r="F13" s="34" t="s">
        <v>1635</v>
      </c>
      <c r="G13" s="54">
        <v>1718686042</v>
      </c>
      <c r="H13" s="54" t="s">
        <v>229</v>
      </c>
      <c r="I13" s="54" t="s">
        <v>3514</v>
      </c>
      <c r="J13" s="34" t="s">
        <v>3419</v>
      </c>
      <c r="K13" s="50">
        <v>130000</v>
      </c>
      <c r="L13" s="43">
        <v>20860</v>
      </c>
      <c r="M13" s="44">
        <f t="shared" si="0"/>
        <v>0.16046153846153846</v>
      </c>
      <c r="N13" s="49">
        <f>ROUND(L13/Summary!$C$3*Summary!$C$2,0)</f>
        <v>64666</v>
      </c>
      <c r="O13" s="44">
        <f t="shared" si="1"/>
        <v>0.49743076923076923</v>
      </c>
      <c r="P13" s="78">
        <v>10</v>
      </c>
      <c r="Q13" s="34">
        <v>0</v>
      </c>
      <c r="R13" s="35">
        <f t="shared" si="2"/>
        <v>0</v>
      </c>
      <c r="S13" s="49">
        <f>ROUND(Q13/Summary!$C$3*Summary!$C$2,0)</f>
        <v>0</v>
      </c>
      <c r="T13" s="44">
        <f t="shared" si="3"/>
        <v>0</v>
      </c>
      <c r="U13" s="34">
        <v>0</v>
      </c>
      <c r="V13" s="34">
        <v>0</v>
      </c>
      <c r="W13" s="34">
        <v>0</v>
      </c>
      <c r="X13" s="34">
        <v>0</v>
      </c>
    </row>
    <row r="14" spans="1:24" hidden="1">
      <c r="A14" s="34" t="s">
        <v>1516</v>
      </c>
      <c r="B14" s="34" t="s">
        <v>1517</v>
      </c>
      <c r="C14" s="34" t="s">
        <v>141</v>
      </c>
      <c r="D14" s="34" t="s">
        <v>6</v>
      </c>
      <c r="E14" s="34" t="s">
        <v>6</v>
      </c>
      <c r="F14" s="34" t="s">
        <v>1518</v>
      </c>
      <c r="G14" s="54">
        <v>1726990696</v>
      </c>
      <c r="H14" s="54" t="s">
        <v>229</v>
      </c>
      <c r="I14" s="54" t="s">
        <v>3514</v>
      </c>
      <c r="J14" s="34" t="s">
        <v>3421</v>
      </c>
      <c r="K14" s="50">
        <v>130000</v>
      </c>
      <c r="L14" s="43">
        <v>79090</v>
      </c>
      <c r="M14" s="44">
        <f t="shared" si="0"/>
        <v>0.60838461538461541</v>
      </c>
      <c r="N14" s="49">
        <f>ROUND(L14/Summary!$C$3*Summary!$C$2,0)</f>
        <v>245179</v>
      </c>
      <c r="O14" s="44">
        <f t="shared" si="1"/>
        <v>1.8859923076923077</v>
      </c>
      <c r="P14" s="78">
        <v>10</v>
      </c>
      <c r="Q14" s="34">
        <v>1</v>
      </c>
      <c r="R14" s="35">
        <f t="shared" si="2"/>
        <v>0.1</v>
      </c>
      <c r="S14" s="49">
        <f>ROUND(Q14/Summary!$C$3*Summary!$C$2,0)</f>
        <v>3</v>
      </c>
      <c r="T14" s="44">
        <f t="shared" si="3"/>
        <v>0.3</v>
      </c>
      <c r="U14" s="34">
        <v>1</v>
      </c>
      <c r="V14" s="34">
        <v>0</v>
      </c>
      <c r="W14" s="34">
        <v>0</v>
      </c>
      <c r="X14" s="34">
        <v>0</v>
      </c>
    </row>
    <row r="15" spans="1:24" hidden="1">
      <c r="A15" s="34" t="s">
        <v>1591</v>
      </c>
      <c r="B15" s="34" t="s">
        <v>1592</v>
      </c>
      <c r="C15" s="34" t="s">
        <v>141</v>
      </c>
      <c r="D15" s="34" t="s">
        <v>6</v>
      </c>
      <c r="E15" s="34" t="s">
        <v>6</v>
      </c>
      <c r="F15" s="34" t="s">
        <v>1593</v>
      </c>
      <c r="G15" s="54">
        <v>1970456831</v>
      </c>
      <c r="H15" s="54" t="s">
        <v>229</v>
      </c>
      <c r="I15" s="54" t="s">
        <v>3514</v>
      </c>
      <c r="J15" s="34" t="s">
        <v>3419</v>
      </c>
      <c r="K15" s="50">
        <v>246758</v>
      </c>
      <c r="L15" s="43">
        <v>48080</v>
      </c>
      <c r="M15" s="44">
        <f t="shared" si="0"/>
        <v>0.19484677295163683</v>
      </c>
      <c r="N15" s="49">
        <f>ROUND(L15/Summary!$C$3*Summary!$C$2,0)</f>
        <v>149048</v>
      </c>
      <c r="O15" s="44">
        <f t="shared" si="1"/>
        <v>0.60402499615007421</v>
      </c>
      <c r="P15" s="78">
        <v>10</v>
      </c>
      <c r="Q15" s="34">
        <v>4</v>
      </c>
      <c r="R15" s="35">
        <f t="shared" si="2"/>
        <v>0.4</v>
      </c>
      <c r="S15" s="49">
        <f>ROUND(Q15/Summary!$C$3*Summary!$C$2,0)</f>
        <v>12</v>
      </c>
      <c r="T15" s="44">
        <f t="shared" si="3"/>
        <v>1.2</v>
      </c>
      <c r="U15" s="34">
        <v>0</v>
      </c>
      <c r="V15" s="34">
        <v>0</v>
      </c>
      <c r="W15" s="34">
        <v>0</v>
      </c>
      <c r="X15" s="34">
        <v>0</v>
      </c>
    </row>
    <row r="16" spans="1:24">
      <c r="A16" s="34" t="s">
        <v>1686</v>
      </c>
      <c r="B16" s="34" t="s">
        <v>1687</v>
      </c>
      <c r="C16" s="34" t="s">
        <v>141</v>
      </c>
      <c r="D16" s="34" t="s">
        <v>6</v>
      </c>
      <c r="E16" s="34" t="s">
        <v>6</v>
      </c>
      <c r="F16" s="34" t="s">
        <v>1688</v>
      </c>
      <c r="G16" s="54">
        <v>1723406685</v>
      </c>
      <c r="H16" s="54" t="s">
        <v>229</v>
      </c>
      <c r="I16" s="54" t="s">
        <v>3514</v>
      </c>
      <c r="J16" s="34" t="s">
        <v>3421</v>
      </c>
      <c r="K16" s="50">
        <v>130000</v>
      </c>
      <c r="L16" s="43">
        <v>0</v>
      </c>
      <c r="M16" s="44">
        <f t="shared" si="0"/>
        <v>0</v>
      </c>
      <c r="N16" s="49">
        <f>ROUND(L16/Summary!$C$3*Summary!$C$2,0)</f>
        <v>0</v>
      </c>
      <c r="O16" s="44">
        <f t="shared" si="1"/>
        <v>0</v>
      </c>
      <c r="P16" s="78">
        <v>10</v>
      </c>
      <c r="Q16" s="34">
        <v>0</v>
      </c>
      <c r="R16" s="35">
        <f t="shared" si="2"/>
        <v>0</v>
      </c>
      <c r="S16" s="49">
        <f>ROUND(Q16/Summary!$C$3*Summary!$C$2,0)</f>
        <v>0</v>
      </c>
      <c r="T16" s="44">
        <f t="shared" si="3"/>
        <v>0</v>
      </c>
      <c r="U16" s="34">
        <v>0</v>
      </c>
      <c r="V16" s="34">
        <v>0</v>
      </c>
      <c r="W16" s="34">
        <v>0</v>
      </c>
      <c r="X16" s="34">
        <v>0</v>
      </c>
    </row>
    <row r="17" spans="1:24" hidden="1">
      <c r="A17" s="34" t="s">
        <v>1799</v>
      </c>
      <c r="B17" s="34" t="s">
        <v>1800</v>
      </c>
      <c r="C17" s="34" t="s">
        <v>141</v>
      </c>
      <c r="D17" s="34" t="s">
        <v>6</v>
      </c>
      <c r="E17" s="34" t="s">
        <v>6</v>
      </c>
      <c r="F17" s="34" t="s">
        <v>1801</v>
      </c>
      <c r="G17" s="54">
        <v>1719570688</v>
      </c>
      <c r="H17" s="54" t="s">
        <v>229</v>
      </c>
      <c r="I17" s="54" t="s">
        <v>3514</v>
      </c>
      <c r="J17" s="34" t="s">
        <v>3421</v>
      </c>
      <c r="K17" s="50">
        <v>130000</v>
      </c>
      <c r="L17" s="43">
        <v>20360</v>
      </c>
      <c r="M17" s="44">
        <f t="shared" si="0"/>
        <v>0.15661538461538463</v>
      </c>
      <c r="N17" s="49">
        <f>ROUND(L17/Summary!$C$3*Summary!$C$2,0)</f>
        <v>63116</v>
      </c>
      <c r="O17" s="44">
        <f t="shared" si="1"/>
        <v>0.48550769230769231</v>
      </c>
      <c r="P17" s="78">
        <v>10</v>
      </c>
      <c r="Q17" s="34">
        <v>0</v>
      </c>
      <c r="R17" s="35">
        <f t="shared" si="2"/>
        <v>0</v>
      </c>
      <c r="S17" s="49">
        <f>ROUND(Q17/Summary!$C$3*Summary!$C$2,0)</f>
        <v>0</v>
      </c>
      <c r="T17" s="44">
        <f t="shared" si="3"/>
        <v>0</v>
      </c>
      <c r="U17" s="34">
        <v>1</v>
      </c>
      <c r="V17" s="34">
        <v>0</v>
      </c>
      <c r="W17" s="34">
        <v>0</v>
      </c>
      <c r="X17" s="34">
        <v>0</v>
      </c>
    </row>
    <row r="18" spans="1:24" hidden="1">
      <c r="A18" s="34" t="s">
        <v>1784</v>
      </c>
      <c r="B18" s="34" t="s">
        <v>1785</v>
      </c>
      <c r="C18" s="34" t="s">
        <v>141</v>
      </c>
      <c r="D18" s="34" t="s">
        <v>6</v>
      </c>
      <c r="E18" s="34" t="s">
        <v>6</v>
      </c>
      <c r="F18" s="34" t="s">
        <v>1786</v>
      </c>
      <c r="G18" s="54">
        <v>1796379008</v>
      </c>
      <c r="H18" s="54" t="s">
        <v>229</v>
      </c>
      <c r="I18" s="54" t="s">
        <v>3514</v>
      </c>
      <c r="J18" s="34" t="s">
        <v>3421</v>
      </c>
      <c r="K18" s="50">
        <v>130000</v>
      </c>
      <c r="L18" s="43">
        <v>7990</v>
      </c>
      <c r="M18" s="44">
        <f t="shared" si="0"/>
        <v>6.1461538461538463E-2</v>
      </c>
      <c r="N18" s="49">
        <f>ROUND(L18/Summary!$C$3*Summary!$C$2,0)</f>
        <v>24769</v>
      </c>
      <c r="O18" s="44">
        <f t="shared" si="1"/>
        <v>0.19053076923076923</v>
      </c>
      <c r="P18" s="78">
        <v>10</v>
      </c>
      <c r="Q18" s="34">
        <v>1</v>
      </c>
      <c r="R18" s="35">
        <f t="shared" si="2"/>
        <v>0.1</v>
      </c>
      <c r="S18" s="49">
        <f>ROUND(Q18/Summary!$C$3*Summary!$C$2,0)</f>
        <v>3</v>
      </c>
      <c r="T18" s="44">
        <f t="shared" si="3"/>
        <v>0.3</v>
      </c>
      <c r="U18" s="34">
        <v>0</v>
      </c>
      <c r="V18" s="34">
        <v>0</v>
      </c>
      <c r="W18" s="34">
        <v>0</v>
      </c>
      <c r="X18" s="34">
        <v>0</v>
      </c>
    </row>
    <row r="19" spans="1:24" hidden="1">
      <c r="A19" s="34" t="s">
        <v>1641</v>
      </c>
      <c r="B19" s="34" t="s">
        <v>1642</v>
      </c>
      <c r="C19" s="34" t="s">
        <v>141</v>
      </c>
      <c r="D19" s="34" t="s">
        <v>6</v>
      </c>
      <c r="E19" s="34" t="s">
        <v>6</v>
      </c>
      <c r="F19" s="34" t="s">
        <v>1643</v>
      </c>
      <c r="G19" s="54">
        <v>1711014496</v>
      </c>
      <c r="H19" s="54" t="s">
        <v>229</v>
      </c>
      <c r="I19" s="54" t="s">
        <v>3514</v>
      </c>
      <c r="J19" s="34" t="s">
        <v>3419</v>
      </c>
      <c r="K19" s="50">
        <v>205827</v>
      </c>
      <c r="L19" s="43">
        <v>60230</v>
      </c>
      <c r="M19" s="44">
        <f t="shared" si="0"/>
        <v>0.29262438844272132</v>
      </c>
      <c r="N19" s="49">
        <f>ROUND(L19/Summary!$C$3*Summary!$C$2,0)</f>
        <v>186713</v>
      </c>
      <c r="O19" s="44">
        <f t="shared" si="1"/>
        <v>0.90713560417243611</v>
      </c>
      <c r="P19" s="78">
        <v>10</v>
      </c>
      <c r="Q19" s="34">
        <v>1</v>
      </c>
      <c r="R19" s="35">
        <f t="shared" si="2"/>
        <v>0.1</v>
      </c>
      <c r="S19" s="49">
        <f>ROUND(Q19/Summary!$C$3*Summary!$C$2,0)</f>
        <v>3</v>
      </c>
      <c r="T19" s="44">
        <f t="shared" si="3"/>
        <v>0.3</v>
      </c>
      <c r="U19" s="34">
        <v>2</v>
      </c>
      <c r="V19" s="34">
        <v>0</v>
      </c>
      <c r="W19" s="34">
        <v>0</v>
      </c>
      <c r="X19" s="34">
        <v>0</v>
      </c>
    </row>
    <row r="20" spans="1:24" hidden="1">
      <c r="A20" s="34" t="s">
        <v>1538</v>
      </c>
      <c r="B20" s="34" t="s">
        <v>1539</v>
      </c>
      <c r="C20" s="34" t="s">
        <v>141</v>
      </c>
      <c r="D20" s="34" t="s">
        <v>6</v>
      </c>
      <c r="E20" s="34" t="s">
        <v>6</v>
      </c>
      <c r="F20" s="34" t="s">
        <v>1540</v>
      </c>
      <c r="G20" s="54">
        <v>1712822293</v>
      </c>
      <c r="H20" s="54" t="s">
        <v>229</v>
      </c>
      <c r="I20" s="54" t="s">
        <v>3514</v>
      </c>
      <c r="J20" s="34" t="s">
        <v>3421</v>
      </c>
      <c r="K20" s="50">
        <v>130000</v>
      </c>
      <c r="L20" s="43">
        <v>37840</v>
      </c>
      <c r="M20" s="44">
        <f t="shared" si="0"/>
        <v>0.29107692307692307</v>
      </c>
      <c r="N20" s="49">
        <f>ROUND(L20/Summary!$C$3*Summary!$C$2,0)</f>
        <v>117304</v>
      </c>
      <c r="O20" s="44">
        <f t="shared" si="1"/>
        <v>0.90233846153846153</v>
      </c>
      <c r="P20" s="78">
        <v>10</v>
      </c>
      <c r="Q20" s="34">
        <v>3</v>
      </c>
      <c r="R20" s="35">
        <f t="shared" si="2"/>
        <v>0.3</v>
      </c>
      <c r="S20" s="49">
        <f>ROUND(Q20/Summary!$C$3*Summary!$C$2,0)</f>
        <v>9</v>
      </c>
      <c r="T20" s="44">
        <f t="shared" si="3"/>
        <v>0.9</v>
      </c>
      <c r="U20" s="34">
        <v>1</v>
      </c>
      <c r="V20" s="34">
        <v>2</v>
      </c>
      <c r="W20" s="34">
        <v>0</v>
      </c>
      <c r="X20" s="34">
        <v>0</v>
      </c>
    </row>
    <row r="21" spans="1:24" hidden="1">
      <c r="A21" s="34" t="s">
        <v>1523</v>
      </c>
      <c r="B21" s="34" t="s">
        <v>1524</v>
      </c>
      <c r="C21" s="34" t="s">
        <v>141</v>
      </c>
      <c r="D21" s="34" t="s">
        <v>6</v>
      </c>
      <c r="E21" s="34" t="s">
        <v>6</v>
      </c>
      <c r="F21" s="34" t="s">
        <v>1525</v>
      </c>
      <c r="G21" s="54">
        <v>1727247282</v>
      </c>
      <c r="H21" s="54" t="s">
        <v>229</v>
      </c>
      <c r="I21" s="54" t="s">
        <v>3514</v>
      </c>
      <c r="J21" s="34" t="s">
        <v>3421</v>
      </c>
      <c r="K21" s="50">
        <v>130000</v>
      </c>
      <c r="L21" s="43">
        <v>36740</v>
      </c>
      <c r="M21" s="44">
        <f t="shared" si="0"/>
        <v>0.2826153846153846</v>
      </c>
      <c r="N21" s="49">
        <f>ROUND(L21/Summary!$C$3*Summary!$C$2,0)</f>
        <v>113894</v>
      </c>
      <c r="O21" s="44">
        <f t="shared" si="1"/>
        <v>0.87610769230769225</v>
      </c>
      <c r="P21" s="78">
        <v>10</v>
      </c>
      <c r="Q21" s="34">
        <v>2</v>
      </c>
      <c r="R21" s="35">
        <f t="shared" si="2"/>
        <v>0.2</v>
      </c>
      <c r="S21" s="49">
        <f>ROUND(Q21/Summary!$C$3*Summary!$C$2,0)</f>
        <v>6</v>
      </c>
      <c r="T21" s="44">
        <f t="shared" si="3"/>
        <v>0.6</v>
      </c>
      <c r="U21" s="34">
        <v>0</v>
      </c>
      <c r="V21" s="34">
        <v>0</v>
      </c>
      <c r="W21" s="34">
        <v>0</v>
      </c>
      <c r="X21" s="34">
        <v>0</v>
      </c>
    </row>
    <row r="22" spans="1:24">
      <c r="A22" s="34" t="s">
        <v>1533</v>
      </c>
      <c r="B22" s="34" t="s">
        <v>1534</v>
      </c>
      <c r="C22" s="34" t="s">
        <v>1521</v>
      </c>
      <c r="D22" s="34" t="s">
        <v>6</v>
      </c>
      <c r="E22" s="34" t="s">
        <v>6</v>
      </c>
      <c r="F22" s="34" t="s">
        <v>520</v>
      </c>
      <c r="G22" s="54">
        <v>1711974945</v>
      </c>
      <c r="H22" s="54" t="s">
        <v>229</v>
      </c>
      <c r="I22" s="54" t="s">
        <v>3514</v>
      </c>
      <c r="J22" s="34" t="s">
        <v>3421</v>
      </c>
      <c r="K22" s="50">
        <v>130000</v>
      </c>
      <c r="L22" s="43">
        <v>0</v>
      </c>
      <c r="M22" s="44">
        <f t="shared" si="0"/>
        <v>0</v>
      </c>
      <c r="N22" s="49">
        <f>ROUND(L22/Summary!$C$3*Summary!$C$2,0)</f>
        <v>0</v>
      </c>
      <c r="O22" s="44">
        <f t="shared" si="1"/>
        <v>0</v>
      </c>
      <c r="P22" s="78">
        <v>10</v>
      </c>
      <c r="Q22" s="34">
        <v>0</v>
      </c>
      <c r="R22" s="35">
        <f t="shared" si="2"/>
        <v>0</v>
      </c>
      <c r="S22" s="49">
        <f>ROUND(Q22/Summary!$C$3*Summary!$C$2,0)</f>
        <v>0</v>
      </c>
      <c r="T22" s="44">
        <f t="shared" si="3"/>
        <v>0</v>
      </c>
      <c r="U22" s="34">
        <v>0</v>
      </c>
      <c r="V22" s="34">
        <v>0</v>
      </c>
      <c r="W22" s="34">
        <v>0</v>
      </c>
      <c r="X22" s="34">
        <v>0</v>
      </c>
    </row>
    <row r="23" spans="1:24" hidden="1">
      <c r="A23" s="34" t="s">
        <v>1586</v>
      </c>
      <c r="B23" s="34" t="s">
        <v>1587</v>
      </c>
      <c r="C23" s="34" t="s">
        <v>1521</v>
      </c>
      <c r="D23" s="34" t="s">
        <v>6</v>
      </c>
      <c r="E23" s="34" t="s">
        <v>6</v>
      </c>
      <c r="F23" s="34" t="s">
        <v>1113</v>
      </c>
      <c r="G23" s="54">
        <v>1712001077</v>
      </c>
      <c r="H23" s="54" t="s">
        <v>229</v>
      </c>
      <c r="I23" s="54" t="s">
        <v>3514</v>
      </c>
      <c r="J23" s="34" t="s">
        <v>3421</v>
      </c>
      <c r="K23" s="50">
        <v>130000</v>
      </c>
      <c r="L23" s="43">
        <v>27509</v>
      </c>
      <c r="M23" s="44">
        <f t="shared" si="0"/>
        <v>0.2116076923076923</v>
      </c>
      <c r="N23" s="49">
        <f>ROUND(L23/Summary!$C$3*Summary!$C$2,0)</f>
        <v>85278</v>
      </c>
      <c r="O23" s="44">
        <f t="shared" si="1"/>
        <v>0.65598461538461539</v>
      </c>
      <c r="P23" s="78">
        <v>10</v>
      </c>
      <c r="Q23" s="34">
        <v>0</v>
      </c>
      <c r="R23" s="35">
        <f t="shared" si="2"/>
        <v>0</v>
      </c>
      <c r="S23" s="49">
        <f>ROUND(Q23/Summary!$C$3*Summary!$C$2,0)</f>
        <v>0</v>
      </c>
      <c r="T23" s="44">
        <f t="shared" si="3"/>
        <v>0</v>
      </c>
      <c r="U23" s="34">
        <v>1</v>
      </c>
      <c r="V23" s="34">
        <v>0</v>
      </c>
      <c r="W23" s="34">
        <v>0</v>
      </c>
      <c r="X23" s="34">
        <v>0</v>
      </c>
    </row>
    <row r="24" spans="1:24" hidden="1">
      <c r="A24" s="34" t="s">
        <v>1519</v>
      </c>
      <c r="B24" s="34" t="s">
        <v>1520</v>
      </c>
      <c r="C24" s="34" t="s">
        <v>1521</v>
      </c>
      <c r="D24" s="34" t="s">
        <v>6</v>
      </c>
      <c r="E24" s="34" t="s">
        <v>6</v>
      </c>
      <c r="F24" s="34" t="s">
        <v>1522</v>
      </c>
      <c r="G24" s="54">
        <v>1710624625</v>
      </c>
      <c r="H24" s="54" t="s">
        <v>229</v>
      </c>
      <c r="I24" s="54" t="s">
        <v>3514</v>
      </c>
      <c r="J24" s="34" t="s">
        <v>3421</v>
      </c>
      <c r="K24" s="50">
        <v>223035</v>
      </c>
      <c r="L24" s="43">
        <v>13430</v>
      </c>
      <c r="M24" s="44">
        <f t="shared" si="0"/>
        <v>6.0214764498845476E-2</v>
      </c>
      <c r="N24" s="49">
        <f>ROUND(L24/Summary!$C$3*Summary!$C$2,0)</f>
        <v>41633</v>
      </c>
      <c r="O24" s="44">
        <f t="shared" si="1"/>
        <v>0.18666576994642098</v>
      </c>
      <c r="P24" s="78">
        <v>10</v>
      </c>
      <c r="Q24" s="34">
        <v>1</v>
      </c>
      <c r="R24" s="35">
        <f t="shared" si="2"/>
        <v>0.1</v>
      </c>
      <c r="S24" s="49">
        <f>ROUND(Q24/Summary!$C$3*Summary!$C$2,0)</f>
        <v>3</v>
      </c>
      <c r="T24" s="44">
        <f t="shared" si="3"/>
        <v>0.3</v>
      </c>
      <c r="U24" s="34">
        <v>0</v>
      </c>
      <c r="V24" s="34">
        <v>0</v>
      </c>
      <c r="W24" s="34">
        <v>1</v>
      </c>
      <c r="X24" s="34">
        <v>0</v>
      </c>
    </row>
    <row r="25" spans="1:24" hidden="1">
      <c r="A25" s="34" t="s">
        <v>1617</v>
      </c>
      <c r="B25" s="34" t="s">
        <v>1618</v>
      </c>
      <c r="C25" s="34" t="s">
        <v>1521</v>
      </c>
      <c r="D25" s="34" t="s">
        <v>6</v>
      </c>
      <c r="E25" s="34" t="s">
        <v>6</v>
      </c>
      <c r="F25" s="34" t="s">
        <v>1619</v>
      </c>
      <c r="G25" s="54">
        <v>1711200213</v>
      </c>
      <c r="H25" s="54" t="s">
        <v>229</v>
      </c>
      <c r="I25" s="54" t="s">
        <v>3514</v>
      </c>
      <c r="J25" s="34" t="s">
        <v>3419</v>
      </c>
      <c r="K25" s="50">
        <v>130000</v>
      </c>
      <c r="L25" s="43">
        <v>4990</v>
      </c>
      <c r="M25" s="44">
        <f t="shared" si="0"/>
        <v>3.8384615384615385E-2</v>
      </c>
      <c r="N25" s="49">
        <f>ROUND(L25/Summary!$C$3*Summary!$C$2,0)</f>
        <v>15469</v>
      </c>
      <c r="O25" s="44">
        <f t="shared" si="1"/>
        <v>0.11899230769230769</v>
      </c>
      <c r="P25" s="78">
        <v>10</v>
      </c>
      <c r="Q25" s="34">
        <v>0</v>
      </c>
      <c r="R25" s="35">
        <f t="shared" si="2"/>
        <v>0</v>
      </c>
      <c r="S25" s="49">
        <f>ROUND(Q25/Summary!$C$3*Summary!$C$2,0)</f>
        <v>0</v>
      </c>
      <c r="T25" s="44">
        <f t="shared" si="3"/>
        <v>0</v>
      </c>
      <c r="U25" s="34">
        <v>0</v>
      </c>
      <c r="V25" s="34">
        <v>0</v>
      </c>
      <c r="W25" s="34">
        <v>0</v>
      </c>
      <c r="X25" s="34">
        <v>0</v>
      </c>
    </row>
    <row r="26" spans="1:24" hidden="1">
      <c r="A26" s="34" t="s">
        <v>1659</v>
      </c>
      <c r="B26" s="34" t="s">
        <v>1660</v>
      </c>
      <c r="C26" s="34" t="s">
        <v>65</v>
      </c>
      <c r="D26" s="34" t="s">
        <v>66</v>
      </c>
      <c r="E26" s="34" t="s">
        <v>6</v>
      </c>
      <c r="F26" s="34" t="s">
        <v>1442</v>
      </c>
      <c r="G26" s="54">
        <v>1731419314</v>
      </c>
      <c r="H26" s="54" t="s">
        <v>229</v>
      </c>
      <c r="I26" s="54" t="s">
        <v>3514</v>
      </c>
      <c r="J26" s="34" t="s">
        <v>3421</v>
      </c>
      <c r="K26" s="50">
        <v>130000</v>
      </c>
      <c r="L26" s="43">
        <v>25510</v>
      </c>
      <c r="M26" s="44">
        <f t="shared" si="0"/>
        <v>0.19623076923076924</v>
      </c>
      <c r="N26" s="49">
        <f>ROUND(L26/Summary!$C$3*Summary!$C$2,0)</f>
        <v>79081</v>
      </c>
      <c r="O26" s="44">
        <f t="shared" si="1"/>
        <v>0.60831538461538459</v>
      </c>
      <c r="P26" s="78">
        <v>10</v>
      </c>
      <c r="Q26" s="34">
        <v>1</v>
      </c>
      <c r="R26" s="35">
        <f t="shared" si="2"/>
        <v>0.1</v>
      </c>
      <c r="S26" s="49">
        <f>ROUND(Q26/Summary!$C$3*Summary!$C$2,0)</f>
        <v>3</v>
      </c>
      <c r="T26" s="44">
        <f t="shared" si="3"/>
        <v>0.3</v>
      </c>
      <c r="U26" s="34">
        <v>0</v>
      </c>
      <c r="V26" s="34">
        <v>0</v>
      </c>
      <c r="W26" s="34">
        <v>0</v>
      </c>
      <c r="X26" s="34">
        <v>0</v>
      </c>
    </row>
    <row r="27" spans="1:24" hidden="1">
      <c r="A27" s="34" t="s">
        <v>1620</v>
      </c>
      <c r="B27" s="34" t="s">
        <v>1621</v>
      </c>
      <c r="C27" s="34" t="s">
        <v>65</v>
      </c>
      <c r="D27" s="34" t="s">
        <v>66</v>
      </c>
      <c r="E27" s="34" t="s">
        <v>6</v>
      </c>
      <c r="F27" s="34" t="s">
        <v>1622</v>
      </c>
      <c r="G27" s="54">
        <v>1770641897</v>
      </c>
      <c r="H27" s="54" t="s">
        <v>229</v>
      </c>
      <c r="I27" s="54" t="s">
        <v>3514</v>
      </c>
      <c r="J27" s="34" t="s">
        <v>3419</v>
      </c>
      <c r="K27" s="50">
        <v>130000</v>
      </c>
      <c r="L27" s="43">
        <v>59140</v>
      </c>
      <c r="M27" s="44">
        <f t="shared" si="0"/>
        <v>0.45492307692307693</v>
      </c>
      <c r="N27" s="49">
        <f>ROUND(L27/Summary!$C$3*Summary!$C$2,0)</f>
        <v>183334</v>
      </c>
      <c r="O27" s="44">
        <f t="shared" si="1"/>
        <v>1.4102615384615385</v>
      </c>
      <c r="P27" s="78">
        <v>10</v>
      </c>
      <c r="Q27" s="34">
        <v>2</v>
      </c>
      <c r="R27" s="35">
        <f t="shared" si="2"/>
        <v>0.2</v>
      </c>
      <c r="S27" s="49">
        <f>ROUND(Q27/Summary!$C$3*Summary!$C$2,0)</f>
        <v>6</v>
      </c>
      <c r="T27" s="44">
        <f t="shared" si="3"/>
        <v>0.6</v>
      </c>
      <c r="U27" s="34">
        <v>0</v>
      </c>
      <c r="V27" s="34">
        <v>0</v>
      </c>
      <c r="W27" s="34">
        <v>0</v>
      </c>
      <c r="X27" s="34">
        <v>0</v>
      </c>
    </row>
    <row r="28" spans="1:24" hidden="1">
      <c r="A28" s="34" t="s">
        <v>1764</v>
      </c>
      <c r="B28" s="34" t="s">
        <v>1765</v>
      </c>
      <c r="C28" s="34" t="s">
        <v>65</v>
      </c>
      <c r="D28" s="34" t="s">
        <v>66</v>
      </c>
      <c r="E28" s="34" t="s">
        <v>6</v>
      </c>
      <c r="F28" s="34" t="s">
        <v>1766</v>
      </c>
      <c r="G28" s="54">
        <v>1734329292</v>
      </c>
      <c r="H28" s="54" t="s">
        <v>229</v>
      </c>
      <c r="I28" s="54" t="s">
        <v>3514</v>
      </c>
      <c r="J28" s="34" t="s">
        <v>3419</v>
      </c>
      <c r="K28" s="50">
        <v>130000</v>
      </c>
      <c r="L28" s="43">
        <v>36580</v>
      </c>
      <c r="M28" s="44">
        <f t="shared" si="0"/>
        <v>0.2813846153846154</v>
      </c>
      <c r="N28" s="49">
        <f>ROUND(L28/Summary!$C$3*Summary!$C$2,0)</f>
        <v>113398</v>
      </c>
      <c r="O28" s="44">
        <f t="shared" si="1"/>
        <v>0.8722923076923077</v>
      </c>
      <c r="P28" s="78">
        <v>10</v>
      </c>
      <c r="Q28" s="34">
        <v>1</v>
      </c>
      <c r="R28" s="35">
        <f t="shared" si="2"/>
        <v>0.1</v>
      </c>
      <c r="S28" s="49">
        <f>ROUND(Q28/Summary!$C$3*Summary!$C$2,0)</f>
        <v>3</v>
      </c>
      <c r="T28" s="44">
        <f t="shared" si="3"/>
        <v>0.3</v>
      </c>
      <c r="U28" s="34">
        <v>1</v>
      </c>
      <c r="V28" s="34">
        <v>0</v>
      </c>
      <c r="W28" s="34">
        <v>0</v>
      </c>
      <c r="X28" s="34">
        <v>0</v>
      </c>
    </row>
    <row r="29" spans="1:24" hidden="1">
      <c r="A29" s="34" t="s">
        <v>1644</v>
      </c>
      <c r="B29" s="34" t="s">
        <v>1645</v>
      </c>
      <c r="C29" s="34" t="s">
        <v>65</v>
      </c>
      <c r="D29" s="34" t="s">
        <v>66</v>
      </c>
      <c r="E29" s="34" t="s">
        <v>6</v>
      </c>
      <c r="F29" s="34" t="s">
        <v>1646</v>
      </c>
      <c r="G29" s="54">
        <v>1756686113</v>
      </c>
      <c r="H29" s="54" t="s">
        <v>229</v>
      </c>
      <c r="I29" s="54" t="s">
        <v>3514</v>
      </c>
      <c r="J29" s="34" t="s">
        <v>3515</v>
      </c>
      <c r="K29" s="50">
        <v>130000</v>
      </c>
      <c r="L29" s="43">
        <v>19800</v>
      </c>
      <c r="M29" s="44">
        <f t="shared" si="0"/>
        <v>0.15230769230769231</v>
      </c>
      <c r="N29" s="49">
        <f>ROUND(L29/Summary!$C$3*Summary!$C$2,0)</f>
        <v>61380</v>
      </c>
      <c r="O29" s="44">
        <f t="shared" si="1"/>
        <v>0.47215384615384615</v>
      </c>
      <c r="P29" s="78">
        <v>10</v>
      </c>
      <c r="Q29" s="34">
        <v>0</v>
      </c>
      <c r="R29" s="35">
        <f t="shared" si="2"/>
        <v>0</v>
      </c>
      <c r="S29" s="49">
        <f>ROUND(Q29/Summary!$C$3*Summary!$C$2,0)</f>
        <v>0</v>
      </c>
      <c r="T29" s="44">
        <f t="shared" si="3"/>
        <v>0</v>
      </c>
      <c r="U29" s="34">
        <v>0</v>
      </c>
      <c r="V29" s="34">
        <v>0</v>
      </c>
      <c r="W29" s="34">
        <v>0</v>
      </c>
      <c r="X29" s="34">
        <v>0</v>
      </c>
    </row>
    <row r="30" spans="1:24" hidden="1">
      <c r="A30" s="34" t="s">
        <v>1507</v>
      </c>
      <c r="B30" s="34" t="s">
        <v>1508</v>
      </c>
      <c r="C30" s="34" t="s">
        <v>65</v>
      </c>
      <c r="D30" s="34" t="s">
        <v>66</v>
      </c>
      <c r="E30" s="34" t="s">
        <v>6</v>
      </c>
      <c r="F30" s="34" t="s">
        <v>770</v>
      </c>
      <c r="G30" s="54">
        <v>1712464674</v>
      </c>
      <c r="H30" s="54" t="s">
        <v>229</v>
      </c>
      <c r="I30" s="54" t="s">
        <v>3514</v>
      </c>
      <c r="J30" s="34" t="s">
        <v>3421</v>
      </c>
      <c r="K30" s="50">
        <v>130000</v>
      </c>
      <c r="L30" s="43">
        <v>15270</v>
      </c>
      <c r="M30" s="44">
        <f t="shared" si="0"/>
        <v>0.11746153846153846</v>
      </c>
      <c r="N30" s="49">
        <f>ROUND(L30/Summary!$C$3*Summary!$C$2,0)</f>
        <v>47337</v>
      </c>
      <c r="O30" s="44">
        <f t="shared" si="1"/>
        <v>0.36413076923076926</v>
      </c>
      <c r="P30" s="78">
        <v>10</v>
      </c>
      <c r="Q30" s="34">
        <v>0</v>
      </c>
      <c r="R30" s="35">
        <f t="shared" si="2"/>
        <v>0</v>
      </c>
      <c r="S30" s="49">
        <f>ROUND(Q30/Summary!$C$3*Summary!$C$2,0)</f>
        <v>0</v>
      </c>
      <c r="T30" s="44">
        <f t="shared" si="3"/>
        <v>0</v>
      </c>
      <c r="U30" s="34">
        <v>1</v>
      </c>
      <c r="V30" s="34">
        <v>0</v>
      </c>
      <c r="W30" s="34">
        <v>0</v>
      </c>
      <c r="X30" s="34">
        <v>0</v>
      </c>
    </row>
    <row r="31" spans="1:24" hidden="1">
      <c r="A31" s="34" t="s">
        <v>1698</v>
      </c>
      <c r="B31" s="34" t="s">
        <v>67</v>
      </c>
      <c r="C31" s="34" t="s">
        <v>65</v>
      </c>
      <c r="D31" s="34" t="s">
        <v>66</v>
      </c>
      <c r="E31" s="34" t="s">
        <v>6</v>
      </c>
      <c r="F31" s="34" t="s">
        <v>1699</v>
      </c>
      <c r="G31" s="54">
        <v>1717463736</v>
      </c>
      <c r="H31" s="54" t="s">
        <v>229</v>
      </c>
      <c r="I31" s="54" t="s">
        <v>3514</v>
      </c>
      <c r="J31" s="34" t="s">
        <v>3419</v>
      </c>
      <c r="K31" s="50">
        <v>130000</v>
      </c>
      <c r="L31" s="43">
        <v>61180</v>
      </c>
      <c r="M31" s="44">
        <f t="shared" si="0"/>
        <v>0.4706153846153846</v>
      </c>
      <c r="N31" s="49">
        <f>ROUND(L31/Summary!$C$3*Summary!$C$2,0)</f>
        <v>189658</v>
      </c>
      <c r="O31" s="44">
        <f t="shared" si="1"/>
        <v>1.4589076923076922</v>
      </c>
      <c r="P31" s="78">
        <v>10</v>
      </c>
      <c r="Q31" s="34">
        <v>1</v>
      </c>
      <c r="R31" s="35">
        <f t="shared" si="2"/>
        <v>0.1</v>
      </c>
      <c r="S31" s="49">
        <f>ROUND(Q31/Summary!$C$3*Summary!$C$2,0)</f>
        <v>3</v>
      </c>
      <c r="T31" s="44">
        <f t="shared" si="3"/>
        <v>0.3</v>
      </c>
      <c r="U31" s="34">
        <v>2</v>
      </c>
      <c r="V31" s="34">
        <v>0</v>
      </c>
      <c r="W31" s="34">
        <v>0</v>
      </c>
      <c r="X31" s="34">
        <v>0</v>
      </c>
    </row>
    <row r="32" spans="1:24" hidden="1">
      <c r="A32" s="34" t="s">
        <v>1606</v>
      </c>
      <c r="B32" s="34" t="s">
        <v>217</v>
      </c>
      <c r="C32" s="34" t="s">
        <v>65</v>
      </c>
      <c r="D32" s="34" t="s">
        <v>66</v>
      </c>
      <c r="E32" s="34" t="s">
        <v>6</v>
      </c>
      <c r="F32" s="34" t="s">
        <v>1607</v>
      </c>
      <c r="G32" s="54">
        <v>1718181705</v>
      </c>
      <c r="H32" s="54" t="s">
        <v>229</v>
      </c>
      <c r="I32" s="54" t="s">
        <v>3514</v>
      </c>
      <c r="J32" s="34" t="s">
        <v>3515</v>
      </c>
      <c r="K32" s="50">
        <v>130000</v>
      </c>
      <c r="L32" s="43">
        <v>14588</v>
      </c>
      <c r="M32" s="44">
        <f t="shared" si="0"/>
        <v>0.11221538461538462</v>
      </c>
      <c r="N32" s="49">
        <f>ROUND(L32/Summary!$C$3*Summary!$C$2,0)</f>
        <v>45223</v>
      </c>
      <c r="O32" s="44">
        <f t="shared" si="1"/>
        <v>0.34786923076923076</v>
      </c>
      <c r="P32" s="78">
        <v>10</v>
      </c>
      <c r="Q32" s="34">
        <v>0</v>
      </c>
      <c r="R32" s="35">
        <f t="shared" si="2"/>
        <v>0</v>
      </c>
      <c r="S32" s="49">
        <f>ROUND(Q32/Summary!$C$3*Summary!$C$2,0)</f>
        <v>0</v>
      </c>
      <c r="T32" s="44">
        <f t="shared" si="3"/>
        <v>0</v>
      </c>
      <c r="U32" s="34">
        <v>0</v>
      </c>
      <c r="V32" s="34">
        <v>0</v>
      </c>
      <c r="W32" s="34">
        <v>0</v>
      </c>
      <c r="X32" s="34">
        <v>0</v>
      </c>
    </row>
    <row r="33" spans="1:24" hidden="1">
      <c r="A33" s="34" t="s">
        <v>3516</v>
      </c>
      <c r="B33" s="34" t="s">
        <v>3517</v>
      </c>
      <c r="C33" s="34" t="s">
        <v>65</v>
      </c>
      <c r="D33" s="34" t="s">
        <v>66</v>
      </c>
      <c r="E33" s="34" t="s">
        <v>6</v>
      </c>
      <c r="F33" s="34" t="s">
        <v>3435</v>
      </c>
      <c r="G33" s="54">
        <v>1773388932</v>
      </c>
      <c r="H33" s="54" t="s">
        <v>229</v>
      </c>
      <c r="I33" s="54" t="s">
        <v>3514</v>
      </c>
      <c r="J33" s="34" t="s">
        <v>3419</v>
      </c>
      <c r="K33" s="80">
        <v>200000</v>
      </c>
      <c r="L33" s="43">
        <v>57220</v>
      </c>
      <c r="M33" s="44">
        <f t="shared" si="0"/>
        <v>0.28610000000000002</v>
      </c>
      <c r="N33" s="49">
        <f>ROUND(L33/Summary!$C$3*Summary!$C$2,0)</f>
        <v>177382</v>
      </c>
      <c r="O33" s="44">
        <f t="shared" si="1"/>
        <v>0.88690999999999998</v>
      </c>
      <c r="P33" s="78">
        <v>20</v>
      </c>
      <c r="Q33" s="34">
        <v>5</v>
      </c>
      <c r="R33" s="35">
        <f t="shared" si="2"/>
        <v>0.25</v>
      </c>
      <c r="S33" s="49">
        <f>ROUND(Q33/Summary!$C$3*Summary!$C$2,0)</f>
        <v>16</v>
      </c>
      <c r="T33" s="44">
        <f t="shared" si="3"/>
        <v>0.8</v>
      </c>
      <c r="U33" s="34">
        <v>1</v>
      </c>
      <c r="V33" s="34">
        <v>2</v>
      </c>
      <c r="W33" s="34">
        <v>0</v>
      </c>
      <c r="X33" s="34">
        <v>0</v>
      </c>
    </row>
    <row r="34" spans="1:24" hidden="1">
      <c r="A34" s="34" t="s">
        <v>1504</v>
      </c>
      <c r="B34" s="34" t="s">
        <v>1505</v>
      </c>
      <c r="C34" s="34" t="s">
        <v>65</v>
      </c>
      <c r="D34" s="34" t="s">
        <v>66</v>
      </c>
      <c r="E34" s="34" t="s">
        <v>6</v>
      </c>
      <c r="F34" s="34" t="s">
        <v>1506</v>
      </c>
      <c r="G34" s="54">
        <v>1795322333</v>
      </c>
      <c r="H34" s="54" t="s">
        <v>229</v>
      </c>
      <c r="I34" s="54" t="s">
        <v>3514</v>
      </c>
      <c r="J34" s="34" t="s">
        <v>3419</v>
      </c>
      <c r="K34" s="50">
        <v>130000</v>
      </c>
      <c r="L34" s="43">
        <v>40080</v>
      </c>
      <c r="M34" s="44">
        <f t="shared" si="0"/>
        <v>0.30830769230769228</v>
      </c>
      <c r="N34" s="49">
        <f>ROUND(L34/Summary!$C$3*Summary!$C$2,0)</f>
        <v>124248</v>
      </c>
      <c r="O34" s="44">
        <f t="shared" si="1"/>
        <v>0.95575384615384618</v>
      </c>
      <c r="P34" s="78">
        <v>10</v>
      </c>
      <c r="Q34" s="34">
        <v>1</v>
      </c>
      <c r="R34" s="35">
        <f t="shared" si="2"/>
        <v>0.1</v>
      </c>
      <c r="S34" s="49">
        <f>ROUND(Q34/Summary!$C$3*Summary!$C$2,0)</f>
        <v>3</v>
      </c>
      <c r="T34" s="44">
        <f t="shared" si="3"/>
        <v>0.3</v>
      </c>
      <c r="U34" s="34">
        <v>0</v>
      </c>
      <c r="V34" s="34">
        <v>0</v>
      </c>
      <c r="W34" s="34">
        <v>0</v>
      </c>
      <c r="X34" s="34">
        <v>1</v>
      </c>
    </row>
    <row r="35" spans="1:24" hidden="1">
      <c r="A35" s="34" t="s">
        <v>1638</v>
      </c>
      <c r="B35" s="34" t="s">
        <v>1639</v>
      </c>
      <c r="C35" s="34" t="s">
        <v>65</v>
      </c>
      <c r="D35" s="34" t="s">
        <v>66</v>
      </c>
      <c r="E35" s="34" t="s">
        <v>6</v>
      </c>
      <c r="F35" s="34" t="s">
        <v>1640</v>
      </c>
      <c r="G35" s="54">
        <v>1721403838</v>
      </c>
      <c r="H35" s="54" t="s">
        <v>229</v>
      </c>
      <c r="I35" s="54" t="s">
        <v>3514</v>
      </c>
      <c r="J35" s="34" t="s">
        <v>3419</v>
      </c>
      <c r="K35" s="50">
        <v>152529</v>
      </c>
      <c r="L35" s="43">
        <v>71389</v>
      </c>
      <c r="M35" s="44">
        <f t="shared" si="0"/>
        <v>0.46803558667532075</v>
      </c>
      <c r="N35" s="49">
        <f>ROUND(L35/Summary!$C$3*Summary!$C$2,0)</f>
        <v>221306</v>
      </c>
      <c r="O35" s="44">
        <f t="shared" si="1"/>
        <v>1.4509109743065254</v>
      </c>
      <c r="P35" s="78">
        <v>10</v>
      </c>
      <c r="Q35" s="34">
        <v>3</v>
      </c>
      <c r="R35" s="35">
        <f t="shared" si="2"/>
        <v>0.3</v>
      </c>
      <c r="S35" s="49">
        <f>ROUND(Q35/Summary!$C$3*Summary!$C$2,0)</f>
        <v>9</v>
      </c>
      <c r="T35" s="44">
        <f t="shared" si="3"/>
        <v>0.9</v>
      </c>
      <c r="U35" s="34">
        <v>0</v>
      </c>
      <c r="V35" s="34">
        <v>0</v>
      </c>
      <c r="W35" s="34">
        <v>0</v>
      </c>
      <c r="X35" s="34">
        <v>1</v>
      </c>
    </row>
    <row r="36" spans="1:24" hidden="1">
      <c r="A36" s="34" t="s">
        <v>1761</v>
      </c>
      <c r="B36" s="34" t="s">
        <v>1762</v>
      </c>
      <c r="C36" s="34" t="s">
        <v>65</v>
      </c>
      <c r="D36" s="34" t="s">
        <v>66</v>
      </c>
      <c r="E36" s="34" t="s">
        <v>6</v>
      </c>
      <c r="F36" s="34" t="s">
        <v>1763</v>
      </c>
      <c r="G36" s="54">
        <v>1718115328</v>
      </c>
      <c r="H36" s="54" t="s">
        <v>229</v>
      </c>
      <c r="I36" s="54" t="s">
        <v>3514</v>
      </c>
      <c r="J36" s="34" t="s">
        <v>3419</v>
      </c>
      <c r="K36" s="50">
        <v>130000</v>
      </c>
      <c r="L36" s="43">
        <v>5290</v>
      </c>
      <c r="M36" s="44">
        <f t="shared" si="0"/>
        <v>4.0692307692307694E-2</v>
      </c>
      <c r="N36" s="49">
        <f>ROUND(L36/Summary!$C$3*Summary!$C$2,0)</f>
        <v>16399</v>
      </c>
      <c r="O36" s="44">
        <f t="shared" si="1"/>
        <v>0.12614615384615385</v>
      </c>
      <c r="P36" s="78">
        <v>10</v>
      </c>
      <c r="Q36" s="34">
        <v>0</v>
      </c>
      <c r="R36" s="35">
        <f t="shared" si="2"/>
        <v>0</v>
      </c>
      <c r="S36" s="49">
        <f>ROUND(Q36/Summary!$C$3*Summary!$C$2,0)</f>
        <v>0</v>
      </c>
      <c r="T36" s="44">
        <f t="shared" si="3"/>
        <v>0</v>
      </c>
      <c r="U36" s="34">
        <v>0</v>
      </c>
      <c r="V36" s="34">
        <v>0</v>
      </c>
      <c r="W36" s="34">
        <v>0</v>
      </c>
      <c r="X36" s="34">
        <v>0</v>
      </c>
    </row>
    <row r="37" spans="1:24" hidden="1">
      <c r="A37" s="34" t="s">
        <v>1728</v>
      </c>
      <c r="B37" s="34" t="s">
        <v>1729</v>
      </c>
      <c r="C37" s="34" t="s">
        <v>65</v>
      </c>
      <c r="D37" s="34" t="s">
        <v>66</v>
      </c>
      <c r="E37" s="34" t="s">
        <v>6</v>
      </c>
      <c r="F37" s="34" t="s">
        <v>1730</v>
      </c>
      <c r="G37" s="54">
        <v>1733433339</v>
      </c>
      <c r="H37" s="54" t="s">
        <v>229</v>
      </c>
      <c r="I37" s="54" t="s">
        <v>3514</v>
      </c>
      <c r="J37" s="34" t="s">
        <v>3421</v>
      </c>
      <c r="K37" s="50">
        <v>290691</v>
      </c>
      <c r="L37" s="43">
        <v>67579</v>
      </c>
      <c r="M37" s="44">
        <f t="shared" si="0"/>
        <v>0.23247709767416261</v>
      </c>
      <c r="N37" s="49">
        <f>ROUND(L37/Summary!$C$3*Summary!$C$2,0)</f>
        <v>209495</v>
      </c>
      <c r="O37" s="44">
        <f t="shared" si="1"/>
        <v>0.72067934679780243</v>
      </c>
      <c r="P37" s="78">
        <v>10</v>
      </c>
      <c r="Q37" s="34">
        <v>1</v>
      </c>
      <c r="R37" s="35">
        <f t="shared" si="2"/>
        <v>0.1</v>
      </c>
      <c r="S37" s="49">
        <f>ROUND(Q37/Summary!$C$3*Summary!$C$2,0)</f>
        <v>3</v>
      </c>
      <c r="T37" s="44">
        <f t="shared" si="3"/>
        <v>0.3</v>
      </c>
      <c r="U37" s="34">
        <v>0</v>
      </c>
      <c r="V37" s="34">
        <v>0</v>
      </c>
      <c r="W37" s="34">
        <v>0</v>
      </c>
      <c r="X37" s="34">
        <v>0</v>
      </c>
    </row>
    <row r="38" spans="1:24" hidden="1">
      <c r="A38" s="34" t="s">
        <v>1526</v>
      </c>
      <c r="B38" s="34" t="s">
        <v>1527</v>
      </c>
      <c r="C38" s="34" t="s">
        <v>1528</v>
      </c>
      <c r="D38" s="34" t="s">
        <v>66</v>
      </c>
      <c r="E38" s="34" t="s">
        <v>6</v>
      </c>
      <c r="F38" s="34" t="s">
        <v>1529</v>
      </c>
      <c r="G38" s="54">
        <v>1711512506</v>
      </c>
      <c r="H38" s="54" t="s">
        <v>229</v>
      </c>
      <c r="I38" s="54" t="s">
        <v>3514</v>
      </c>
      <c r="J38" s="34" t="s">
        <v>3419</v>
      </c>
      <c r="K38" s="50">
        <v>158646</v>
      </c>
      <c r="L38" s="43">
        <v>67198</v>
      </c>
      <c r="M38" s="44">
        <f t="shared" si="0"/>
        <v>0.42357197786266276</v>
      </c>
      <c r="N38" s="49">
        <f>ROUND(L38/Summary!$C$3*Summary!$C$2,0)</f>
        <v>208314</v>
      </c>
      <c r="O38" s="44">
        <f t="shared" si="1"/>
        <v>1.3130743920426611</v>
      </c>
      <c r="P38" s="78">
        <v>10</v>
      </c>
      <c r="Q38" s="34">
        <v>3</v>
      </c>
      <c r="R38" s="35">
        <f t="shared" si="2"/>
        <v>0.3</v>
      </c>
      <c r="S38" s="49">
        <f>ROUND(Q38/Summary!$C$3*Summary!$C$2,0)</f>
        <v>9</v>
      </c>
      <c r="T38" s="44">
        <f t="shared" si="3"/>
        <v>0.9</v>
      </c>
      <c r="U38" s="34">
        <v>0</v>
      </c>
      <c r="V38" s="34">
        <v>0</v>
      </c>
      <c r="W38" s="34">
        <v>0</v>
      </c>
      <c r="X38" s="34">
        <v>0</v>
      </c>
    </row>
    <row r="39" spans="1:24" hidden="1">
      <c r="A39" s="34" t="s">
        <v>1787</v>
      </c>
      <c r="B39" s="34" t="s">
        <v>1788</v>
      </c>
      <c r="C39" s="34" t="s">
        <v>1528</v>
      </c>
      <c r="D39" s="34" t="s">
        <v>66</v>
      </c>
      <c r="E39" s="34" t="s">
        <v>6</v>
      </c>
      <c r="F39" s="34" t="s">
        <v>1789</v>
      </c>
      <c r="G39" s="54">
        <v>1758292919</v>
      </c>
      <c r="H39" s="54" t="s">
        <v>229</v>
      </c>
      <c r="I39" s="54" t="s">
        <v>3514</v>
      </c>
      <c r="J39" s="34" t="s">
        <v>3419</v>
      </c>
      <c r="K39" s="50">
        <v>130000</v>
      </c>
      <c r="L39" s="43">
        <v>22310</v>
      </c>
      <c r="M39" s="44">
        <f t="shared" si="0"/>
        <v>0.17161538461538461</v>
      </c>
      <c r="N39" s="49">
        <f>ROUND(L39/Summary!$C$3*Summary!$C$2,0)</f>
        <v>69161</v>
      </c>
      <c r="O39" s="44">
        <f t="shared" si="1"/>
        <v>0.53200769230769229</v>
      </c>
      <c r="P39" s="78">
        <v>10</v>
      </c>
      <c r="Q39" s="34">
        <v>0</v>
      </c>
      <c r="R39" s="35">
        <f t="shared" si="2"/>
        <v>0</v>
      </c>
      <c r="S39" s="49">
        <f>ROUND(Q39/Summary!$C$3*Summary!$C$2,0)</f>
        <v>0</v>
      </c>
      <c r="T39" s="44">
        <f t="shared" si="3"/>
        <v>0</v>
      </c>
      <c r="U39" s="34">
        <v>1</v>
      </c>
      <c r="V39" s="34">
        <v>0</v>
      </c>
      <c r="W39" s="34">
        <v>0</v>
      </c>
      <c r="X39" s="34">
        <v>0</v>
      </c>
    </row>
    <row r="40" spans="1:24" hidden="1">
      <c r="A40" s="34" t="s">
        <v>3148</v>
      </c>
      <c r="B40" s="34" t="s">
        <v>3149</v>
      </c>
      <c r="C40" s="34" t="s">
        <v>1528</v>
      </c>
      <c r="D40" s="34" t="s">
        <v>66</v>
      </c>
      <c r="E40" s="34" t="s">
        <v>6</v>
      </c>
      <c r="F40" s="34" t="s">
        <v>3150</v>
      </c>
      <c r="G40" s="54">
        <v>1732563236</v>
      </c>
      <c r="H40" s="54" t="s">
        <v>229</v>
      </c>
      <c r="I40" s="54" t="s">
        <v>3514</v>
      </c>
      <c r="J40" s="34" t="s">
        <v>3421</v>
      </c>
      <c r="K40" s="50">
        <v>227373</v>
      </c>
      <c r="L40" s="43">
        <v>66580</v>
      </c>
      <c r="M40" s="44">
        <f t="shared" si="0"/>
        <v>0.2928228065777379</v>
      </c>
      <c r="N40" s="49">
        <f>ROUND(L40/Summary!$C$3*Summary!$C$2,0)</f>
        <v>206398</v>
      </c>
      <c r="O40" s="44">
        <f t="shared" si="1"/>
        <v>0.90775070039098749</v>
      </c>
      <c r="P40" s="78">
        <v>10</v>
      </c>
      <c r="Q40" s="34">
        <v>2</v>
      </c>
      <c r="R40" s="35">
        <f t="shared" si="2"/>
        <v>0.2</v>
      </c>
      <c r="S40" s="49">
        <f>ROUND(Q40/Summary!$C$3*Summary!$C$2,0)</f>
        <v>6</v>
      </c>
      <c r="T40" s="44">
        <f t="shared" si="3"/>
        <v>0.6</v>
      </c>
      <c r="U40" s="34">
        <v>0</v>
      </c>
      <c r="V40" s="34">
        <v>0</v>
      </c>
      <c r="W40" s="34">
        <v>0</v>
      </c>
      <c r="X40" s="34">
        <v>0</v>
      </c>
    </row>
    <row r="41" spans="1:24" hidden="1">
      <c r="A41" s="34" t="s">
        <v>1775</v>
      </c>
      <c r="B41" s="34" t="s">
        <v>1776</v>
      </c>
      <c r="C41" s="34" t="s">
        <v>1528</v>
      </c>
      <c r="D41" s="34" t="s">
        <v>66</v>
      </c>
      <c r="E41" s="34" t="s">
        <v>6</v>
      </c>
      <c r="F41" s="34" t="s">
        <v>1777</v>
      </c>
      <c r="G41" s="54">
        <v>1722872502</v>
      </c>
      <c r="H41" s="54" t="s">
        <v>229</v>
      </c>
      <c r="I41" s="54" t="s">
        <v>3514</v>
      </c>
      <c r="J41" s="34" t="s">
        <v>3421</v>
      </c>
      <c r="K41" s="50">
        <v>130000</v>
      </c>
      <c r="L41" s="43">
        <v>5290</v>
      </c>
      <c r="M41" s="44">
        <f t="shared" si="0"/>
        <v>4.0692307692307694E-2</v>
      </c>
      <c r="N41" s="49">
        <f>ROUND(L41/Summary!$C$3*Summary!$C$2,0)</f>
        <v>16399</v>
      </c>
      <c r="O41" s="44">
        <f t="shared" si="1"/>
        <v>0.12614615384615385</v>
      </c>
      <c r="P41" s="78">
        <v>10</v>
      </c>
      <c r="Q41" s="34">
        <v>0</v>
      </c>
      <c r="R41" s="35">
        <f t="shared" si="2"/>
        <v>0</v>
      </c>
      <c r="S41" s="49">
        <f>ROUND(Q41/Summary!$C$3*Summary!$C$2,0)</f>
        <v>0</v>
      </c>
      <c r="T41" s="44">
        <f t="shared" si="3"/>
        <v>0</v>
      </c>
      <c r="U41" s="34">
        <v>0</v>
      </c>
      <c r="V41" s="34">
        <v>0</v>
      </c>
      <c r="W41" s="34">
        <v>0</v>
      </c>
      <c r="X41" s="34">
        <v>0</v>
      </c>
    </row>
    <row r="42" spans="1:24" hidden="1">
      <c r="A42" s="34" t="s">
        <v>1555</v>
      </c>
      <c r="B42" s="34" t="s">
        <v>1556</v>
      </c>
      <c r="C42" s="34" t="s">
        <v>1528</v>
      </c>
      <c r="D42" s="34" t="s">
        <v>66</v>
      </c>
      <c r="E42" s="34" t="s">
        <v>6</v>
      </c>
      <c r="F42" s="34" t="s">
        <v>1557</v>
      </c>
      <c r="G42" s="54">
        <v>1960640576</v>
      </c>
      <c r="H42" s="54" t="s">
        <v>229</v>
      </c>
      <c r="I42" s="54" t="s">
        <v>3514</v>
      </c>
      <c r="J42" s="34" t="s">
        <v>3421</v>
      </c>
      <c r="K42" s="50">
        <v>130000</v>
      </c>
      <c r="L42" s="43">
        <v>15270</v>
      </c>
      <c r="M42" s="44">
        <f t="shared" si="0"/>
        <v>0.11746153846153846</v>
      </c>
      <c r="N42" s="49">
        <f>ROUND(L42/Summary!$C$3*Summary!$C$2,0)</f>
        <v>47337</v>
      </c>
      <c r="O42" s="44">
        <f t="shared" si="1"/>
        <v>0.36413076923076926</v>
      </c>
      <c r="P42" s="78">
        <v>10</v>
      </c>
      <c r="Q42" s="34">
        <v>0</v>
      </c>
      <c r="R42" s="35">
        <f t="shared" si="2"/>
        <v>0</v>
      </c>
      <c r="S42" s="49">
        <f>ROUND(Q42/Summary!$C$3*Summary!$C$2,0)</f>
        <v>0</v>
      </c>
      <c r="T42" s="44">
        <f t="shared" si="3"/>
        <v>0</v>
      </c>
      <c r="U42" s="34">
        <v>1</v>
      </c>
      <c r="V42" s="34">
        <v>0</v>
      </c>
      <c r="W42" s="34">
        <v>0</v>
      </c>
      <c r="X42" s="34">
        <v>0</v>
      </c>
    </row>
    <row r="43" spans="1:24" hidden="1">
      <c r="A43" s="34" t="s">
        <v>1552</v>
      </c>
      <c r="B43" s="34" t="s">
        <v>1553</v>
      </c>
      <c r="C43" s="34" t="s">
        <v>1528</v>
      </c>
      <c r="D43" s="34" t="s">
        <v>66</v>
      </c>
      <c r="E43" s="34" t="s">
        <v>6</v>
      </c>
      <c r="F43" s="34" t="s">
        <v>1554</v>
      </c>
      <c r="G43" s="54">
        <v>1711947605</v>
      </c>
      <c r="H43" s="54" t="s">
        <v>229</v>
      </c>
      <c r="I43" s="54" t="s">
        <v>3514</v>
      </c>
      <c r="J43" s="34" t="s">
        <v>3419</v>
      </c>
      <c r="K43" s="50">
        <v>130000</v>
      </c>
      <c r="L43" s="43">
        <v>41730</v>
      </c>
      <c r="M43" s="44">
        <f t="shared" si="0"/>
        <v>0.32100000000000001</v>
      </c>
      <c r="N43" s="49">
        <f>ROUND(L43/Summary!$C$3*Summary!$C$2,0)</f>
        <v>129363</v>
      </c>
      <c r="O43" s="44">
        <f t="shared" si="1"/>
        <v>0.99509999999999998</v>
      </c>
      <c r="P43" s="78">
        <v>10</v>
      </c>
      <c r="Q43" s="34">
        <v>2</v>
      </c>
      <c r="R43" s="35">
        <f t="shared" si="2"/>
        <v>0.2</v>
      </c>
      <c r="S43" s="49">
        <f>ROUND(Q43/Summary!$C$3*Summary!$C$2,0)</f>
        <v>6</v>
      </c>
      <c r="T43" s="44">
        <f t="shared" si="3"/>
        <v>0.6</v>
      </c>
      <c r="U43" s="34">
        <v>1</v>
      </c>
      <c r="V43" s="34">
        <v>0</v>
      </c>
      <c r="W43" s="34">
        <v>0</v>
      </c>
      <c r="X43" s="34">
        <v>1</v>
      </c>
    </row>
    <row r="44" spans="1:24" hidden="1">
      <c r="A44" s="34" t="s">
        <v>1636</v>
      </c>
      <c r="B44" s="34" t="s">
        <v>118</v>
      </c>
      <c r="C44" s="34" t="s">
        <v>1528</v>
      </c>
      <c r="D44" s="34" t="s">
        <v>66</v>
      </c>
      <c r="E44" s="34" t="s">
        <v>6</v>
      </c>
      <c r="F44" s="34" t="s">
        <v>1637</v>
      </c>
      <c r="G44" s="54">
        <v>1735911564</v>
      </c>
      <c r="H44" s="54" t="s">
        <v>229</v>
      </c>
      <c r="I44" s="54" t="s">
        <v>3518</v>
      </c>
      <c r="J44" s="34" t="s">
        <v>3419</v>
      </c>
      <c r="K44" s="50">
        <v>395375</v>
      </c>
      <c r="L44" s="43">
        <v>110710</v>
      </c>
      <c r="M44" s="44">
        <f t="shared" si="0"/>
        <v>0.28001264622194122</v>
      </c>
      <c r="N44" s="49">
        <f>ROUND(L44/Summary!$C$3*Summary!$C$2,0)</f>
        <v>343201</v>
      </c>
      <c r="O44" s="44">
        <f t="shared" si="1"/>
        <v>0.86803920328801776</v>
      </c>
      <c r="P44" s="78">
        <v>18</v>
      </c>
      <c r="Q44" s="34">
        <v>5</v>
      </c>
      <c r="R44" s="35">
        <f t="shared" si="2"/>
        <v>0.27777777777777779</v>
      </c>
      <c r="S44" s="49">
        <f>ROUND(Q44/Summary!$C$3*Summary!$C$2,0)</f>
        <v>16</v>
      </c>
      <c r="T44" s="44">
        <f t="shared" si="3"/>
        <v>0.88888888888888884</v>
      </c>
      <c r="U44" s="34">
        <v>0</v>
      </c>
      <c r="V44" s="34">
        <v>0</v>
      </c>
      <c r="W44" s="34">
        <v>0</v>
      </c>
      <c r="X44" s="34">
        <v>1</v>
      </c>
    </row>
    <row r="45" spans="1:24" hidden="1">
      <c r="A45" s="34" t="s">
        <v>3220</v>
      </c>
      <c r="B45" s="34" t="s">
        <v>3221</v>
      </c>
      <c r="C45" s="34" t="s">
        <v>1528</v>
      </c>
      <c r="D45" s="34" t="s">
        <v>66</v>
      </c>
      <c r="E45" s="34" t="s">
        <v>6</v>
      </c>
      <c r="F45" s="34" t="s">
        <v>276</v>
      </c>
      <c r="G45" s="54">
        <v>1946835666</v>
      </c>
      <c r="H45" s="54" t="s">
        <v>229</v>
      </c>
      <c r="I45" s="54" t="s">
        <v>3514</v>
      </c>
      <c r="J45" s="34" t="s">
        <v>3421</v>
      </c>
      <c r="K45" s="50">
        <v>130000</v>
      </c>
      <c r="L45" s="43">
        <v>17605</v>
      </c>
      <c r="M45" s="44">
        <f t="shared" si="0"/>
        <v>0.13542307692307692</v>
      </c>
      <c r="N45" s="49">
        <f>ROUND(L45/Summary!$C$3*Summary!$C$2,0)</f>
        <v>54576</v>
      </c>
      <c r="O45" s="44">
        <f t="shared" si="1"/>
        <v>0.41981538461538459</v>
      </c>
      <c r="P45" s="78">
        <v>10</v>
      </c>
      <c r="Q45" s="34">
        <v>1</v>
      </c>
      <c r="R45" s="35">
        <f t="shared" si="2"/>
        <v>0.1</v>
      </c>
      <c r="S45" s="49">
        <f>ROUND(Q45/Summary!$C$3*Summary!$C$2,0)</f>
        <v>3</v>
      </c>
      <c r="T45" s="44">
        <f t="shared" si="3"/>
        <v>0.3</v>
      </c>
      <c r="U45" s="34">
        <v>0</v>
      </c>
      <c r="V45" s="34">
        <v>0</v>
      </c>
      <c r="W45" s="34">
        <v>0</v>
      </c>
      <c r="X45" s="34">
        <v>0</v>
      </c>
    </row>
    <row r="46" spans="1:24" hidden="1">
      <c r="A46" s="34" t="s">
        <v>1709</v>
      </c>
      <c r="B46" s="34" t="s">
        <v>1710</v>
      </c>
      <c r="C46" s="34" t="s">
        <v>1528</v>
      </c>
      <c r="D46" s="34" t="s">
        <v>66</v>
      </c>
      <c r="E46" s="34" t="s">
        <v>6</v>
      </c>
      <c r="F46" s="34" t="s">
        <v>1711</v>
      </c>
      <c r="G46" s="54">
        <v>1770235349</v>
      </c>
      <c r="H46" s="54" t="s">
        <v>229</v>
      </c>
      <c r="I46" s="54" t="s">
        <v>3514</v>
      </c>
      <c r="J46" s="34" t="s">
        <v>3419</v>
      </c>
      <c r="K46" s="50">
        <v>130000</v>
      </c>
      <c r="L46" s="43">
        <v>24750</v>
      </c>
      <c r="M46" s="44">
        <f t="shared" si="0"/>
        <v>0.19038461538461537</v>
      </c>
      <c r="N46" s="49">
        <f>ROUND(L46/Summary!$C$3*Summary!$C$2,0)</f>
        <v>76725</v>
      </c>
      <c r="O46" s="44">
        <f t="shared" si="1"/>
        <v>0.59019230769230768</v>
      </c>
      <c r="P46" s="78">
        <v>10</v>
      </c>
      <c r="Q46" s="34">
        <v>1</v>
      </c>
      <c r="R46" s="35">
        <f t="shared" si="2"/>
        <v>0.1</v>
      </c>
      <c r="S46" s="49">
        <f>ROUND(Q46/Summary!$C$3*Summary!$C$2,0)</f>
        <v>3</v>
      </c>
      <c r="T46" s="44">
        <f t="shared" si="3"/>
        <v>0.3</v>
      </c>
      <c r="U46" s="34">
        <v>1</v>
      </c>
      <c r="V46" s="34">
        <v>0</v>
      </c>
      <c r="W46" s="34">
        <v>0</v>
      </c>
      <c r="X46" s="34">
        <v>0</v>
      </c>
    </row>
    <row r="47" spans="1:24" hidden="1">
      <c r="A47" s="34" t="s">
        <v>1703</v>
      </c>
      <c r="B47" s="34" t="s">
        <v>1704</v>
      </c>
      <c r="C47" s="34" t="s">
        <v>1528</v>
      </c>
      <c r="D47" s="34" t="s">
        <v>66</v>
      </c>
      <c r="E47" s="34" t="s">
        <v>6</v>
      </c>
      <c r="F47" s="34" t="s">
        <v>1705</v>
      </c>
      <c r="G47" s="54">
        <v>1716212776</v>
      </c>
      <c r="H47" s="54" t="s">
        <v>229</v>
      </c>
      <c r="I47" s="54" t="s">
        <v>3514</v>
      </c>
      <c r="J47" s="34" t="s">
        <v>3515</v>
      </c>
      <c r="K47" s="50">
        <v>130000</v>
      </c>
      <c r="L47" s="43">
        <v>12780</v>
      </c>
      <c r="M47" s="44">
        <f t="shared" si="0"/>
        <v>9.8307692307692304E-2</v>
      </c>
      <c r="N47" s="49">
        <f>ROUND(L47/Summary!$C$3*Summary!$C$2,0)</f>
        <v>39618</v>
      </c>
      <c r="O47" s="44">
        <f t="shared" si="1"/>
        <v>0.30475384615384615</v>
      </c>
      <c r="P47" s="78">
        <v>10</v>
      </c>
      <c r="Q47" s="34">
        <v>1</v>
      </c>
      <c r="R47" s="35">
        <f t="shared" si="2"/>
        <v>0.1</v>
      </c>
      <c r="S47" s="49">
        <f>ROUND(Q47/Summary!$C$3*Summary!$C$2,0)</f>
        <v>3</v>
      </c>
      <c r="T47" s="44">
        <f t="shared" si="3"/>
        <v>0.3</v>
      </c>
      <c r="U47" s="34">
        <v>1</v>
      </c>
      <c r="V47" s="34">
        <v>0</v>
      </c>
      <c r="W47" s="34">
        <v>0</v>
      </c>
      <c r="X47" s="34">
        <v>0</v>
      </c>
    </row>
    <row r="48" spans="1:24" hidden="1">
      <c r="A48" s="34" t="s">
        <v>1756</v>
      </c>
      <c r="B48" s="34" t="s">
        <v>1757</v>
      </c>
      <c r="C48" s="34" t="s">
        <v>1528</v>
      </c>
      <c r="D48" s="34" t="s">
        <v>66</v>
      </c>
      <c r="E48" s="34" t="s">
        <v>6</v>
      </c>
      <c r="F48" s="34" t="s">
        <v>1758</v>
      </c>
      <c r="G48" s="54">
        <v>1776585858</v>
      </c>
      <c r="H48" s="54" t="s">
        <v>229</v>
      </c>
      <c r="I48" s="54" t="s">
        <v>3514</v>
      </c>
      <c r="J48" s="34" t="s">
        <v>3421</v>
      </c>
      <c r="K48" s="50">
        <v>130000</v>
      </c>
      <c r="L48" s="43">
        <v>55090</v>
      </c>
      <c r="M48" s="44">
        <f t="shared" si="0"/>
        <v>0.42376923076923079</v>
      </c>
      <c r="N48" s="49">
        <f>ROUND(L48/Summary!$C$3*Summary!$C$2,0)</f>
        <v>170779</v>
      </c>
      <c r="O48" s="44">
        <f t="shared" si="1"/>
        <v>1.3136846153846153</v>
      </c>
      <c r="P48" s="78">
        <v>10</v>
      </c>
      <c r="Q48" s="34">
        <v>1</v>
      </c>
      <c r="R48" s="35">
        <f t="shared" si="2"/>
        <v>0.1</v>
      </c>
      <c r="S48" s="49">
        <f>ROUND(Q48/Summary!$C$3*Summary!$C$2,0)</f>
        <v>3</v>
      </c>
      <c r="T48" s="44">
        <f t="shared" si="3"/>
        <v>0.3</v>
      </c>
      <c r="U48" s="34">
        <v>0</v>
      </c>
      <c r="V48" s="34">
        <v>0</v>
      </c>
      <c r="W48" s="34">
        <v>0</v>
      </c>
      <c r="X48" s="34">
        <v>0</v>
      </c>
    </row>
    <row r="49" spans="1:24" hidden="1">
      <c r="A49" s="34" t="s">
        <v>1716</v>
      </c>
      <c r="B49" s="34" t="s">
        <v>1717</v>
      </c>
      <c r="C49" s="34" t="s">
        <v>1528</v>
      </c>
      <c r="D49" s="34" t="s">
        <v>66</v>
      </c>
      <c r="E49" s="34" t="s">
        <v>6</v>
      </c>
      <c r="F49" s="34" t="s">
        <v>1718</v>
      </c>
      <c r="G49" s="54">
        <v>1738347690</v>
      </c>
      <c r="H49" s="54" t="s">
        <v>229</v>
      </c>
      <c r="I49" s="54" t="s">
        <v>3514</v>
      </c>
      <c r="J49" s="34" t="s">
        <v>3419</v>
      </c>
      <c r="K49" s="50">
        <v>130000</v>
      </c>
      <c r="L49" s="43">
        <v>25750</v>
      </c>
      <c r="M49" s="44">
        <f t="shared" si="0"/>
        <v>0.19807692307692307</v>
      </c>
      <c r="N49" s="49">
        <f>ROUND(L49/Summary!$C$3*Summary!$C$2,0)</f>
        <v>79825</v>
      </c>
      <c r="O49" s="44">
        <f t="shared" si="1"/>
        <v>0.61403846153846153</v>
      </c>
      <c r="P49" s="78">
        <v>10</v>
      </c>
      <c r="Q49" s="34">
        <v>0</v>
      </c>
      <c r="R49" s="35">
        <f t="shared" si="2"/>
        <v>0</v>
      </c>
      <c r="S49" s="49">
        <f>ROUND(Q49/Summary!$C$3*Summary!$C$2,0)</f>
        <v>0</v>
      </c>
      <c r="T49" s="44">
        <f t="shared" si="3"/>
        <v>0</v>
      </c>
      <c r="U49" s="34">
        <v>0</v>
      </c>
      <c r="V49" s="34">
        <v>0</v>
      </c>
      <c r="W49" s="34">
        <v>0</v>
      </c>
      <c r="X49" s="34">
        <v>0</v>
      </c>
    </row>
    <row r="50" spans="1:24" hidden="1">
      <c r="A50" s="34" t="s">
        <v>1661</v>
      </c>
      <c r="B50" s="34" t="s">
        <v>1662</v>
      </c>
      <c r="C50" s="34" t="s">
        <v>201</v>
      </c>
      <c r="D50" s="34" t="s">
        <v>66</v>
      </c>
      <c r="E50" s="34" t="s">
        <v>6</v>
      </c>
      <c r="F50" s="34" t="s">
        <v>1663</v>
      </c>
      <c r="G50" s="54">
        <v>1687844192</v>
      </c>
      <c r="H50" s="54" t="s">
        <v>229</v>
      </c>
      <c r="I50" s="54" t="s">
        <v>3514</v>
      </c>
      <c r="J50" s="34" t="s">
        <v>3421</v>
      </c>
      <c r="K50" s="50">
        <v>130000</v>
      </c>
      <c r="L50" s="43">
        <v>32949</v>
      </c>
      <c r="M50" s="44">
        <f t="shared" si="0"/>
        <v>0.25345384615384614</v>
      </c>
      <c r="N50" s="49">
        <f>ROUND(L50/Summary!$C$3*Summary!$C$2,0)</f>
        <v>102142</v>
      </c>
      <c r="O50" s="44">
        <f t="shared" si="1"/>
        <v>0.78570769230769233</v>
      </c>
      <c r="P50" s="78">
        <v>10</v>
      </c>
      <c r="Q50" s="34">
        <v>1</v>
      </c>
      <c r="R50" s="35">
        <f t="shared" si="2"/>
        <v>0.1</v>
      </c>
      <c r="S50" s="49">
        <f>ROUND(Q50/Summary!$C$3*Summary!$C$2,0)</f>
        <v>3</v>
      </c>
      <c r="T50" s="44">
        <f t="shared" si="3"/>
        <v>0.3</v>
      </c>
      <c r="U50" s="34">
        <v>1</v>
      </c>
      <c r="V50" s="34">
        <v>0</v>
      </c>
      <c r="W50" s="34">
        <v>0</v>
      </c>
      <c r="X50" s="34">
        <v>0</v>
      </c>
    </row>
    <row r="51" spans="1:24" hidden="1">
      <c r="A51" s="34" t="s">
        <v>1547</v>
      </c>
      <c r="B51" s="34" t="s">
        <v>1548</v>
      </c>
      <c r="C51" s="34" t="s">
        <v>201</v>
      </c>
      <c r="D51" s="34" t="s">
        <v>66</v>
      </c>
      <c r="E51" s="34" t="s">
        <v>6</v>
      </c>
      <c r="F51" s="34" t="s">
        <v>1549</v>
      </c>
      <c r="G51" s="54">
        <v>1711051221</v>
      </c>
      <c r="H51" s="54" t="s">
        <v>229</v>
      </c>
      <c r="I51" s="54" t="s">
        <v>3514</v>
      </c>
      <c r="J51" s="34" t="s">
        <v>3515</v>
      </c>
      <c r="K51" s="50">
        <v>209522</v>
      </c>
      <c r="L51" s="43">
        <v>25520</v>
      </c>
      <c r="M51" s="44">
        <f t="shared" si="0"/>
        <v>0.12180105191817565</v>
      </c>
      <c r="N51" s="49">
        <f>ROUND(L51/Summary!$C$3*Summary!$C$2,0)</f>
        <v>79112</v>
      </c>
      <c r="O51" s="44">
        <f t="shared" si="1"/>
        <v>0.37758326094634453</v>
      </c>
      <c r="P51" s="78">
        <v>12</v>
      </c>
      <c r="Q51" s="34">
        <v>1</v>
      </c>
      <c r="R51" s="35">
        <f t="shared" si="2"/>
        <v>8.3333333333333329E-2</v>
      </c>
      <c r="S51" s="49">
        <f>ROUND(Q51/Summary!$C$3*Summary!$C$2,0)</f>
        <v>3</v>
      </c>
      <c r="T51" s="44">
        <f t="shared" si="3"/>
        <v>0.25</v>
      </c>
      <c r="U51" s="34">
        <v>0</v>
      </c>
      <c r="V51" s="34">
        <v>0</v>
      </c>
      <c r="W51" s="34">
        <v>0</v>
      </c>
      <c r="X51" s="34">
        <v>0</v>
      </c>
    </row>
    <row r="52" spans="1:24" hidden="1">
      <c r="A52" s="34" t="s">
        <v>1790</v>
      </c>
      <c r="B52" s="34" t="s">
        <v>1791</v>
      </c>
      <c r="C52" s="34" t="s">
        <v>54</v>
      </c>
      <c r="D52" s="34" t="s">
        <v>102</v>
      </c>
      <c r="E52" s="34" t="s">
        <v>6</v>
      </c>
      <c r="F52" s="34" t="s">
        <v>1792</v>
      </c>
      <c r="G52" s="54">
        <v>1718175525</v>
      </c>
      <c r="H52" s="54" t="s">
        <v>229</v>
      </c>
      <c r="I52" s="54" t="s">
        <v>3514</v>
      </c>
      <c r="J52" s="34" t="s">
        <v>3419</v>
      </c>
      <c r="K52" s="50">
        <v>130000</v>
      </c>
      <c r="L52" s="43">
        <v>21370</v>
      </c>
      <c r="M52" s="44">
        <f t="shared" si="0"/>
        <v>0.16438461538461538</v>
      </c>
      <c r="N52" s="49">
        <f>ROUND(L52/Summary!$C$3*Summary!$C$2,0)</f>
        <v>66247</v>
      </c>
      <c r="O52" s="44">
        <f t="shared" si="1"/>
        <v>0.50959230769230768</v>
      </c>
      <c r="P52" s="78">
        <v>10</v>
      </c>
      <c r="Q52" s="34">
        <v>1</v>
      </c>
      <c r="R52" s="35">
        <f t="shared" si="2"/>
        <v>0.1</v>
      </c>
      <c r="S52" s="49">
        <f>ROUND(Q52/Summary!$C$3*Summary!$C$2,0)</f>
        <v>3</v>
      </c>
      <c r="T52" s="44">
        <f t="shared" si="3"/>
        <v>0.3</v>
      </c>
      <c r="U52" s="34">
        <v>0</v>
      </c>
      <c r="V52" s="34">
        <v>0</v>
      </c>
      <c r="W52" s="34">
        <v>0</v>
      </c>
      <c r="X52" s="34">
        <v>1</v>
      </c>
    </row>
    <row r="53" spans="1:24" hidden="1">
      <c r="A53" s="34" t="s">
        <v>1796</v>
      </c>
      <c r="B53" s="34" t="s">
        <v>1797</v>
      </c>
      <c r="C53" s="34" t="s">
        <v>54</v>
      </c>
      <c r="D53" s="34" t="s">
        <v>102</v>
      </c>
      <c r="E53" s="34" t="s">
        <v>6</v>
      </c>
      <c r="F53" s="34" t="s">
        <v>1798</v>
      </c>
      <c r="G53" s="54">
        <v>1717859787</v>
      </c>
      <c r="H53" s="54" t="s">
        <v>229</v>
      </c>
      <c r="I53" s="54" t="s">
        <v>3514</v>
      </c>
      <c r="J53" s="34" t="s">
        <v>3421</v>
      </c>
      <c r="K53" s="50">
        <v>130000</v>
      </c>
      <c r="L53" s="43">
        <v>3090</v>
      </c>
      <c r="M53" s="44">
        <f t="shared" si="0"/>
        <v>2.3769230769230768E-2</v>
      </c>
      <c r="N53" s="49">
        <f>ROUND(L53/Summary!$C$3*Summary!$C$2,0)</f>
        <v>9579</v>
      </c>
      <c r="O53" s="44">
        <f t="shared" si="1"/>
        <v>7.368461538461539E-2</v>
      </c>
      <c r="P53" s="78">
        <v>10</v>
      </c>
      <c r="Q53" s="34">
        <v>0</v>
      </c>
      <c r="R53" s="35">
        <f t="shared" si="2"/>
        <v>0</v>
      </c>
      <c r="S53" s="49">
        <f>ROUND(Q53/Summary!$C$3*Summary!$C$2,0)</f>
        <v>0</v>
      </c>
      <c r="T53" s="44">
        <f t="shared" si="3"/>
        <v>0</v>
      </c>
      <c r="U53" s="34">
        <v>0</v>
      </c>
      <c r="V53" s="34">
        <v>0</v>
      </c>
      <c r="W53" s="34">
        <v>0</v>
      </c>
      <c r="X53" s="34">
        <v>0</v>
      </c>
    </row>
    <row r="54" spans="1:24" hidden="1">
      <c r="A54" s="34" t="s">
        <v>1677</v>
      </c>
      <c r="B54" s="34" t="s">
        <v>1678</v>
      </c>
      <c r="C54" s="34" t="s">
        <v>54</v>
      </c>
      <c r="D54" s="34" t="s">
        <v>102</v>
      </c>
      <c r="E54" s="34" t="s">
        <v>6</v>
      </c>
      <c r="F54" s="34" t="s">
        <v>1679</v>
      </c>
      <c r="G54" s="54">
        <v>1761429999</v>
      </c>
      <c r="H54" s="54" t="s">
        <v>229</v>
      </c>
      <c r="I54" s="54" t="s">
        <v>3514</v>
      </c>
      <c r="J54" s="34" t="s">
        <v>3419</v>
      </c>
      <c r="K54" s="50">
        <v>130000</v>
      </c>
      <c r="L54" s="43">
        <v>37430</v>
      </c>
      <c r="M54" s="44">
        <f t="shared" si="0"/>
        <v>0.28792307692307695</v>
      </c>
      <c r="N54" s="49">
        <f>ROUND(L54/Summary!$C$3*Summary!$C$2,0)</f>
        <v>116033</v>
      </c>
      <c r="O54" s="44">
        <f t="shared" si="1"/>
        <v>0.89256153846153841</v>
      </c>
      <c r="P54" s="78">
        <v>10</v>
      </c>
      <c r="Q54" s="34">
        <v>1</v>
      </c>
      <c r="R54" s="35">
        <f t="shared" si="2"/>
        <v>0.1</v>
      </c>
      <c r="S54" s="49">
        <f>ROUND(Q54/Summary!$C$3*Summary!$C$2,0)</f>
        <v>3</v>
      </c>
      <c r="T54" s="44">
        <f t="shared" si="3"/>
        <v>0.3</v>
      </c>
      <c r="U54" s="34">
        <v>2</v>
      </c>
      <c r="V54" s="34">
        <v>1</v>
      </c>
      <c r="W54" s="34">
        <v>0</v>
      </c>
      <c r="X54" s="34">
        <v>0</v>
      </c>
    </row>
    <row r="55" spans="1:24" hidden="1">
      <c r="A55" s="34" t="s">
        <v>1745</v>
      </c>
      <c r="B55" s="34" t="s">
        <v>1746</v>
      </c>
      <c r="C55" s="34" t="s">
        <v>54</v>
      </c>
      <c r="D55" s="34" t="s">
        <v>102</v>
      </c>
      <c r="E55" s="34" t="s">
        <v>6</v>
      </c>
      <c r="F55" s="34" t="s">
        <v>1747</v>
      </c>
      <c r="G55" s="54">
        <v>1865560404</v>
      </c>
      <c r="H55" s="54" t="s">
        <v>229</v>
      </c>
      <c r="I55" s="54" t="s">
        <v>3514</v>
      </c>
      <c r="J55" s="34" t="s">
        <v>3421</v>
      </c>
      <c r="K55" s="50">
        <v>130000</v>
      </c>
      <c r="L55" s="43">
        <v>22410</v>
      </c>
      <c r="M55" s="44">
        <f t="shared" si="0"/>
        <v>0.17238461538461539</v>
      </c>
      <c r="N55" s="49">
        <f>ROUND(L55/Summary!$C$3*Summary!$C$2,0)</f>
        <v>69471</v>
      </c>
      <c r="O55" s="44">
        <f t="shared" si="1"/>
        <v>0.53439230769230772</v>
      </c>
      <c r="P55" s="78">
        <v>10</v>
      </c>
      <c r="Q55" s="34">
        <v>1</v>
      </c>
      <c r="R55" s="35">
        <f t="shared" si="2"/>
        <v>0.1</v>
      </c>
      <c r="S55" s="49">
        <f>ROUND(Q55/Summary!$C$3*Summary!$C$2,0)</f>
        <v>3</v>
      </c>
      <c r="T55" s="44">
        <f t="shared" si="3"/>
        <v>0.3</v>
      </c>
      <c r="U55" s="34">
        <v>0</v>
      </c>
      <c r="V55" s="34">
        <v>0</v>
      </c>
      <c r="W55" s="34">
        <v>0</v>
      </c>
      <c r="X55" s="34">
        <v>0</v>
      </c>
    </row>
    <row r="56" spans="1:24" hidden="1">
      <c r="A56" s="34" t="s">
        <v>1550</v>
      </c>
      <c r="B56" s="34" t="s">
        <v>1551</v>
      </c>
      <c r="C56" s="34" t="s">
        <v>54</v>
      </c>
      <c r="D56" s="34" t="s">
        <v>102</v>
      </c>
      <c r="E56" s="34" t="s">
        <v>6</v>
      </c>
      <c r="F56" s="34" t="s">
        <v>228</v>
      </c>
      <c r="G56" s="54">
        <v>1726525175</v>
      </c>
      <c r="H56" s="54" t="s">
        <v>229</v>
      </c>
      <c r="I56" s="54" t="s">
        <v>3514</v>
      </c>
      <c r="J56" s="34" t="s">
        <v>3419</v>
      </c>
      <c r="K56" s="50">
        <v>186467</v>
      </c>
      <c r="L56" s="43">
        <v>26210</v>
      </c>
      <c r="M56" s="44">
        <f t="shared" si="0"/>
        <v>0.14056106442426811</v>
      </c>
      <c r="N56" s="49">
        <f>ROUND(L56/Summary!$C$3*Summary!$C$2,0)</f>
        <v>81251</v>
      </c>
      <c r="O56" s="44">
        <f t="shared" si="1"/>
        <v>0.43573929971523112</v>
      </c>
      <c r="P56" s="78">
        <v>10</v>
      </c>
      <c r="Q56" s="34">
        <v>0</v>
      </c>
      <c r="R56" s="35">
        <f t="shared" si="2"/>
        <v>0</v>
      </c>
      <c r="S56" s="49">
        <f>ROUND(Q56/Summary!$C$3*Summary!$C$2,0)</f>
        <v>0</v>
      </c>
      <c r="T56" s="44">
        <f t="shared" si="3"/>
        <v>0</v>
      </c>
      <c r="U56" s="34">
        <v>0</v>
      </c>
      <c r="V56" s="34">
        <v>0</v>
      </c>
      <c r="W56" s="34">
        <v>0</v>
      </c>
      <c r="X56" s="34">
        <v>0</v>
      </c>
    </row>
    <row r="57" spans="1:24" hidden="1">
      <c r="A57" s="34" t="s">
        <v>1700</v>
      </c>
      <c r="B57" s="34" t="s">
        <v>1701</v>
      </c>
      <c r="C57" s="34" t="s">
        <v>101</v>
      </c>
      <c r="D57" s="34" t="s">
        <v>102</v>
      </c>
      <c r="E57" s="34" t="s">
        <v>6</v>
      </c>
      <c r="F57" s="34" t="s">
        <v>1702</v>
      </c>
      <c r="G57" s="54">
        <v>1689319239</v>
      </c>
      <c r="H57" s="54" t="s">
        <v>229</v>
      </c>
      <c r="I57" s="54" t="s">
        <v>3514</v>
      </c>
      <c r="J57" s="34" t="s">
        <v>3419</v>
      </c>
      <c r="K57" s="50">
        <v>130000</v>
      </c>
      <c r="L57" s="43">
        <v>29090</v>
      </c>
      <c r="M57" s="44">
        <f t="shared" si="0"/>
        <v>0.22376923076923078</v>
      </c>
      <c r="N57" s="49">
        <f>ROUND(L57/Summary!$C$3*Summary!$C$2,0)</f>
        <v>90179</v>
      </c>
      <c r="O57" s="44">
        <f t="shared" si="1"/>
        <v>0.69368461538461534</v>
      </c>
      <c r="P57" s="78">
        <v>10</v>
      </c>
      <c r="Q57" s="34">
        <v>0</v>
      </c>
      <c r="R57" s="35">
        <f t="shared" si="2"/>
        <v>0</v>
      </c>
      <c r="S57" s="49">
        <f>ROUND(Q57/Summary!$C$3*Summary!$C$2,0)</f>
        <v>0</v>
      </c>
      <c r="T57" s="44">
        <f t="shared" si="3"/>
        <v>0</v>
      </c>
      <c r="U57" s="34">
        <v>2</v>
      </c>
      <c r="V57" s="34">
        <v>0</v>
      </c>
      <c r="W57" s="34">
        <v>0</v>
      </c>
      <c r="X57" s="34">
        <v>0</v>
      </c>
    </row>
    <row r="58" spans="1:24" hidden="1">
      <c r="A58" s="34" t="s">
        <v>1603</v>
      </c>
      <c r="B58" s="34" t="s">
        <v>1604</v>
      </c>
      <c r="C58" s="34" t="s">
        <v>101</v>
      </c>
      <c r="D58" s="34" t="s">
        <v>102</v>
      </c>
      <c r="E58" s="34" t="s">
        <v>6</v>
      </c>
      <c r="F58" s="34" t="s">
        <v>1605</v>
      </c>
      <c r="G58" s="54">
        <v>1976961636</v>
      </c>
      <c r="H58" s="54" t="s">
        <v>229</v>
      </c>
      <c r="I58" s="54" t="s">
        <v>3514</v>
      </c>
      <c r="J58" s="34" t="s">
        <v>3419</v>
      </c>
      <c r="K58" s="50">
        <v>173077</v>
      </c>
      <c r="L58" s="43">
        <v>39620</v>
      </c>
      <c r="M58" s="44">
        <f t="shared" si="0"/>
        <v>0.22891545381535386</v>
      </c>
      <c r="N58" s="49">
        <f>ROUND(L58/Summary!$C$3*Summary!$C$2,0)</f>
        <v>122822</v>
      </c>
      <c r="O58" s="44">
        <f t="shared" si="1"/>
        <v>0.70963790682759698</v>
      </c>
      <c r="P58" s="78">
        <v>10</v>
      </c>
      <c r="Q58" s="34">
        <v>1</v>
      </c>
      <c r="R58" s="35">
        <f t="shared" si="2"/>
        <v>0.1</v>
      </c>
      <c r="S58" s="49">
        <f>ROUND(Q58/Summary!$C$3*Summary!$C$2,0)</f>
        <v>3</v>
      </c>
      <c r="T58" s="44">
        <f t="shared" si="3"/>
        <v>0.3</v>
      </c>
      <c r="U58" s="34">
        <v>0</v>
      </c>
      <c r="V58" s="34">
        <v>0</v>
      </c>
      <c r="W58" s="34">
        <v>0</v>
      </c>
      <c r="X58" s="34">
        <v>0</v>
      </c>
    </row>
    <row r="59" spans="1:24" hidden="1">
      <c r="A59" s="34" t="s">
        <v>1541</v>
      </c>
      <c r="B59" s="34" t="s">
        <v>1542</v>
      </c>
      <c r="C59" s="34" t="s">
        <v>101</v>
      </c>
      <c r="D59" s="34" t="s">
        <v>102</v>
      </c>
      <c r="E59" s="34" t="s">
        <v>6</v>
      </c>
      <c r="F59" s="34" t="s">
        <v>1543</v>
      </c>
      <c r="G59" s="54">
        <v>1743908091</v>
      </c>
      <c r="H59" s="54" t="s">
        <v>229</v>
      </c>
      <c r="I59" s="54" t="s">
        <v>3514</v>
      </c>
      <c r="J59" s="34" t="s">
        <v>3419</v>
      </c>
      <c r="K59" s="50">
        <v>130000</v>
      </c>
      <c r="L59" s="43">
        <v>49570</v>
      </c>
      <c r="M59" s="44">
        <f t="shared" si="0"/>
        <v>0.38130769230769229</v>
      </c>
      <c r="N59" s="49">
        <f>ROUND(L59/Summary!$C$3*Summary!$C$2,0)</f>
        <v>153667</v>
      </c>
      <c r="O59" s="44">
        <f t="shared" si="1"/>
        <v>1.1820538461538461</v>
      </c>
      <c r="P59" s="78">
        <v>10</v>
      </c>
      <c r="Q59" s="34">
        <v>4</v>
      </c>
      <c r="R59" s="35">
        <f t="shared" si="2"/>
        <v>0.4</v>
      </c>
      <c r="S59" s="49">
        <f>ROUND(Q59/Summary!$C$3*Summary!$C$2,0)</f>
        <v>12</v>
      </c>
      <c r="T59" s="44">
        <f t="shared" si="3"/>
        <v>1.2</v>
      </c>
      <c r="U59" s="34">
        <v>0</v>
      </c>
      <c r="V59" s="34">
        <v>1</v>
      </c>
      <c r="W59" s="34">
        <v>0</v>
      </c>
      <c r="X59" s="34">
        <v>0</v>
      </c>
    </row>
    <row r="60" spans="1:24" hidden="1">
      <c r="A60" s="34" t="s">
        <v>1631</v>
      </c>
      <c r="B60" s="34" t="s">
        <v>1632</v>
      </c>
      <c r="C60" s="34" t="s">
        <v>101</v>
      </c>
      <c r="D60" s="34" t="s">
        <v>102</v>
      </c>
      <c r="E60" s="34" t="s">
        <v>6</v>
      </c>
      <c r="F60" s="34" t="s">
        <v>1633</v>
      </c>
      <c r="G60" s="54">
        <v>1743929192</v>
      </c>
      <c r="H60" s="54" t="s">
        <v>229</v>
      </c>
      <c r="I60" s="54" t="s">
        <v>3514</v>
      </c>
      <c r="J60" s="34" t="s">
        <v>3419</v>
      </c>
      <c r="K60" s="50">
        <v>130000</v>
      </c>
      <c r="L60" s="43">
        <v>17520</v>
      </c>
      <c r="M60" s="44">
        <f t="shared" si="0"/>
        <v>0.13476923076923078</v>
      </c>
      <c r="N60" s="49">
        <f>ROUND(L60/Summary!$C$3*Summary!$C$2,0)</f>
        <v>54312</v>
      </c>
      <c r="O60" s="44">
        <f t="shared" si="1"/>
        <v>0.41778461538461537</v>
      </c>
      <c r="P60" s="78">
        <v>10</v>
      </c>
      <c r="Q60" s="34">
        <v>1</v>
      </c>
      <c r="R60" s="35">
        <f t="shared" si="2"/>
        <v>0.1</v>
      </c>
      <c r="S60" s="49">
        <f>ROUND(Q60/Summary!$C$3*Summary!$C$2,0)</f>
        <v>3</v>
      </c>
      <c r="T60" s="44">
        <f t="shared" si="3"/>
        <v>0.3</v>
      </c>
      <c r="U60" s="34">
        <v>0</v>
      </c>
      <c r="V60" s="34">
        <v>0</v>
      </c>
      <c r="W60" s="34">
        <v>0</v>
      </c>
      <c r="X60" s="34">
        <v>0</v>
      </c>
    </row>
    <row r="61" spans="1:24" hidden="1">
      <c r="A61" s="34" t="s">
        <v>3222</v>
      </c>
      <c r="B61" s="34" t="s">
        <v>103</v>
      </c>
      <c r="C61" s="34" t="s">
        <v>101</v>
      </c>
      <c r="D61" s="34" t="s">
        <v>102</v>
      </c>
      <c r="E61" s="34" t="s">
        <v>6</v>
      </c>
      <c r="F61" s="34" t="s">
        <v>3223</v>
      </c>
      <c r="G61" s="54">
        <v>1677989494</v>
      </c>
      <c r="H61" s="54" t="s">
        <v>229</v>
      </c>
      <c r="I61" s="54" t="s">
        <v>3514</v>
      </c>
      <c r="J61" s="34" t="s">
        <v>3515</v>
      </c>
      <c r="K61" s="50">
        <v>163455</v>
      </c>
      <c r="L61" s="43">
        <v>71345</v>
      </c>
      <c r="M61" s="44">
        <f t="shared" si="0"/>
        <v>0.43648098865131074</v>
      </c>
      <c r="N61" s="49">
        <f>ROUND(L61/Summary!$C$3*Summary!$C$2,0)</f>
        <v>221170</v>
      </c>
      <c r="O61" s="44">
        <f t="shared" si="1"/>
        <v>1.3530941237649505</v>
      </c>
      <c r="P61" s="78">
        <v>10</v>
      </c>
      <c r="Q61" s="34">
        <v>6</v>
      </c>
      <c r="R61" s="35">
        <f t="shared" si="2"/>
        <v>0.6</v>
      </c>
      <c r="S61" s="49">
        <f>ROUND(Q61/Summary!$C$3*Summary!$C$2,0)</f>
        <v>19</v>
      </c>
      <c r="T61" s="44">
        <f t="shared" si="3"/>
        <v>1.9</v>
      </c>
      <c r="U61" s="34">
        <v>1</v>
      </c>
      <c r="V61" s="34">
        <v>2</v>
      </c>
      <c r="W61" s="34">
        <v>0</v>
      </c>
      <c r="X61" s="34">
        <v>0</v>
      </c>
    </row>
    <row r="62" spans="1:24" hidden="1">
      <c r="A62" s="34" t="s">
        <v>1544</v>
      </c>
      <c r="B62" s="34" t="s">
        <v>1545</v>
      </c>
      <c r="C62" s="34" t="s">
        <v>101</v>
      </c>
      <c r="D62" s="34" t="s">
        <v>102</v>
      </c>
      <c r="E62" s="34" t="s">
        <v>6</v>
      </c>
      <c r="F62" s="34" t="s">
        <v>1546</v>
      </c>
      <c r="G62" s="54">
        <v>1739915151</v>
      </c>
      <c r="H62" s="54" t="s">
        <v>229</v>
      </c>
      <c r="I62" s="54" t="s">
        <v>3514</v>
      </c>
      <c r="J62" s="34" t="s">
        <v>3515</v>
      </c>
      <c r="K62" s="50">
        <v>130000</v>
      </c>
      <c r="L62" s="43">
        <v>39930</v>
      </c>
      <c r="M62" s="44">
        <f t="shared" si="0"/>
        <v>0.30715384615384617</v>
      </c>
      <c r="N62" s="49">
        <f>ROUND(L62/Summary!$C$3*Summary!$C$2,0)</f>
        <v>123783</v>
      </c>
      <c r="O62" s="44">
        <f t="shared" si="1"/>
        <v>0.95217692307692303</v>
      </c>
      <c r="P62" s="78">
        <v>10</v>
      </c>
      <c r="Q62" s="34">
        <v>1</v>
      </c>
      <c r="R62" s="35">
        <f t="shared" si="2"/>
        <v>0.1</v>
      </c>
      <c r="S62" s="49">
        <f>ROUND(Q62/Summary!$C$3*Summary!$C$2,0)</f>
        <v>3</v>
      </c>
      <c r="T62" s="44">
        <f t="shared" si="3"/>
        <v>0.3</v>
      </c>
      <c r="U62" s="34">
        <v>1</v>
      </c>
      <c r="V62" s="34">
        <v>0</v>
      </c>
      <c r="W62" s="34">
        <v>0</v>
      </c>
      <c r="X62" s="34">
        <v>0</v>
      </c>
    </row>
    <row r="63" spans="1:24" hidden="1">
      <c r="A63" s="34" t="s">
        <v>1600</v>
      </c>
      <c r="B63" s="34" t="s">
        <v>1601</v>
      </c>
      <c r="C63" s="34" t="s">
        <v>101</v>
      </c>
      <c r="D63" s="34" t="s">
        <v>102</v>
      </c>
      <c r="E63" s="34" t="s">
        <v>6</v>
      </c>
      <c r="F63" s="34" t="s">
        <v>1602</v>
      </c>
      <c r="G63" s="54">
        <v>1799821800</v>
      </c>
      <c r="H63" s="54" t="s">
        <v>229</v>
      </c>
      <c r="I63" s="54" t="s">
        <v>3514</v>
      </c>
      <c r="J63" s="34" t="s">
        <v>3515</v>
      </c>
      <c r="K63" s="50">
        <v>130000</v>
      </c>
      <c r="L63" s="43">
        <v>19570</v>
      </c>
      <c r="M63" s="44">
        <f t="shared" si="0"/>
        <v>0.15053846153846154</v>
      </c>
      <c r="N63" s="49">
        <f>ROUND(L63/Summary!$C$3*Summary!$C$2,0)</f>
        <v>60667</v>
      </c>
      <c r="O63" s="44">
        <f t="shared" si="1"/>
        <v>0.46666923076923078</v>
      </c>
      <c r="P63" s="78">
        <v>10</v>
      </c>
      <c r="Q63" s="34">
        <v>1</v>
      </c>
      <c r="R63" s="35">
        <f t="shared" si="2"/>
        <v>0.1</v>
      </c>
      <c r="S63" s="49">
        <f>ROUND(Q63/Summary!$C$3*Summary!$C$2,0)</f>
        <v>3</v>
      </c>
      <c r="T63" s="44">
        <f t="shared" si="3"/>
        <v>0.3</v>
      </c>
      <c r="U63" s="34">
        <v>2</v>
      </c>
      <c r="V63" s="34">
        <v>0</v>
      </c>
      <c r="W63" s="34">
        <v>0</v>
      </c>
      <c r="X63" s="34">
        <v>0</v>
      </c>
    </row>
    <row r="64" spans="1:24" hidden="1">
      <c r="A64" s="75" t="s">
        <v>3519</v>
      </c>
      <c r="B64" s="75" t="s">
        <v>3520</v>
      </c>
      <c r="C64" s="75" t="s">
        <v>101</v>
      </c>
      <c r="D64" s="75" t="s">
        <v>102</v>
      </c>
      <c r="E64" s="75" t="s">
        <v>6</v>
      </c>
      <c r="F64" s="75" t="s">
        <v>3521</v>
      </c>
      <c r="G64" s="67">
        <v>1712106045</v>
      </c>
      <c r="H64" s="54" t="s">
        <v>229</v>
      </c>
      <c r="I64" s="54" t="s">
        <v>3522</v>
      </c>
      <c r="J64" s="34" t="s">
        <v>3419</v>
      </c>
      <c r="K64" s="50">
        <v>500000</v>
      </c>
      <c r="L64" s="43">
        <v>92370</v>
      </c>
      <c r="M64" s="44">
        <f t="shared" si="0"/>
        <v>0.18473999999999999</v>
      </c>
      <c r="N64" s="49">
        <f>ROUND(L64/Summary!$C$3*Summary!$C$2,0)</f>
        <v>286347</v>
      </c>
      <c r="O64" s="44">
        <f t="shared" si="1"/>
        <v>0.57269400000000004</v>
      </c>
      <c r="P64" s="78">
        <v>30</v>
      </c>
      <c r="Q64" s="34">
        <v>8</v>
      </c>
      <c r="R64" s="35">
        <f t="shared" si="2"/>
        <v>0.26666666666666666</v>
      </c>
      <c r="S64" s="49">
        <f>ROUND(Q64/Summary!$C$3*Summary!$C$2,0)</f>
        <v>25</v>
      </c>
      <c r="T64" s="44">
        <f t="shared" si="3"/>
        <v>0.83333333333333337</v>
      </c>
      <c r="U64" s="34">
        <v>0</v>
      </c>
      <c r="V64" s="34">
        <v>3</v>
      </c>
      <c r="W64" s="34">
        <v>0</v>
      </c>
      <c r="X64" s="34">
        <v>0</v>
      </c>
    </row>
    <row r="65" spans="1:24" hidden="1">
      <c r="A65" s="34" t="s">
        <v>1671</v>
      </c>
      <c r="B65" s="34" t="s">
        <v>1672</v>
      </c>
      <c r="C65" s="34" t="s">
        <v>101</v>
      </c>
      <c r="D65" s="34" t="s">
        <v>102</v>
      </c>
      <c r="E65" s="34" t="s">
        <v>6</v>
      </c>
      <c r="F65" s="34" t="s">
        <v>1673</v>
      </c>
      <c r="G65" s="54">
        <v>1746206124</v>
      </c>
      <c r="H65" s="54" t="s">
        <v>229</v>
      </c>
      <c r="I65" s="54" t="s">
        <v>3514</v>
      </c>
      <c r="J65" s="34" t="s">
        <v>3419</v>
      </c>
      <c r="K65" s="50">
        <v>130000</v>
      </c>
      <c r="L65" s="43">
        <v>28660</v>
      </c>
      <c r="M65" s="44">
        <f t="shared" si="0"/>
        <v>0.22046153846153846</v>
      </c>
      <c r="N65" s="49">
        <f>ROUND(L65/Summary!$C$3*Summary!$C$2,0)</f>
        <v>88846</v>
      </c>
      <c r="O65" s="44">
        <f t="shared" si="1"/>
        <v>0.68343076923076929</v>
      </c>
      <c r="P65" s="78">
        <v>10</v>
      </c>
      <c r="Q65" s="34">
        <v>3</v>
      </c>
      <c r="R65" s="35">
        <f t="shared" si="2"/>
        <v>0.3</v>
      </c>
      <c r="S65" s="49">
        <f>ROUND(Q65/Summary!$C$3*Summary!$C$2,0)</f>
        <v>9</v>
      </c>
      <c r="T65" s="44">
        <f t="shared" si="3"/>
        <v>0.9</v>
      </c>
      <c r="U65" s="34">
        <v>0</v>
      </c>
      <c r="V65" s="34">
        <v>0</v>
      </c>
      <c r="W65" s="34">
        <v>0</v>
      </c>
      <c r="X65" s="34">
        <v>0</v>
      </c>
    </row>
    <row r="66" spans="1:24" hidden="1">
      <c r="A66" s="75" t="s">
        <v>3523</v>
      </c>
      <c r="B66" s="75" t="s">
        <v>3524</v>
      </c>
      <c r="C66" s="75" t="s">
        <v>101</v>
      </c>
      <c r="D66" s="75" t="s">
        <v>102</v>
      </c>
      <c r="E66" s="75" t="s">
        <v>6</v>
      </c>
      <c r="F66" s="75" t="s">
        <v>3525</v>
      </c>
      <c r="G66" s="67">
        <v>1745823210</v>
      </c>
      <c r="H66" s="54" t="s">
        <v>229</v>
      </c>
      <c r="I66" s="54" t="s">
        <v>3522</v>
      </c>
      <c r="J66" s="34" t="s">
        <v>3419</v>
      </c>
      <c r="K66" s="50">
        <v>500000</v>
      </c>
      <c r="L66" s="43">
        <v>120255</v>
      </c>
      <c r="M66" s="44">
        <f t="shared" si="0"/>
        <v>0.24051</v>
      </c>
      <c r="N66" s="49">
        <f>ROUND(L66/Summary!$C$3*Summary!$C$2,0)</f>
        <v>372791</v>
      </c>
      <c r="O66" s="44">
        <f t="shared" si="1"/>
        <v>0.74558199999999997</v>
      </c>
      <c r="P66" s="78">
        <v>30</v>
      </c>
      <c r="Q66" s="34">
        <v>10</v>
      </c>
      <c r="R66" s="35">
        <f t="shared" si="2"/>
        <v>0.33333333333333331</v>
      </c>
      <c r="S66" s="49">
        <f>ROUND(Q66/Summary!$C$3*Summary!$C$2,0)</f>
        <v>31</v>
      </c>
      <c r="T66" s="44">
        <f t="shared" si="3"/>
        <v>1.0333333333333334</v>
      </c>
      <c r="U66" s="34">
        <v>2</v>
      </c>
      <c r="V66" s="34">
        <v>3</v>
      </c>
      <c r="W66" s="34">
        <v>2</v>
      </c>
      <c r="X66" s="34">
        <v>2</v>
      </c>
    </row>
    <row r="67" spans="1:24" hidden="1">
      <c r="A67" s="34" t="s">
        <v>1653</v>
      </c>
      <c r="B67" s="34" t="s">
        <v>1654</v>
      </c>
      <c r="C67" s="34" t="s">
        <v>101</v>
      </c>
      <c r="D67" s="34" t="s">
        <v>102</v>
      </c>
      <c r="E67" s="34" t="s">
        <v>6</v>
      </c>
      <c r="F67" s="34" t="s">
        <v>1655</v>
      </c>
      <c r="G67" s="54">
        <v>1712087579</v>
      </c>
      <c r="H67" s="54" t="s">
        <v>229</v>
      </c>
      <c r="I67" s="54" t="s">
        <v>3514</v>
      </c>
      <c r="J67" s="34" t="s">
        <v>3419</v>
      </c>
      <c r="K67" s="50">
        <v>184005</v>
      </c>
      <c r="L67" s="43">
        <v>77520</v>
      </c>
      <c r="M67" s="44">
        <f t="shared" si="0"/>
        <v>0.42129289964946603</v>
      </c>
      <c r="N67" s="49">
        <f>ROUND(L67/Summary!$C$3*Summary!$C$2,0)</f>
        <v>240312</v>
      </c>
      <c r="O67" s="44">
        <f t="shared" si="1"/>
        <v>1.3060079889133447</v>
      </c>
      <c r="P67" s="78">
        <v>12</v>
      </c>
      <c r="Q67" s="34">
        <v>3</v>
      </c>
      <c r="R67" s="35">
        <f t="shared" si="2"/>
        <v>0.25</v>
      </c>
      <c r="S67" s="49">
        <f>ROUND(Q67/Summary!$C$3*Summary!$C$2,0)</f>
        <v>9</v>
      </c>
      <c r="T67" s="44">
        <f t="shared" si="3"/>
        <v>0.75</v>
      </c>
      <c r="U67" s="34">
        <v>1</v>
      </c>
      <c r="V67" s="34">
        <v>0</v>
      </c>
      <c r="W67" s="34">
        <v>0</v>
      </c>
      <c r="X67" s="34">
        <v>0</v>
      </c>
    </row>
    <row r="68" spans="1:24" hidden="1">
      <c r="A68" s="34" t="s">
        <v>1767</v>
      </c>
      <c r="B68" s="34" t="s">
        <v>1768</v>
      </c>
      <c r="C68" s="34" t="s">
        <v>101</v>
      </c>
      <c r="D68" s="34" t="s">
        <v>102</v>
      </c>
      <c r="E68" s="34" t="s">
        <v>6</v>
      </c>
      <c r="F68" s="34" t="s">
        <v>1769</v>
      </c>
      <c r="G68" s="54">
        <v>1711355386</v>
      </c>
      <c r="H68" s="54" t="s">
        <v>229</v>
      </c>
      <c r="I68" s="54" t="s">
        <v>3514</v>
      </c>
      <c r="J68" s="34" t="s">
        <v>3515</v>
      </c>
      <c r="K68" s="50">
        <v>130000</v>
      </c>
      <c r="L68" s="43">
        <v>7590</v>
      </c>
      <c r="M68" s="44">
        <f t="shared" si="0"/>
        <v>5.8384615384615382E-2</v>
      </c>
      <c r="N68" s="49">
        <f>ROUND(L68/Summary!$C$3*Summary!$C$2,0)</f>
        <v>23529</v>
      </c>
      <c r="O68" s="44">
        <f t="shared" si="1"/>
        <v>0.1809923076923077</v>
      </c>
      <c r="P68" s="78">
        <v>10</v>
      </c>
      <c r="Q68" s="34">
        <v>1</v>
      </c>
      <c r="R68" s="35">
        <f t="shared" si="2"/>
        <v>0.1</v>
      </c>
      <c r="S68" s="49">
        <f>ROUND(Q68/Summary!$C$3*Summary!$C$2,0)</f>
        <v>3</v>
      </c>
      <c r="T68" s="44">
        <f t="shared" si="3"/>
        <v>0.3</v>
      </c>
      <c r="U68" s="34">
        <v>0</v>
      </c>
      <c r="V68" s="34">
        <v>0</v>
      </c>
      <c r="W68" s="34">
        <v>1</v>
      </c>
      <c r="X68" s="34">
        <v>0</v>
      </c>
    </row>
    <row r="69" spans="1:24" hidden="1">
      <c r="A69" s="34" t="s">
        <v>1689</v>
      </c>
      <c r="B69" s="34" t="s">
        <v>1690</v>
      </c>
      <c r="C69" s="34" t="s">
        <v>113</v>
      </c>
      <c r="D69" s="34" t="s">
        <v>102</v>
      </c>
      <c r="E69" s="34" t="s">
        <v>6</v>
      </c>
      <c r="F69" s="34" t="s">
        <v>1691</v>
      </c>
      <c r="G69" s="54">
        <v>1713663331</v>
      </c>
      <c r="H69" s="54" t="s">
        <v>229</v>
      </c>
      <c r="I69" s="54" t="s">
        <v>3514</v>
      </c>
      <c r="J69" s="34" t="s">
        <v>3421</v>
      </c>
      <c r="K69" s="50">
        <v>130000</v>
      </c>
      <c r="L69" s="43">
        <v>6990</v>
      </c>
      <c r="M69" s="44">
        <f t="shared" si="0"/>
        <v>5.3769230769230771E-2</v>
      </c>
      <c r="N69" s="49">
        <f>ROUND(L69/Summary!$C$3*Summary!$C$2,0)</f>
        <v>21669</v>
      </c>
      <c r="O69" s="44">
        <f t="shared" si="1"/>
        <v>0.16668461538461538</v>
      </c>
      <c r="P69" s="78">
        <v>10</v>
      </c>
      <c r="Q69" s="34">
        <v>1</v>
      </c>
      <c r="R69" s="35">
        <f t="shared" si="2"/>
        <v>0.1</v>
      </c>
      <c r="S69" s="49">
        <f>ROUND(Q69/Summary!$C$3*Summary!$C$2,0)</f>
        <v>3</v>
      </c>
      <c r="T69" s="44">
        <f t="shared" si="3"/>
        <v>0.3</v>
      </c>
      <c r="U69" s="34">
        <v>0</v>
      </c>
      <c r="V69" s="34">
        <v>0</v>
      </c>
      <c r="W69" s="34">
        <v>0</v>
      </c>
      <c r="X69" s="34">
        <v>0</v>
      </c>
    </row>
    <row r="70" spans="1:24" hidden="1">
      <c r="A70" s="34" t="s">
        <v>1578</v>
      </c>
      <c r="B70" s="34" t="s">
        <v>818</v>
      </c>
      <c r="C70" s="34" t="s">
        <v>113</v>
      </c>
      <c r="D70" s="34" t="s">
        <v>102</v>
      </c>
      <c r="E70" s="34" t="s">
        <v>6</v>
      </c>
      <c r="F70" s="34" t="s">
        <v>1579</v>
      </c>
      <c r="G70" s="54">
        <v>1722274560</v>
      </c>
      <c r="H70" s="54" t="s">
        <v>229</v>
      </c>
      <c r="I70" s="54" t="s">
        <v>3514</v>
      </c>
      <c r="J70" s="34" t="s">
        <v>3419</v>
      </c>
      <c r="K70" s="50">
        <v>130000</v>
      </c>
      <c r="L70" s="43">
        <v>58345</v>
      </c>
      <c r="M70" s="44">
        <f t="shared" si="0"/>
        <v>0.4488076923076923</v>
      </c>
      <c r="N70" s="49">
        <f>ROUND(L70/Summary!$C$3*Summary!$C$2,0)</f>
        <v>180870</v>
      </c>
      <c r="O70" s="44">
        <f t="shared" si="1"/>
        <v>1.3913076923076924</v>
      </c>
      <c r="P70" s="78">
        <v>10</v>
      </c>
      <c r="Q70" s="34">
        <v>5</v>
      </c>
      <c r="R70" s="35">
        <f t="shared" si="2"/>
        <v>0.5</v>
      </c>
      <c r="S70" s="49">
        <f>ROUND(Q70/Summary!$C$3*Summary!$C$2,0)</f>
        <v>16</v>
      </c>
      <c r="T70" s="44">
        <f t="shared" si="3"/>
        <v>1.6</v>
      </c>
      <c r="U70" s="34">
        <v>0</v>
      </c>
      <c r="V70" s="34">
        <v>1</v>
      </c>
      <c r="W70" s="34">
        <v>0</v>
      </c>
      <c r="X70" s="34">
        <v>0</v>
      </c>
    </row>
    <row r="71" spans="1:24" hidden="1">
      <c r="A71" s="34" t="s">
        <v>1580</v>
      </c>
      <c r="B71" s="34" t="s">
        <v>1581</v>
      </c>
      <c r="C71" s="34" t="s">
        <v>113</v>
      </c>
      <c r="D71" s="34" t="s">
        <v>102</v>
      </c>
      <c r="E71" s="34" t="s">
        <v>6</v>
      </c>
      <c r="F71" s="34" t="s">
        <v>1582</v>
      </c>
      <c r="G71" s="54">
        <v>1718901703</v>
      </c>
      <c r="H71" s="54" t="s">
        <v>229</v>
      </c>
      <c r="I71" s="54" t="s">
        <v>3514</v>
      </c>
      <c r="J71" s="34" t="s">
        <v>3421</v>
      </c>
      <c r="K71" s="50">
        <v>130000</v>
      </c>
      <c r="L71" s="43">
        <v>37080</v>
      </c>
      <c r="M71" s="44">
        <f t="shared" si="0"/>
        <v>0.28523076923076923</v>
      </c>
      <c r="N71" s="49">
        <f>ROUND(L71/Summary!$C$3*Summary!$C$2,0)</f>
        <v>114948</v>
      </c>
      <c r="O71" s="44">
        <f t="shared" si="1"/>
        <v>0.88421538461538463</v>
      </c>
      <c r="P71" s="78">
        <v>10</v>
      </c>
      <c r="Q71" s="34">
        <v>2</v>
      </c>
      <c r="R71" s="35">
        <f t="shared" si="2"/>
        <v>0.2</v>
      </c>
      <c r="S71" s="49">
        <f>ROUND(Q71/Summary!$C$3*Summary!$C$2,0)</f>
        <v>6</v>
      </c>
      <c r="T71" s="44">
        <f t="shared" si="3"/>
        <v>0.6</v>
      </c>
      <c r="U71" s="34">
        <v>0</v>
      </c>
      <c r="V71" s="34">
        <v>0</v>
      </c>
      <c r="W71" s="34">
        <v>0</v>
      </c>
      <c r="X71" s="34">
        <v>0</v>
      </c>
    </row>
    <row r="72" spans="1:24" hidden="1">
      <c r="A72" s="34" t="s">
        <v>1564</v>
      </c>
      <c r="B72" s="34" t="s">
        <v>1565</v>
      </c>
      <c r="C72" s="34" t="s">
        <v>113</v>
      </c>
      <c r="D72" s="34" t="s">
        <v>102</v>
      </c>
      <c r="E72" s="34" t="s">
        <v>6</v>
      </c>
      <c r="F72" s="34" t="s">
        <v>1566</v>
      </c>
      <c r="G72" s="54">
        <v>1788400004</v>
      </c>
      <c r="H72" s="54" t="s">
        <v>229</v>
      </c>
      <c r="I72" s="54" t="s">
        <v>3514</v>
      </c>
      <c r="J72" s="34" t="s">
        <v>3421</v>
      </c>
      <c r="K72" s="50">
        <v>130000</v>
      </c>
      <c r="L72" s="43">
        <v>11430</v>
      </c>
      <c r="M72" s="44">
        <f t="shared" si="0"/>
        <v>8.7923076923076923E-2</v>
      </c>
      <c r="N72" s="49">
        <f>ROUND(L72/Summary!$C$3*Summary!$C$2,0)</f>
        <v>35433</v>
      </c>
      <c r="O72" s="44">
        <f t="shared" si="1"/>
        <v>0.27256153846153847</v>
      </c>
      <c r="P72" s="78">
        <v>10</v>
      </c>
      <c r="Q72" s="34">
        <v>1</v>
      </c>
      <c r="R72" s="35">
        <f t="shared" si="2"/>
        <v>0.1</v>
      </c>
      <c r="S72" s="49">
        <f>ROUND(Q72/Summary!$C$3*Summary!$C$2,0)</f>
        <v>3</v>
      </c>
      <c r="T72" s="44">
        <f t="shared" si="3"/>
        <v>0.3</v>
      </c>
      <c r="U72" s="34">
        <v>0</v>
      </c>
      <c r="V72" s="34">
        <v>1</v>
      </c>
      <c r="W72" s="34">
        <v>0</v>
      </c>
      <c r="X72" s="34">
        <v>0</v>
      </c>
    </row>
    <row r="73" spans="1:24" hidden="1">
      <c r="A73" s="34" t="s">
        <v>1512</v>
      </c>
      <c r="B73" s="34" t="s">
        <v>1513</v>
      </c>
      <c r="C73" s="34" t="s">
        <v>113</v>
      </c>
      <c r="D73" s="34" t="s">
        <v>102</v>
      </c>
      <c r="E73" s="34" t="s">
        <v>6</v>
      </c>
      <c r="F73" s="34" t="s">
        <v>1514</v>
      </c>
      <c r="G73" s="54">
        <v>1712342228</v>
      </c>
      <c r="H73" s="54" t="s">
        <v>229</v>
      </c>
      <c r="I73" s="54" t="s">
        <v>3514</v>
      </c>
      <c r="J73" s="34" t="s">
        <v>3421</v>
      </c>
      <c r="K73" s="50">
        <v>130000</v>
      </c>
      <c r="L73" s="43">
        <v>17070</v>
      </c>
      <c r="M73" s="44">
        <f t="shared" ref="M73:M136" si="16">L73/K73</f>
        <v>0.13130769230769232</v>
      </c>
      <c r="N73" s="49">
        <f>ROUND(L73/Summary!$C$3*Summary!$C$2,0)</f>
        <v>52917</v>
      </c>
      <c r="O73" s="44">
        <f t="shared" ref="O73:O136" si="17">N73/K73</f>
        <v>0.40705384615384615</v>
      </c>
      <c r="P73" s="78">
        <v>10</v>
      </c>
      <c r="Q73" s="34">
        <v>0</v>
      </c>
      <c r="R73" s="35">
        <f t="shared" ref="R73:R136" si="18">Q73/P73</f>
        <v>0</v>
      </c>
      <c r="S73" s="49">
        <f>ROUND(Q73/Summary!$C$3*Summary!$C$2,0)</f>
        <v>0</v>
      </c>
      <c r="T73" s="44">
        <f t="shared" ref="T73:T136" si="19">S73/P73</f>
        <v>0</v>
      </c>
      <c r="U73" s="34">
        <v>0</v>
      </c>
      <c r="V73" s="34">
        <v>0</v>
      </c>
      <c r="W73" s="34">
        <v>0</v>
      </c>
      <c r="X73" s="34">
        <v>0</v>
      </c>
    </row>
    <row r="74" spans="1:24" hidden="1">
      <c r="A74" s="34" t="s">
        <v>2901</v>
      </c>
      <c r="B74" s="34" t="s">
        <v>2902</v>
      </c>
      <c r="C74" s="34" t="s">
        <v>113</v>
      </c>
      <c r="D74" s="34" t="s">
        <v>102</v>
      </c>
      <c r="E74" s="34" t="s">
        <v>6</v>
      </c>
      <c r="F74" s="34" t="s">
        <v>2903</v>
      </c>
      <c r="G74" s="54">
        <v>1717041199</v>
      </c>
      <c r="H74" s="54" t="s">
        <v>229</v>
      </c>
      <c r="I74" s="54" t="s">
        <v>3514</v>
      </c>
      <c r="J74" s="34" t="s">
        <v>3421</v>
      </c>
      <c r="K74" s="50">
        <v>130000</v>
      </c>
      <c r="L74" s="43">
        <v>66790</v>
      </c>
      <c r="M74" s="44">
        <f t="shared" si="16"/>
        <v>0.51376923076923076</v>
      </c>
      <c r="N74" s="49">
        <f>ROUND(L74/Summary!$C$3*Summary!$C$2,0)</f>
        <v>207049</v>
      </c>
      <c r="O74" s="44">
        <f t="shared" si="17"/>
        <v>1.5926846153846155</v>
      </c>
      <c r="P74" s="78">
        <v>10</v>
      </c>
      <c r="Q74" s="34">
        <v>4</v>
      </c>
      <c r="R74" s="35">
        <f t="shared" si="18"/>
        <v>0.4</v>
      </c>
      <c r="S74" s="49">
        <f>ROUND(Q74/Summary!$C$3*Summary!$C$2,0)</f>
        <v>12</v>
      </c>
      <c r="T74" s="44">
        <f t="shared" si="19"/>
        <v>1.2</v>
      </c>
      <c r="U74" s="34">
        <v>2</v>
      </c>
      <c r="V74" s="34">
        <v>1</v>
      </c>
      <c r="W74" s="34">
        <v>0</v>
      </c>
      <c r="X74" s="34">
        <v>0</v>
      </c>
    </row>
    <row r="75" spans="1:24" hidden="1">
      <c r="A75" s="34" t="s">
        <v>1647</v>
      </c>
      <c r="B75" s="34" t="s">
        <v>1648</v>
      </c>
      <c r="C75" s="34" t="s">
        <v>113</v>
      </c>
      <c r="D75" s="34" t="s">
        <v>102</v>
      </c>
      <c r="E75" s="34" t="s">
        <v>6</v>
      </c>
      <c r="F75" s="34" t="s">
        <v>1649</v>
      </c>
      <c r="G75" s="54">
        <v>1753131503</v>
      </c>
      <c r="H75" s="54" t="s">
        <v>229</v>
      </c>
      <c r="I75" s="54" t="s">
        <v>3514</v>
      </c>
      <c r="J75" s="34" t="s">
        <v>3419</v>
      </c>
      <c r="K75" s="50">
        <v>130000</v>
      </c>
      <c r="L75" s="43">
        <v>17380</v>
      </c>
      <c r="M75" s="44">
        <f t="shared" si="16"/>
        <v>0.13369230769230769</v>
      </c>
      <c r="N75" s="49">
        <f>ROUND(L75/Summary!$C$3*Summary!$C$2,0)</f>
        <v>53878</v>
      </c>
      <c r="O75" s="44">
        <f t="shared" si="17"/>
        <v>0.41444615384615385</v>
      </c>
      <c r="P75" s="78">
        <v>10</v>
      </c>
      <c r="Q75" s="34">
        <v>1</v>
      </c>
      <c r="R75" s="35">
        <f t="shared" si="18"/>
        <v>0.1</v>
      </c>
      <c r="S75" s="49">
        <f>ROUND(Q75/Summary!$C$3*Summary!$C$2,0)</f>
        <v>3</v>
      </c>
      <c r="T75" s="44">
        <f t="shared" si="19"/>
        <v>0.3</v>
      </c>
      <c r="U75" s="34">
        <v>0</v>
      </c>
      <c r="V75" s="34">
        <v>0</v>
      </c>
      <c r="W75" s="34">
        <v>0</v>
      </c>
      <c r="X75" s="34">
        <v>0</v>
      </c>
    </row>
    <row r="76" spans="1:24" hidden="1">
      <c r="A76" s="34" t="s">
        <v>1770</v>
      </c>
      <c r="B76" s="34" t="s">
        <v>77</v>
      </c>
      <c r="C76" s="34" t="s">
        <v>113</v>
      </c>
      <c r="D76" s="34" t="s">
        <v>102</v>
      </c>
      <c r="E76" s="34" t="s">
        <v>6</v>
      </c>
      <c r="F76" s="34" t="s">
        <v>1771</v>
      </c>
      <c r="G76" s="54">
        <v>1763334952</v>
      </c>
      <c r="H76" s="54" t="s">
        <v>229</v>
      </c>
      <c r="I76" s="54" t="s">
        <v>3514</v>
      </c>
      <c r="J76" s="34" t="s">
        <v>3419</v>
      </c>
      <c r="K76" s="50">
        <v>130000</v>
      </c>
      <c r="L76" s="43">
        <v>19710</v>
      </c>
      <c r="M76" s="44">
        <f t="shared" si="16"/>
        <v>0.15161538461538462</v>
      </c>
      <c r="N76" s="49">
        <f>ROUND(L76/Summary!$C$3*Summary!$C$2,0)</f>
        <v>61101</v>
      </c>
      <c r="O76" s="44">
        <f t="shared" si="17"/>
        <v>0.47000769230769229</v>
      </c>
      <c r="P76" s="78">
        <v>10</v>
      </c>
      <c r="Q76" s="34">
        <v>0</v>
      </c>
      <c r="R76" s="35">
        <f t="shared" si="18"/>
        <v>0</v>
      </c>
      <c r="S76" s="49">
        <f>ROUND(Q76/Summary!$C$3*Summary!$C$2,0)</f>
        <v>0</v>
      </c>
      <c r="T76" s="44">
        <f t="shared" si="19"/>
        <v>0</v>
      </c>
      <c r="U76" s="34">
        <v>0</v>
      </c>
      <c r="V76" s="34">
        <v>0</v>
      </c>
      <c r="W76" s="34">
        <v>0</v>
      </c>
      <c r="X76" s="34">
        <v>0</v>
      </c>
    </row>
    <row r="77" spans="1:24" hidden="1">
      <c r="A77" s="34" t="s">
        <v>1751</v>
      </c>
      <c r="B77" s="34" t="s">
        <v>1124</v>
      </c>
      <c r="C77" s="34" t="s">
        <v>113</v>
      </c>
      <c r="D77" s="34" t="s">
        <v>102</v>
      </c>
      <c r="E77" s="34" t="s">
        <v>6</v>
      </c>
      <c r="F77" s="34" t="s">
        <v>1752</v>
      </c>
      <c r="G77" s="54">
        <v>1715963154</v>
      </c>
      <c r="H77" s="54" t="s">
        <v>229</v>
      </c>
      <c r="I77" s="54" t="s">
        <v>3514</v>
      </c>
      <c r="J77" s="34" t="s">
        <v>3421</v>
      </c>
      <c r="K77" s="50">
        <v>130000</v>
      </c>
      <c r="L77" s="43">
        <v>45015</v>
      </c>
      <c r="M77" s="44">
        <f t="shared" si="16"/>
        <v>0.34626923076923077</v>
      </c>
      <c r="N77" s="49">
        <f>ROUND(L77/Summary!$C$3*Summary!$C$2,0)</f>
        <v>139547</v>
      </c>
      <c r="O77" s="44">
        <f t="shared" si="17"/>
        <v>1.0734384615384616</v>
      </c>
      <c r="P77" s="78">
        <v>10</v>
      </c>
      <c r="Q77" s="34">
        <v>3</v>
      </c>
      <c r="R77" s="35">
        <f t="shared" si="18"/>
        <v>0.3</v>
      </c>
      <c r="S77" s="49">
        <f>ROUND(Q77/Summary!$C$3*Summary!$C$2,0)</f>
        <v>9</v>
      </c>
      <c r="T77" s="44">
        <f t="shared" si="19"/>
        <v>0.9</v>
      </c>
      <c r="U77" s="34">
        <v>0</v>
      </c>
      <c r="V77" s="34">
        <v>1</v>
      </c>
      <c r="W77" s="34">
        <v>0</v>
      </c>
      <c r="X77" s="34">
        <v>0</v>
      </c>
    </row>
    <row r="78" spans="1:24" hidden="1">
      <c r="A78" s="34" t="s">
        <v>1683</v>
      </c>
      <c r="B78" s="34" t="s">
        <v>1684</v>
      </c>
      <c r="C78" s="34" t="s">
        <v>113</v>
      </c>
      <c r="D78" s="34" t="s">
        <v>102</v>
      </c>
      <c r="E78" s="34" t="s">
        <v>6</v>
      </c>
      <c r="F78" s="34" t="s">
        <v>1685</v>
      </c>
      <c r="G78" s="54">
        <v>1753307066</v>
      </c>
      <c r="H78" s="54" t="s">
        <v>229</v>
      </c>
      <c r="I78" s="54" t="s">
        <v>3514</v>
      </c>
      <c r="J78" s="34" t="s">
        <v>3419</v>
      </c>
      <c r="K78" s="50">
        <v>130000</v>
      </c>
      <c r="L78" s="43">
        <v>35589</v>
      </c>
      <c r="M78" s="44">
        <f t="shared" si="16"/>
        <v>0.27376153846153845</v>
      </c>
      <c r="N78" s="49">
        <f>ROUND(L78/Summary!$C$3*Summary!$C$2,0)</f>
        <v>110326</v>
      </c>
      <c r="O78" s="44">
        <f t="shared" si="17"/>
        <v>0.84866153846153847</v>
      </c>
      <c r="P78" s="78">
        <v>10</v>
      </c>
      <c r="Q78" s="34">
        <v>1</v>
      </c>
      <c r="R78" s="35">
        <f t="shared" si="18"/>
        <v>0.1</v>
      </c>
      <c r="S78" s="49">
        <f>ROUND(Q78/Summary!$C$3*Summary!$C$2,0)</f>
        <v>3</v>
      </c>
      <c r="T78" s="44">
        <f t="shared" si="19"/>
        <v>0.3</v>
      </c>
      <c r="U78" s="34">
        <v>0</v>
      </c>
      <c r="V78" s="34">
        <v>0</v>
      </c>
      <c r="W78" s="34">
        <v>0</v>
      </c>
      <c r="X78" s="34">
        <v>0</v>
      </c>
    </row>
    <row r="79" spans="1:24" hidden="1">
      <c r="A79" s="34" t="s">
        <v>3526</v>
      </c>
      <c r="B79" s="34" t="s">
        <v>3527</v>
      </c>
      <c r="C79" s="34" t="s">
        <v>113</v>
      </c>
      <c r="D79" s="34" t="s">
        <v>102</v>
      </c>
      <c r="E79" s="34" t="s">
        <v>6</v>
      </c>
      <c r="F79" s="34" t="s">
        <v>1866</v>
      </c>
      <c r="G79" s="54">
        <v>1711053320</v>
      </c>
      <c r="H79" s="54" t="s">
        <v>229</v>
      </c>
      <c r="I79" s="54" t="s">
        <v>3514</v>
      </c>
      <c r="J79" s="34" t="s">
        <v>3419</v>
      </c>
      <c r="K79" s="80">
        <v>200000</v>
      </c>
      <c r="L79" s="43">
        <v>89540</v>
      </c>
      <c r="M79" s="44">
        <f t="shared" si="16"/>
        <v>0.44769999999999999</v>
      </c>
      <c r="N79" s="49">
        <f>ROUND(L79/Summary!$C$3*Summary!$C$2,0)</f>
        <v>277574</v>
      </c>
      <c r="O79" s="44">
        <f t="shared" si="17"/>
        <v>1.3878699999999999</v>
      </c>
      <c r="P79" s="78">
        <v>15</v>
      </c>
      <c r="Q79" s="34">
        <v>4</v>
      </c>
      <c r="R79" s="35">
        <f t="shared" si="18"/>
        <v>0.26666666666666666</v>
      </c>
      <c r="S79" s="49">
        <f>ROUND(Q79/Summary!$C$3*Summary!$C$2,0)</f>
        <v>12</v>
      </c>
      <c r="T79" s="44">
        <f t="shared" si="19"/>
        <v>0.8</v>
      </c>
      <c r="U79" s="34">
        <v>3</v>
      </c>
      <c r="V79" s="34">
        <v>4</v>
      </c>
      <c r="W79" s="34">
        <v>0</v>
      </c>
      <c r="X79" s="34">
        <v>0</v>
      </c>
    </row>
    <row r="80" spans="1:24" hidden="1">
      <c r="A80" s="34" t="s">
        <v>1583</v>
      </c>
      <c r="B80" s="34" t="s">
        <v>1584</v>
      </c>
      <c r="C80" s="34" t="s">
        <v>113</v>
      </c>
      <c r="D80" s="34" t="s">
        <v>102</v>
      </c>
      <c r="E80" s="34" t="s">
        <v>6</v>
      </c>
      <c r="F80" s="34" t="s">
        <v>1585</v>
      </c>
      <c r="G80" s="54">
        <v>1715281041</v>
      </c>
      <c r="H80" s="54" t="s">
        <v>229</v>
      </c>
      <c r="I80" s="54" t="s">
        <v>3514</v>
      </c>
      <c r="J80" s="34" t="s">
        <v>3421</v>
      </c>
      <c r="K80" s="50">
        <v>130000</v>
      </c>
      <c r="L80" s="43">
        <v>21419</v>
      </c>
      <c r="M80" s="44">
        <f t="shared" si="16"/>
        <v>0.16476153846153846</v>
      </c>
      <c r="N80" s="49">
        <f>ROUND(L80/Summary!$C$3*Summary!$C$2,0)</f>
        <v>66399</v>
      </c>
      <c r="O80" s="44">
        <f t="shared" si="17"/>
        <v>0.51076153846153849</v>
      </c>
      <c r="P80" s="78">
        <v>10</v>
      </c>
      <c r="Q80" s="34">
        <v>1</v>
      </c>
      <c r="R80" s="35">
        <f t="shared" si="18"/>
        <v>0.1</v>
      </c>
      <c r="S80" s="49">
        <f>ROUND(Q80/Summary!$C$3*Summary!$C$2,0)</f>
        <v>3</v>
      </c>
      <c r="T80" s="44">
        <f t="shared" si="19"/>
        <v>0.3</v>
      </c>
      <c r="U80" s="34">
        <v>0</v>
      </c>
      <c r="V80" s="34">
        <v>1</v>
      </c>
      <c r="W80" s="34">
        <v>0</v>
      </c>
      <c r="X80" s="34">
        <v>0</v>
      </c>
    </row>
    <row r="81" spans="1:24" hidden="1">
      <c r="A81" s="34" t="s">
        <v>1567</v>
      </c>
      <c r="B81" s="34" t="s">
        <v>1568</v>
      </c>
      <c r="C81" s="34" t="s">
        <v>113</v>
      </c>
      <c r="D81" s="34" t="s">
        <v>102</v>
      </c>
      <c r="E81" s="34" t="s">
        <v>6</v>
      </c>
      <c r="F81" s="34" t="s">
        <v>1569</v>
      </c>
      <c r="G81" s="54">
        <v>1920622160</v>
      </c>
      <c r="H81" s="54" t="s">
        <v>229</v>
      </c>
      <c r="I81" s="54" t="s">
        <v>3522</v>
      </c>
      <c r="J81" s="34" t="s">
        <v>3419</v>
      </c>
      <c r="K81" s="50">
        <v>520926</v>
      </c>
      <c r="L81" s="43">
        <v>202029</v>
      </c>
      <c r="M81" s="44">
        <f t="shared" si="16"/>
        <v>0.38782667787747205</v>
      </c>
      <c r="N81" s="49">
        <f>ROUND(L81/Summary!$C$3*Summary!$C$2,0)</f>
        <v>626290</v>
      </c>
      <c r="O81" s="44">
        <f t="shared" si="17"/>
        <v>1.2022628933860087</v>
      </c>
      <c r="P81" s="78">
        <v>24</v>
      </c>
      <c r="Q81" s="34">
        <v>10</v>
      </c>
      <c r="R81" s="35">
        <f t="shared" si="18"/>
        <v>0.41666666666666669</v>
      </c>
      <c r="S81" s="49">
        <f>ROUND(Q81/Summary!$C$3*Summary!$C$2,0)</f>
        <v>31</v>
      </c>
      <c r="T81" s="44">
        <f t="shared" si="19"/>
        <v>1.2916666666666667</v>
      </c>
      <c r="U81" s="34">
        <v>1</v>
      </c>
      <c r="V81" s="34">
        <v>1</v>
      </c>
      <c r="W81" s="34">
        <v>0</v>
      </c>
      <c r="X81" s="34">
        <v>1</v>
      </c>
    </row>
    <row r="82" spans="1:24" hidden="1">
      <c r="A82" s="34" t="s">
        <v>3224</v>
      </c>
      <c r="B82" s="34" t="s">
        <v>3225</v>
      </c>
      <c r="C82" s="34" t="s">
        <v>113</v>
      </c>
      <c r="D82" s="34" t="s">
        <v>102</v>
      </c>
      <c r="E82" s="34" t="s">
        <v>6</v>
      </c>
      <c r="F82" s="34" t="s">
        <v>254</v>
      </c>
      <c r="G82" s="54">
        <v>1724126789</v>
      </c>
      <c r="H82" s="54" t="s">
        <v>229</v>
      </c>
      <c r="I82" s="54" t="s">
        <v>3514</v>
      </c>
      <c r="J82" s="34" t="s">
        <v>3421</v>
      </c>
      <c r="K82" s="50">
        <v>130000</v>
      </c>
      <c r="L82" s="43">
        <v>9080</v>
      </c>
      <c r="M82" s="44">
        <f t="shared" si="16"/>
        <v>6.9846153846153849E-2</v>
      </c>
      <c r="N82" s="49">
        <f>ROUND(L82/Summary!$C$3*Summary!$C$2,0)</f>
        <v>28148</v>
      </c>
      <c r="O82" s="44">
        <f t="shared" si="17"/>
        <v>0.21652307692307693</v>
      </c>
      <c r="P82" s="78">
        <v>10</v>
      </c>
      <c r="Q82" s="34">
        <v>0</v>
      </c>
      <c r="R82" s="35">
        <f t="shared" si="18"/>
        <v>0</v>
      </c>
      <c r="S82" s="49">
        <f>ROUND(Q82/Summary!$C$3*Summary!$C$2,0)</f>
        <v>0</v>
      </c>
      <c r="T82" s="44">
        <f t="shared" si="19"/>
        <v>0</v>
      </c>
      <c r="U82" s="34">
        <v>0</v>
      </c>
      <c r="V82" s="34">
        <v>0</v>
      </c>
      <c r="W82" s="34">
        <v>0</v>
      </c>
      <c r="X82" s="34">
        <v>0</v>
      </c>
    </row>
    <row r="83" spans="1:24" hidden="1">
      <c r="A83" s="34" t="s">
        <v>1731</v>
      </c>
      <c r="B83" s="34" t="s">
        <v>1732</v>
      </c>
      <c r="C83" s="34" t="s">
        <v>113</v>
      </c>
      <c r="D83" s="34" t="s">
        <v>102</v>
      </c>
      <c r="E83" s="34" t="s">
        <v>6</v>
      </c>
      <c r="F83" s="34" t="s">
        <v>1733</v>
      </c>
      <c r="G83" s="54">
        <v>1712383829</v>
      </c>
      <c r="H83" s="54" t="s">
        <v>229</v>
      </c>
      <c r="I83" s="54" t="s">
        <v>3514</v>
      </c>
      <c r="J83" s="34" t="s">
        <v>3421</v>
      </c>
      <c r="K83" s="50">
        <v>130000</v>
      </c>
      <c r="L83" s="43">
        <v>47720</v>
      </c>
      <c r="M83" s="44">
        <f t="shared" si="16"/>
        <v>0.36707692307692308</v>
      </c>
      <c r="N83" s="49">
        <f>ROUND(L83/Summary!$C$3*Summary!$C$2,0)</f>
        <v>147932</v>
      </c>
      <c r="O83" s="44">
        <f t="shared" si="17"/>
        <v>1.1379384615384616</v>
      </c>
      <c r="P83" s="78">
        <v>10</v>
      </c>
      <c r="Q83" s="34">
        <v>4</v>
      </c>
      <c r="R83" s="35">
        <f t="shared" si="18"/>
        <v>0.4</v>
      </c>
      <c r="S83" s="49">
        <f>ROUND(Q83/Summary!$C$3*Summary!$C$2,0)</f>
        <v>12</v>
      </c>
      <c r="T83" s="44">
        <f t="shared" si="19"/>
        <v>1.2</v>
      </c>
      <c r="U83" s="34">
        <v>1</v>
      </c>
      <c r="V83" s="34">
        <v>0</v>
      </c>
      <c r="W83" s="34">
        <v>1</v>
      </c>
      <c r="X83" s="34">
        <v>0</v>
      </c>
    </row>
    <row r="84" spans="1:24" hidden="1">
      <c r="A84" s="34" t="s">
        <v>1594</v>
      </c>
      <c r="B84" s="34" t="s">
        <v>1595</v>
      </c>
      <c r="C84" s="34" t="s">
        <v>113</v>
      </c>
      <c r="D84" s="34" t="s">
        <v>102</v>
      </c>
      <c r="E84" s="34" t="s">
        <v>6</v>
      </c>
      <c r="F84" s="34" t="s">
        <v>1596</v>
      </c>
      <c r="G84" s="54">
        <v>1719285048</v>
      </c>
      <c r="H84" s="54" t="s">
        <v>229</v>
      </c>
      <c r="I84" s="54" t="s">
        <v>3514</v>
      </c>
      <c r="J84" s="34" t="s">
        <v>3419</v>
      </c>
      <c r="K84" s="50">
        <v>130000</v>
      </c>
      <c r="L84" s="43">
        <v>23410</v>
      </c>
      <c r="M84" s="44">
        <f t="shared" si="16"/>
        <v>0.18007692307692308</v>
      </c>
      <c r="N84" s="49">
        <f>ROUND(L84/Summary!$C$3*Summary!$C$2,0)</f>
        <v>72571</v>
      </c>
      <c r="O84" s="44">
        <f t="shared" si="17"/>
        <v>0.55823846153846157</v>
      </c>
      <c r="P84" s="78">
        <v>10</v>
      </c>
      <c r="Q84" s="34">
        <v>1</v>
      </c>
      <c r="R84" s="35">
        <f t="shared" si="18"/>
        <v>0.1</v>
      </c>
      <c r="S84" s="49">
        <f>ROUND(Q84/Summary!$C$3*Summary!$C$2,0)</f>
        <v>3</v>
      </c>
      <c r="T84" s="44">
        <f t="shared" si="19"/>
        <v>0.3</v>
      </c>
      <c r="U84" s="34">
        <v>0</v>
      </c>
      <c r="V84" s="34">
        <v>0</v>
      </c>
      <c r="W84" s="34">
        <v>0</v>
      </c>
      <c r="X84" s="34">
        <v>0</v>
      </c>
    </row>
    <row r="85" spans="1:24" hidden="1">
      <c r="A85" s="34" t="s">
        <v>1623</v>
      </c>
      <c r="B85" s="34" t="s">
        <v>1624</v>
      </c>
      <c r="C85" s="34" t="s">
        <v>113</v>
      </c>
      <c r="D85" s="34" t="s">
        <v>102</v>
      </c>
      <c r="E85" s="34" t="s">
        <v>6</v>
      </c>
      <c r="F85" s="34" t="s">
        <v>1625</v>
      </c>
      <c r="G85" s="54">
        <v>1945605382</v>
      </c>
      <c r="H85" s="54" t="s">
        <v>229</v>
      </c>
      <c r="I85" s="54" t="s">
        <v>3514</v>
      </c>
      <c r="J85" s="34" t="s">
        <v>3421</v>
      </c>
      <c r="K85" s="50">
        <v>130000</v>
      </c>
      <c r="L85" s="43">
        <v>17829</v>
      </c>
      <c r="M85" s="44">
        <f t="shared" si="16"/>
        <v>0.13714615384615383</v>
      </c>
      <c r="N85" s="49">
        <f>ROUND(L85/Summary!$C$3*Summary!$C$2,0)</f>
        <v>55270</v>
      </c>
      <c r="O85" s="44">
        <f t="shared" si="17"/>
        <v>0.42515384615384616</v>
      </c>
      <c r="P85" s="78">
        <v>10</v>
      </c>
      <c r="Q85" s="34">
        <v>1</v>
      </c>
      <c r="R85" s="35">
        <f t="shared" si="18"/>
        <v>0.1</v>
      </c>
      <c r="S85" s="49">
        <f>ROUND(Q85/Summary!$C$3*Summary!$C$2,0)</f>
        <v>3</v>
      </c>
      <c r="T85" s="44">
        <f t="shared" si="19"/>
        <v>0.3</v>
      </c>
      <c r="U85" s="34">
        <v>0</v>
      </c>
      <c r="V85" s="34">
        <v>0</v>
      </c>
      <c r="W85" s="34">
        <v>0</v>
      </c>
      <c r="X85" s="34">
        <v>0</v>
      </c>
    </row>
    <row r="86" spans="1:24" hidden="1">
      <c r="A86" s="34" t="s">
        <v>1570</v>
      </c>
      <c r="B86" s="34" t="s">
        <v>1571</v>
      </c>
      <c r="C86" s="34" t="s">
        <v>113</v>
      </c>
      <c r="D86" s="34" t="s">
        <v>102</v>
      </c>
      <c r="E86" s="34" t="s">
        <v>6</v>
      </c>
      <c r="F86" s="34" t="s">
        <v>1572</v>
      </c>
      <c r="G86" s="54">
        <v>1711398333</v>
      </c>
      <c r="H86" s="54" t="s">
        <v>229</v>
      </c>
      <c r="I86" s="54" t="s">
        <v>3514</v>
      </c>
      <c r="J86" s="34" t="s">
        <v>3419</v>
      </c>
      <c r="K86" s="50">
        <v>182716</v>
      </c>
      <c r="L86" s="43">
        <v>96530</v>
      </c>
      <c r="M86" s="44">
        <f t="shared" si="16"/>
        <v>0.52830622386654702</v>
      </c>
      <c r="N86" s="49">
        <f>ROUND(L86/Summary!$C$3*Summary!$C$2,0)</f>
        <v>299243</v>
      </c>
      <c r="O86" s="44">
        <f t="shared" si="17"/>
        <v>1.6377492939862957</v>
      </c>
      <c r="P86" s="78">
        <v>10</v>
      </c>
      <c r="Q86" s="34">
        <v>2</v>
      </c>
      <c r="R86" s="35">
        <f t="shared" si="18"/>
        <v>0.2</v>
      </c>
      <c r="S86" s="49">
        <f>ROUND(Q86/Summary!$C$3*Summary!$C$2,0)</f>
        <v>6</v>
      </c>
      <c r="T86" s="44">
        <f t="shared" si="19"/>
        <v>0.6</v>
      </c>
      <c r="U86" s="34">
        <v>1</v>
      </c>
      <c r="V86" s="34">
        <v>1</v>
      </c>
      <c r="W86" s="34">
        <v>0</v>
      </c>
      <c r="X86" s="34">
        <v>0</v>
      </c>
    </row>
    <row r="87" spans="1:24" hidden="1">
      <c r="A87" s="34" t="s">
        <v>1781</v>
      </c>
      <c r="B87" s="34" t="s">
        <v>1782</v>
      </c>
      <c r="C87" s="34" t="s">
        <v>113</v>
      </c>
      <c r="D87" s="34" t="s">
        <v>102</v>
      </c>
      <c r="E87" s="34" t="s">
        <v>6</v>
      </c>
      <c r="F87" s="34" t="s">
        <v>1783</v>
      </c>
      <c r="G87" s="54">
        <v>1718886464</v>
      </c>
      <c r="H87" s="54" t="s">
        <v>229</v>
      </c>
      <c r="I87" s="54" t="s">
        <v>3514</v>
      </c>
      <c r="J87" s="34" t="s">
        <v>3515</v>
      </c>
      <c r="K87" s="50">
        <v>130000</v>
      </c>
      <c r="L87" s="43">
        <v>4190</v>
      </c>
      <c r="M87" s="44">
        <f t="shared" si="16"/>
        <v>3.223076923076923E-2</v>
      </c>
      <c r="N87" s="49">
        <f>ROUND(L87/Summary!$C$3*Summary!$C$2,0)</f>
        <v>12989</v>
      </c>
      <c r="O87" s="44">
        <f t="shared" si="17"/>
        <v>9.9915384615384614E-2</v>
      </c>
      <c r="P87" s="78">
        <v>10</v>
      </c>
      <c r="Q87" s="34">
        <v>0</v>
      </c>
      <c r="R87" s="35">
        <f t="shared" si="18"/>
        <v>0</v>
      </c>
      <c r="S87" s="49">
        <f>ROUND(Q87/Summary!$C$3*Summary!$C$2,0)</f>
        <v>0</v>
      </c>
      <c r="T87" s="44">
        <f t="shared" si="19"/>
        <v>0</v>
      </c>
      <c r="U87" s="34">
        <v>0</v>
      </c>
      <c r="V87" s="34">
        <v>0</v>
      </c>
      <c r="W87" s="34">
        <v>0</v>
      </c>
      <c r="X87" s="34">
        <v>0</v>
      </c>
    </row>
    <row r="88" spans="1:24" hidden="1">
      <c r="A88" s="34" t="s">
        <v>1573</v>
      </c>
      <c r="B88" s="34" t="s">
        <v>1574</v>
      </c>
      <c r="C88" s="34" t="s">
        <v>113</v>
      </c>
      <c r="D88" s="34" t="s">
        <v>102</v>
      </c>
      <c r="E88" s="34" t="s">
        <v>6</v>
      </c>
      <c r="F88" s="34" t="s">
        <v>1575</v>
      </c>
      <c r="G88" s="54">
        <v>1734131415</v>
      </c>
      <c r="H88" s="54" t="s">
        <v>229</v>
      </c>
      <c r="I88" s="54" t="s">
        <v>3514</v>
      </c>
      <c r="J88" s="34" t="s">
        <v>3419</v>
      </c>
      <c r="K88" s="50">
        <v>130000</v>
      </c>
      <c r="L88" s="43">
        <v>30500</v>
      </c>
      <c r="M88" s="44">
        <f t="shared" si="16"/>
        <v>0.23461538461538461</v>
      </c>
      <c r="N88" s="49">
        <f>ROUND(L88/Summary!$C$3*Summary!$C$2,0)</f>
        <v>94550</v>
      </c>
      <c r="O88" s="44">
        <f t="shared" si="17"/>
        <v>0.72730769230769232</v>
      </c>
      <c r="P88" s="78">
        <v>10</v>
      </c>
      <c r="Q88" s="34">
        <v>1</v>
      </c>
      <c r="R88" s="35">
        <f t="shared" si="18"/>
        <v>0.1</v>
      </c>
      <c r="S88" s="49">
        <f>ROUND(Q88/Summary!$C$3*Summary!$C$2,0)</f>
        <v>3</v>
      </c>
      <c r="T88" s="44">
        <f t="shared" si="19"/>
        <v>0.3</v>
      </c>
      <c r="U88" s="34">
        <v>1</v>
      </c>
      <c r="V88" s="34">
        <v>0</v>
      </c>
      <c r="W88" s="34">
        <v>0</v>
      </c>
      <c r="X88" s="34">
        <v>1</v>
      </c>
    </row>
    <row r="89" spans="1:24" hidden="1">
      <c r="A89" s="34" t="s">
        <v>1608</v>
      </c>
      <c r="B89" s="34" t="s">
        <v>1609</v>
      </c>
      <c r="C89" s="34" t="s">
        <v>113</v>
      </c>
      <c r="D89" s="34" t="s">
        <v>102</v>
      </c>
      <c r="E89" s="34" t="s">
        <v>6</v>
      </c>
      <c r="F89" s="34" t="s">
        <v>1610</v>
      </c>
      <c r="G89" s="54">
        <v>1744553559</v>
      </c>
      <c r="H89" s="54" t="s">
        <v>229</v>
      </c>
      <c r="I89" s="54" t="s">
        <v>3514</v>
      </c>
      <c r="J89" s="34" t="s">
        <v>3421</v>
      </c>
      <c r="K89" s="50">
        <v>130000</v>
      </c>
      <c r="L89" s="43">
        <v>17930</v>
      </c>
      <c r="M89" s="44">
        <f t="shared" si="16"/>
        <v>0.13792307692307693</v>
      </c>
      <c r="N89" s="49">
        <f>ROUND(L89/Summary!$C$3*Summary!$C$2,0)</f>
        <v>55583</v>
      </c>
      <c r="O89" s="44">
        <f t="shared" si="17"/>
        <v>0.42756153846153844</v>
      </c>
      <c r="P89" s="78">
        <v>10</v>
      </c>
      <c r="Q89" s="34">
        <v>1</v>
      </c>
      <c r="R89" s="35">
        <f t="shared" si="18"/>
        <v>0.1</v>
      </c>
      <c r="S89" s="49">
        <f>ROUND(Q89/Summary!$C$3*Summary!$C$2,0)</f>
        <v>3</v>
      </c>
      <c r="T89" s="44">
        <f t="shared" si="19"/>
        <v>0.3</v>
      </c>
      <c r="U89" s="34">
        <v>1</v>
      </c>
      <c r="V89" s="34">
        <v>0</v>
      </c>
      <c r="W89" s="34">
        <v>0</v>
      </c>
      <c r="X89" s="34">
        <v>0</v>
      </c>
    </row>
    <row r="90" spans="1:24" hidden="1">
      <c r="A90" s="34" t="s">
        <v>1561</v>
      </c>
      <c r="B90" s="34" t="s">
        <v>1562</v>
      </c>
      <c r="C90" s="34" t="s">
        <v>113</v>
      </c>
      <c r="D90" s="34" t="s">
        <v>102</v>
      </c>
      <c r="E90" s="34" t="s">
        <v>6</v>
      </c>
      <c r="F90" s="34" t="s">
        <v>1563</v>
      </c>
      <c r="G90" s="54">
        <v>1721662698</v>
      </c>
      <c r="H90" s="54" t="s">
        <v>229</v>
      </c>
      <c r="I90" s="54" t="s">
        <v>3514</v>
      </c>
      <c r="J90" s="34" t="s">
        <v>3515</v>
      </c>
      <c r="K90" s="50">
        <v>130000</v>
      </c>
      <c r="L90" s="43">
        <v>25800</v>
      </c>
      <c r="M90" s="44">
        <f t="shared" si="16"/>
        <v>0.19846153846153847</v>
      </c>
      <c r="N90" s="49">
        <f>ROUND(L90/Summary!$C$3*Summary!$C$2,0)</f>
        <v>79980</v>
      </c>
      <c r="O90" s="44">
        <f t="shared" si="17"/>
        <v>0.61523076923076925</v>
      </c>
      <c r="P90" s="78">
        <v>10</v>
      </c>
      <c r="Q90" s="34">
        <v>1</v>
      </c>
      <c r="R90" s="35">
        <f t="shared" si="18"/>
        <v>0.1</v>
      </c>
      <c r="S90" s="49">
        <f>ROUND(Q90/Summary!$C$3*Summary!$C$2,0)</f>
        <v>3</v>
      </c>
      <c r="T90" s="44">
        <f t="shared" si="19"/>
        <v>0.3</v>
      </c>
      <c r="U90" s="34">
        <v>0</v>
      </c>
      <c r="V90" s="34">
        <v>0</v>
      </c>
      <c r="W90" s="34">
        <v>0</v>
      </c>
      <c r="X90" s="34">
        <v>0</v>
      </c>
    </row>
    <row r="91" spans="1:24" hidden="1">
      <c r="A91" s="34" t="s">
        <v>1656</v>
      </c>
      <c r="B91" s="34" t="s">
        <v>1657</v>
      </c>
      <c r="C91" s="34" t="s">
        <v>99</v>
      </c>
      <c r="D91" s="34" t="s">
        <v>100</v>
      </c>
      <c r="E91" s="34" t="s">
        <v>6</v>
      </c>
      <c r="F91" s="34" t="s">
        <v>1658</v>
      </c>
      <c r="G91" s="54">
        <v>1956895525</v>
      </c>
      <c r="H91" s="54" t="s">
        <v>229</v>
      </c>
      <c r="I91" s="54" t="s">
        <v>3514</v>
      </c>
      <c r="J91" s="34" t="s">
        <v>3421</v>
      </c>
      <c r="K91" s="50">
        <v>130000</v>
      </c>
      <c r="L91" s="43">
        <v>13180</v>
      </c>
      <c r="M91" s="44">
        <f t="shared" si="16"/>
        <v>0.10138461538461538</v>
      </c>
      <c r="N91" s="49">
        <f>ROUND(L91/Summary!$C$3*Summary!$C$2,0)</f>
        <v>40858</v>
      </c>
      <c r="O91" s="44">
        <f t="shared" si="17"/>
        <v>0.3142923076923077</v>
      </c>
      <c r="P91" s="78">
        <v>10</v>
      </c>
      <c r="Q91" s="34">
        <v>1</v>
      </c>
      <c r="R91" s="35">
        <f t="shared" si="18"/>
        <v>0.1</v>
      </c>
      <c r="S91" s="49">
        <f>ROUND(Q91/Summary!$C$3*Summary!$C$2,0)</f>
        <v>3</v>
      </c>
      <c r="T91" s="44">
        <f t="shared" si="19"/>
        <v>0.3</v>
      </c>
      <c r="U91" s="34">
        <v>0</v>
      </c>
      <c r="V91" s="34">
        <v>0</v>
      </c>
      <c r="W91" s="34">
        <v>0</v>
      </c>
      <c r="X91" s="34">
        <v>0</v>
      </c>
    </row>
    <row r="92" spans="1:24" hidden="1">
      <c r="A92" s="34" t="s">
        <v>1535</v>
      </c>
      <c r="B92" s="34" t="s">
        <v>1536</v>
      </c>
      <c r="C92" s="34" t="s">
        <v>99</v>
      </c>
      <c r="D92" s="34" t="s">
        <v>100</v>
      </c>
      <c r="E92" s="34" t="s">
        <v>6</v>
      </c>
      <c r="F92" s="34" t="s">
        <v>1537</v>
      </c>
      <c r="G92" s="54">
        <v>1944326251</v>
      </c>
      <c r="H92" s="54" t="s">
        <v>229</v>
      </c>
      <c r="I92" s="54" t="s">
        <v>3514</v>
      </c>
      <c r="J92" s="34" t="s">
        <v>3419</v>
      </c>
      <c r="K92" s="50">
        <v>218388</v>
      </c>
      <c r="L92" s="43">
        <v>83960</v>
      </c>
      <c r="M92" s="44">
        <f t="shared" si="16"/>
        <v>0.38445335824312693</v>
      </c>
      <c r="N92" s="49">
        <f>ROUND(L92/Summary!$C$3*Summary!$C$2,0)</f>
        <v>260276</v>
      </c>
      <c r="O92" s="44">
        <f t="shared" si="17"/>
        <v>1.1918054105536935</v>
      </c>
      <c r="P92" s="78">
        <v>10</v>
      </c>
      <c r="Q92" s="34">
        <v>4</v>
      </c>
      <c r="R92" s="35">
        <f t="shared" si="18"/>
        <v>0.4</v>
      </c>
      <c r="S92" s="49">
        <f>ROUND(Q92/Summary!$C$3*Summary!$C$2,0)</f>
        <v>12</v>
      </c>
      <c r="T92" s="44">
        <f t="shared" si="19"/>
        <v>1.2</v>
      </c>
      <c r="U92" s="34">
        <v>0</v>
      </c>
      <c r="V92" s="34">
        <v>1</v>
      </c>
      <c r="W92" s="34">
        <v>1</v>
      </c>
      <c r="X92" s="34">
        <v>1</v>
      </c>
    </row>
    <row r="93" spans="1:24" hidden="1">
      <c r="A93" s="34" t="s">
        <v>2904</v>
      </c>
      <c r="B93" s="34" t="s">
        <v>2905</v>
      </c>
      <c r="C93" s="34" t="s">
        <v>99</v>
      </c>
      <c r="D93" s="34" t="s">
        <v>100</v>
      </c>
      <c r="E93" s="34" t="s">
        <v>6</v>
      </c>
      <c r="F93" s="34" t="s">
        <v>276</v>
      </c>
      <c r="G93" s="54">
        <v>1930893786</v>
      </c>
      <c r="H93" s="54" t="s">
        <v>229</v>
      </c>
      <c r="I93" s="54" t="s">
        <v>3514</v>
      </c>
      <c r="J93" s="34" t="s">
        <v>3419</v>
      </c>
      <c r="K93" s="50">
        <v>130000</v>
      </c>
      <c r="L93" s="43">
        <v>39470</v>
      </c>
      <c r="M93" s="44">
        <f t="shared" si="16"/>
        <v>0.30361538461538462</v>
      </c>
      <c r="N93" s="49">
        <f>ROUND(L93/Summary!$C$3*Summary!$C$2,0)</f>
        <v>122357</v>
      </c>
      <c r="O93" s="44">
        <f t="shared" si="17"/>
        <v>0.9412076923076923</v>
      </c>
      <c r="P93" s="78">
        <v>10</v>
      </c>
      <c r="Q93" s="34">
        <v>0</v>
      </c>
      <c r="R93" s="35">
        <f t="shared" si="18"/>
        <v>0</v>
      </c>
      <c r="S93" s="49">
        <f>ROUND(Q93/Summary!$C$3*Summary!$C$2,0)</f>
        <v>0</v>
      </c>
      <c r="T93" s="44">
        <f t="shared" si="19"/>
        <v>0</v>
      </c>
      <c r="U93" s="34">
        <v>0</v>
      </c>
      <c r="V93" s="34">
        <v>0</v>
      </c>
      <c r="W93" s="34">
        <v>0</v>
      </c>
      <c r="X93" s="34">
        <v>0</v>
      </c>
    </row>
    <row r="94" spans="1:24">
      <c r="A94" s="34" t="s">
        <v>3009</v>
      </c>
      <c r="B94" s="34" t="s">
        <v>3010</v>
      </c>
      <c r="C94" s="34" t="s">
        <v>99</v>
      </c>
      <c r="D94" s="34" t="s">
        <v>100</v>
      </c>
      <c r="E94" s="34" t="s">
        <v>6</v>
      </c>
      <c r="F94" s="34" t="s">
        <v>3011</v>
      </c>
      <c r="G94" s="54">
        <v>1716837770</v>
      </c>
      <c r="H94" s="54" t="s">
        <v>229</v>
      </c>
      <c r="I94" s="54" t="s">
        <v>3514</v>
      </c>
      <c r="J94" s="34" t="s">
        <v>3419</v>
      </c>
      <c r="K94" s="50">
        <v>130000</v>
      </c>
      <c r="L94" s="43">
        <v>0</v>
      </c>
      <c r="M94" s="44">
        <f t="shared" si="16"/>
        <v>0</v>
      </c>
      <c r="N94" s="49">
        <f>ROUND(L94/Summary!$C$3*Summary!$C$2,0)</f>
        <v>0</v>
      </c>
      <c r="O94" s="44">
        <f t="shared" si="17"/>
        <v>0</v>
      </c>
      <c r="P94" s="78">
        <v>10</v>
      </c>
      <c r="Q94" s="34">
        <v>0</v>
      </c>
      <c r="R94" s="35">
        <f t="shared" si="18"/>
        <v>0</v>
      </c>
      <c r="S94" s="49">
        <f>ROUND(Q94/Summary!$C$3*Summary!$C$2,0)</f>
        <v>0</v>
      </c>
      <c r="T94" s="44">
        <f t="shared" si="19"/>
        <v>0</v>
      </c>
      <c r="U94" s="34">
        <v>0</v>
      </c>
      <c r="V94" s="34">
        <v>0</v>
      </c>
      <c r="W94" s="34">
        <v>0</v>
      </c>
      <c r="X94" s="34">
        <v>0</v>
      </c>
    </row>
    <row r="95" spans="1:24" hidden="1">
      <c r="A95" s="34" t="s">
        <v>3012</v>
      </c>
      <c r="B95" s="34" t="s">
        <v>3013</v>
      </c>
      <c r="C95" s="34" t="s">
        <v>99</v>
      </c>
      <c r="D95" s="34" t="s">
        <v>100</v>
      </c>
      <c r="E95" s="34" t="s">
        <v>6</v>
      </c>
      <c r="F95" s="34" t="s">
        <v>3014</v>
      </c>
      <c r="G95" s="54">
        <v>1912222991</v>
      </c>
      <c r="H95" s="54" t="s">
        <v>229</v>
      </c>
      <c r="I95" s="54" t="s">
        <v>3514</v>
      </c>
      <c r="J95" s="34" t="s">
        <v>3515</v>
      </c>
      <c r="K95" s="50">
        <v>130000</v>
      </c>
      <c r="L95" s="43">
        <v>36030</v>
      </c>
      <c r="M95" s="44">
        <f t="shared" si="16"/>
        <v>0.27715384615384614</v>
      </c>
      <c r="N95" s="49">
        <f>ROUND(L95/Summary!$C$3*Summary!$C$2,0)</f>
        <v>111693</v>
      </c>
      <c r="O95" s="44">
        <f t="shared" si="17"/>
        <v>0.85917692307692306</v>
      </c>
      <c r="P95" s="78">
        <v>10</v>
      </c>
      <c r="Q95" s="34">
        <v>1</v>
      </c>
      <c r="R95" s="35">
        <f t="shared" si="18"/>
        <v>0.1</v>
      </c>
      <c r="S95" s="49">
        <f>ROUND(Q95/Summary!$C$3*Summary!$C$2,0)</f>
        <v>3</v>
      </c>
      <c r="T95" s="44">
        <f t="shared" si="19"/>
        <v>0.3</v>
      </c>
      <c r="U95" s="34">
        <v>2</v>
      </c>
      <c r="V95" s="34">
        <v>0</v>
      </c>
      <c r="W95" s="34">
        <v>0</v>
      </c>
      <c r="X95" s="34">
        <v>0</v>
      </c>
    </row>
    <row r="96" spans="1:24" hidden="1">
      <c r="A96" s="34" t="s">
        <v>3086</v>
      </c>
      <c r="B96" s="34" t="s">
        <v>3087</v>
      </c>
      <c r="C96" s="34" t="s">
        <v>99</v>
      </c>
      <c r="D96" s="34" t="s">
        <v>100</v>
      </c>
      <c r="E96" s="34" t="s">
        <v>6</v>
      </c>
      <c r="F96" s="34" t="s">
        <v>3088</v>
      </c>
      <c r="G96" s="54">
        <v>1716062081</v>
      </c>
      <c r="H96" s="54" t="s">
        <v>229</v>
      </c>
      <c r="I96" s="54" t="s">
        <v>3514</v>
      </c>
      <c r="J96" s="34" t="s">
        <v>3421</v>
      </c>
      <c r="K96" s="50">
        <v>130000</v>
      </c>
      <c r="L96" s="43">
        <v>10080</v>
      </c>
      <c r="M96" s="44">
        <f t="shared" si="16"/>
        <v>7.7538461538461542E-2</v>
      </c>
      <c r="N96" s="49">
        <f>ROUND(L96/Summary!$C$3*Summary!$C$2,0)</f>
        <v>31248</v>
      </c>
      <c r="O96" s="44">
        <f t="shared" si="17"/>
        <v>0.24036923076923078</v>
      </c>
      <c r="P96" s="78">
        <v>10</v>
      </c>
      <c r="Q96" s="34">
        <v>1</v>
      </c>
      <c r="R96" s="35">
        <f t="shared" si="18"/>
        <v>0.1</v>
      </c>
      <c r="S96" s="49">
        <f>ROUND(Q96/Summary!$C$3*Summary!$C$2,0)</f>
        <v>3</v>
      </c>
      <c r="T96" s="44">
        <f t="shared" si="19"/>
        <v>0.3</v>
      </c>
      <c r="U96" s="34">
        <v>0</v>
      </c>
      <c r="V96" s="34">
        <v>0</v>
      </c>
      <c r="W96" s="34">
        <v>0</v>
      </c>
      <c r="X96" s="34">
        <v>0</v>
      </c>
    </row>
    <row r="97" spans="1:24" hidden="1">
      <c r="A97" s="34" t="s">
        <v>1706</v>
      </c>
      <c r="B97" s="34" t="s">
        <v>1707</v>
      </c>
      <c r="C97" s="34" t="s">
        <v>140</v>
      </c>
      <c r="D97" s="34" t="s">
        <v>100</v>
      </c>
      <c r="E97" s="34" t="s">
        <v>6</v>
      </c>
      <c r="F97" s="34" t="s">
        <v>1708</v>
      </c>
      <c r="G97" s="54">
        <v>1962552442</v>
      </c>
      <c r="H97" s="54" t="s">
        <v>229</v>
      </c>
      <c r="I97" s="54" t="s">
        <v>3514</v>
      </c>
      <c r="J97" s="34" t="s">
        <v>3419</v>
      </c>
      <c r="K97" s="50">
        <v>130000</v>
      </c>
      <c r="L97" s="43">
        <v>19960</v>
      </c>
      <c r="M97" s="44">
        <f t="shared" si="16"/>
        <v>0.15353846153846154</v>
      </c>
      <c r="N97" s="49">
        <f>ROUND(L97/Summary!$C$3*Summary!$C$2,0)</f>
        <v>61876</v>
      </c>
      <c r="O97" s="44">
        <f t="shared" si="17"/>
        <v>0.47596923076923076</v>
      </c>
      <c r="P97" s="78">
        <v>10</v>
      </c>
      <c r="Q97" s="34">
        <v>1</v>
      </c>
      <c r="R97" s="35">
        <f t="shared" si="18"/>
        <v>0.1</v>
      </c>
      <c r="S97" s="49">
        <f>ROUND(Q97/Summary!$C$3*Summary!$C$2,0)</f>
        <v>3</v>
      </c>
      <c r="T97" s="44">
        <f t="shared" si="19"/>
        <v>0.3</v>
      </c>
      <c r="U97" s="34">
        <v>0</v>
      </c>
      <c r="V97" s="34">
        <v>0</v>
      </c>
      <c r="W97" s="34">
        <v>0</v>
      </c>
      <c r="X97" s="34">
        <v>0</v>
      </c>
    </row>
    <row r="98" spans="1:24" hidden="1">
      <c r="A98" s="34" t="s">
        <v>1509</v>
      </c>
      <c r="B98" s="34" t="s">
        <v>1510</v>
      </c>
      <c r="C98" s="34" t="s">
        <v>140</v>
      </c>
      <c r="D98" s="34" t="s">
        <v>100</v>
      </c>
      <c r="E98" s="34" t="s">
        <v>6</v>
      </c>
      <c r="F98" s="34" t="s">
        <v>1511</v>
      </c>
      <c r="G98" s="54">
        <v>1937802525</v>
      </c>
      <c r="H98" s="54" t="s">
        <v>229</v>
      </c>
      <c r="I98" s="54" t="s">
        <v>3514</v>
      </c>
      <c r="J98" s="34" t="s">
        <v>3419</v>
      </c>
      <c r="K98" s="50">
        <v>130000</v>
      </c>
      <c r="L98" s="43">
        <v>30390</v>
      </c>
      <c r="M98" s="44">
        <f t="shared" si="16"/>
        <v>0.23376923076923076</v>
      </c>
      <c r="N98" s="49">
        <f>ROUND(L98/Summary!$C$3*Summary!$C$2,0)</f>
        <v>94209</v>
      </c>
      <c r="O98" s="44">
        <f t="shared" si="17"/>
        <v>0.72468461538461537</v>
      </c>
      <c r="P98" s="78">
        <v>10</v>
      </c>
      <c r="Q98" s="34">
        <v>1</v>
      </c>
      <c r="R98" s="35">
        <f t="shared" si="18"/>
        <v>0.1</v>
      </c>
      <c r="S98" s="49">
        <f>ROUND(Q98/Summary!$C$3*Summary!$C$2,0)</f>
        <v>3</v>
      </c>
      <c r="T98" s="44">
        <f t="shared" si="19"/>
        <v>0.3</v>
      </c>
      <c r="U98" s="34">
        <v>0</v>
      </c>
      <c r="V98" s="34">
        <v>0</v>
      </c>
      <c r="W98" s="34">
        <v>0</v>
      </c>
      <c r="X98" s="34">
        <v>0</v>
      </c>
    </row>
    <row r="99" spans="1:24">
      <c r="A99" s="34" t="s">
        <v>1576</v>
      </c>
      <c r="B99" s="34" t="s">
        <v>1577</v>
      </c>
      <c r="C99" s="34" t="s">
        <v>140</v>
      </c>
      <c r="D99" s="34" t="s">
        <v>100</v>
      </c>
      <c r="E99" s="34" t="s">
        <v>6</v>
      </c>
      <c r="F99" s="34" t="s">
        <v>338</v>
      </c>
      <c r="G99" s="54">
        <v>1710881674</v>
      </c>
      <c r="H99" s="54" t="s">
        <v>229</v>
      </c>
      <c r="I99" s="54" t="s">
        <v>3514</v>
      </c>
      <c r="J99" s="34" t="s">
        <v>3421</v>
      </c>
      <c r="K99" s="50">
        <v>130000</v>
      </c>
      <c r="L99" s="43">
        <v>0</v>
      </c>
      <c r="M99" s="44">
        <f t="shared" si="16"/>
        <v>0</v>
      </c>
      <c r="N99" s="49">
        <f>ROUND(L99/Summary!$C$3*Summary!$C$2,0)</f>
        <v>0</v>
      </c>
      <c r="O99" s="44">
        <f t="shared" si="17"/>
        <v>0</v>
      </c>
      <c r="P99" s="78">
        <v>10</v>
      </c>
      <c r="Q99" s="34">
        <v>0</v>
      </c>
      <c r="R99" s="35">
        <f t="shared" si="18"/>
        <v>0</v>
      </c>
      <c r="S99" s="49">
        <f>ROUND(Q99/Summary!$C$3*Summary!$C$2,0)</f>
        <v>0</v>
      </c>
      <c r="T99" s="44">
        <f t="shared" si="19"/>
        <v>0</v>
      </c>
      <c r="U99" s="34">
        <v>0</v>
      </c>
      <c r="V99" s="34">
        <v>0</v>
      </c>
      <c r="W99" s="34">
        <v>0</v>
      </c>
      <c r="X99" s="34">
        <v>0</v>
      </c>
    </row>
    <row r="100" spans="1:24" hidden="1">
      <c r="A100" s="34" t="s">
        <v>1611</v>
      </c>
      <c r="B100" s="34" t="s">
        <v>1612</v>
      </c>
      <c r="C100" s="34" t="s">
        <v>140</v>
      </c>
      <c r="D100" s="34" t="s">
        <v>100</v>
      </c>
      <c r="E100" s="34" t="s">
        <v>6</v>
      </c>
      <c r="F100" s="34" t="s">
        <v>1613</v>
      </c>
      <c r="G100" s="54">
        <v>1725131305</v>
      </c>
      <c r="H100" s="54" t="s">
        <v>229</v>
      </c>
      <c r="I100" s="54" t="s">
        <v>3514</v>
      </c>
      <c r="J100" s="34" t="s">
        <v>3515</v>
      </c>
      <c r="K100" s="50">
        <v>175285</v>
      </c>
      <c r="L100" s="43">
        <v>45210</v>
      </c>
      <c r="M100" s="44">
        <f t="shared" si="16"/>
        <v>0.25792281142139944</v>
      </c>
      <c r="N100" s="49">
        <f>ROUND(L100/Summary!$C$3*Summary!$C$2,0)</f>
        <v>140151</v>
      </c>
      <c r="O100" s="44">
        <f t="shared" si="17"/>
        <v>0.79956071540633822</v>
      </c>
      <c r="P100" s="78">
        <v>10</v>
      </c>
      <c r="Q100" s="34">
        <v>1</v>
      </c>
      <c r="R100" s="35">
        <f t="shared" si="18"/>
        <v>0.1</v>
      </c>
      <c r="S100" s="49">
        <f>ROUND(Q100/Summary!$C$3*Summary!$C$2,0)</f>
        <v>3</v>
      </c>
      <c r="T100" s="44">
        <f t="shared" si="19"/>
        <v>0.3</v>
      </c>
      <c r="U100" s="34">
        <v>0</v>
      </c>
      <c r="V100" s="34">
        <v>0</v>
      </c>
      <c r="W100" s="34">
        <v>0</v>
      </c>
      <c r="X100" s="34">
        <v>0</v>
      </c>
    </row>
    <row r="101" spans="1:24" hidden="1">
      <c r="A101" s="34" t="s">
        <v>1558</v>
      </c>
      <c r="B101" s="34" t="s">
        <v>1559</v>
      </c>
      <c r="C101" s="34" t="s">
        <v>140</v>
      </c>
      <c r="D101" s="34" t="s">
        <v>100</v>
      </c>
      <c r="E101" s="34" t="s">
        <v>6</v>
      </c>
      <c r="F101" s="34" t="s">
        <v>1560</v>
      </c>
      <c r="G101" s="54">
        <v>1757632390</v>
      </c>
      <c r="H101" s="54" t="s">
        <v>229</v>
      </c>
      <c r="I101" s="54" t="s">
        <v>3514</v>
      </c>
      <c r="J101" s="34" t="s">
        <v>3419</v>
      </c>
      <c r="K101" s="50">
        <v>294138</v>
      </c>
      <c r="L101" s="43">
        <v>80949</v>
      </c>
      <c r="M101" s="44">
        <f t="shared" si="16"/>
        <v>0.27520755563714994</v>
      </c>
      <c r="N101" s="49">
        <f>ROUND(L101/Summary!$C$3*Summary!$C$2,0)</f>
        <v>250942</v>
      </c>
      <c r="O101" s="44">
        <f t="shared" si="17"/>
        <v>0.85314376245163837</v>
      </c>
      <c r="P101" s="78">
        <v>10</v>
      </c>
      <c r="Q101" s="34">
        <v>1</v>
      </c>
      <c r="R101" s="35">
        <f t="shared" si="18"/>
        <v>0.1</v>
      </c>
      <c r="S101" s="49">
        <f>ROUND(Q101/Summary!$C$3*Summary!$C$2,0)</f>
        <v>3</v>
      </c>
      <c r="T101" s="44">
        <f t="shared" si="19"/>
        <v>0.3</v>
      </c>
      <c r="U101" s="34">
        <v>0</v>
      </c>
      <c r="V101" s="34">
        <v>0</v>
      </c>
      <c r="W101" s="34">
        <v>0</v>
      </c>
      <c r="X101" s="34">
        <v>0</v>
      </c>
    </row>
    <row r="102" spans="1:24" hidden="1">
      <c r="A102" s="34" t="s">
        <v>1695</v>
      </c>
      <c r="B102" s="34" t="s">
        <v>1696</v>
      </c>
      <c r="C102" s="34" t="s">
        <v>140</v>
      </c>
      <c r="D102" s="34" t="s">
        <v>100</v>
      </c>
      <c r="E102" s="34" t="s">
        <v>6</v>
      </c>
      <c r="F102" s="34" t="s">
        <v>1697</v>
      </c>
      <c r="G102" s="54">
        <v>1725944676</v>
      </c>
      <c r="H102" s="54" t="s">
        <v>229</v>
      </c>
      <c r="I102" s="54" t="s">
        <v>3514</v>
      </c>
      <c r="J102" s="34" t="s">
        <v>3419</v>
      </c>
      <c r="K102" s="50">
        <v>153770</v>
      </c>
      <c r="L102" s="43">
        <v>30290</v>
      </c>
      <c r="M102" s="44">
        <f t="shared" si="16"/>
        <v>0.1969825063406386</v>
      </c>
      <c r="N102" s="49">
        <f>ROUND(L102/Summary!$C$3*Summary!$C$2,0)</f>
        <v>93899</v>
      </c>
      <c r="O102" s="44">
        <f t="shared" si="17"/>
        <v>0.61064576965597972</v>
      </c>
      <c r="P102" s="78">
        <v>10</v>
      </c>
      <c r="Q102" s="34">
        <v>0</v>
      </c>
      <c r="R102" s="35">
        <f t="shared" si="18"/>
        <v>0</v>
      </c>
      <c r="S102" s="49">
        <f>ROUND(Q102/Summary!$C$3*Summary!$C$2,0)</f>
        <v>0</v>
      </c>
      <c r="T102" s="44">
        <f t="shared" si="19"/>
        <v>0</v>
      </c>
      <c r="U102" s="34">
        <v>1</v>
      </c>
      <c r="V102" s="34">
        <v>0</v>
      </c>
      <c r="W102" s="34">
        <v>0</v>
      </c>
      <c r="X102" s="34">
        <v>0</v>
      </c>
    </row>
    <row r="103" spans="1:24" hidden="1">
      <c r="A103" s="34" t="s">
        <v>1597</v>
      </c>
      <c r="B103" s="34" t="s">
        <v>1598</v>
      </c>
      <c r="C103" s="34" t="s">
        <v>205</v>
      </c>
      <c r="D103" s="34" t="s">
        <v>100</v>
      </c>
      <c r="E103" s="34" t="s">
        <v>6</v>
      </c>
      <c r="F103" s="34" t="s">
        <v>1599</v>
      </c>
      <c r="G103" s="54">
        <v>1766160441</v>
      </c>
      <c r="H103" s="54" t="s">
        <v>229</v>
      </c>
      <c r="I103" s="54" t="s">
        <v>3514</v>
      </c>
      <c r="J103" s="34" t="s">
        <v>3515</v>
      </c>
      <c r="K103" s="50">
        <v>169069</v>
      </c>
      <c r="L103" s="43">
        <v>36430</v>
      </c>
      <c r="M103" s="44">
        <f t="shared" si="16"/>
        <v>0.21547415552230154</v>
      </c>
      <c r="N103" s="49">
        <f>ROUND(L103/Summary!$C$3*Summary!$C$2,0)</f>
        <v>112933</v>
      </c>
      <c r="O103" s="44">
        <f t="shared" si="17"/>
        <v>0.66796988211913477</v>
      </c>
      <c r="P103" s="78">
        <v>10</v>
      </c>
      <c r="Q103" s="34">
        <v>1</v>
      </c>
      <c r="R103" s="35">
        <f t="shared" si="18"/>
        <v>0.1</v>
      </c>
      <c r="S103" s="49">
        <f>ROUND(Q103/Summary!$C$3*Summary!$C$2,0)</f>
        <v>3</v>
      </c>
      <c r="T103" s="44">
        <f t="shared" si="19"/>
        <v>0.3</v>
      </c>
      <c r="U103" s="34">
        <v>0</v>
      </c>
      <c r="V103" s="34">
        <v>0</v>
      </c>
      <c r="W103" s="34">
        <v>0</v>
      </c>
      <c r="X103" s="34">
        <v>0</v>
      </c>
    </row>
    <row r="104" spans="1:24" hidden="1">
      <c r="A104" s="34" t="s">
        <v>1737</v>
      </c>
      <c r="B104" s="34" t="s">
        <v>1738</v>
      </c>
      <c r="C104" s="34" t="s">
        <v>205</v>
      </c>
      <c r="D104" s="34" t="s">
        <v>100</v>
      </c>
      <c r="E104" s="34" t="s">
        <v>6</v>
      </c>
      <c r="F104" s="34" t="s">
        <v>228</v>
      </c>
      <c r="G104" s="54">
        <v>1781485192</v>
      </c>
      <c r="H104" s="54" t="s">
        <v>229</v>
      </c>
      <c r="I104" s="54" t="s">
        <v>3514</v>
      </c>
      <c r="J104" s="34" t="s">
        <v>3419</v>
      </c>
      <c r="K104" s="50">
        <v>230690</v>
      </c>
      <c r="L104" s="43">
        <v>79340</v>
      </c>
      <c r="M104" s="44">
        <f t="shared" si="16"/>
        <v>0.34392474749664054</v>
      </c>
      <c r="N104" s="49">
        <f>ROUND(L104/Summary!$C$3*Summary!$C$2,0)</f>
        <v>245954</v>
      </c>
      <c r="O104" s="44">
        <f t="shared" si="17"/>
        <v>1.0661667172395857</v>
      </c>
      <c r="P104" s="78">
        <v>10</v>
      </c>
      <c r="Q104" s="34">
        <v>0</v>
      </c>
      <c r="R104" s="35">
        <f t="shared" si="18"/>
        <v>0</v>
      </c>
      <c r="S104" s="49">
        <f>ROUND(Q104/Summary!$C$3*Summary!$C$2,0)</f>
        <v>0</v>
      </c>
      <c r="T104" s="44">
        <f t="shared" si="19"/>
        <v>0</v>
      </c>
      <c r="U104" s="34">
        <v>0</v>
      </c>
      <c r="V104" s="34">
        <v>0</v>
      </c>
      <c r="W104" s="34">
        <v>0</v>
      </c>
      <c r="X104" s="34">
        <v>0</v>
      </c>
    </row>
    <row r="105" spans="1:24" hidden="1">
      <c r="A105" s="34" t="s">
        <v>1530</v>
      </c>
      <c r="B105" s="34" t="s">
        <v>1531</v>
      </c>
      <c r="C105" s="34" t="s">
        <v>205</v>
      </c>
      <c r="D105" s="34" t="s">
        <v>100</v>
      </c>
      <c r="E105" s="34" t="s">
        <v>6</v>
      </c>
      <c r="F105" s="34" t="s">
        <v>1532</v>
      </c>
      <c r="G105" s="54">
        <v>1913343525</v>
      </c>
      <c r="H105" s="54" t="s">
        <v>229</v>
      </c>
      <c r="I105" s="54" t="s">
        <v>3514</v>
      </c>
      <c r="J105" s="34" t="s">
        <v>3421</v>
      </c>
      <c r="K105" s="50">
        <v>130000</v>
      </c>
      <c r="L105" s="43">
        <v>40040</v>
      </c>
      <c r="M105" s="44">
        <f t="shared" si="16"/>
        <v>0.308</v>
      </c>
      <c r="N105" s="49">
        <f>ROUND(L105/Summary!$C$3*Summary!$C$2,0)</f>
        <v>124124</v>
      </c>
      <c r="O105" s="44">
        <f t="shared" si="17"/>
        <v>0.95479999999999998</v>
      </c>
      <c r="P105" s="78">
        <v>10</v>
      </c>
      <c r="Q105" s="34">
        <v>3</v>
      </c>
      <c r="R105" s="35">
        <f t="shared" si="18"/>
        <v>0.3</v>
      </c>
      <c r="S105" s="49">
        <f>ROUND(Q105/Summary!$C$3*Summary!$C$2,0)</f>
        <v>9</v>
      </c>
      <c r="T105" s="44">
        <f t="shared" si="19"/>
        <v>0.9</v>
      </c>
      <c r="U105" s="34">
        <v>1</v>
      </c>
      <c r="V105" s="34">
        <v>0</v>
      </c>
      <c r="W105" s="34">
        <v>0</v>
      </c>
      <c r="X105" s="34">
        <v>1</v>
      </c>
    </row>
    <row r="106" spans="1:24" hidden="1">
      <c r="A106" s="34" t="s">
        <v>1725</v>
      </c>
      <c r="B106" s="34" t="s">
        <v>1726</v>
      </c>
      <c r="C106" s="34" t="s">
        <v>205</v>
      </c>
      <c r="D106" s="34" t="s">
        <v>100</v>
      </c>
      <c r="E106" s="34" t="s">
        <v>6</v>
      </c>
      <c r="F106" s="34" t="s">
        <v>1727</v>
      </c>
      <c r="G106" s="54">
        <v>1715328035</v>
      </c>
      <c r="H106" s="54" t="s">
        <v>229</v>
      </c>
      <c r="I106" s="54" t="s">
        <v>3514</v>
      </c>
      <c r="J106" s="34" t="s">
        <v>3421</v>
      </c>
      <c r="K106" s="50">
        <v>130000</v>
      </c>
      <c r="L106" s="43">
        <v>10980</v>
      </c>
      <c r="M106" s="44">
        <f t="shared" si="16"/>
        <v>8.4461538461538463E-2</v>
      </c>
      <c r="N106" s="49">
        <f>ROUND(L106/Summary!$C$3*Summary!$C$2,0)</f>
        <v>34038</v>
      </c>
      <c r="O106" s="44">
        <f t="shared" si="17"/>
        <v>0.26183076923076926</v>
      </c>
      <c r="P106" s="78">
        <v>10</v>
      </c>
      <c r="Q106" s="34">
        <v>1</v>
      </c>
      <c r="R106" s="35">
        <f t="shared" si="18"/>
        <v>0.1</v>
      </c>
      <c r="S106" s="49">
        <f>ROUND(Q106/Summary!$C$3*Summary!$C$2,0)</f>
        <v>3</v>
      </c>
      <c r="T106" s="44">
        <f t="shared" si="19"/>
        <v>0.3</v>
      </c>
      <c r="U106" s="34">
        <v>0</v>
      </c>
      <c r="V106" s="34">
        <v>1</v>
      </c>
      <c r="W106" s="34">
        <v>0</v>
      </c>
      <c r="X106" s="34">
        <v>0</v>
      </c>
    </row>
    <row r="107" spans="1:24" hidden="1">
      <c r="A107" s="34" t="s">
        <v>1664</v>
      </c>
      <c r="B107" s="34" t="s">
        <v>53</v>
      </c>
      <c r="C107" s="34" t="s">
        <v>205</v>
      </c>
      <c r="D107" s="34" t="s">
        <v>100</v>
      </c>
      <c r="E107" s="34" t="s">
        <v>6</v>
      </c>
      <c r="F107" s="34" t="s">
        <v>1409</v>
      </c>
      <c r="G107" s="54">
        <v>1717366960</v>
      </c>
      <c r="H107" s="54" t="s">
        <v>229</v>
      </c>
      <c r="I107" s="54" t="s">
        <v>3514</v>
      </c>
      <c r="J107" s="34" t="s">
        <v>3419</v>
      </c>
      <c r="K107" s="50">
        <v>197896</v>
      </c>
      <c r="L107" s="43">
        <v>74780</v>
      </c>
      <c r="M107" s="44">
        <f t="shared" si="16"/>
        <v>0.37787524760480251</v>
      </c>
      <c r="N107" s="49">
        <f>ROUND(L107/Summary!$C$3*Summary!$C$2,0)</f>
        <v>231818</v>
      </c>
      <c r="O107" s="44">
        <f t="shared" si="17"/>
        <v>1.1714132675748878</v>
      </c>
      <c r="P107" s="78">
        <v>10</v>
      </c>
      <c r="Q107" s="34">
        <v>4</v>
      </c>
      <c r="R107" s="35">
        <f t="shared" si="18"/>
        <v>0.4</v>
      </c>
      <c r="S107" s="49">
        <f>ROUND(Q107/Summary!$C$3*Summary!$C$2,0)</f>
        <v>12</v>
      </c>
      <c r="T107" s="44">
        <f t="shared" si="19"/>
        <v>1.2</v>
      </c>
      <c r="U107" s="34">
        <v>0</v>
      </c>
      <c r="V107" s="34">
        <v>0</v>
      </c>
      <c r="W107" s="34">
        <v>0</v>
      </c>
      <c r="X107" s="34">
        <v>0</v>
      </c>
    </row>
    <row r="108" spans="1:24" hidden="1">
      <c r="A108" s="34" t="s">
        <v>1692</v>
      </c>
      <c r="B108" s="34" t="s">
        <v>1693</v>
      </c>
      <c r="C108" s="34" t="s">
        <v>205</v>
      </c>
      <c r="D108" s="34" t="s">
        <v>100</v>
      </c>
      <c r="E108" s="34" t="s">
        <v>6</v>
      </c>
      <c r="F108" s="34" t="s">
        <v>1694</v>
      </c>
      <c r="G108" s="54">
        <v>1713502444</v>
      </c>
      <c r="H108" s="54" t="s">
        <v>229</v>
      </c>
      <c r="I108" s="54" t="s">
        <v>3514</v>
      </c>
      <c r="J108" s="34" t="s">
        <v>3421</v>
      </c>
      <c r="K108" s="50">
        <v>130000</v>
      </c>
      <c r="L108" s="43">
        <v>9330</v>
      </c>
      <c r="M108" s="44">
        <f t="shared" si="16"/>
        <v>7.1769230769230766E-2</v>
      </c>
      <c r="N108" s="49">
        <f>ROUND(L108/Summary!$C$3*Summary!$C$2,0)</f>
        <v>28923</v>
      </c>
      <c r="O108" s="44">
        <f t="shared" si="17"/>
        <v>0.22248461538461539</v>
      </c>
      <c r="P108" s="78">
        <v>10</v>
      </c>
      <c r="Q108" s="34">
        <v>0</v>
      </c>
      <c r="R108" s="35">
        <f t="shared" si="18"/>
        <v>0</v>
      </c>
      <c r="S108" s="49">
        <f>ROUND(Q108/Summary!$C$3*Summary!$C$2,0)</f>
        <v>0</v>
      </c>
      <c r="T108" s="44">
        <f t="shared" si="19"/>
        <v>0</v>
      </c>
      <c r="U108" s="34">
        <v>0</v>
      </c>
      <c r="V108" s="34">
        <v>0</v>
      </c>
      <c r="W108" s="34">
        <v>0</v>
      </c>
      <c r="X108" s="34">
        <v>0</v>
      </c>
    </row>
    <row r="109" spans="1:24" hidden="1">
      <c r="A109" s="34" t="s">
        <v>1650</v>
      </c>
      <c r="B109" s="34" t="s">
        <v>1651</v>
      </c>
      <c r="C109" s="34" t="s">
        <v>205</v>
      </c>
      <c r="D109" s="34" t="s">
        <v>100</v>
      </c>
      <c r="E109" s="34" t="s">
        <v>6</v>
      </c>
      <c r="F109" s="34" t="s">
        <v>1652</v>
      </c>
      <c r="G109" s="54">
        <v>1792022244</v>
      </c>
      <c r="H109" s="54" t="s">
        <v>229</v>
      </c>
      <c r="I109" s="54" t="s">
        <v>3514</v>
      </c>
      <c r="J109" s="34" t="s">
        <v>3421</v>
      </c>
      <c r="K109" s="50">
        <v>130000</v>
      </c>
      <c r="L109" s="43">
        <v>22950</v>
      </c>
      <c r="M109" s="44">
        <f t="shared" si="16"/>
        <v>0.17653846153846153</v>
      </c>
      <c r="N109" s="49">
        <f>ROUND(L109/Summary!$C$3*Summary!$C$2,0)</f>
        <v>71145</v>
      </c>
      <c r="O109" s="44">
        <f t="shared" si="17"/>
        <v>0.54726923076923073</v>
      </c>
      <c r="P109" s="78">
        <v>10</v>
      </c>
      <c r="Q109" s="34">
        <v>0</v>
      </c>
      <c r="R109" s="35">
        <f t="shared" si="18"/>
        <v>0</v>
      </c>
      <c r="S109" s="49">
        <f>ROUND(Q109/Summary!$C$3*Summary!$C$2,0)</f>
        <v>0</v>
      </c>
      <c r="T109" s="44">
        <f t="shared" si="19"/>
        <v>0</v>
      </c>
      <c r="U109" s="34">
        <v>0</v>
      </c>
      <c r="V109" s="34">
        <v>0</v>
      </c>
      <c r="W109" s="34">
        <v>0</v>
      </c>
      <c r="X109" s="34">
        <v>0</v>
      </c>
    </row>
    <row r="110" spans="1:24" hidden="1">
      <c r="A110" s="34" t="s">
        <v>3015</v>
      </c>
      <c r="B110" s="34" t="s">
        <v>3016</v>
      </c>
      <c r="C110" s="34" t="s">
        <v>205</v>
      </c>
      <c r="D110" s="34" t="s">
        <v>100</v>
      </c>
      <c r="E110" s="34" t="s">
        <v>6</v>
      </c>
      <c r="F110" s="34" t="s">
        <v>3017</v>
      </c>
      <c r="G110" s="54">
        <v>1715224545</v>
      </c>
      <c r="H110" s="54" t="s">
        <v>229</v>
      </c>
      <c r="I110" s="54" t="s">
        <v>3514</v>
      </c>
      <c r="J110" s="34" t="s">
        <v>3421</v>
      </c>
      <c r="K110" s="50">
        <v>130000</v>
      </c>
      <c r="L110" s="43">
        <v>15170</v>
      </c>
      <c r="M110" s="44">
        <f t="shared" si="16"/>
        <v>0.11669230769230769</v>
      </c>
      <c r="N110" s="49">
        <f>ROUND(L110/Summary!$C$3*Summary!$C$2,0)</f>
        <v>47027</v>
      </c>
      <c r="O110" s="44">
        <f t="shared" si="17"/>
        <v>0.36174615384615383</v>
      </c>
      <c r="P110" s="78">
        <v>10</v>
      </c>
      <c r="Q110" s="34">
        <v>1</v>
      </c>
      <c r="R110" s="35">
        <f t="shared" si="18"/>
        <v>0.1</v>
      </c>
      <c r="S110" s="49">
        <f>ROUND(Q110/Summary!$C$3*Summary!$C$2,0)</f>
        <v>3</v>
      </c>
      <c r="T110" s="44">
        <f t="shared" si="19"/>
        <v>0.3</v>
      </c>
      <c r="U110" s="34">
        <v>0</v>
      </c>
      <c r="V110" s="34">
        <v>1</v>
      </c>
      <c r="W110" s="34">
        <v>0</v>
      </c>
      <c r="X110" s="34">
        <v>0</v>
      </c>
    </row>
    <row r="111" spans="1:24" hidden="1">
      <c r="A111" s="34" t="s">
        <v>1772</v>
      </c>
      <c r="B111" s="34" t="s">
        <v>1773</v>
      </c>
      <c r="C111" s="34" t="s">
        <v>205</v>
      </c>
      <c r="D111" s="34" t="s">
        <v>100</v>
      </c>
      <c r="E111" s="34" t="s">
        <v>6</v>
      </c>
      <c r="F111" s="34" t="s">
        <v>1774</v>
      </c>
      <c r="G111" s="54">
        <v>1724009413</v>
      </c>
      <c r="H111" s="54" t="s">
        <v>229</v>
      </c>
      <c r="I111" s="54" t="s">
        <v>3514</v>
      </c>
      <c r="J111" s="34" t="s">
        <v>3421</v>
      </c>
      <c r="K111" s="50">
        <v>130000</v>
      </c>
      <c r="L111" s="43">
        <v>12980</v>
      </c>
      <c r="M111" s="44">
        <f t="shared" si="16"/>
        <v>9.9846153846153848E-2</v>
      </c>
      <c r="N111" s="49">
        <f>ROUND(L111/Summary!$C$3*Summary!$C$2,0)</f>
        <v>40238</v>
      </c>
      <c r="O111" s="44">
        <f t="shared" si="17"/>
        <v>0.3095230769230769</v>
      </c>
      <c r="P111" s="78">
        <v>10</v>
      </c>
      <c r="Q111" s="34">
        <v>1</v>
      </c>
      <c r="R111" s="35">
        <f t="shared" si="18"/>
        <v>0.1</v>
      </c>
      <c r="S111" s="49">
        <f>ROUND(Q111/Summary!$C$3*Summary!$C$2,0)</f>
        <v>3</v>
      </c>
      <c r="T111" s="44">
        <f t="shared" si="19"/>
        <v>0.3</v>
      </c>
      <c r="U111" s="34">
        <v>0</v>
      </c>
      <c r="V111" s="34">
        <v>0</v>
      </c>
      <c r="W111" s="34">
        <v>1</v>
      </c>
      <c r="X111" s="34">
        <v>0</v>
      </c>
    </row>
    <row r="112" spans="1:24" hidden="1">
      <c r="A112" s="34" t="s">
        <v>1722</v>
      </c>
      <c r="B112" s="34" t="s">
        <v>1723</v>
      </c>
      <c r="C112" s="34" t="s">
        <v>152</v>
      </c>
      <c r="D112" s="34" t="s">
        <v>153</v>
      </c>
      <c r="E112" s="34" t="s">
        <v>6</v>
      </c>
      <c r="F112" s="34" t="s">
        <v>1724</v>
      </c>
      <c r="G112" s="54">
        <v>1725263284</v>
      </c>
      <c r="H112" s="54" t="s">
        <v>229</v>
      </c>
      <c r="I112" s="54" t="s">
        <v>3514</v>
      </c>
      <c r="J112" s="34" t="s">
        <v>3419</v>
      </c>
      <c r="K112" s="50">
        <v>150000</v>
      </c>
      <c r="L112" s="43">
        <v>36440</v>
      </c>
      <c r="M112" s="44">
        <f t="shared" si="16"/>
        <v>0.24293333333333333</v>
      </c>
      <c r="N112" s="49">
        <f>ROUND(L112/Summary!$C$3*Summary!$C$2,0)</f>
        <v>112964</v>
      </c>
      <c r="O112" s="44">
        <f t="shared" si="17"/>
        <v>0.75309333333333328</v>
      </c>
      <c r="P112" s="78">
        <v>10</v>
      </c>
      <c r="Q112" s="34">
        <v>3</v>
      </c>
      <c r="R112" s="35">
        <f t="shared" si="18"/>
        <v>0.3</v>
      </c>
      <c r="S112" s="49">
        <f>ROUND(Q112/Summary!$C$3*Summary!$C$2,0)</f>
        <v>9</v>
      </c>
      <c r="T112" s="44">
        <f t="shared" si="19"/>
        <v>0.9</v>
      </c>
      <c r="U112" s="34">
        <v>0</v>
      </c>
      <c r="V112" s="34">
        <v>0</v>
      </c>
      <c r="W112" s="34">
        <v>0</v>
      </c>
      <c r="X112" s="34">
        <v>0</v>
      </c>
    </row>
    <row r="113" spans="1:24" hidden="1">
      <c r="A113" s="34" t="s">
        <v>1626</v>
      </c>
      <c r="B113" s="34" t="s">
        <v>1627</v>
      </c>
      <c r="C113" s="34" t="s">
        <v>152</v>
      </c>
      <c r="D113" s="34" t="s">
        <v>153</v>
      </c>
      <c r="E113" s="34" t="s">
        <v>6</v>
      </c>
      <c r="F113" s="34" t="s">
        <v>1628</v>
      </c>
      <c r="G113" s="54">
        <v>1511833566</v>
      </c>
      <c r="H113" s="54" t="s">
        <v>229</v>
      </c>
      <c r="I113" s="54" t="s">
        <v>3514</v>
      </c>
      <c r="J113" s="34" t="s">
        <v>3419</v>
      </c>
      <c r="K113" s="50">
        <v>146350</v>
      </c>
      <c r="L113" s="43">
        <v>41020</v>
      </c>
      <c r="M113" s="44">
        <f t="shared" si="16"/>
        <v>0.2802869832593099</v>
      </c>
      <c r="N113" s="49">
        <f>ROUND(L113/Summary!$C$3*Summary!$C$2,0)</f>
        <v>127162</v>
      </c>
      <c r="O113" s="44">
        <f t="shared" si="17"/>
        <v>0.8688896481038606</v>
      </c>
      <c r="P113" s="78">
        <v>10</v>
      </c>
      <c r="Q113" s="34">
        <v>0</v>
      </c>
      <c r="R113" s="35">
        <f t="shared" si="18"/>
        <v>0</v>
      </c>
      <c r="S113" s="49">
        <f>ROUND(Q113/Summary!$C$3*Summary!$C$2,0)</f>
        <v>0</v>
      </c>
      <c r="T113" s="44">
        <f t="shared" si="19"/>
        <v>0</v>
      </c>
      <c r="U113" s="34">
        <v>0</v>
      </c>
      <c r="V113" s="34">
        <v>0</v>
      </c>
      <c r="W113" s="34">
        <v>0</v>
      </c>
      <c r="X113" s="34">
        <v>0</v>
      </c>
    </row>
    <row r="114" spans="1:24" hidden="1">
      <c r="A114" s="34" t="s">
        <v>1588</v>
      </c>
      <c r="B114" s="34" t="s">
        <v>1589</v>
      </c>
      <c r="C114" s="34" t="s">
        <v>152</v>
      </c>
      <c r="D114" s="34" t="s">
        <v>153</v>
      </c>
      <c r="E114" s="34" t="s">
        <v>6</v>
      </c>
      <c r="F114" s="34" t="s">
        <v>1590</v>
      </c>
      <c r="G114" s="54">
        <v>1779937540</v>
      </c>
      <c r="H114" s="54" t="s">
        <v>229</v>
      </c>
      <c r="I114" s="54" t="s">
        <v>3514</v>
      </c>
      <c r="J114" s="34" t="s">
        <v>3421</v>
      </c>
      <c r="K114" s="50">
        <v>193258</v>
      </c>
      <c r="L114" s="43">
        <v>53909</v>
      </c>
      <c r="M114" s="44">
        <f t="shared" si="16"/>
        <v>0.27894834883937536</v>
      </c>
      <c r="N114" s="49">
        <f>ROUND(L114/Summary!$C$3*Summary!$C$2,0)</f>
        <v>167118</v>
      </c>
      <c r="O114" s="44">
        <f t="shared" si="17"/>
        <v>0.86474039884506726</v>
      </c>
      <c r="P114" s="78">
        <v>10</v>
      </c>
      <c r="Q114" s="34">
        <v>1</v>
      </c>
      <c r="R114" s="35">
        <f t="shared" si="18"/>
        <v>0.1</v>
      </c>
      <c r="S114" s="49">
        <f>ROUND(Q114/Summary!$C$3*Summary!$C$2,0)</f>
        <v>3</v>
      </c>
      <c r="T114" s="44">
        <f t="shared" si="19"/>
        <v>0.3</v>
      </c>
      <c r="U114" s="34">
        <v>0</v>
      </c>
      <c r="V114" s="34">
        <v>0</v>
      </c>
      <c r="W114" s="34">
        <v>0</v>
      </c>
      <c r="X114" s="34">
        <v>0</v>
      </c>
    </row>
    <row r="115" spans="1:24" hidden="1">
      <c r="A115" s="75" t="s">
        <v>3528</v>
      </c>
      <c r="B115" s="75" t="s">
        <v>152</v>
      </c>
      <c r="C115" s="75" t="s">
        <v>152</v>
      </c>
      <c r="D115" s="75" t="s">
        <v>153</v>
      </c>
      <c r="E115" s="75" t="s">
        <v>6</v>
      </c>
      <c r="F115" s="75" t="s">
        <v>3529</v>
      </c>
      <c r="G115" s="67">
        <v>1714448977</v>
      </c>
      <c r="H115" s="54" t="s">
        <v>229</v>
      </c>
      <c r="I115" s="54" t="s">
        <v>3514</v>
      </c>
      <c r="J115" s="34" t="s">
        <v>3419</v>
      </c>
      <c r="K115" s="50">
        <v>250000</v>
      </c>
      <c r="L115" s="43">
        <v>119680</v>
      </c>
      <c r="M115" s="44">
        <f t="shared" si="16"/>
        <v>0.47871999999999998</v>
      </c>
      <c r="N115" s="49">
        <f>ROUND(L115/Summary!$C$3*Summary!$C$2,0)</f>
        <v>371008</v>
      </c>
      <c r="O115" s="44">
        <f t="shared" si="17"/>
        <v>1.484032</v>
      </c>
      <c r="P115" s="78">
        <v>15</v>
      </c>
      <c r="Q115" s="34">
        <v>5</v>
      </c>
      <c r="R115" s="35">
        <f t="shared" si="18"/>
        <v>0.33333333333333331</v>
      </c>
      <c r="S115" s="49">
        <f>ROUND(Q115/Summary!$C$3*Summary!$C$2,0)</f>
        <v>16</v>
      </c>
      <c r="T115" s="44">
        <f t="shared" si="19"/>
        <v>1.0666666666666667</v>
      </c>
      <c r="U115" s="34">
        <v>2</v>
      </c>
      <c r="V115" s="34">
        <v>1</v>
      </c>
      <c r="W115" s="34">
        <v>0</v>
      </c>
      <c r="X115" s="34">
        <v>0</v>
      </c>
    </row>
    <row r="116" spans="1:24" hidden="1">
      <c r="A116" s="34" t="s">
        <v>1734</v>
      </c>
      <c r="B116" s="34" t="s">
        <v>1735</v>
      </c>
      <c r="C116" s="34" t="s">
        <v>152</v>
      </c>
      <c r="D116" s="34" t="s">
        <v>153</v>
      </c>
      <c r="E116" s="34" t="s">
        <v>6</v>
      </c>
      <c r="F116" s="34" t="s">
        <v>1736</v>
      </c>
      <c r="G116" s="54">
        <v>1812121155</v>
      </c>
      <c r="H116" s="54" t="s">
        <v>229</v>
      </c>
      <c r="I116" s="54" t="s">
        <v>3514</v>
      </c>
      <c r="J116" s="34" t="s">
        <v>3419</v>
      </c>
      <c r="K116" s="50">
        <v>130000</v>
      </c>
      <c r="L116" s="43">
        <v>49418</v>
      </c>
      <c r="M116" s="44">
        <f t="shared" si="16"/>
        <v>0.38013846153846154</v>
      </c>
      <c r="N116" s="49">
        <f>ROUND(L116/Summary!$C$3*Summary!$C$2,0)</f>
        <v>153196</v>
      </c>
      <c r="O116" s="44">
        <f t="shared" si="17"/>
        <v>1.1784307692307692</v>
      </c>
      <c r="P116" s="78">
        <v>10</v>
      </c>
      <c r="Q116" s="34">
        <v>2</v>
      </c>
      <c r="R116" s="35">
        <f t="shared" si="18"/>
        <v>0.2</v>
      </c>
      <c r="S116" s="49">
        <f>ROUND(Q116/Summary!$C$3*Summary!$C$2,0)</f>
        <v>6</v>
      </c>
      <c r="T116" s="44">
        <f t="shared" si="19"/>
        <v>0.6</v>
      </c>
      <c r="U116" s="34">
        <v>0</v>
      </c>
      <c r="V116" s="34">
        <v>2</v>
      </c>
      <c r="W116" s="34">
        <v>0</v>
      </c>
      <c r="X116" s="34">
        <v>0</v>
      </c>
    </row>
    <row r="117" spans="1:24" hidden="1">
      <c r="A117" s="34" t="s">
        <v>1753</v>
      </c>
      <c r="B117" s="34" t="s">
        <v>1754</v>
      </c>
      <c r="C117" s="34" t="s">
        <v>152</v>
      </c>
      <c r="D117" s="34" t="s">
        <v>153</v>
      </c>
      <c r="E117" s="34" t="s">
        <v>6</v>
      </c>
      <c r="F117" s="34" t="s">
        <v>1755</v>
      </c>
      <c r="G117" s="54">
        <v>1711145492</v>
      </c>
      <c r="H117" s="54" t="s">
        <v>229</v>
      </c>
      <c r="I117" s="54" t="s">
        <v>3514</v>
      </c>
      <c r="J117" s="34" t="s">
        <v>3419</v>
      </c>
      <c r="K117" s="50">
        <v>151793</v>
      </c>
      <c r="L117" s="43">
        <v>43765</v>
      </c>
      <c r="M117" s="44">
        <f t="shared" si="16"/>
        <v>0.28832027827370171</v>
      </c>
      <c r="N117" s="49">
        <f>ROUND(L117/Summary!$C$3*Summary!$C$2,0)</f>
        <v>135672</v>
      </c>
      <c r="O117" s="44">
        <f t="shared" si="17"/>
        <v>0.89379615660801226</v>
      </c>
      <c r="P117" s="78">
        <v>10</v>
      </c>
      <c r="Q117" s="34">
        <v>4</v>
      </c>
      <c r="R117" s="35">
        <f t="shared" si="18"/>
        <v>0.4</v>
      </c>
      <c r="S117" s="49">
        <f>ROUND(Q117/Summary!$C$3*Summary!$C$2,0)</f>
        <v>12</v>
      </c>
      <c r="T117" s="44">
        <f t="shared" si="19"/>
        <v>1.2</v>
      </c>
      <c r="U117" s="34">
        <v>0</v>
      </c>
      <c r="V117" s="34">
        <v>0</v>
      </c>
      <c r="W117" s="34">
        <v>0</v>
      </c>
      <c r="X117" s="34">
        <v>0</v>
      </c>
    </row>
    <row r="118" spans="1:24" hidden="1">
      <c r="A118" s="34" t="s">
        <v>1614</v>
      </c>
      <c r="B118" s="34" t="s">
        <v>1615</v>
      </c>
      <c r="C118" s="34" t="s">
        <v>1515</v>
      </c>
      <c r="D118" s="34" t="s">
        <v>153</v>
      </c>
      <c r="E118" s="34" t="s">
        <v>6</v>
      </c>
      <c r="F118" s="34" t="s">
        <v>1616</v>
      </c>
      <c r="G118" s="54">
        <v>1724494196</v>
      </c>
      <c r="H118" s="54" t="s">
        <v>229</v>
      </c>
      <c r="I118" s="54" t="s">
        <v>3514</v>
      </c>
      <c r="J118" s="34" t="s">
        <v>3421</v>
      </c>
      <c r="K118" s="50">
        <v>130000</v>
      </c>
      <c r="L118" s="43">
        <v>25460</v>
      </c>
      <c r="M118" s="44">
        <f t="shared" si="16"/>
        <v>0.19584615384615384</v>
      </c>
      <c r="N118" s="49">
        <f>ROUND(L118/Summary!$C$3*Summary!$C$2,0)</f>
        <v>78926</v>
      </c>
      <c r="O118" s="44">
        <f t="shared" si="17"/>
        <v>0.60712307692307688</v>
      </c>
      <c r="P118" s="78">
        <v>10</v>
      </c>
      <c r="Q118" s="34">
        <v>1</v>
      </c>
      <c r="R118" s="35">
        <f t="shared" si="18"/>
        <v>0.1</v>
      </c>
      <c r="S118" s="49">
        <f>ROUND(Q118/Summary!$C$3*Summary!$C$2,0)</f>
        <v>3</v>
      </c>
      <c r="T118" s="44">
        <f t="shared" si="19"/>
        <v>0.3</v>
      </c>
      <c r="U118" s="34">
        <v>1</v>
      </c>
      <c r="V118" s="34">
        <v>0</v>
      </c>
      <c r="W118" s="34">
        <v>0</v>
      </c>
      <c r="X118" s="34">
        <v>0</v>
      </c>
    </row>
    <row r="119" spans="1:24" hidden="1">
      <c r="A119" s="34" t="s">
        <v>1713</v>
      </c>
      <c r="B119" s="34" t="s">
        <v>1714</v>
      </c>
      <c r="C119" s="34" t="s">
        <v>1515</v>
      </c>
      <c r="D119" s="34" t="s">
        <v>153</v>
      </c>
      <c r="E119" s="34" t="s">
        <v>6</v>
      </c>
      <c r="F119" s="34" t="s">
        <v>1715</v>
      </c>
      <c r="G119" s="54">
        <v>1716841601</v>
      </c>
      <c r="H119" s="54" t="s">
        <v>229</v>
      </c>
      <c r="I119" s="54" t="s">
        <v>3514</v>
      </c>
      <c r="J119" s="34" t="s">
        <v>3421</v>
      </c>
      <c r="K119" s="50">
        <v>130000</v>
      </c>
      <c r="L119" s="43">
        <v>58920</v>
      </c>
      <c r="M119" s="44">
        <f t="shared" si="16"/>
        <v>0.45323076923076921</v>
      </c>
      <c r="N119" s="49">
        <f>ROUND(L119/Summary!$C$3*Summary!$C$2,0)</f>
        <v>182652</v>
      </c>
      <c r="O119" s="44">
        <f t="shared" si="17"/>
        <v>1.4050153846153846</v>
      </c>
      <c r="P119" s="78">
        <v>10</v>
      </c>
      <c r="Q119" s="34">
        <v>1</v>
      </c>
      <c r="R119" s="35">
        <f t="shared" si="18"/>
        <v>0.1</v>
      </c>
      <c r="S119" s="49">
        <f>ROUND(Q119/Summary!$C$3*Summary!$C$2,0)</f>
        <v>3</v>
      </c>
      <c r="T119" s="44">
        <f t="shared" si="19"/>
        <v>0.3</v>
      </c>
      <c r="U119" s="34">
        <v>0</v>
      </c>
      <c r="V119" s="34">
        <v>0</v>
      </c>
      <c r="W119" s="34">
        <v>0</v>
      </c>
      <c r="X119" s="34">
        <v>0</v>
      </c>
    </row>
    <row r="120" spans="1:24" hidden="1">
      <c r="A120" s="34" t="s">
        <v>1665</v>
      </c>
      <c r="B120" s="34" t="s">
        <v>1666</v>
      </c>
      <c r="C120" s="34" t="s">
        <v>1515</v>
      </c>
      <c r="D120" s="34" t="s">
        <v>153</v>
      </c>
      <c r="E120" s="34" t="s">
        <v>6</v>
      </c>
      <c r="F120" s="34" t="s">
        <v>1667</v>
      </c>
      <c r="G120" s="54">
        <v>1711571853</v>
      </c>
      <c r="H120" s="54" t="s">
        <v>229</v>
      </c>
      <c r="I120" s="54" t="s">
        <v>3514</v>
      </c>
      <c r="J120" s="34" t="s">
        <v>3421</v>
      </c>
      <c r="K120" s="50">
        <v>130000</v>
      </c>
      <c r="L120" s="43">
        <v>36310</v>
      </c>
      <c r="M120" s="44">
        <f t="shared" si="16"/>
        <v>0.27930769230769231</v>
      </c>
      <c r="N120" s="49">
        <f>ROUND(L120/Summary!$C$3*Summary!$C$2,0)</f>
        <v>112561</v>
      </c>
      <c r="O120" s="44">
        <f t="shared" si="17"/>
        <v>0.8658538461538462</v>
      </c>
      <c r="P120" s="78">
        <v>10</v>
      </c>
      <c r="Q120" s="34">
        <v>3</v>
      </c>
      <c r="R120" s="35">
        <f t="shared" si="18"/>
        <v>0.3</v>
      </c>
      <c r="S120" s="49">
        <f>ROUND(Q120/Summary!$C$3*Summary!$C$2,0)</f>
        <v>9</v>
      </c>
      <c r="T120" s="44">
        <f t="shared" si="19"/>
        <v>0.9</v>
      </c>
      <c r="U120" s="34">
        <v>0</v>
      </c>
      <c r="V120" s="34">
        <v>1</v>
      </c>
      <c r="W120" s="34">
        <v>0</v>
      </c>
      <c r="X120" s="34">
        <v>0</v>
      </c>
    </row>
    <row r="121" spans="1:24" hidden="1">
      <c r="A121" s="34" t="s">
        <v>525</v>
      </c>
      <c r="B121" s="34" t="s">
        <v>526</v>
      </c>
      <c r="C121" s="34" t="s">
        <v>521</v>
      </c>
      <c r="D121" s="34" t="s">
        <v>89</v>
      </c>
      <c r="E121" s="34" t="s">
        <v>3</v>
      </c>
      <c r="F121" s="34" t="s">
        <v>527</v>
      </c>
      <c r="G121" s="54">
        <v>1715706747</v>
      </c>
      <c r="H121" s="54" t="s">
        <v>229</v>
      </c>
      <c r="I121" s="54" t="s">
        <v>3514</v>
      </c>
      <c r="J121" s="34" t="s">
        <v>3419</v>
      </c>
      <c r="K121" s="50">
        <v>130000</v>
      </c>
      <c r="L121" s="43">
        <v>17580</v>
      </c>
      <c r="M121" s="44">
        <f t="shared" si="16"/>
        <v>0.13523076923076924</v>
      </c>
      <c r="N121" s="49">
        <f>ROUND(L121/Summary!$C$3*Summary!$C$2,0)</f>
        <v>54498</v>
      </c>
      <c r="O121" s="44">
        <f t="shared" si="17"/>
        <v>0.4192153846153846</v>
      </c>
      <c r="P121" s="78">
        <v>10</v>
      </c>
      <c r="Q121" s="34">
        <v>2</v>
      </c>
      <c r="R121" s="35">
        <f t="shared" si="18"/>
        <v>0.2</v>
      </c>
      <c r="S121" s="49">
        <f>ROUND(Q121/Summary!$C$3*Summary!$C$2,0)</f>
        <v>6</v>
      </c>
      <c r="T121" s="44">
        <f t="shared" si="19"/>
        <v>0.6</v>
      </c>
      <c r="U121" s="34">
        <v>0</v>
      </c>
      <c r="V121" s="34">
        <v>1</v>
      </c>
      <c r="W121" s="34">
        <v>0</v>
      </c>
      <c r="X121" s="34">
        <v>0</v>
      </c>
    </row>
    <row r="122" spans="1:24" hidden="1">
      <c r="A122" s="34" t="s">
        <v>534</v>
      </c>
      <c r="B122" s="34" t="s">
        <v>535</v>
      </c>
      <c r="C122" s="34" t="s">
        <v>521</v>
      </c>
      <c r="D122" s="34" t="s">
        <v>89</v>
      </c>
      <c r="E122" s="34" t="s">
        <v>3</v>
      </c>
      <c r="F122" s="34" t="s">
        <v>536</v>
      </c>
      <c r="G122" s="54">
        <v>1674443790</v>
      </c>
      <c r="H122" s="54" t="s">
        <v>229</v>
      </c>
      <c r="I122" s="54" t="s">
        <v>3522</v>
      </c>
      <c r="J122" s="34" t="s">
        <v>3420</v>
      </c>
      <c r="K122" s="50">
        <v>514729</v>
      </c>
      <c r="L122" s="43">
        <v>157800</v>
      </c>
      <c r="M122" s="44">
        <f t="shared" si="16"/>
        <v>0.30656908781125602</v>
      </c>
      <c r="N122" s="49">
        <f>ROUND(L122/Summary!$C$3*Summary!$C$2,0)</f>
        <v>489180</v>
      </c>
      <c r="O122" s="44">
        <f t="shared" si="17"/>
        <v>0.95036417221489367</v>
      </c>
      <c r="P122" s="78">
        <v>14</v>
      </c>
      <c r="Q122" s="34">
        <v>2</v>
      </c>
      <c r="R122" s="35">
        <f t="shared" si="18"/>
        <v>0.14285714285714285</v>
      </c>
      <c r="S122" s="49">
        <f>ROUND(Q122/Summary!$C$3*Summary!$C$2,0)</f>
        <v>6</v>
      </c>
      <c r="T122" s="44">
        <f t="shared" si="19"/>
        <v>0.42857142857142855</v>
      </c>
      <c r="U122" s="34">
        <v>2</v>
      </c>
      <c r="V122" s="34">
        <v>0</v>
      </c>
      <c r="W122" s="34">
        <v>0</v>
      </c>
      <c r="X122" s="34">
        <v>0</v>
      </c>
    </row>
    <row r="123" spans="1:24" hidden="1">
      <c r="A123" s="34" t="s">
        <v>531</v>
      </c>
      <c r="B123" s="34" t="s">
        <v>532</v>
      </c>
      <c r="C123" s="34" t="s">
        <v>521</v>
      </c>
      <c r="D123" s="34" t="s">
        <v>89</v>
      </c>
      <c r="E123" s="34" t="s">
        <v>3</v>
      </c>
      <c r="F123" s="34" t="s">
        <v>533</v>
      </c>
      <c r="G123" s="54">
        <v>1815461890</v>
      </c>
      <c r="H123" s="54" t="s">
        <v>229</v>
      </c>
      <c r="I123" s="54" t="s">
        <v>3514</v>
      </c>
      <c r="J123" s="34" t="s">
        <v>3419</v>
      </c>
      <c r="K123" s="50">
        <v>130000</v>
      </c>
      <c r="L123" s="43">
        <v>55560</v>
      </c>
      <c r="M123" s="44">
        <f t="shared" si="16"/>
        <v>0.42738461538461536</v>
      </c>
      <c r="N123" s="49">
        <f>ROUND(L123/Summary!$C$3*Summary!$C$2,0)</f>
        <v>172236</v>
      </c>
      <c r="O123" s="44">
        <f t="shared" si="17"/>
        <v>1.3248923076923076</v>
      </c>
      <c r="P123" s="78">
        <v>10</v>
      </c>
      <c r="Q123" s="34">
        <v>4</v>
      </c>
      <c r="R123" s="35">
        <f t="shared" si="18"/>
        <v>0.4</v>
      </c>
      <c r="S123" s="49">
        <f>ROUND(Q123/Summary!$C$3*Summary!$C$2,0)</f>
        <v>12</v>
      </c>
      <c r="T123" s="44">
        <f t="shared" si="19"/>
        <v>1.2</v>
      </c>
      <c r="U123" s="34">
        <v>0</v>
      </c>
      <c r="V123" s="34">
        <v>0</v>
      </c>
      <c r="W123" s="34">
        <v>0</v>
      </c>
      <c r="X123" s="34">
        <v>0</v>
      </c>
    </row>
    <row r="124" spans="1:24" hidden="1">
      <c r="A124" s="34" t="s">
        <v>540</v>
      </c>
      <c r="B124" s="34" t="s">
        <v>269</v>
      </c>
      <c r="C124" s="34" t="s">
        <v>521</v>
      </c>
      <c r="D124" s="34" t="s">
        <v>89</v>
      </c>
      <c r="E124" s="34" t="s">
        <v>3</v>
      </c>
      <c r="F124" s="34" t="s">
        <v>541</v>
      </c>
      <c r="G124" s="54">
        <v>1711961354</v>
      </c>
      <c r="H124" s="54" t="s">
        <v>229</v>
      </c>
      <c r="I124" s="54" t="s">
        <v>3514</v>
      </c>
      <c r="J124" s="34" t="s">
        <v>3419</v>
      </c>
      <c r="K124" s="50">
        <v>130000</v>
      </c>
      <c r="L124" s="43">
        <v>32589</v>
      </c>
      <c r="M124" s="44">
        <f t="shared" si="16"/>
        <v>0.25068461538461539</v>
      </c>
      <c r="N124" s="49">
        <f>ROUND(L124/Summary!$C$3*Summary!$C$2,0)</f>
        <v>101026</v>
      </c>
      <c r="O124" s="44">
        <f t="shared" si="17"/>
        <v>0.77712307692307692</v>
      </c>
      <c r="P124" s="78">
        <v>10</v>
      </c>
      <c r="Q124" s="34">
        <v>1</v>
      </c>
      <c r="R124" s="35">
        <f t="shared" si="18"/>
        <v>0.1</v>
      </c>
      <c r="S124" s="49">
        <f>ROUND(Q124/Summary!$C$3*Summary!$C$2,0)</f>
        <v>3</v>
      </c>
      <c r="T124" s="44">
        <f t="shared" si="19"/>
        <v>0.3</v>
      </c>
      <c r="U124" s="34">
        <v>0</v>
      </c>
      <c r="V124" s="34">
        <v>0</v>
      </c>
      <c r="W124" s="34">
        <v>0</v>
      </c>
      <c r="X124" s="34">
        <v>0</v>
      </c>
    </row>
    <row r="125" spans="1:24" hidden="1">
      <c r="A125" s="34" t="s">
        <v>522</v>
      </c>
      <c r="B125" s="34" t="s">
        <v>523</v>
      </c>
      <c r="C125" s="34" t="s">
        <v>521</v>
      </c>
      <c r="D125" s="34" t="s">
        <v>89</v>
      </c>
      <c r="E125" s="34" t="s">
        <v>3</v>
      </c>
      <c r="F125" s="34" t="s">
        <v>524</v>
      </c>
      <c r="G125" s="54">
        <v>1864606464</v>
      </c>
      <c r="H125" s="54" t="s">
        <v>229</v>
      </c>
      <c r="I125" s="54" t="s">
        <v>3514</v>
      </c>
      <c r="J125" s="34" t="s">
        <v>3419</v>
      </c>
      <c r="K125" s="50">
        <v>161073</v>
      </c>
      <c r="L125" s="43">
        <v>44680</v>
      </c>
      <c r="M125" s="44">
        <f t="shared" si="16"/>
        <v>0.27738975495582746</v>
      </c>
      <c r="N125" s="49">
        <f>ROUND(L125/Summary!$C$3*Summary!$C$2,0)</f>
        <v>138508</v>
      </c>
      <c r="O125" s="44">
        <f t="shared" si="17"/>
        <v>0.85990824036306523</v>
      </c>
      <c r="P125" s="78">
        <v>10</v>
      </c>
      <c r="Q125" s="34">
        <v>2</v>
      </c>
      <c r="R125" s="35">
        <f t="shared" si="18"/>
        <v>0.2</v>
      </c>
      <c r="S125" s="49">
        <f>ROUND(Q125/Summary!$C$3*Summary!$C$2,0)</f>
        <v>6</v>
      </c>
      <c r="T125" s="44">
        <f t="shared" si="19"/>
        <v>0.6</v>
      </c>
      <c r="U125" s="34">
        <v>0</v>
      </c>
      <c r="V125" s="34">
        <v>0</v>
      </c>
      <c r="W125" s="34">
        <v>0</v>
      </c>
      <c r="X125" s="34">
        <v>0</v>
      </c>
    </row>
    <row r="126" spans="1:24" hidden="1">
      <c r="A126" s="34" t="s">
        <v>537</v>
      </c>
      <c r="B126" s="34" t="s">
        <v>538</v>
      </c>
      <c r="C126" s="34" t="s">
        <v>3353</v>
      </c>
      <c r="D126" s="34" t="s">
        <v>89</v>
      </c>
      <c r="E126" s="34" t="s">
        <v>3</v>
      </c>
      <c r="F126" s="34" t="s">
        <v>539</v>
      </c>
      <c r="G126" s="54">
        <v>1814386724</v>
      </c>
      <c r="H126" s="54" t="s">
        <v>229</v>
      </c>
      <c r="I126" s="54" t="s">
        <v>3514</v>
      </c>
      <c r="J126" s="34" t="s">
        <v>3419</v>
      </c>
      <c r="K126" s="50">
        <v>130000</v>
      </c>
      <c r="L126" s="43">
        <v>46490</v>
      </c>
      <c r="M126" s="44">
        <f t="shared" si="16"/>
        <v>0.35761538461538461</v>
      </c>
      <c r="N126" s="49">
        <f>ROUND(L126/Summary!$C$3*Summary!$C$2,0)</f>
        <v>144119</v>
      </c>
      <c r="O126" s="44">
        <f t="shared" si="17"/>
        <v>1.1086076923076924</v>
      </c>
      <c r="P126" s="78">
        <v>10</v>
      </c>
      <c r="Q126" s="34">
        <v>0</v>
      </c>
      <c r="R126" s="35">
        <f t="shared" si="18"/>
        <v>0</v>
      </c>
      <c r="S126" s="49">
        <f>ROUND(Q126/Summary!$C$3*Summary!$C$2,0)</f>
        <v>0</v>
      </c>
      <c r="T126" s="44">
        <f t="shared" si="19"/>
        <v>0</v>
      </c>
      <c r="U126" s="34">
        <v>0</v>
      </c>
      <c r="V126" s="34">
        <v>0</v>
      </c>
      <c r="W126" s="34">
        <v>0</v>
      </c>
      <c r="X126" s="34">
        <v>0</v>
      </c>
    </row>
    <row r="127" spans="1:24" hidden="1">
      <c r="A127" s="34" t="s">
        <v>3425</v>
      </c>
      <c r="B127" s="34" t="s">
        <v>3426</v>
      </c>
      <c r="C127" s="34" t="s">
        <v>3353</v>
      </c>
      <c r="D127" s="34" t="s">
        <v>89</v>
      </c>
      <c r="E127" s="34" t="s">
        <v>3</v>
      </c>
      <c r="F127" s="34" t="s">
        <v>3427</v>
      </c>
      <c r="G127" s="54">
        <v>1824249021</v>
      </c>
      <c r="H127" s="54" t="s">
        <v>229</v>
      </c>
      <c r="I127" s="54" t="s">
        <v>3514</v>
      </c>
      <c r="J127" s="34" t="s">
        <v>3421</v>
      </c>
      <c r="K127" s="50">
        <v>270462</v>
      </c>
      <c r="L127" s="43">
        <v>71550</v>
      </c>
      <c r="M127" s="44">
        <f t="shared" si="16"/>
        <v>0.26454733012401005</v>
      </c>
      <c r="N127" s="49">
        <f>ROUND(L127/Summary!$C$3*Summary!$C$2,0)</f>
        <v>221805</v>
      </c>
      <c r="O127" s="44">
        <f t="shared" si="17"/>
        <v>0.82009672338443107</v>
      </c>
      <c r="P127" s="78">
        <v>10</v>
      </c>
      <c r="Q127" s="34">
        <v>2</v>
      </c>
      <c r="R127" s="35">
        <f t="shared" si="18"/>
        <v>0.2</v>
      </c>
      <c r="S127" s="49">
        <f>ROUND(Q127/Summary!$C$3*Summary!$C$2,0)</f>
        <v>6</v>
      </c>
      <c r="T127" s="44">
        <f t="shared" si="19"/>
        <v>0.6</v>
      </c>
      <c r="U127" s="34">
        <v>0</v>
      </c>
      <c r="V127" s="34">
        <v>0</v>
      </c>
      <c r="W127" s="34">
        <v>0</v>
      </c>
      <c r="X127" s="34">
        <v>0</v>
      </c>
    </row>
    <row r="128" spans="1:24" hidden="1">
      <c r="A128" s="34" t="s">
        <v>3354</v>
      </c>
      <c r="B128" s="34" t="s">
        <v>3355</v>
      </c>
      <c r="C128" s="34" t="s">
        <v>3353</v>
      </c>
      <c r="D128" s="34" t="s">
        <v>89</v>
      </c>
      <c r="E128" s="34" t="s">
        <v>3</v>
      </c>
      <c r="F128" s="34" t="s">
        <v>3356</v>
      </c>
      <c r="G128" s="54">
        <v>1814919872</v>
      </c>
      <c r="H128" s="54" t="s">
        <v>229</v>
      </c>
      <c r="I128" s="54" t="s">
        <v>3514</v>
      </c>
      <c r="J128" s="34" t="s">
        <v>3421</v>
      </c>
      <c r="K128" s="50">
        <v>190253</v>
      </c>
      <c r="L128" s="43">
        <v>43695</v>
      </c>
      <c r="M128" s="44">
        <f t="shared" si="16"/>
        <v>0.22966786331884387</v>
      </c>
      <c r="N128" s="49">
        <f>ROUND(L128/Summary!$C$3*Summary!$C$2,0)</f>
        <v>135455</v>
      </c>
      <c r="O128" s="44">
        <f t="shared" si="17"/>
        <v>0.71197300436786803</v>
      </c>
      <c r="P128" s="78">
        <v>10</v>
      </c>
      <c r="Q128" s="34">
        <v>2</v>
      </c>
      <c r="R128" s="35">
        <f t="shared" si="18"/>
        <v>0.2</v>
      </c>
      <c r="S128" s="49">
        <f>ROUND(Q128/Summary!$C$3*Summary!$C$2,0)</f>
        <v>6</v>
      </c>
      <c r="T128" s="44">
        <f t="shared" si="19"/>
        <v>0.6</v>
      </c>
      <c r="U128" s="34">
        <v>0</v>
      </c>
      <c r="V128" s="34">
        <v>0</v>
      </c>
      <c r="W128" s="34">
        <v>0</v>
      </c>
      <c r="X128" s="34">
        <v>0</v>
      </c>
    </row>
    <row r="129" spans="1:24" hidden="1">
      <c r="A129" s="34" t="s">
        <v>550</v>
      </c>
      <c r="B129" s="34" t="s">
        <v>551</v>
      </c>
      <c r="C129" s="34" t="s">
        <v>3353</v>
      </c>
      <c r="D129" s="34" t="s">
        <v>89</v>
      </c>
      <c r="E129" s="34" t="s">
        <v>3</v>
      </c>
      <c r="F129" s="34" t="s">
        <v>552</v>
      </c>
      <c r="G129" s="54">
        <v>1862670913</v>
      </c>
      <c r="H129" s="54" t="s">
        <v>229</v>
      </c>
      <c r="I129" s="54" t="s">
        <v>3514</v>
      </c>
      <c r="J129" s="34" t="s">
        <v>3419</v>
      </c>
      <c r="K129" s="50">
        <v>130000</v>
      </c>
      <c r="L129" s="43">
        <v>24750</v>
      </c>
      <c r="M129" s="44">
        <f t="shared" si="16"/>
        <v>0.19038461538461537</v>
      </c>
      <c r="N129" s="49">
        <f>ROUND(L129/Summary!$C$3*Summary!$C$2,0)</f>
        <v>76725</v>
      </c>
      <c r="O129" s="44">
        <f t="shared" si="17"/>
        <v>0.59019230769230768</v>
      </c>
      <c r="P129" s="78">
        <v>10</v>
      </c>
      <c r="Q129" s="34">
        <v>0</v>
      </c>
      <c r="R129" s="35">
        <f t="shared" si="18"/>
        <v>0</v>
      </c>
      <c r="S129" s="49">
        <f>ROUND(Q129/Summary!$C$3*Summary!$C$2,0)</f>
        <v>0</v>
      </c>
      <c r="T129" s="44">
        <f t="shared" si="19"/>
        <v>0</v>
      </c>
      <c r="U129" s="34">
        <v>0</v>
      </c>
      <c r="V129" s="34">
        <v>0</v>
      </c>
      <c r="W129" s="34">
        <v>0</v>
      </c>
      <c r="X129" s="34">
        <v>0</v>
      </c>
    </row>
    <row r="130" spans="1:24" hidden="1">
      <c r="A130" s="34" t="s">
        <v>528</v>
      </c>
      <c r="B130" s="34" t="s">
        <v>529</v>
      </c>
      <c r="C130" s="34" t="s">
        <v>110</v>
      </c>
      <c r="D130" s="34" t="s">
        <v>89</v>
      </c>
      <c r="E130" s="34" t="s">
        <v>3</v>
      </c>
      <c r="F130" s="34" t="s">
        <v>530</v>
      </c>
      <c r="G130" s="54">
        <v>1684302800</v>
      </c>
      <c r="H130" s="54" t="s">
        <v>229</v>
      </c>
      <c r="I130" s="54" t="s">
        <v>3514</v>
      </c>
      <c r="J130" s="34" t="s">
        <v>3419</v>
      </c>
      <c r="K130" s="50">
        <v>252913</v>
      </c>
      <c r="L130" s="43">
        <v>43855</v>
      </c>
      <c r="M130" s="44">
        <f t="shared" si="16"/>
        <v>0.1733995484613286</v>
      </c>
      <c r="N130" s="49">
        <f>ROUND(L130/Summary!$C$3*Summary!$C$2,0)</f>
        <v>135951</v>
      </c>
      <c r="O130" s="44">
        <f t="shared" si="17"/>
        <v>0.5375405771945293</v>
      </c>
      <c r="P130" s="78">
        <v>10</v>
      </c>
      <c r="Q130" s="34">
        <v>2</v>
      </c>
      <c r="R130" s="35">
        <f t="shared" si="18"/>
        <v>0.2</v>
      </c>
      <c r="S130" s="49">
        <f>ROUND(Q130/Summary!$C$3*Summary!$C$2,0)</f>
        <v>6</v>
      </c>
      <c r="T130" s="44">
        <f t="shared" si="19"/>
        <v>0.6</v>
      </c>
      <c r="U130" s="34">
        <v>1</v>
      </c>
      <c r="V130" s="34">
        <v>0</v>
      </c>
      <c r="W130" s="34">
        <v>0</v>
      </c>
      <c r="X130" s="34">
        <v>0</v>
      </c>
    </row>
    <row r="131" spans="1:24" hidden="1">
      <c r="A131" s="34" t="s">
        <v>542</v>
      </c>
      <c r="B131" s="34" t="s">
        <v>543</v>
      </c>
      <c r="C131" s="34" t="s">
        <v>110</v>
      </c>
      <c r="D131" s="34" t="s">
        <v>89</v>
      </c>
      <c r="E131" s="34" t="s">
        <v>3</v>
      </c>
      <c r="F131" s="34" t="s">
        <v>544</v>
      </c>
      <c r="G131" s="54">
        <v>1814917010</v>
      </c>
      <c r="H131" s="54" t="s">
        <v>229</v>
      </c>
      <c r="I131" s="54" t="s">
        <v>3514</v>
      </c>
      <c r="J131" s="34" t="s">
        <v>3419</v>
      </c>
      <c r="K131" s="50">
        <v>296685</v>
      </c>
      <c r="L131" s="43">
        <v>70970</v>
      </c>
      <c r="M131" s="44">
        <f t="shared" si="16"/>
        <v>0.23920993646460051</v>
      </c>
      <c r="N131" s="49">
        <f>ROUND(L131/Summary!$C$3*Summary!$C$2,0)</f>
        <v>220007</v>
      </c>
      <c r="O131" s="44">
        <f t="shared" si="17"/>
        <v>0.74155080304026155</v>
      </c>
      <c r="P131" s="78">
        <v>13</v>
      </c>
      <c r="Q131" s="34">
        <v>4</v>
      </c>
      <c r="R131" s="35">
        <f t="shared" si="18"/>
        <v>0.30769230769230771</v>
      </c>
      <c r="S131" s="49">
        <f>ROUND(Q131/Summary!$C$3*Summary!$C$2,0)</f>
        <v>12</v>
      </c>
      <c r="T131" s="44">
        <f t="shared" si="19"/>
        <v>0.92307692307692313</v>
      </c>
      <c r="U131" s="34">
        <v>0</v>
      </c>
      <c r="V131" s="34">
        <v>0</v>
      </c>
      <c r="W131" s="34">
        <v>0</v>
      </c>
      <c r="X131" s="34">
        <v>0</v>
      </c>
    </row>
    <row r="132" spans="1:24" hidden="1">
      <c r="A132" s="34" t="s">
        <v>556</v>
      </c>
      <c r="B132" s="34" t="s">
        <v>557</v>
      </c>
      <c r="C132" s="34" t="s">
        <v>110</v>
      </c>
      <c r="D132" s="34" t="s">
        <v>89</v>
      </c>
      <c r="E132" s="34" t="s">
        <v>3</v>
      </c>
      <c r="F132" s="34" t="s">
        <v>558</v>
      </c>
      <c r="G132" s="54">
        <v>1862186172</v>
      </c>
      <c r="H132" s="54" t="s">
        <v>229</v>
      </c>
      <c r="I132" s="54" t="s">
        <v>3518</v>
      </c>
      <c r="J132" s="34" t="s">
        <v>3419</v>
      </c>
      <c r="K132" s="50">
        <v>403555</v>
      </c>
      <c r="L132" s="43">
        <v>106308</v>
      </c>
      <c r="M132" s="44">
        <f t="shared" si="16"/>
        <v>0.26342877674666404</v>
      </c>
      <c r="N132" s="49">
        <f>ROUND(L132/Summary!$C$3*Summary!$C$2,0)</f>
        <v>329555</v>
      </c>
      <c r="O132" s="44">
        <f t="shared" si="17"/>
        <v>0.81662970351005437</v>
      </c>
      <c r="P132" s="78">
        <v>10</v>
      </c>
      <c r="Q132" s="34">
        <v>2</v>
      </c>
      <c r="R132" s="35">
        <f t="shared" si="18"/>
        <v>0.2</v>
      </c>
      <c r="S132" s="49">
        <f>ROUND(Q132/Summary!$C$3*Summary!$C$2,0)</f>
        <v>6</v>
      </c>
      <c r="T132" s="44">
        <f t="shared" si="19"/>
        <v>0.6</v>
      </c>
      <c r="U132" s="34">
        <v>2</v>
      </c>
      <c r="V132" s="34">
        <v>1</v>
      </c>
      <c r="W132" s="34">
        <v>0</v>
      </c>
      <c r="X132" s="34">
        <v>0</v>
      </c>
    </row>
    <row r="133" spans="1:24" hidden="1">
      <c r="A133" s="34" t="s">
        <v>559</v>
      </c>
      <c r="B133" s="34" t="s">
        <v>560</v>
      </c>
      <c r="C133" s="34" t="s">
        <v>110</v>
      </c>
      <c r="D133" s="34" t="s">
        <v>89</v>
      </c>
      <c r="E133" s="34" t="s">
        <v>3</v>
      </c>
      <c r="F133" s="34" t="s">
        <v>561</v>
      </c>
      <c r="G133" s="54">
        <v>1616113311</v>
      </c>
      <c r="H133" s="54" t="s">
        <v>229</v>
      </c>
      <c r="I133" s="54" t="s">
        <v>3514</v>
      </c>
      <c r="J133" s="34" t="s">
        <v>3421</v>
      </c>
      <c r="K133" s="50">
        <v>130000</v>
      </c>
      <c r="L133" s="43">
        <v>38934</v>
      </c>
      <c r="M133" s="44">
        <f t="shared" si="16"/>
        <v>0.29949230769230767</v>
      </c>
      <c r="N133" s="49">
        <f>ROUND(L133/Summary!$C$3*Summary!$C$2,0)</f>
        <v>120695</v>
      </c>
      <c r="O133" s="44">
        <f t="shared" si="17"/>
        <v>0.92842307692307691</v>
      </c>
      <c r="P133" s="78">
        <v>10</v>
      </c>
      <c r="Q133" s="34">
        <v>3</v>
      </c>
      <c r="R133" s="35">
        <f t="shared" si="18"/>
        <v>0.3</v>
      </c>
      <c r="S133" s="49">
        <f>ROUND(Q133/Summary!$C$3*Summary!$C$2,0)</f>
        <v>9</v>
      </c>
      <c r="T133" s="44">
        <f t="shared" si="19"/>
        <v>0.9</v>
      </c>
      <c r="U133" s="34">
        <v>0</v>
      </c>
      <c r="V133" s="34">
        <v>0</v>
      </c>
      <c r="W133" s="34">
        <v>0</v>
      </c>
      <c r="X133" s="34">
        <v>0</v>
      </c>
    </row>
    <row r="134" spans="1:24" hidden="1">
      <c r="A134" s="34" t="s">
        <v>565</v>
      </c>
      <c r="B134" s="34" t="s">
        <v>566</v>
      </c>
      <c r="C134" s="34" t="s">
        <v>110</v>
      </c>
      <c r="D134" s="34" t="s">
        <v>89</v>
      </c>
      <c r="E134" s="34" t="s">
        <v>3</v>
      </c>
      <c r="F134" s="34" t="s">
        <v>567</v>
      </c>
      <c r="G134" s="54">
        <v>1706021460</v>
      </c>
      <c r="H134" s="54" t="s">
        <v>229</v>
      </c>
      <c r="I134" s="54" t="s">
        <v>3514</v>
      </c>
      <c r="J134" s="34" t="s">
        <v>3419</v>
      </c>
      <c r="K134" s="50">
        <v>194585</v>
      </c>
      <c r="L134" s="43">
        <v>108449</v>
      </c>
      <c r="M134" s="44">
        <f t="shared" si="16"/>
        <v>0.55733484081506801</v>
      </c>
      <c r="N134" s="49">
        <f>ROUND(L134/Summary!$C$3*Summary!$C$2,0)</f>
        <v>336192</v>
      </c>
      <c r="O134" s="44">
        <f t="shared" si="17"/>
        <v>1.7277385204409383</v>
      </c>
      <c r="P134" s="78">
        <v>10</v>
      </c>
      <c r="Q134" s="34">
        <v>0</v>
      </c>
      <c r="R134" s="35">
        <f t="shared" si="18"/>
        <v>0</v>
      </c>
      <c r="S134" s="49">
        <f>ROUND(Q134/Summary!$C$3*Summary!$C$2,0)</f>
        <v>0</v>
      </c>
      <c r="T134" s="44">
        <f t="shared" si="19"/>
        <v>0</v>
      </c>
      <c r="U134" s="34">
        <v>4</v>
      </c>
      <c r="V134" s="34">
        <v>0</v>
      </c>
      <c r="W134" s="34">
        <v>0</v>
      </c>
      <c r="X134" s="34">
        <v>0</v>
      </c>
    </row>
    <row r="135" spans="1:24" hidden="1">
      <c r="A135" s="34" t="s">
        <v>562</v>
      </c>
      <c r="B135" s="34" t="s">
        <v>563</v>
      </c>
      <c r="C135" s="34" t="s">
        <v>110</v>
      </c>
      <c r="D135" s="34" t="s">
        <v>89</v>
      </c>
      <c r="E135" s="34" t="s">
        <v>3</v>
      </c>
      <c r="F135" s="34" t="s">
        <v>564</v>
      </c>
      <c r="G135" s="54">
        <v>1704510092</v>
      </c>
      <c r="H135" s="54" t="s">
        <v>229</v>
      </c>
      <c r="I135" s="54" t="s">
        <v>3514</v>
      </c>
      <c r="J135" s="34" t="s">
        <v>3515</v>
      </c>
      <c r="K135" s="50">
        <v>130000</v>
      </c>
      <c r="L135" s="43">
        <v>15120</v>
      </c>
      <c r="M135" s="44">
        <f t="shared" si="16"/>
        <v>0.11630769230769231</v>
      </c>
      <c r="N135" s="49">
        <f>ROUND(L135/Summary!$C$3*Summary!$C$2,0)</f>
        <v>46872</v>
      </c>
      <c r="O135" s="44">
        <f t="shared" si="17"/>
        <v>0.36055384615384617</v>
      </c>
      <c r="P135" s="78">
        <v>10</v>
      </c>
      <c r="Q135" s="34">
        <v>0</v>
      </c>
      <c r="R135" s="35">
        <f t="shared" si="18"/>
        <v>0</v>
      </c>
      <c r="S135" s="49">
        <f>ROUND(Q135/Summary!$C$3*Summary!$C$2,0)</f>
        <v>0</v>
      </c>
      <c r="T135" s="44">
        <f t="shared" si="19"/>
        <v>0</v>
      </c>
      <c r="U135" s="34">
        <v>0</v>
      </c>
      <c r="V135" s="34">
        <v>0</v>
      </c>
      <c r="W135" s="34">
        <v>0</v>
      </c>
      <c r="X135" s="34">
        <v>0</v>
      </c>
    </row>
    <row r="136" spans="1:24" hidden="1">
      <c r="A136" s="34" t="s">
        <v>545</v>
      </c>
      <c r="B136" s="34" t="s">
        <v>546</v>
      </c>
      <c r="C136" s="34" t="s">
        <v>110</v>
      </c>
      <c r="D136" s="34" t="s">
        <v>89</v>
      </c>
      <c r="E136" s="34" t="s">
        <v>3</v>
      </c>
      <c r="F136" s="34" t="s">
        <v>547</v>
      </c>
      <c r="G136" s="54">
        <v>1878989270</v>
      </c>
      <c r="H136" s="54" t="s">
        <v>229</v>
      </c>
      <c r="I136" s="54" t="s">
        <v>3514</v>
      </c>
      <c r="J136" s="34" t="s">
        <v>3419</v>
      </c>
      <c r="K136" s="50">
        <v>189810</v>
      </c>
      <c r="L136" s="43">
        <v>44620</v>
      </c>
      <c r="M136" s="44">
        <f t="shared" si="16"/>
        <v>0.23507718244560349</v>
      </c>
      <c r="N136" s="49">
        <f>ROUND(L136/Summary!$C$3*Summary!$C$2,0)</f>
        <v>138322</v>
      </c>
      <c r="O136" s="44">
        <f t="shared" si="17"/>
        <v>0.72873926558137081</v>
      </c>
      <c r="P136" s="78">
        <v>10</v>
      </c>
      <c r="Q136" s="34">
        <v>2</v>
      </c>
      <c r="R136" s="35">
        <f t="shared" si="18"/>
        <v>0.2</v>
      </c>
      <c r="S136" s="49">
        <f>ROUND(Q136/Summary!$C$3*Summary!$C$2,0)</f>
        <v>6</v>
      </c>
      <c r="T136" s="44">
        <f t="shared" si="19"/>
        <v>0.6</v>
      </c>
      <c r="U136" s="34">
        <v>0</v>
      </c>
      <c r="V136" s="34">
        <v>0</v>
      </c>
      <c r="W136" s="34">
        <v>0</v>
      </c>
      <c r="X136" s="34">
        <v>0</v>
      </c>
    </row>
    <row r="137" spans="1:24" hidden="1">
      <c r="A137" s="34" t="s">
        <v>548</v>
      </c>
      <c r="B137" s="34" t="s">
        <v>549</v>
      </c>
      <c r="C137" s="34" t="s">
        <v>110</v>
      </c>
      <c r="D137" s="34" t="s">
        <v>89</v>
      </c>
      <c r="E137" s="34" t="s">
        <v>3</v>
      </c>
      <c r="F137" s="34" t="s">
        <v>3146</v>
      </c>
      <c r="G137" s="54">
        <v>1855753849</v>
      </c>
      <c r="H137" s="54" t="s">
        <v>229</v>
      </c>
      <c r="I137" s="54" t="s">
        <v>3514</v>
      </c>
      <c r="J137" s="34" t="s">
        <v>3419</v>
      </c>
      <c r="K137" s="50">
        <v>237748</v>
      </c>
      <c r="L137" s="43">
        <v>129154</v>
      </c>
      <c r="M137" s="44">
        <f t="shared" ref="M137:M200" si="20">L137/K137</f>
        <v>0.54323905984487775</v>
      </c>
      <c r="N137" s="49">
        <f>ROUND(L137/Summary!$C$3*Summary!$C$2,0)</f>
        <v>400377</v>
      </c>
      <c r="O137" s="44">
        <f t="shared" ref="O137:O200" si="21">N137/K137</f>
        <v>1.6840394030654307</v>
      </c>
      <c r="P137" s="78">
        <v>10</v>
      </c>
      <c r="Q137" s="34">
        <v>3</v>
      </c>
      <c r="R137" s="35">
        <f t="shared" ref="R137:R200" si="22">Q137/P137</f>
        <v>0.3</v>
      </c>
      <c r="S137" s="49">
        <f>ROUND(Q137/Summary!$C$3*Summary!$C$2,0)</f>
        <v>9</v>
      </c>
      <c r="T137" s="44">
        <f t="shared" ref="T137:T200" si="23">S137/P137</f>
        <v>0.9</v>
      </c>
      <c r="U137" s="34">
        <v>2</v>
      </c>
      <c r="V137" s="34">
        <v>0</v>
      </c>
      <c r="W137" s="34">
        <v>0</v>
      </c>
      <c r="X137" s="34">
        <v>0</v>
      </c>
    </row>
    <row r="138" spans="1:24" hidden="1">
      <c r="A138" s="34" t="s">
        <v>553</v>
      </c>
      <c r="B138" s="34" t="s">
        <v>554</v>
      </c>
      <c r="C138" s="34" t="s">
        <v>110</v>
      </c>
      <c r="D138" s="34" t="s">
        <v>89</v>
      </c>
      <c r="E138" s="34" t="s">
        <v>3</v>
      </c>
      <c r="F138" s="34" t="s">
        <v>555</v>
      </c>
      <c r="G138" s="54">
        <v>1851072323</v>
      </c>
      <c r="H138" s="54" t="s">
        <v>229</v>
      </c>
      <c r="I138" s="54" t="s">
        <v>3514</v>
      </c>
      <c r="J138" s="34" t="s">
        <v>3419</v>
      </c>
      <c r="K138" s="50">
        <v>130000</v>
      </c>
      <c r="L138" s="43">
        <v>19860</v>
      </c>
      <c r="M138" s="44">
        <f t="shared" si="20"/>
        <v>0.15276923076923077</v>
      </c>
      <c r="N138" s="49">
        <f>ROUND(L138/Summary!$C$3*Summary!$C$2,0)</f>
        <v>61566</v>
      </c>
      <c r="O138" s="44">
        <f t="shared" si="21"/>
        <v>0.47358461538461538</v>
      </c>
      <c r="P138" s="78">
        <v>10</v>
      </c>
      <c r="Q138" s="34">
        <v>0</v>
      </c>
      <c r="R138" s="35">
        <f t="shared" si="22"/>
        <v>0</v>
      </c>
      <c r="S138" s="49">
        <f>ROUND(Q138/Summary!$C$3*Summary!$C$2,0)</f>
        <v>0</v>
      </c>
      <c r="T138" s="44">
        <f t="shared" si="23"/>
        <v>0</v>
      </c>
      <c r="U138" s="34">
        <v>0</v>
      </c>
      <c r="V138" s="34">
        <v>0</v>
      </c>
      <c r="W138" s="34">
        <v>0</v>
      </c>
      <c r="X138" s="34">
        <v>0</v>
      </c>
    </row>
    <row r="139" spans="1:24" hidden="1">
      <c r="A139" s="75" t="s">
        <v>3530</v>
      </c>
      <c r="B139" s="75" t="s">
        <v>3531</v>
      </c>
      <c r="C139" s="75" t="s">
        <v>110</v>
      </c>
      <c r="D139" s="75" t="s">
        <v>89</v>
      </c>
      <c r="E139" s="75" t="s">
        <v>3</v>
      </c>
      <c r="F139" s="75" t="s">
        <v>1113</v>
      </c>
      <c r="G139" s="67">
        <v>1786325788</v>
      </c>
      <c r="H139" s="54" t="s">
        <v>229</v>
      </c>
      <c r="I139" s="54" t="s">
        <v>3514</v>
      </c>
      <c r="J139" s="34" t="s">
        <v>3421</v>
      </c>
      <c r="K139" s="50">
        <v>130000</v>
      </c>
      <c r="L139" s="43">
        <v>46419</v>
      </c>
      <c r="M139" s="44">
        <f t="shared" si="20"/>
        <v>0.35706923076923075</v>
      </c>
      <c r="N139" s="49">
        <f>ROUND(L139/Summary!$C$3*Summary!$C$2,0)</f>
        <v>143899</v>
      </c>
      <c r="O139" s="44">
        <f t="shared" si="21"/>
        <v>1.1069153846153845</v>
      </c>
      <c r="P139" s="78">
        <v>10</v>
      </c>
      <c r="Q139" s="34">
        <v>1</v>
      </c>
      <c r="R139" s="35">
        <f t="shared" si="22"/>
        <v>0.1</v>
      </c>
      <c r="S139" s="49">
        <f>ROUND(Q139/Summary!$C$3*Summary!$C$2,0)</f>
        <v>3</v>
      </c>
      <c r="T139" s="44">
        <f t="shared" si="23"/>
        <v>0.3</v>
      </c>
      <c r="U139" s="34">
        <v>1</v>
      </c>
      <c r="V139" s="34">
        <v>0</v>
      </c>
      <c r="W139" s="34">
        <v>0</v>
      </c>
      <c r="X139" s="34">
        <v>0</v>
      </c>
    </row>
    <row r="140" spans="1:24" hidden="1">
      <c r="A140" s="34" t="s">
        <v>327</v>
      </c>
      <c r="B140" s="34" t="s">
        <v>328</v>
      </c>
      <c r="C140" s="34" t="s">
        <v>307</v>
      </c>
      <c r="D140" s="34" t="s">
        <v>111</v>
      </c>
      <c r="E140" s="34" t="s">
        <v>3</v>
      </c>
      <c r="F140" s="34" t="s">
        <v>329</v>
      </c>
      <c r="G140" s="54">
        <v>1779988887</v>
      </c>
      <c r="H140" s="54" t="s">
        <v>229</v>
      </c>
      <c r="I140" s="54" t="s">
        <v>3514</v>
      </c>
      <c r="J140" s="34" t="s">
        <v>3421</v>
      </c>
      <c r="K140" s="50">
        <v>130000</v>
      </c>
      <c r="L140" s="43">
        <v>12180</v>
      </c>
      <c r="M140" s="44">
        <f t="shared" si="20"/>
        <v>9.3692307692307686E-2</v>
      </c>
      <c r="N140" s="49">
        <f>ROUND(L140/Summary!$C$3*Summary!$C$2,0)</f>
        <v>37758</v>
      </c>
      <c r="O140" s="44">
        <f t="shared" si="21"/>
        <v>0.29044615384615385</v>
      </c>
      <c r="P140" s="78">
        <v>10</v>
      </c>
      <c r="Q140" s="34">
        <v>1</v>
      </c>
      <c r="R140" s="35">
        <f t="shared" si="22"/>
        <v>0.1</v>
      </c>
      <c r="S140" s="49">
        <f>ROUND(Q140/Summary!$C$3*Summary!$C$2,0)</f>
        <v>3</v>
      </c>
      <c r="T140" s="44">
        <f t="shared" si="23"/>
        <v>0.3</v>
      </c>
      <c r="U140" s="34">
        <v>0</v>
      </c>
      <c r="V140" s="34">
        <v>0</v>
      </c>
      <c r="W140" s="34">
        <v>0</v>
      </c>
      <c r="X140" s="34">
        <v>0</v>
      </c>
    </row>
    <row r="141" spans="1:24" hidden="1">
      <c r="A141" s="34" t="s">
        <v>333</v>
      </c>
      <c r="B141" s="34" t="s">
        <v>334</v>
      </c>
      <c r="C141" s="34" t="s">
        <v>307</v>
      </c>
      <c r="D141" s="34" t="s">
        <v>111</v>
      </c>
      <c r="E141" s="34" t="s">
        <v>3</v>
      </c>
      <c r="F141" s="34" t="s">
        <v>335</v>
      </c>
      <c r="G141" s="54">
        <v>1711226023</v>
      </c>
      <c r="H141" s="54" t="s">
        <v>229</v>
      </c>
      <c r="I141" s="54" t="s">
        <v>3514</v>
      </c>
      <c r="J141" s="34" t="s">
        <v>3421</v>
      </c>
      <c r="K141" s="50">
        <v>130000</v>
      </c>
      <c r="L141" s="43">
        <v>4950</v>
      </c>
      <c r="M141" s="44">
        <f t="shared" si="20"/>
        <v>3.8076923076923078E-2</v>
      </c>
      <c r="N141" s="49">
        <f>ROUND(L141/Summary!$C$3*Summary!$C$2,0)</f>
        <v>15345</v>
      </c>
      <c r="O141" s="44">
        <f t="shared" si="21"/>
        <v>0.11803846153846154</v>
      </c>
      <c r="P141" s="78">
        <v>10</v>
      </c>
      <c r="Q141" s="34">
        <v>0</v>
      </c>
      <c r="R141" s="35">
        <f t="shared" si="22"/>
        <v>0</v>
      </c>
      <c r="S141" s="49">
        <f>ROUND(Q141/Summary!$C$3*Summary!$C$2,0)</f>
        <v>0</v>
      </c>
      <c r="T141" s="44">
        <f t="shared" si="23"/>
        <v>0</v>
      </c>
      <c r="U141" s="34">
        <v>0</v>
      </c>
      <c r="V141" s="34">
        <v>0</v>
      </c>
      <c r="W141" s="34">
        <v>0</v>
      </c>
      <c r="X141" s="34">
        <v>0</v>
      </c>
    </row>
    <row r="142" spans="1:24" hidden="1">
      <c r="A142" s="34" t="s">
        <v>306</v>
      </c>
      <c r="B142" s="34" t="s">
        <v>297</v>
      </c>
      <c r="C142" s="34" t="s">
        <v>307</v>
      </c>
      <c r="D142" s="34" t="s">
        <v>111</v>
      </c>
      <c r="E142" s="34" t="s">
        <v>3</v>
      </c>
      <c r="F142" s="34" t="s">
        <v>308</v>
      </c>
      <c r="G142" s="54">
        <v>1865663344</v>
      </c>
      <c r="H142" s="54" t="s">
        <v>229</v>
      </c>
      <c r="I142" s="54" t="s">
        <v>3514</v>
      </c>
      <c r="J142" s="34" t="s">
        <v>3421</v>
      </c>
      <c r="K142" s="50">
        <v>130000</v>
      </c>
      <c r="L142" s="43">
        <v>4740</v>
      </c>
      <c r="M142" s="44">
        <f t="shared" si="20"/>
        <v>3.6461538461538462E-2</v>
      </c>
      <c r="N142" s="49">
        <f>ROUND(L142/Summary!$C$3*Summary!$C$2,0)</f>
        <v>14694</v>
      </c>
      <c r="O142" s="44">
        <f t="shared" si="21"/>
        <v>0.11303076923076923</v>
      </c>
      <c r="P142" s="78">
        <v>10</v>
      </c>
      <c r="Q142" s="34">
        <v>0</v>
      </c>
      <c r="R142" s="35">
        <f t="shared" si="22"/>
        <v>0</v>
      </c>
      <c r="S142" s="49">
        <f>ROUND(Q142/Summary!$C$3*Summary!$C$2,0)</f>
        <v>0</v>
      </c>
      <c r="T142" s="44">
        <f t="shared" si="23"/>
        <v>0</v>
      </c>
      <c r="U142" s="34">
        <v>0</v>
      </c>
      <c r="V142" s="34">
        <v>0</v>
      </c>
      <c r="W142" s="34">
        <v>0</v>
      </c>
      <c r="X142" s="34">
        <v>0</v>
      </c>
    </row>
    <row r="143" spans="1:24" hidden="1">
      <c r="A143" s="34" t="s">
        <v>330</v>
      </c>
      <c r="B143" s="34" t="s">
        <v>331</v>
      </c>
      <c r="C143" s="34" t="s">
        <v>307</v>
      </c>
      <c r="D143" s="34" t="s">
        <v>111</v>
      </c>
      <c r="E143" s="34" t="s">
        <v>3</v>
      </c>
      <c r="F143" s="34" t="s">
        <v>332</v>
      </c>
      <c r="G143" s="54">
        <v>1832357682</v>
      </c>
      <c r="H143" s="54" t="s">
        <v>229</v>
      </c>
      <c r="I143" s="54" t="s">
        <v>3514</v>
      </c>
      <c r="J143" s="34" t="s">
        <v>3515</v>
      </c>
      <c r="K143" s="50">
        <v>130000</v>
      </c>
      <c r="L143" s="43">
        <v>25360</v>
      </c>
      <c r="M143" s="44">
        <f t="shared" si="20"/>
        <v>0.19507692307692306</v>
      </c>
      <c r="N143" s="49">
        <f>ROUND(L143/Summary!$C$3*Summary!$C$2,0)</f>
        <v>78616</v>
      </c>
      <c r="O143" s="44">
        <f t="shared" si="21"/>
        <v>0.60473846153846156</v>
      </c>
      <c r="P143" s="78">
        <v>10</v>
      </c>
      <c r="Q143" s="34">
        <v>2</v>
      </c>
      <c r="R143" s="35">
        <f t="shared" si="22"/>
        <v>0.2</v>
      </c>
      <c r="S143" s="49">
        <f>ROUND(Q143/Summary!$C$3*Summary!$C$2,0)</f>
        <v>6</v>
      </c>
      <c r="T143" s="44">
        <f t="shared" si="23"/>
        <v>0.6</v>
      </c>
      <c r="U143" s="34">
        <v>0</v>
      </c>
      <c r="V143" s="34">
        <v>0</v>
      </c>
      <c r="W143" s="34">
        <v>1</v>
      </c>
      <c r="X143" s="34">
        <v>0</v>
      </c>
    </row>
    <row r="144" spans="1:24" hidden="1">
      <c r="A144" s="34" t="s">
        <v>324</v>
      </c>
      <c r="B144" s="34" t="s">
        <v>325</v>
      </c>
      <c r="C144" s="34" t="s">
        <v>307</v>
      </c>
      <c r="D144" s="34" t="s">
        <v>111</v>
      </c>
      <c r="E144" s="34" t="s">
        <v>3</v>
      </c>
      <c r="F144" s="34" t="s">
        <v>326</v>
      </c>
      <c r="G144" s="54">
        <v>1878822981</v>
      </c>
      <c r="H144" s="54" t="s">
        <v>229</v>
      </c>
      <c r="I144" s="54" t="s">
        <v>3514</v>
      </c>
      <c r="J144" s="34" t="s">
        <v>3421</v>
      </c>
      <c r="K144" s="50">
        <v>130000</v>
      </c>
      <c r="L144" s="43">
        <v>30249</v>
      </c>
      <c r="M144" s="44">
        <f t="shared" si="20"/>
        <v>0.23268461538461538</v>
      </c>
      <c r="N144" s="49">
        <f>ROUND(L144/Summary!$C$3*Summary!$C$2,0)</f>
        <v>93772</v>
      </c>
      <c r="O144" s="44">
        <f t="shared" si="21"/>
        <v>0.72132307692307696</v>
      </c>
      <c r="P144" s="78">
        <v>10</v>
      </c>
      <c r="Q144" s="34">
        <v>1</v>
      </c>
      <c r="R144" s="35">
        <f t="shared" si="22"/>
        <v>0.1</v>
      </c>
      <c r="S144" s="49">
        <f>ROUND(Q144/Summary!$C$3*Summary!$C$2,0)</f>
        <v>3</v>
      </c>
      <c r="T144" s="44">
        <f t="shared" si="23"/>
        <v>0.3</v>
      </c>
      <c r="U144" s="34">
        <v>1</v>
      </c>
      <c r="V144" s="34">
        <v>0</v>
      </c>
      <c r="W144" s="34">
        <v>0</v>
      </c>
      <c r="X144" s="34">
        <v>0</v>
      </c>
    </row>
    <row r="145" spans="1:24" hidden="1">
      <c r="A145" s="34" t="s">
        <v>309</v>
      </c>
      <c r="B145" s="34" t="s">
        <v>310</v>
      </c>
      <c r="C145" s="34" t="s">
        <v>307</v>
      </c>
      <c r="D145" s="34" t="s">
        <v>111</v>
      </c>
      <c r="E145" s="34" t="s">
        <v>3</v>
      </c>
      <c r="F145" s="34" t="s">
        <v>311</v>
      </c>
      <c r="G145" s="54">
        <v>1818273652</v>
      </c>
      <c r="H145" s="54" t="s">
        <v>229</v>
      </c>
      <c r="I145" s="54" t="s">
        <v>3514</v>
      </c>
      <c r="J145" s="34" t="s">
        <v>3419</v>
      </c>
      <c r="K145" s="50">
        <v>130000</v>
      </c>
      <c r="L145" s="43">
        <v>20450</v>
      </c>
      <c r="M145" s="44">
        <f t="shared" si="20"/>
        <v>0.15730769230769232</v>
      </c>
      <c r="N145" s="49">
        <f>ROUND(L145/Summary!$C$3*Summary!$C$2,0)</f>
        <v>63395</v>
      </c>
      <c r="O145" s="44">
        <f t="shared" si="21"/>
        <v>0.48765384615384616</v>
      </c>
      <c r="P145" s="78">
        <v>10</v>
      </c>
      <c r="Q145" s="34">
        <v>0</v>
      </c>
      <c r="R145" s="35">
        <f t="shared" si="22"/>
        <v>0</v>
      </c>
      <c r="S145" s="49">
        <f>ROUND(Q145/Summary!$C$3*Summary!$C$2,0)</f>
        <v>0</v>
      </c>
      <c r="T145" s="44">
        <f t="shared" si="23"/>
        <v>0</v>
      </c>
      <c r="U145" s="34">
        <v>0</v>
      </c>
      <c r="V145" s="34">
        <v>0</v>
      </c>
      <c r="W145" s="34">
        <v>0</v>
      </c>
      <c r="X145" s="34">
        <v>0</v>
      </c>
    </row>
    <row r="146" spans="1:24" hidden="1">
      <c r="A146" s="34" t="s">
        <v>312</v>
      </c>
      <c r="B146" s="34" t="s">
        <v>313</v>
      </c>
      <c r="C146" s="34" t="s">
        <v>191</v>
      </c>
      <c r="D146" s="34" t="s">
        <v>111</v>
      </c>
      <c r="E146" s="34" t="s">
        <v>3</v>
      </c>
      <c r="F146" s="34" t="s">
        <v>314</v>
      </c>
      <c r="G146" s="54">
        <v>1879669807</v>
      </c>
      <c r="H146" s="54" t="s">
        <v>229</v>
      </c>
      <c r="I146" s="54" t="s">
        <v>3514</v>
      </c>
      <c r="J146" s="34" t="s">
        <v>3419</v>
      </c>
      <c r="K146" s="50">
        <v>218338</v>
      </c>
      <c r="L146" s="43">
        <v>75919</v>
      </c>
      <c r="M146" s="44">
        <f t="shared" si="20"/>
        <v>0.34771317864961665</v>
      </c>
      <c r="N146" s="49">
        <f>ROUND(L146/Summary!$C$3*Summary!$C$2,0)</f>
        <v>235349</v>
      </c>
      <c r="O146" s="44">
        <f t="shared" si="21"/>
        <v>1.0779113118192893</v>
      </c>
      <c r="P146" s="78">
        <v>10</v>
      </c>
      <c r="Q146" s="34">
        <v>4</v>
      </c>
      <c r="R146" s="35">
        <f t="shared" si="22"/>
        <v>0.4</v>
      </c>
      <c r="S146" s="49">
        <f>ROUND(Q146/Summary!$C$3*Summary!$C$2,0)</f>
        <v>12</v>
      </c>
      <c r="T146" s="44">
        <f t="shared" si="23"/>
        <v>1.2</v>
      </c>
      <c r="U146" s="34">
        <v>1</v>
      </c>
      <c r="V146" s="34">
        <v>1</v>
      </c>
      <c r="W146" s="34">
        <v>0</v>
      </c>
      <c r="X146" s="34">
        <v>0</v>
      </c>
    </row>
    <row r="147" spans="1:24" hidden="1">
      <c r="A147" s="34" t="s">
        <v>318</v>
      </c>
      <c r="B147" s="34" t="s">
        <v>319</v>
      </c>
      <c r="C147" s="34" t="s">
        <v>191</v>
      </c>
      <c r="D147" s="34" t="s">
        <v>111</v>
      </c>
      <c r="E147" s="34" t="s">
        <v>3</v>
      </c>
      <c r="F147" s="34" t="s">
        <v>320</v>
      </c>
      <c r="G147" s="54">
        <v>1710936191</v>
      </c>
      <c r="H147" s="54" t="s">
        <v>229</v>
      </c>
      <c r="I147" s="54" t="s">
        <v>3514</v>
      </c>
      <c r="J147" s="34" t="s">
        <v>3421</v>
      </c>
      <c r="K147" s="50">
        <v>130000</v>
      </c>
      <c r="L147" s="43">
        <v>4999</v>
      </c>
      <c r="M147" s="44">
        <f t="shared" si="20"/>
        <v>3.8453846153846151E-2</v>
      </c>
      <c r="N147" s="49">
        <f>ROUND(L147/Summary!$C$3*Summary!$C$2,0)</f>
        <v>15497</v>
      </c>
      <c r="O147" s="44">
        <f t="shared" si="21"/>
        <v>0.11920769230769231</v>
      </c>
      <c r="P147" s="78">
        <v>10</v>
      </c>
      <c r="Q147" s="34">
        <v>0</v>
      </c>
      <c r="R147" s="35">
        <f t="shared" si="22"/>
        <v>0</v>
      </c>
      <c r="S147" s="49">
        <f>ROUND(Q147/Summary!$C$3*Summary!$C$2,0)</f>
        <v>0</v>
      </c>
      <c r="T147" s="44">
        <f t="shared" si="23"/>
        <v>0</v>
      </c>
      <c r="U147" s="34">
        <v>0</v>
      </c>
      <c r="V147" s="34">
        <v>0</v>
      </c>
      <c r="W147" s="34">
        <v>0</v>
      </c>
      <c r="X147" s="34">
        <v>0</v>
      </c>
    </row>
    <row r="148" spans="1:24" hidden="1">
      <c r="A148" s="34" t="s">
        <v>303</v>
      </c>
      <c r="B148" s="34" t="s">
        <v>304</v>
      </c>
      <c r="C148" s="34" t="s">
        <v>191</v>
      </c>
      <c r="D148" s="34" t="s">
        <v>111</v>
      </c>
      <c r="E148" s="34" t="s">
        <v>3</v>
      </c>
      <c r="F148" s="34" t="s">
        <v>305</v>
      </c>
      <c r="G148" s="54">
        <v>1840284454</v>
      </c>
      <c r="H148" s="54" t="s">
        <v>229</v>
      </c>
      <c r="I148" s="54" t="s">
        <v>3514</v>
      </c>
      <c r="J148" s="34" t="s">
        <v>3421</v>
      </c>
      <c r="K148" s="50">
        <v>130000</v>
      </c>
      <c r="L148" s="43">
        <v>33990</v>
      </c>
      <c r="M148" s="44">
        <f t="shared" si="20"/>
        <v>0.26146153846153847</v>
      </c>
      <c r="N148" s="49">
        <f>ROUND(L148/Summary!$C$3*Summary!$C$2,0)</f>
        <v>105369</v>
      </c>
      <c r="O148" s="44">
        <f t="shared" si="21"/>
        <v>0.81053076923076928</v>
      </c>
      <c r="P148" s="78">
        <v>10</v>
      </c>
      <c r="Q148" s="34">
        <v>2</v>
      </c>
      <c r="R148" s="35">
        <f t="shared" si="22"/>
        <v>0.2</v>
      </c>
      <c r="S148" s="49">
        <f>ROUND(Q148/Summary!$C$3*Summary!$C$2,0)</f>
        <v>6</v>
      </c>
      <c r="T148" s="44">
        <f t="shared" si="23"/>
        <v>0.6</v>
      </c>
      <c r="U148" s="34">
        <v>0</v>
      </c>
      <c r="V148" s="34">
        <v>2</v>
      </c>
      <c r="W148" s="34">
        <v>0</v>
      </c>
      <c r="X148" s="34">
        <v>0</v>
      </c>
    </row>
    <row r="149" spans="1:24" hidden="1">
      <c r="A149" s="34" t="s">
        <v>321</v>
      </c>
      <c r="B149" s="34" t="s">
        <v>322</v>
      </c>
      <c r="C149" s="34" t="s">
        <v>191</v>
      </c>
      <c r="D149" s="34" t="s">
        <v>111</v>
      </c>
      <c r="E149" s="34" t="s">
        <v>3</v>
      </c>
      <c r="F149" s="34" t="s">
        <v>323</v>
      </c>
      <c r="G149" s="54">
        <v>1812791896</v>
      </c>
      <c r="H149" s="54" t="s">
        <v>229</v>
      </c>
      <c r="I149" s="54" t="s">
        <v>3514</v>
      </c>
      <c r="J149" s="34" t="s">
        <v>3421</v>
      </c>
      <c r="K149" s="50">
        <v>130000</v>
      </c>
      <c r="L149" s="43">
        <v>15580</v>
      </c>
      <c r="M149" s="44">
        <f t="shared" si="20"/>
        <v>0.11984615384615385</v>
      </c>
      <c r="N149" s="49">
        <f>ROUND(L149/Summary!$C$3*Summary!$C$2,0)</f>
        <v>48298</v>
      </c>
      <c r="O149" s="44">
        <f t="shared" si="21"/>
        <v>0.3715230769230769</v>
      </c>
      <c r="P149" s="78">
        <v>12</v>
      </c>
      <c r="Q149" s="34">
        <v>2</v>
      </c>
      <c r="R149" s="35">
        <f t="shared" si="22"/>
        <v>0.16666666666666666</v>
      </c>
      <c r="S149" s="49">
        <f>ROUND(Q149/Summary!$C$3*Summary!$C$2,0)</f>
        <v>6</v>
      </c>
      <c r="T149" s="44">
        <f t="shared" si="23"/>
        <v>0.5</v>
      </c>
      <c r="U149" s="34">
        <v>0</v>
      </c>
      <c r="V149" s="34">
        <v>0</v>
      </c>
      <c r="W149" s="34">
        <v>1</v>
      </c>
      <c r="X149" s="34">
        <v>0</v>
      </c>
    </row>
    <row r="150" spans="1:24" hidden="1">
      <c r="A150" s="34" t="s">
        <v>315</v>
      </c>
      <c r="B150" s="34" t="s">
        <v>316</v>
      </c>
      <c r="C150" s="34" t="s">
        <v>191</v>
      </c>
      <c r="D150" s="34" t="s">
        <v>111</v>
      </c>
      <c r="E150" s="34" t="s">
        <v>3</v>
      </c>
      <c r="F150" s="34" t="s">
        <v>317</v>
      </c>
      <c r="G150" s="54">
        <v>1812097525</v>
      </c>
      <c r="H150" s="54" t="s">
        <v>229</v>
      </c>
      <c r="I150" s="54" t="s">
        <v>3514</v>
      </c>
      <c r="J150" s="34" t="s">
        <v>3421</v>
      </c>
      <c r="K150" s="50">
        <v>130000</v>
      </c>
      <c r="L150" s="43">
        <v>19510</v>
      </c>
      <c r="M150" s="44">
        <f t="shared" si="20"/>
        <v>0.15007692307692308</v>
      </c>
      <c r="N150" s="49">
        <f>ROUND(L150/Summary!$C$3*Summary!$C$2,0)</f>
        <v>60481</v>
      </c>
      <c r="O150" s="44">
        <f t="shared" si="21"/>
        <v>0.46523846153846155</v>
      </c>
      <c r="P150" s="78">
        <v>10</v>
      </c>
      <c r="Q150" s="34">
        <v>0</v>
      </c>
      <c r="R150" s="35">
        <f t="shared" si="22"/>
        <v>0</v>
      </c>
      <c r="S150" s="49">
        <f>ROUND(Q150/Summary!$C$3*Summary!$C$2,0)</f>
        <v>0</v>
      </c>
      <c r="T150" s="44">
        <f t="shared" si="23"/>
        <v>0</v>
      </c>
      <c r="U150" s="34">
        <v>0</v>
      </c>
      <c r="V150" s="34">
        <v>0</v>
      </c>
      <c r="W150" s="34">
        <v>0</v>
      </c>
      <c r="X150" s="34">
        <v>0</v>
      </c>
    </row>
    <row r="151" spans="1:24" hidden="1">
      <c r="A151" s="34" t="s">
        <v>3357</v>
      </c>
      <c r="B151" s="34" t="s">
        <v>3358</v>
      </c>
      <c r="C151" s="34" t="s">
        <v>191</v>
      </c>
      <c r="D151" s="34" t="s">
        <v>111</v>
      </c>
      <c r="E151" s="34" t="s">
        <v>3</v>
      </c>
      <c r="F151" s="34" t="s">
        <v>3359</v>
      </c>
      <c r="G151" s="54">
        <v>1818887623</v>
      </c>
      <c r="H151" s="54" t="s">
        <v>229</v>
      </c>
      <c r="I151" s="54" t="s">
        <v>3514</v>
      </c>
      <c r="J151" s="34" t="s">
        <v>3421</v>
      </c>
      <c r="K151" s="50">
        <v>130000</v>
      </c>
      <c r="L151" s="43">
        <v>7480</v>
      </c>
      <c r="M151" s="44">
        <f t="shared" si="20"/>
        <v>5.7538461538461538E-2</v>
      </c>
      <c r="N151" s="49">
        <f>ROUND(L151/Summary!$C$3*Summary!$C$2,0)</f>
        <v>23188</v>
      </c>
      <c r="O151" s="44">
        <f t="shared" si="21"/>
        <v>0.17836923076923078</v>
      </c>
      <c r="P151" s="78">
        <v>10</v>
      </c>
      <c r="Q151" s="34">
        <v>0</v>
      </c>
      <c r="R151" s="35">
        <f t="shared" si="22"/>
        <v>0</v>
      </c>
      <c r="S151" s="49">
        <f>ROUND(Q151/Summary!$C$3*Summary!$C$2,0)</f>
        <v>0</v>
      </c>
      <c r="T151" s="44">
        <f t="shared" si="23"/>
        <v>0</v>
      </c>
      <c r="U151" s="34">
        <v>0</v>
      </c>
      <c r="V151" s="34">
        <v>0</v>
      </c>
      <c r="W151" s="34">
        <v>0</v>
      </c>
      <c r="X151" s="34">
        <v>0</v>
      </c>
    </row>
    <row r="152" spans="1:24" hidden="1">
      <c r="A152" s="34" t="s">
        <v>301</v>
      </c>
      <c r="B152" s="34" t="s">
        <v>82</v>
      </c>
      <c r="C152" s="34" t="s">
        <v>191</v>
      </c>
      <c r="D152" s="34" t="s">
        <v>111</v>
      </c>
      <c r="E152" s="34" t="s">
        <v>3</v>
      </c>
      <c r="F152" s="34" t="s">
        <v>302</v>
      </c>
      <c r="G152" s="54">
        <v>1883669933</v>
      </c>
      <c r="H152" s="54" t="s">
        <v>229</v>
      </c>
      <c r="I152" s="54" t="s">
        <v>3514</v>
      </c>
      <c r="J152" s="34" t="s">
        <v>3421</v>
      </c>
      <c r="K152" s="50">
        <v>130000</v>
      </c>
      <c r="L152" s="43">
        <v>53510</v>
      </c>
      <c r="M152" s="44">
        <f t="shared" si="20"/>
        <v>0.41161538461538461</v>
      </c>
      <c r="N152" s="49">
        <f>ROUND(L152/Summary!$C$3*Summary!$C$2,0)</f>
        <v>165881</v>
      </c>
      <c r="O152" s="44">
        <f t="shared" si="21"/>
        <v>1.2760076923076924</v>
      </c>
      <c r="P152" s="78">
        <v>10</v>
      </c>
      <c r="Q152" s="34">
        <v>4</v>
      </c>
      <c r="R152" s="35">
        <f t="shared" si="22"/>
        <v>0.4</v>
      </c>
      <c r="S152" s="49">
        <f>ROUND(Q152/Summary!$C$3*Summary!$C$2,0)</f>
        <v>12</v>
      </c>
      <c r="T152" s="44">
        <f t="shared" si="23"/>
        <v>1.2</v>
      </c>
      <c r="U152" s="34">
        <v>0</v>
      </c>
      <c r="V152" s="34">
        <v>2</v>
      </c>
      <c r="W152" s="34">
        <v>1</v>
      </c>
      <c r="X152" s="34">
        <v>0</v>
      </c>
    </row>
    <row r="153" spans="1:24" hidden="1">
      <c r="A153" s="34" t="s">
        <v>298</v>
      </c>
      <c r="B153" s="34" t="s">
        <v>299</v>
      </c>
      <c r="C153" s="34" t="s">
        <v>191</v>
      </c>
      <c r="D153" s="34" t="s">
        <v>111</v>
      </c>
      <c r="E153" s="34" t="s">
        <v>3</v>
      </c>
      <c r="F153" s="34" t="s">
        <v>300</v>
      </c>
      <c r="G153" s="54">
        <v>1534219798</v>
      </c>
      <c r="H153" s="54" t="s">
        <v>229</v>
      </c>
      <c r="I153" s="54" t="s">
        <v>3514</v>
      </c>
      <c r="J153" s="34" t="s">
        <v>3421</v>
      </c>
      <c r="K153" s="50">
        <v>130000</v>
      </c>
      <c r="L153" s="43">
        <v>7439</v>
      </c>
      <c r="M153" s="44">
        <f t="shared" si="20"/>
        <v>5.7223076923076925E-2</v>
      </c>
      <c r="N153" s="49">
        <f>ROUND(L153/Summary!$C$3*Summary!$C$2,0)</f>
        <v>23061</v>
      </c>
      <c r="O153" s="44">
        <f t="shared" si="21"/>
        <v>0.17739230769230768</v>
      </c>
      <c r="P153" s="78">
        <v>10</v>
      </c>
      <c r="Q153" s="34">
        <v>0</v>
      </c>
      <c r="R153" s="35">
        <f t="shared" si="22"/>
        <v>0</v>
      </c>
      <c r="S153" s="49">
        <f>ROUND(Q153/Summary!$C$3*Summary!$C$2,0)</f>
        <v>0</v>
      </c>
      <c r="T153" s="44">
        <f t="shared" si="23"/>
        <v>0</v>
      </c>
      <c r="U153" s="34">
        <v>0</v>
      </c>
      <c r="V153" s="34">
        <v>0</v>
      </c>
      <c r="W153" s="34">
        <v>0</v>
      </c>
      <c r="X153" s="34">
        <v>0</v>
      </c>
    </row>
    <row r="154" spans="1:24" hidden="1">
      <c r="A154" s="34" t="s">
        <v>3360</v>
      </c>
      <c r="B154" s="34" t="s">
        <v>3361</v>
      </c>
      <c r="C154" s="34" t="s">
        <v>191</v>
      </c>
      <c r="D154" s="34" t="s">
        <v>111</v>
      </c>
      <c r="E154" s="34" t="s">
        <v>3</v>
      </c>
      <c r="F154" s="34" t="s">
        <v>3362</v>
      </c>
      <c r="G154" s="54">
        <v>1876023888</v>
      </c>
      <c r="H154" s="54" t="s">
        <v>229</v>
      </c>
      <c r="I154" s="54" t="s">
        <v>3514</v>
      </c>
      <c r="J154" s="34" t="s">
        <v>3419</v>
      </c>
      <c r="K154" s="50">
        <v>130000</v>
      </c>
      <c r="L154" s="43">
        <v>48040</v>
      </c>
      <c r="M154" s="44">
        <f t="shared" si="20"/>
        <v>0.36953846153846154</v>
      </c>
      <c r="N154" s="49">
        <f>ROUND(L154/Summary!$C$3*Summary!$C$2,0)</f>
        <v>148924</v>
      </c>
      <c r="O154" s="44">
        <f t="shared" si="21"/>
        <v>1.1455692307692307</v>
      </c>
      <c r="P154" s="78">
        <v>10</v>
      </c>
      <c r="Q154" s="34">
        <v>0</v>
      </c>
      <c r="R154" s="35">
        <f t="shared" si="22"/>
        <v>0</v>
      </c>
      <c r="S154" s="49">
        <f>ROUND(Q154/Summary!$C$3*Summary!$C$2,0)</f>
        <v>0</v>
      </c>
      <c r="T154" s="44">
        <f t="shared" si="23"/>
        <v>0</v>
      </c>
      <c r="U154" s="34">
        <v>0</v>
      </c>
      <c r="V154" s="34">
        <v>0</v>
      </c>
      <c r="W154" s="34">
        <v>0</v>
      </c>
      <c r="X154" s="34">
        <v>0</v>
      </c>
    </row>
    <row r="155" spans="1:24" hidden="1">
      <c r="A155" s="34" t="s">
        <v>3089</v>
      </c>
      <c r="B155" s="34" t="s">
        <v>3090</v>
      </c>
      <c r="C155" s="34" t="s">
        <v>191</v>
      </c>
      <c r="D155" s="34" t="s">
        <v>111</v>
      </c>
      <c r="E155" s="34" t="s">
        <v>3</v>
      </c>
      <c r="F155" s="34" t="s">
        <v>3091</v>
      </c>
      <c r="G155" s="54">
        <v>1830777777</v>
      </c>
      <c r="H155" s="54" t="s">
        <v>229</v>
      </c>
      <c r="I155" s="54" t="s">
        <v>3514</v>
      </c>
      <c r="J155" s="34" t="s">
        <v>3515</v>
      </c>
      <c r="K155" s="50">
        <v>226579</v>
      </c>
      <c r="L155" s="43">
        <v>66710</v>
      </c>
      <c r="M155" s="44">
        <f t="shared" si="20"/>
        <v>0.29442269583677216</v>
      </c>
      <c r="N155" s="49">
        <f>ROUND(L155/Summary!$C$3*Summary!$C$2,0)</f>
        <v>206801</v>
      </c>
      <c r="O155" s="44">
        <f t="shared" si="21"/>
        <v>0.91271035709399373</v>
      </c>
      <c r="P155" s="78">
        <v>13</v>
      </c>
      <c r="Q155" s="34">
        <v>1</v>
      </c>
      <c r="R155" s="35">
        <f t="shared" si="22"/>
        <v>7.6923076923076927E-2</v>
      </c>
      <c r="S155" s="49">
        <f>ROUND(Q155/Summary!$C$3*Summary!$C$2,0)</f>
        <v>3</v>
      </c>
      <c r="T155" s="44">
        <f t="shared" si="23"/>
        <v>0.23076923076923078</v>
      </c>
      <c r="U155" s="34">
        <v>1</v>
      </c>
      <c r="V155" s="34">
        <v>0</v>
      </c>
      <c r="W155" s="34">
        <v>0</v>
      </c>
      <c r="X155" s="34">
        <v>0</v>
      </c>
    </row>
    <row r="156" spans="1:24" hidden="1">
      <c r="A156" s="34" t="s">
        <v>457</v>
      </c>
      <c r="B156" s="34" t="s">
        <v>458</v>
      </c>
      <c r="C156" s="34" t="s">
        <v>106</v>
      </c>
      <c r="D156" s="34" t="s">
        <v>107</v>
      </c>
      <c r="E156" s="34" t="s">
        <v>3</v>
      </c>
      <c r="F156" s="34" t="s">
        <v>459</v>
      </c>
      <c r="G156" s="54">
        <v>1834470418</v>
      </c>
      <c r="H156" s="54" t="s">
        <v>229</v>
      </c>
      <c r="I156" s="54" t="s">
        <v>3518</v>
      </c>
      <c r="J156" s="34" t="s">
        <v>3419</v>
      </c>
      <c r="K156" s="50">
        <v>488001</v>
      </c>
      <c r="L156" s="43">
        <v>105460</v>
      </c>
      <c r="M156" s="44">
        <f t="shared" si="20"/>
        <v>0.21610611453665055</v>
      </c>
      <c r="N156" s="49">
        <f>ROUND(L156/Summary!$C$3*Summary!$C$2,0)</f>
        <v>326926</v>
      </c>
      <c r="O156" s="44">
        <f t="shared" si="21"/>
        <v>0.66992895506361672</v>
      </c>
      <c r="P156" s="78">
        <v>22</v>
      </c>
      <c r="Q156" s="34">
        <v>1</v>
      </c>
      <c r="R156" s="35">
        <f t="shared" si="22"/>
        <v>4.5454545454545456E-2</v>
      </c>
      <c r="S156" s="49">
        <f>ROUND(Q156/Summary!$C$3*Summary!$C$2,0)</f>
        <v>3</v>
      </c>
      <c r="T156" s="44">
        <f t="shared" si="23"/>
        <v>0.13636363636363635</v>
      </c>
      <c r="U156" s="34">
        <v>1</v>
      </c>
      <c r="V156" s="34">
        <v>0</v>
      </c>
      <c r="W156" s="34">
        <v>0</v>
      </c>
      <c r="X156" s="34">
        <v>0</v>
      </c>
    </row>
    <row r="157" spans="1:24" hidden="1">
      <c r="A157" s="34" t="s">
        <v>478</v>
      </c>
      <c r="B157" s="34" t="s">
        <v>479</v>
      </c>
      <c r="C157" s="34" t="s">
        <v>106</v>
      </c>
      <c r="D157" s="34" t="s">
        <v>107</v>
      </c>
      <c r="E157" s="34" t="s">
        <v>3</v>
      </c>
      <c r="F157" s="34" t="s">
        <v>480</v>
      </c>
      <c r="G157" s="54">
        <v>1832062761</v>
      </c>
      <c r="H157" s="54" t="s">
        <v>229</v>
      </c>
      <c r="I157" s="54" t="s">
        <v>3514</v>
      </c>
      <c r="J157" s="34" t="s">
        <v>3419</v>
      </c>
      <c r="K157" s="50">
        <v>130000</v>
      </c>
      <c r="L157" s="43">
        <v>61434</v>
      </c>
      <c r="M157" s="44">
        <f t="shared" si="20"/>
        <v>0.4725692307692308</v>
      </c>
      <c r="N157" s="49">
        <f>ROUND(L157/Summary!$C$3*Summary!$C$2,0)</f>
        <v>190445</v>
      </c>
      <c r="O157" s="44">
        <f t="shared" si="21"/>
        <v>1.4649615384615384</v>
      </c>
      <c r="P157" s="78">
        <v>10</v>
      </c>
      <c r="Q157" s="34">
        <v>3</v>
      </c>
      <c r="R157" s="35">
        <f t="shared" si="22"/>
        <v>0.3</v>
      </c>
      <c r="S157" s="49">
        <f>ROUND(Q157/Summary!$C$3*Summary!$C$2,0)</f>
        <v>9</v>
      </c>
      <c r="T157" s="44">
        <f t="shared" si="23"/>
        <v>0.9</v>
      </c>
      <c r="U157" s="34">
        <v>0</v>
      </c>
      <c r="V157" s="34">
        <v>0</v>
      </c>
      <c r="W157" s="34">
        <v>0</v>
      </c>
      <c r="X157" s="34">
        <v>0</v>
      </c>
    </row>
    <row r="158" spans="1:24" hidden="1">
      <c r="A158" s="34" t="s">
        <v>508</v>
      </c>
      <c r="B158" s="34" t="s">
        <v>509</v>
      </c>
      <c r="C158" s="34" t="s">
        <v>106</v>
      </c>
      <c r="D158" s="34" t="s">
        <v>107</v>
      </c>
      <c r="E158" s="34" t="s">
        <v>3</v>
      </c>
      <c r="F158" s="34" t="s">
        <v>510</v>
      </c>
      <c r="G158" s="54">
        <v>1867354531</v>
      </c>
      <c r="H158" s="54" t="s">
        <v>229</v>
      </c>
      <c r="I158" s="54" t="s">
        <v>3518</v>
      </c>
      <c r="J158" s="34" t="s">
        <v>3419</v>
      </c>
      <c r="K158" s="50">
        <v>323207</v>
      </c>
      <c r="L158" s="43">
        <v>77758</v>
      </c>
      <c r="M158" s="44">
        <f t="shared" si="20"/>
        <v>0.24058266064782013</v>
      </c>
      <c r="N158" s="49">
        <f>ROUND(L158/Summary!$C$3*Summary!$C$2,0)</f>
        <v>241050</v>
      </c>
      <c r="O158" s="44">
        <f t="shared" si="21"/>
        <v>0.74580686680672137</v>
      </c>
      <c r="P158" s="78">
        <v>12</v>
      </c>
      <c r="Q158" s="34">
        <v>2</v>
      </c>
      <c r="R158" s="35">
        <f t="shared" si="22"/>
        <v>0.16666666666666666</v>
      </c>
      <c r="S158" s="49">
        <f>ROUND(Q158/Summary!$C$3*Summary!$C$2,0)</f>
        <v>6</v>
      </c>
      <c r="T158" s="44">
        <f t="shared" si="23"/>
        <v>0.5</v>
      </c>
      <c r="U158" s="34">
        <v>0</v>
      </c>
      <c r="V158" s="34">
        <v>0</v>
      </c>
      <c r="W158" s="34">
        <v>0</v>
      </c>
      <c r="X158" s="34">
        <v>0</v>
      </c>
    </row>
    <row r="159" spans="1:24" hidden="1">
      <c r="A159" s="34" t="s">
        <v>499</v>
      </c>
      <c r="B159" s="34" t="s">
        <v>500</v>
      </c>
      <c r="C159" s="34" t="s">
        <v>106</v>
      </c>
      <c r="D159" s="34" t="s">
        <v>107</v>
      </c>
      <c r="E159" s="34" t="s">
        <v>3</v>
      </c>
      <c r="F159" s="34" t="s">
        <v>501</v>
      </c>
      <c r="G159" s="54">
        <v>1836251819</v>
      </c>
      <c r="H159" s="54" t="s">
        <v>229</v>
      </c>
      <c r="I159" s="54" t="s">
        <v>3522</v>
      </c>
      <c r="J159" s="34" t="s">
        <v>3419</v>
      </c>
      <c r="K159" s="50">
        <v>820126</v>
      </c>
      <c r="L159" s="43">
        <v>204558</v>
      </c>
      <c r="M159" s="44">
        <f t="shared" si="20"/>
        <v>0.24942264969041342</v>
      </c>
      <c r="N159" s="49">
        <f>ROUND(L159/Summary!$C$3*Summary!$C$2,0)</f>
        <v>634130</v>
      </c>
      <c r="O159" s="44">
        <f t="shared" si="21"/>
        <v>0.77321045790524867</v>
      </c>
      <c r="P159" s="78">
        <v>32</v>
      </c>
      <c r="Q159" s="34">
        <v>3</v>
      </c>
      <c r="R159" s="35">
        <f t="shared" si="22"/>
        <v>9.375E-2</v>
      </c>
      <c r="S159" s="49">
        <f>ROUND(Q159/Summary!$C$3*Summary!$C$2,0)</f>
        <v>9</v>
      </c>
      <c r="T159" s="44">
        <f t="shared" si="23"/>
        <v>0.28125</v>
      </c>
      <c r="U159" s="34">
        <v>4</v>
      </c>
      <c r="V159" s="34">
        <v>0</v>
      </c>
      <c r="W159" s="34">
        <v>0</v>
      </c>
      <c r="X159" s="34">
        <v>0</v>
      </c>
    </row>
    <row r="160" spans="1:24" hidden="1">
      <c r="A160" s="34" t="s">
        <v>493</v>
      </c>
      <c r="B160" s="34" t="s">
        <v>494</v>
      </c>
      <c r="C160" s="34" t="s">
        <v>106</v>
      </c>
      <c r="D160" s="34" t="s">
        <v>107</v>
      </c>
      <c r="E160" s="34" t="s">
        <v>3</v>
      </c>
      <c r="F160" s="34" t="s">
        <v>495</v>
      </c>
      <c r="G160" s="54">
        <v>1867109291</v>
      </c>
      <c r="H160" s="54" t="s">
        <v>229</v>
      </c>
      <c r="I160" s="54" t="s">
        <v>3518</v>
      </c>
      <c r="J160" s="34" t="s">
        <v>3421</v>
      </c>
      <c r="K160" s="50">
        <v>347281</v>
      </c>
      <c r="L160" s="43">
        <v>118774</v>
      </c>
      <c r="M160" s="44">
        <f t="shared" si="20"/>
        <v>0.34201122433994374</v>
      </c>
      <c r="N160" s="49">
        <f>ROUND(L160/Summary!$C$3*Summary!$C$2,0)</f>
        <v>368199</v>
      </c>
      <c r="O160" s="44">
        <f t="shared" si="21"/>
        <v>1.0602336436488031</v>
      </c>
      <c r="P160" s="78">
        <v>12</v>
      </c>
      <c r="Q160" s="34">
        <v>4</v>
      </c>
      <c r="R160" s="35">
        <f t="shared" si="22"/>
        <v>0.33333333333333331</v>
      </c>
      <c r="S160" s="49">
        <f>ROUND(Q160/Summary!$C$3*Summary!$C$2,0)</f>
        <v>12</v>
      </c>
      <c r="T160" s="44">
        <f t="shared" si="23"/>
        <v>1</v>
      </c>
      <c r="U160" s="34">
        <v>0</v>
      </c>
      <c r="V160" s="34">
        <v>1</v>
      </c>
      <c r="W160" s="34">
        <v>0</v>
      </c>
      <c r="X160" s="34">
        <v>1</v>
      </c>
    </row>
    <row r="161" spans="1:24" hidden="1">
      <c r="A161" s="34" t="s">
        <v>490</v>
      </c>
      <c r="B161" s="34" t="s">
        <v>491</v>
      </c>
      <c r="C161" s="34" t="s">
        <v>106</v>
      </c>
      <c r="D161" s="34" t="s">
        <v>107</v>
      </c>
      <c r="E161" s="34" t="s">
        <v>3</v>
      </c>
      <c r="F161" s="34" t="s">
        <v>492</v>
      </c>
      <c r="G161" s="54">
        <v>1819920403</v>
      </c>
      <c r="H161" s="54" t="s">
        <v>229</v>
      </c>
      <c r="I161" s="54" t="s">
        <v>3514</v>
      </c>
      <c r="J161" s="34" t="s">
        <v>3421</v>
      </c>
      <c r="K161" s="50">
        <v>130000</v>
      </c>
      <c r="L161" s="43">
        <v>9880</v>
      </c>
      <c r="M161" s="44">
        <f t="shared" si="20"/>
        <v>7.5999999999999998E-2</v>
      </c>
      <c r="N161" s="49">
        <f>ROUND(L161/Summary!$C$3*Summary!$C$2,0)</f>
        <v>30628</v>
      </c>
      <c r="O161" s="44">
        <f t="shared" si="21"/>
        <v>0.2356</v>
      </c>
      <c r="P161" s="78">
        <v>10</v>
      </c>
      <c r="Q161" s="34">
        <v>1</v>
      </c>
      <c r="R161" s="35">
        <f t="shared" si="22"/>
        <v>0.1</v>
      </c>
      <c r="S161" s="49">
        <f>ROUND(Q161/Summary!$C$3*Summary!$C$2,0)</f>
        <v>3</v>
      </c>
      <c r="T161" s="44">
        <f t="shared" si="23"/>
        <v>0.3</v>
      </c>
      <c r="U161" s="34">
        <v>0</v>
      </c>
      <c r="V161" s="34">
        <v>0</v>
      </c>
      <c r="W161" s="34">
        <v>0</v>
      </c>
      <c r="X161" s="34">
        <v>0</v>
      </c>
    </row>
    <row r="162" spans="1:24" hidden="1">
      <c r="A162" s="34" t="s">
        <v>454</v>
      </c>
      <c r="B162" s="34" t="s">
        <v>455</v>
      </c>
      <c r="C162" s="34" t="s">
        <v>106</v>
      </c>
      <c r="D162" s="34" t="s">
        <v>107</v>
      </c>
      <c r="E162" s="34" t="s">
        <v>3</v>
      </c>
      <c r="F162" s="34" t="s">
        <v>456</v>
      </c>
      <c r="G162" s="54">
        <v>1813487512</v>
      </c>
      <c r="H162" s="54" t="s">
        <v>229</v>
      </c>
      <c r="I162" s="54" t="s">
        <v>3514</v>
      </c>
      <c r="J162" s="34" t="s">
        <v>3421</v>
      </c>
      <c r="K162" s="50">
        <v>199950</v>
      </c>
      <c r="L162" s="43">
        <v>92610</v>
      </c>
      <c r="M162" s="44">
        <f t="shared" si="20"/>
        <v>0.46316579144786196</v>
      </c>
      <c r="N162" s="49">
        <f>ROUND(L162/Summary!$C$3*Summary!$C$2,0)</f>
        <v>287091</v>
      </c>
      <c r="O162" s="44">
        <f t="shared" si="21"/>
        <v>1.435813953488372</v>
      </c>
      <c r="P162" s="78">
        <v>10</v>
      </c>
      <c r="Q162" s="34">
        <v>1</v>
      </c>
      <c r="R162" s="35">
        <f t="shared" si="22"/>
        <v>0.1</v>
      </c>
      <c r="S162" s="49">
        <f>ROUND(Q162/Summary!$C$3*Summary!$C$2,0)</f>
        <v>3</v>
      </c>
      <c r="T162" s="44">
        <f t="shared" si="23"/>
        <v>0.3</v>
      </c>
      <c r="U162" s="34">
        <v>4</v>
      </c>
      <c r="V162" s="34">
        <v>0</v>
      </c>
      <c r="W162" s="34">
        <v>0</v>
      </c>
      <c r="X162" s="34">
        <v>0</v>
      </c>
    </row>
    <row r="163" spans="1:24" hidden="1">
      <c r="A163" s="34" t="s">
        <v>3095</v>
      </c>
      <c r="B163" s="34" t="s">
        <v>3096</v>
      </c>
      <c r="C163" s="34" t="s">
        <v>106</v>
      </c>
      <c r="D163" s="34" t="s">
        <v>107</v>
      </c>
      <c r="E163" s="34" t="s">
        <v>3</v>
      </c>
      <c r="F163" s="34" t="s">
        <v>3097</v>
      </c>
      <c r="G163" s="54">
        <v>1836251819</v>
      </c>
      <c r="H163" s="54" t="s">
        <v>229</v>
      </c>
      <c r="I163" s="54" t="s">
        <v>3514</v>
      </c>
      <c r="J163" s="34" t="s">
        <v>3421</v>
      </c>
      <c r="K163" s="50">
        <v>130000</v>
      </c>
      <c r="L163" s="43">
        <v>19695</v>
      </c>
      <c r="M163" s="44">
        <f t="shared" si="20"/>
        <v>0.1515</v>
      </c>
      <c r="N163" s="49">
        <f>ROUND(L163/Summary!$C$3*Summary!$C$2,0)</f>
        <v>61055</v>
      </c>
      <c r="O163" s="44">
        <f t="shared" si="21"/>
        <v>0.46965384615384614</v>
      </c>
      <c r="P163" s="78">
        <v>10</v>
      </c>
      <c r="Q163" s="34">
        <v>1</v>
      </c>
      <c r="R163" s="35">
        <f t="shared" si="22"/>
        <v>0.1</v>
      </c>
      <c r="S163" s="49">
        <f>ROUND(Q163/Summary!$C$3*Summary!$C$2,0)</f>
        <v>3</v>
      </c>
      <c r="T163" s="44">
        <f t="shared" si="23"/>
        <v>0.3</v>
      </c>
      <c r="U163" s="34">
        <v>0</v>
      </c>
      <c r="V163" s="34">
        <v>0</v>
      </c>
      <c r="W163" s="34">
        <v>0</v>
      </c>
      <c r="X163" s="34">
        <v>0</v>
      </c>
    </row>
    <row r="164" spans="1:24" hidden="1">
      <c r="A164" s="34" t="s">
        <v>487</v>
      </c>
      <c r="B164" s="34" t="s">
        <v>488</v>
      </c>
      <c r="C164" s="34" t="s">
        <v>106</v>
      </c>
      <c r="D164" s="34" t="s">
        <v>107</v>
      </c>
      <c r="E164" s="34" t="s">
        <v>3</v>
      </c>
      <c r="F164" s="34" t="s">
        <v>489</v>
      </c>
      <c r="G164" s="54">
        <v>1812792787</v>
      </c>
      <c r="H164" s="54" t="s">
        <v>229</v>
      </c>
      <c r="I164" s="54" t="s">
        <v>3514</v>
      </c>
      <c r="J164" s="34" t="s">
        <v>3421</v>
      </c>
      <c r="K164" s="50">
        <v>130000</v>
      </c>
      <c r="L164" s="43">
        <v>46860</v>
      </c>
      <c r="M164" s="44">
        <f t="shared" si="20"/>
        <v>0.36046153846153844</v>
      </c>
      <c r="N164" s="49">
        <f>ROUND(L164/Summary!$C$3*Summary!$C$2,0)</f>
        <v>145266</v>
      </c>
      <c r="O164" s="44">
        <f t="shared" si="21"/>
        <v>1.1174307692307692</v>
      </c>
      <c r="P164" s="78">
        <v>10</v>
      </c>
      <c r="Q164" s="34">
        <v>1</v>
      </c>
      <c r="R164" s="35">
        <f t="shared" si="22"/>
        <v>0.1</v>
      </c>
      <c r="S164" s="49">
        <f>ROUND(Q164/Summary!$C$3*Summary!$C$2,0)</f>
        <v>3</v>
      </c>
      <c r="T164" s="44">
        <f t="shared" si="23"/>
        <v>0.3</v>
      </c>
      <c r="U164" s="34">
        <v>0</v>
      </c>
      <c r="V164" s="34">
        <v>0</v>
      </c>
      <c r="W164" s="34">
        <v>0</v>
      </c>
      <c r="X164" s="34">
        <v>0</v>
      </c>
    </row>
    <row r="165" spans="1:24" hidden="1">
      <c r="A165" s="75" t="s">
        <v>3532</v>
      </c>
      <c r="B165" s="75" t="s">
        <v>3533</v>
      </c>
      <c r="C165" s="75" t="s">
        <v>106</v>
      </c>
      <c r="D165" s="75" t="s">
        <v>107</v>
      </c>
      <c r="E165" s="75" t="s">
        <v>3</v>
      </c>
      <c r="F165" s="75" t="s">
        <v>235</v>
      </c>
      <c r="G165" s="67">
        <v>1812548881</v>
      </c>
      <c r="H165" s="54" t="s">
        <v>229</v>
      </c>
      <c r="I165" s="54" t="s">
        <v>3514</v>
      </c>
      <c r="J165" s="34" t="s">
        <v>3419</v>
      </c>
      <c r="K165" s="50">
        <v>130000</v>
      </c>
      <c r="L165" s="43">
        <v>22160</v>
      </c>
      <c r="M165" s="44">
        <f t="shared" si="20"/>
        <v>0.17046153846153847</v>
      </c>
      <c r="N165" s="49">
        <f>ROUND(L165/Summary!$C$3*Summary!$C$2,0)</f>
        <v>68696</v>
      </c>
      <c r="O165" s="44">
        <f t="shared" si="21"/>
        <v>0.52843076923076926</v>
      </c>
      <c r="P165" s="78">
        <v>10</v>
      </c>
      <c r="Q165" s="34">
        <v>1</v>
      </c>
      <c r="R165" s="35">
        <f t="shared" si="22"/>
        <v>0.1</v>
      </c>
      <c r="S165" s="49">
        <f>ROUND(Q165/Summary!$C$3*Summary!$C$2,0)</f>
        <v>3</v>
      </c>
      <c r="T165" s="44">
        <f t="shared" si="23"/>
        <v>0.3</v>
      </c>
      <c r="U165" s="34">
        <v>0</v>
      </c>
      <c r="V165" s="34">
        <v>0</v>
      </c>
      <c r="W165" s="34">
        <v>0</v>
      </c>
      <c r="X165" s="34">
        <v>0</v>
      </c>
    </row>
    <row r="166" spans="1:24">
      <c r="A166" s="34" t="s">
        <v>469</v>
      </c>
      <c r="B166" s="34" t="s">
        <v>470</v>
      </c>
      <c r="C166" s="34" t="s">
        <v>106</v>
      </c>
      <c r="D166" s="34" t="s">
        <v>107</v>
      </c>
      <c r="E166" s="34" t="s">
        <v>3</v>
      </c>
      <c r="F166" s="34" t="s">
        <v>471</v>
      </c>
      <c r="G166" s="54">
        <v>1833421192</v>
      </c>
      <c r="H166" s="54" t="s">
        <v>229</v>
      </c>
      <c r="I166" s="54" t="s">
        <v>3514</v>
      </c>
      <c r="J166" s="34" t="s">
        <v>3421</v>
      </c>
      <c r="K166" s="50">
        <v>130000</v>
      </c>
      <c r="L166" s="43">
        <v>0</v>
      </c>
      <c r="M166" s="44">
        <f t="shared" si="20"/>
        <v>0</v>
      </c>
      <c r="N166" s="49">
        <f>ROUND(L166/Summary!$C$3*Summary!$C$2,0)</f>
        <v>0</v>
      </c>
      <c r="O166" s="44">
        <f t="shared" si="21"/>
        <v>0</v>
      </c>
      <c r="P166" s="78">
        <v>10</v>
      </c>
      <c r="Q166" s="34">
        <v>0</v>
      </c>
      <c r="R166" s="35">
        <f t="shared" si="22"/>
        <v>0</v>
      </c>
      <c r="S166" s="49">
        <f>ROUND(Q166/Summary!$C$3*Summary!$C$2,0)</f>
        <v>0</v>
      </c>
      <c r="T166" s="44">
        <f t="shared" si="23"/>
        <v>0</v>
      </c>
      <c r="U166" s="34">
        <v>0</v>
      </c>
      <c r="V166" s="34">
        <v>0</v>
      </c>
      <c r="W166" s="34">
        <v>0</v>
      </c>
      <c r="X166" s="34">
        <v>0</v>
      </c>
    </row>
    <row r="167" spans="1:24" hidden="1">
      <c r="A167" s="34" t="s">
        <v>502</v>
      </c>
      <c r="B167" s="34" t="s">
        <v>503</v>
      </c>
      <c r="C167" s="34" t="s">
        <v>106</v>
      </c>
      <c r="D167" s="34" t="s">
        <v>107</v>
      </c>
      <c r="E167" s="34" t="s">
        <v>3</v>
      </c>
      <c r="F167" s="34" t="s">
        <v>504</v>
      </c>
      <c r="G167" s="54">
        <v>1835365151</v>
      </c>
      <c r="H167" s="54" t="s">
        <v>229</v>
      </c>
      <c r="I167" s="54" t="s">
        <v>3514</v>
      </c>
      <c r="J167" s="34" t="s">
        <v>3421</v>
      </c>
      <c r="K167" s="50">
        <v>130000</v>
      </c>
      <c r="L167" s="43">
        <v>33340</v>
      </c>
      <c r="M167" s="44">
        <f t="shared" si="20"/>
        <v>0.25646153846153846</v>
      </c>
      <c r="N167" s="49">
        <f>ROUND(L167/Summary!$C$3*Summary!$C$2,0)</f>
        <v>103354</v>
      </c>
      <c r="O167" s="44">
        <f t="shared" si="21"/>
        <v>0.79503076923076921</v>
      </c>
      <c r="P167" s="78">
        <v>10</v>
      </c>
      <c r="Q167" s="34">
        <v>3</v>
      </c>
      <c r="R167" s="35">
        <f t="shared" si="22"/>
        <v>0.3</v>
      </c>
      <c r="S167" s="49">
        <f>ROUND(Q167/Summary!$C$3*Summary!$C$2,0)</f>
        <v>9</v>
      </c>
      <c r="T167" s="44">
        <f t="shared" si="23"/>
        <v>0.9</v>
      </c>
      <c r="U167" s="34">
        <v>0</v>
      </c>
      <c r="V167" s="34">
        <v>0</v>
      </c>
      <c r="W167" s="34">
        <v>1</v>
      </c>
      <c r="X167" s="34">
        <v>0</v>
      </c>
    </row>
    <row r="168" spans="1:24" hidden="1">
      <c r="A168" s="34" t="s">
        <v>460</v>
      </c>
      <c r="B168" s="34" t="s">
        <v>461</v>
      </c>
      <c r="C168" s="34" t="s">
        <v>106</v>
      </c>
      <c r="D168" s="34" t="s">
        <v>107</v>
      </c>
      <c r="E168" s="34" t="s">
        <v>3</v>
      </c>
      <c r="F168" s="34" t="s">
        <v>462</v>
      </c>
      <c r="G168" s="54">
        <v>1839700300</v>
      </c>
      <c r="H168" s="54" t="s">
        <v>229</v>
      </c>
      <c r="I168" s="54" t="s">
        <v>3514</v>
      </c>
      <c r="J168" s="34" t="s">
        <v>3421</v>
      </c>
      <c r="K168" s="50">
        <v>130000</v>
      </c>
      <c r="L168" s="43">
        <v>21870</v>
      </c>
      <c r="M168" s="44">
        <f t="shared" si="20"/>
        <v>0.16823076923076924</v>
      </c>
      <c r="N168" s="49">
        <f>ROUND(L168/Summary!$C$3*Summary!$C$2,0)</f>
        <v>67797</v>
      </c>
      <c r="O168" s="44">
        <f t="shared" si="21"/>
        <v>0.5215153846153846</v>
      </c>
      <c r="P168" s="78">
        <v>10</v>
      </c>
      <c r="Q168" s="34">
        <v>2</v>
      </c>
      <c r="R168" s="35">
        <f t="shared" si="22"/>
        <v>0.2</v>
      </c>
      <c r="S168" s="49">
        <f>ROUND(Q168/Summary!$C$3*Summary!$C$2,0)</f>
        <v>6</v>
      </c>
      <c r="T168" s="44">
        <f t="shared" si="23"/>
        <v>0.6</v>
      </c>
      <c r="U168" s="34">
        <v>0</v>
      </c>
      <c r="V168" s="34">
        <v>0</v>
      </c>
      <c r="W168" s="34">
        <v>1</v>
      </c>
      <c r="X168" s="34">
        <v>1</v>
      </c>
    </row>
    <row r="169" spans="1:24" hidden="1">
      <c r="A169" s="34" t="s">
        <v>466</v>
      </c>
      <c r="B169" s="34" t="s">
        <v>467</v>
      </c>
      <c r="C169" s="34" t="s">
        <v>106</v>
      </c>
      <c r="D169" s="34" t="s">
        <v>107</v>
      </c>
      <c r="E169" s="34" t="s">
        <v>3</v>
      </c>
      <c r="F169" s="34" t="s">
        <v>468</v>
      </c>
      <c r="G169" s="54">
        <v>1711748178</v>
      </c>
      <c r="H169" s="54" t="s">
        <v>229</v>
      </c>
      <c r="I169" s="54" t="s">
        <v>3514</v>
      </c>
      <c r="J169" s="34" t="s">
        <v>3421</v>
      </c>
      <c r="K169" s="50">
        <v>130000</v>
      </c>
      <c r="L169" s="43">
        <v>29500</v>
      </c>
      <c r="M169" s="44">
        <f t="shared" si="20"/>
        <v>0.22692307692307692</v>
      </c>
      <c r="N169" s="49">
        <f>ROUND(L169/Summary!$C$3*Summary!$C$2,0)</f>
        <v>91450</v>
      </c>
      <c r="O169" s="44">
        <f t="shared" si="21"/>
        <v>0.70346153846153847</v>
      </c>
      <c r="P169" s="78">
        <v>10</v>
      </c>
      <c r="Q169" s="34">
        <v>1</v>
      </c>
      <c r="R169" s="35">
        <f t="shared" si="22"/>
        <v>0.1</v>
      </c>
      <c r="S169" s="49">
        <f>ROUND(Q169/Summary!$C$3*Summary!$C$2,0)</f>
        <v>3</v>
      </c>
      <c r="T169" s="44">
        <f t="shared" si="23"/>
        <v>0.3</v>
      </c>
      <c r="U169" s="34">
        <v>0</v>
      </c>
      <c r="V169" s="34">
        <v>0</v>
      </c>
      <c r="W169" s="34">
        <v>0</v>
      </c>
      <c r="X169" s="34">
        <v>0</v>
      </c>
    </row>
    <row r="170" spans="1:24" hidden="1">
      <c r="A170" s="34" t="s">
        <v>496</v>
      </c>
      <c r="B170" s="34" t="s">
        <v>497</v>
      </c>
      <c r="C170" s="34" t="s">
        <v>106</v>
      </c>
      <c r="D170" s="34" t="s">
        <v>107</v>
      </c>
      <c r="E170" s="34" t="s">
        <v>3</v>
      </c>
      <c r="F170" s="34" t="s">
        <v>498</v>
      </c>
      <c r="G170" s="54">
        <v>1818865559</v>
      </c>
      <c r="H170" s="54" t="s">
        <v>229</v>
      </c>
      <c r="I170" s="54" t="s">
        <v>3514</v>
      </c>
      <c r="J170" s="34" t="s">
        <v>3421</v>
      </c>
      <c r="K170" s="50">
        <v>130000</v>
      </c>
      <c r="L170" s="43">
        <v>43135</v>
      </c>
      <c r="M170" s="44">
        <f t="shared" si="20"/>
        <v>0.3318076923076923</v>
      </c>
      <c r="N170" s="49">
        <f>ROUND(L170/Summary!$C$3*Summary!$C$2,0)</f>
        <v>133719</v>
      </c>
      <c r="O170" s="44">
        <f t="shared" si="21"/>
        <v>1.0286076923076923</v>
      </c>
      <c r="P170" s="78">
        <v>10</v>
      </c>
      <c r="Q170" s="34">
        <v>3</v>
      </c>
      <c r="R170" s="35">
        <f t="shared" si="22"/>
        <v>0.3</v>
      </c>
      <c r="S170" s="49">
        <f>ROUND(Q170/Summary!$C$3*Summary!$C$2,0)</f>
        <v>9</v>
      </c>
      <c r="T170" s="44">
        <f t="shared" si="23"/>
        <v>0.9</v>
      </c>
      <c r="U170" s="34">
        <v>0</v>
      </c>
      <c r="V170" s="34">
        <v>0</v>
      </c>
      <c r="W170" s="34">
        <v>0</v>
      </c>
      <c r="X170" s="34">
        <v>0</v>
      </c>
    </row>
    <row r="171" spans="1:24" hidden="1">
      <c r="A171" s="34" t="s">
        <v>484</v>
      </c>
      <c r="B171" s="34" t="s">
        <v>485</v>
      </c>
      <c r="C171" s="34" t="s">
        <v>106</v>
      </c>
      <c r="D171" s="34" t="s">
        <v>107</v>
      </c>
      <c r="E171" s="34" t="s">
        <v>3</v>
      </c>
      <c r="F171" s="34" t="s">
        <v>486</v>
      </c>
      <c r="G171" s="54">
        <v>1856504000</v>
      </c>
      <c r="H171" s="54" t="s">
        <v>229</v>
      </c>
      <c r="I171" s="54" t="s">
        <v>3522</v>
      </c>
      <c r="J171" s="34" t="s">
        <v>3419</v>
      </c>
      <c r="K171" s="50">
        <v>681080</v>
      </c>
      <c r="L171" s="43">
        <v>258385</v>
      </c>
      <c r="M171" s="44">
        <f t="shared" si="20"/>
        <v>0.37937540377048218</v>
      </c>
      <c r="N171" s="49">
        <f>ROUND(L171/Summary!$C$3*Summary!$C$2,0)</f>
        <v>800994</v>
      </c>
      <c r="O171" s="44">
        <f t="shared" si="21"/>
        <v>1.1760644858166442</v>
      </c>
      <c r="P171" s="78">
        <v>16</v>
      </c>
      <c r="Q171" s="34">
        <v>9</v>
      </c>
      <c r="R171" s="35">
        <f t="shared" si="22"/>
        <v>0.5625</v>
      </c>
      <c r="S171" s="49">
        <f>ROUND(Q171/Summary!$C$3*Summary!$C$2,0)</f>
        <v>28</v>
      </c>
      <c r="T171" s="44">
        <f t="shared" si="23"/>
        <v>1.75</v>
      </c>
      <c r="U171" s="34">
        <v>0</v>
      </c>
      <c r="V171" s="34">
        <v>1</v>
      </c>
      <c r="W171" s="34">
        <v>0</v>
      </c>
      <c r="X171" s="34">
        <v>0</v>
      </c>
    </row>
    <row r="172" spans="1:24" hidden="1">
      <c r="A172" s="34" t="s">
        <v>472</v>
      </c>
      <c r="B172" s="34" t="s">
        <v>473</v>
      </c>
      <c r="C172" s="34" t="s">
        <v>106</v>
      </c>
      <c r="D172" s="34" t="s">
        <v>107</v>
      </c>
      <c r="E172" s="34" t="s">
        <v>3</v>
      </c>
      <c r="F172" s="34" t="s">
        <v>474</v>
      </c>
      <c r="G172" s="54">
        <v>1819942848</v>
      </c>
      <c r="H172" s="54" t="s">
        <v>229</v>
      </c>
      <c r="I172" s="54" t="s">
        <v>3522</v>
      </c>
      <c r="J172" s="34" t="s">
        <v>3419</v>
      </c>
      <c r="K172" s="50">
        <v>968241</v>
      </c>
      <c r="L172" s="43">
        <v>387080</v>
      </c>
      <c r="M172" s="44">
        <f t="shared" si="20"/>
        <v>0.39977650192462416</v>
      </c>
      <c r="N172" s="49">
        <f>ROUND(L172/Summary!$C$3*Summary!$C$2,0)</f>
        <v>1199948</v>
      </c>
      <c r="O172" s="44">
        <f t="shared" si="21"/>
        <v>1.2393071559663349</v>
      </c>
      <c r="P172" s="78">
        <v>31</v>
      </c>
      <c r="Q172" s="34">
        <v>13</v>
      </c>
      <c r="R172" s="35">
        <f t="shared" si="22"/>
        <v>0.41935483870967744</v>
      </c>
      <c r="S172" s="49">
        <f>ROUND(Q172/Summary!$C$3*Summary!$C$2,0)</f>
        <v>40</v>
      </c>
      <c r="T172" s="44">
        <f t="shared" si="23"/>
        <v>1.2903225806451613</v>
      </c>
      <c r="U172" s="34">
        <v>3</v>
      </c>
      <c r="V172" s="34">
        <v>1</v>
      </c>
      <c r="W172" s="34">
        <v>0</v>
      </c>
      <c r="X172" s="34">
        <v>0</v>
      </c>
    </row>
    <row r="173" spans="1:24" hidden="1">
      <c r="A173" s="34" t="s">
        <v>505</v>
      </c>
      <c r="B173" s="34" t="s">
        <v>506</v>
      </c>
      <c r="C173" s="34" t="s">
        <v>106</v>
      </c>
      <c r="D173" s="34" t="s">
        <v>107</v>
      </c>
      <c r="E173" s="34" t="s">
        <v>3</v>
      </c>
      <c r="F173" s="34" t="s">
        <v>507</v>
      </c>
      <c r="G173" s="54">
        <v>1839871536</v>
      </c>
      <c r="H173" s="54" t="s">
        <v>229</v>
      </c>
      <c r="I173" s="54" t="s">
        <v>3514</v>
      </c>
      <c r="J173" s="34" t="s">
        <v>3421</v>
      </c>
      <c r="K173" s="50">
        <v>213612</v>
      </c>
      <c r="L173" s="43">
        <v>57030</v>
      </c>
      <c r="M173" s="44">
        <f t="shared" si="20"/>
        <v>0.26697938318072018</v>
      </c>
      <c r="N173" s="49">
        <f>ROUND(L173/Summary!$C$3*Summary!$C$2,0)</f>
        <v>176793</v>
      </c>
      <c r="O173" s="44">
        <f t="shared" si="21"/>
        <v>0.82763608786023257</v>
      </c>
      <c r="P173" s="78">
        <v>10</v>
      </c>
      <c r="Q173" s="34">
        <v>1</v>
      </c>
      <c r="R173" s="35">
        <f t="shared" si="22"/>
        <v>0.1</v>
      </c>
      <c r="S173" s="49">
        <f>ROUND(Q173/Summary!$C$3*Summary!$C$2,0)</f>
        <v>3</v>
      </c>
      <c r="T173" s="44">
        <f t="shared" si="23"/>
        <v>0.3</v>
      </c>
      <c r="U173" s="34">
        <v>0</v>
      </c>
      <c r="V173" s="34">
        <v>0</v>
      </c>
      <c r="W173" s="34">
        <v>0</v>
      </c>
      <c r="X173" s="34">
        <v>0</v>
      </c>
    </row>
    <row r="174" spans="1:24" hidden="1">
      <c r="A174" s="34" t="s">
        <v>463</v>
      </c>
      <c r="B174" s="34" t="s">
        <v>464</v>
      </c>
      <c r="C174" s="34" t="s">
        <v>106</v>
      </c>
      <c r="D174" s="34" t="s">
        <v>107</v>
      </c>
      <c r="E174" s="34" t="s">
        <v>3</v>
      </c>
      <c r="F174" s="34" t="s">
        <v>465</v>
      </c>
      <c r="G174" s="54">
        <v>1819381226</v>
      </c>
      <c r="H174" s="54" t="s">
        <v>229</v>
      </c>
      <c r="I174" s="54" t="s">
        <v>3514</v>
      </c>
      <c r="J174" s="34" t="s">
        <v>3421</v>
      </c>
      <c r="K174" s="50">
        <v>253572</v>
      </c>
      <c r="L174" s="43">
        <v>37880</v>
      </c>
      <c r="M174" s="44">
        <f t="shared" si="20"/>
        <v>0.14938557884939976</v>
      </c>
      <c r="N174" s="49">
        <f>ROUND(L174/Summary!$C$3*Summary!$C$2,0)</f>
        <v>117428</v>
      </c>
      <c r="O174" s="44">
        <f t="shared" si="21"/>
        <v>0.46309529443313929</v>
      </c>
      <c r="P174" s="78">
        <v>16</v>
      </c>
      <c r="Q174" s="34">
        <v>1</v>
      </c>
      <c r="R174" s="35">
        <f t="shared" si="22"/>
        <v>6.25E-2</v>
      </c>
      <c r="S174" s="49">
        <f>ROUND(Q174/Summary!$C$3*Summary!$C$2,0)</f>
        <v>3</v>
      </c>
      <c r="T174" s="44">
        <f t="shared" si="23"/>
        <v>0.1875</v>
      </c>
      <c r="U174" s="34">
        <v>0</v>
      </c>
      <c r="V174" s="34">
        <v>0</v>
      </c>
      <c r="W174" s="34">
        <v>0</v>
      </c>
      <c r="X174" s="34">
        <v>0</v>
      </c>
    </row>
    <row r="175" spans="1:24" hidden="1">
      <c r="A175" s="34" t="s">
        <v>481</v>
      </c>
      <c r="B175" s="34" t="s">
        <v>482</v>
      </c>
      <c r="C175" s="34" t="s">
        <v>106</v>
      </c>
      <c r="D175" s="34" t="s">
        <v>107</v>
      </c>
      <c r="E175" s="34" t="s">
        <v>3</v>
      </c>
      <c r="F175" s="34" t="s">
        <v>483</v>
      </c>
      <c r="G175" s="54">
        <v>1818437986</v>
      </c>
      <c r="H175" s="54" t="s">
        <v>229</v>
      </c>
      <c r="I175" s="54" t="s">
        <v>3514</v>
      </c>
      <c r="J175" s="34" t="s">
        <v>3419</v>
      </c>
      <c r="K175" s="50">
        <v>130000</v>
      </c>
      <c r="L175" s="43">
        <v>21710</v>
      </c>
      <c r="M175" s="44">
        <f t="shared" si="20"/>
        <v>0.16700000000000001</v>
      </c>
      <c r="N175" s="49">
        <f>ROUND(L175/Summary!$C$3*Summary!$C$2,0)</f>
        <v>67301</v>
      </c>
      <c r="O175" s="44">
        <f t="shared" si="21"/>
        <v>0.51770000000000005</v>
      </c>
      <c r="P175" s="78">
        <v>10</v>
      </c>
      <c r="Q175" s="34">
        <v>1</v>
      </c>
      <c r="R175" s="35">
        <f t="shared" si="22"/>
        <v>0.1</v>
      </c>
      <c r="S175" s="49">
        <f>ROUND(Q175/Summary!$C$3*Summary!$C$2,0)</f>
        <v>3</v>
      </c>
      <c r="T175" s="44">
        <f t="shared" si="23"/>
        <v>0.3</v>
      </c>
      <c r="U175" s="34">
        <v>0</v>
      </c>
      <c r="V175" s="34">
        <v>1</v>
      </c>
      <c r="W175" s="34">
        <v>0</v>
      </c>
      <c r="X175" s="34">
        <v>0</v>
      </c>
    </row>
    <row r="176" spans="1:24" hidden="1">
      <c r="A176" s="34" t="s">
        <v>3092</v>
      </c>
      <c r="B176" s="34" t="s">
        <v>3093</v>
      </c>
      <c r="C176" s="34" t="s">
        <v>198</v>
      </c>
      <c r="D176" s="34" t="s">
        <v>107</v>
      </c>
      <c r="E176" s="34" t="s">
        <v>3</v>
      </c>
      <c r="F176" s="34" t="s">
        <v>3094</v>
      </c>
      <c r="G176" s="54">
        <v>1814819545</v>
      </c>
      <c r="H176" s="54" t="s">
        <v>229</v>
      </c>
      <c r="I176" s="54" t="s">
        <v>3514</v>
      </c>
      <c r="J176" s="34" t="s">
        <v>3421</v>
      </c>
      <c r="K176" s="50">
        <v>130000</v>
      </c>
      <c r="L176" s="43">
        <v>15980</v>
      </c>
      <c r="M176" s="44">
        <f t="shared" si="20"/>
        <v>0.12292307692307693</v>
      </c>
      <c r="N176" s="49">
        <f>ROUND(L176/Summary!$C$3*Summary!$C$2,0)</f>
        <v>49538</v>
      </c>
      <c r="O176" s="44">
        <f t="shared" si="21"/>
        <v>0.38106153846153845</v>
      </c>
      <c r="P176" s="78">
        <v>10</v>
      </c>
      <c r="Q176" s="34">
        <v>2</v>
      </c>
      <c r="R176" s="35">
        <f t="shared" si="22"/>
        <v>0.2</v>
      </c>
      <c r="S176" s="49">
        <f>ROUND(Q176/Summary!$C$3*Summary!$C$2,0)</f>
        <v>6</v>
      </c>
      <c r="T176" s="44">
        <f t="shared" si="23"/>
        <v>0.6</v>
      </c>
      <c r="U176" s="34">
        <v>0</v>
      </c>
      <c r="V176" s="34">
        <v>0</v>
      </c>
      <c r="W176" s="34">
        <v>0</v>
      </c>
      <c r="X176" s="34">
        <v>0</v>
      </c>
    </row>
    <row r="177" spans="1:24" hidden="1">
      <c r="A177" s="34" t="s">
        <v>515</v>
      </c>
      <c r="B177" s="34" t="s">
        <v>516</v>
      </c>
      <c r="C177" s="34" t="s">
        <v>198</v>
      </c>
      <c r="D177" s="34" t="s">
        <v>107</v>
      </c>
      <c r="E177" s="34" t="s">
        <v>3</v>
      </c>
      <c r="F177" s="34" t="s">
        <v>517</v>
      </c>
      <c r="G177" s="54">
        <v>1819634151</v>
      </c>
      <c r="H177" s="54" t="s">
        <v>229</v>
      </c>
      <c r="I177" s="54" t="s">
        <v>3514</v>
      </c>
      <c r="J177" s="34" t="s">
        <v>3419</v>
      </c>
      <c r="K177" s="50">
        <v>130000</v>
      </c>
      <c r="L177" s="43">
        <v>44839</v>
      </c>
      <c r="M177" s="44">
        <f t="shared" si="20"/>
        <v>0.34491538461538462</v>
      </c>
      <c r="N177" s="49">
        <f>ROUND(L177/Summary!$C$3*Summary!$C$2,0)</f>
        <v>139001</v>
      </c>
      <c r="O177" s="44">
        <f t="shared" si="21"/>
        <v>1.0692384615384616</v>
      </c>
      <c r="P177" s="78">
        <v>10</v>
      </c>
      <c r="Q177" s="34">
        <v>3</v>
      </c>
      <c r="R177" s="35">
        <f t="shared" si="22"/>
        <v>0.3</v>
      </c>
      <c r="S177" s="49">
        <f>ROUND(Q177/Summary!$C$3*Summary!$C$2,0)</f>
        <v>9</v>
      </c>
      <c r="T177" s="44">
        <f t="shared" si="23"/>
        <v>0.9</v>
      </c>
      <c r="U177" s="34">
        <v>0</v>
      </c>
      <c r="V177" s="34">
        <v>1</v>
      </c>
      <c r="W177" s="34">
        <v>0</v>
      </c>
      <c r="X177" s="34">
        <v>0</v>
      </c>
    </row>
    <row r="178" spans="1:24" hidden="1">
      <c r="A178" s="34" t="s">
        <v>512</v>
      </c>
      <c r="B178" s="34" t="s">
        <v>513</v>
      </c>
      <c r="C178" s="34" t="s">
        <v>198</v>
      </c>
      <c r="D178" s="34" t="s">
        <v>107</v>
      </c>
      <c r="E178" s="34" t="s">
        <v>3</v>
      </c>
      <c r="F178" s="34" t="s">
        <v>514</v>
      </c>
      <c r="G178" s="54">
        <v>1845241708</v>
      </c>
      <c r="H178" s="54" t="s">
        <v>229</v>
      </c>
      <c r="I178" s="54" t="s">
        <v>3514</v>
      </c>
      <c r="J178" s="34" t="s">
        <v>3419</v>
      </c>
      <c r="K178" s="50">
        <v>130000</v>
      </c>
      <c r="L178" s="43">
        <v>44770</v>
      </c>
      <c r="M178" s="44">
        <f t="shared" si="20"/>
        <v>0.3443846153846154</v>
      </c>
      <c r="N178" s="49">
        <f>ROUND(L178/Summary!$C$3*Summary!$C$2,0)</f>
        <v>138787</v>
      </c>
      <c r="O178" s="44">
        <f t="shared" si="21"/>
        <v>1.0675923076923077</v>
      </c>
      <c r="P178" s="78">
        <v>10</v>
      </c>
      <c r="Q178" s="34">
        <v>3</v>
      </c>
      <c r="R178" s="35">
        <f t="shared" si="22"/>
        <v>0.3</v>
      </c>
      <c r="S178" s="49">
        <f>ROUND(Q178/Summary!$C$3*Summary!$C$2,0)</f>
        <v>9</v>
      </c>
      <c r="T178" s="44">
        <f t="shared" si="23"/>
        <v>0.9</v>
      </c>
      <c r="U178" s="34">
        <v>0</v>
      </c>
      <c r="V178" s="34">
        <v>0</v>
      </c>
      <c r="W178" s="34">
        <v>0</v>
      </c>
      <c r="X178" s="34">
        <v>1</v>
      </c>
    </row>
    <row r="179" spans="1:24" hidden="1">
      <c r="A179" s="75" t="s">
        <v>3534</v>
      </c>
      <c r="B179" s="75" t="s">
        <v>3535</v>
      </c>
      <c r="C179" s="75" t="s">
        <v>198</v>
      </c>
      <c r="D179" s="75" t="s">
        <v>107</v>
      </c>
      <c r="E179" s="75" t="s">
        <v>3</v>
      </c>
      <c r="F179" s="75" t="s">
        <v>1207</v>
      </c>
      <c r="G179" s="67">
        <v>1846109501</v>
      </c>
      <c r="H179" s="54" t="s">
        <v>229</v>
      </c>
      <c r="I179" s="54" t="s">
        <v>3518</v>
      </c>
      <c r="J179" s="34" t="s">
        <v>3419</v>
      </c>
      <c r="K179" s="50">
        <v>300000</v>
      </c>
      <c r="L179" s="43">
        <v>46060</v>
      </c>
      <c r="M179" s="44">
        <f t="shared" si="20"/>
        <v>0.15353333333333333</v>
      </c>
      <c r="N179" s="49">
        <f>ROUND(L179/Summary!$C$3*Summary!$C$2,0)</f>
        <v>142786</v>
      </c>
      <c r="O179" s="44">
        <f t="shared" si="21"/>
        <v>0.47595333333333334</v>
      </c>
      <c r="P179" s="78">
        <v>20</v>
      </c>
      <c r="Q179" s="34">
        <v>5</v>
      </c>
      <c r="R179" s="35">
        <f t="shared" si="22"/>
        <v>0.25</v>
      </c>
      <c r="S179" s="49">
        <f>ROUND(Q179/Summary!$C$3*Summary!$C$2,0)</f>
        <v>16</v>
      </c>
      <c r="T179" s="44">
        <f t="shared" si="23"/>
        <v>0.8</v>
      </c>
      <c r="U179" s="34">
        <v>0</v>
      </c>
      <c r="V179" s="34">
        <v>0</v>
      </c>
      <c r="W179" s="34">
        <v>0</v>
      </c>
      <c r="X179" s="34">
        <v>2</v>
      </c>
    </row>
    <row r="180" spans="1:24" hidden="1">
      <c r="A180" s="34" t="s">
        <v>3226</v>
      </c>
      <c r="B180" s="34" t="s">
        <v>3227</v>
      </c>
      <c r="C180" s="34" t="s">
        <v>198</v>
      </c>
      <c r="D180" s="34" t="s">
        <v>107</v>
      </c>
      <c r="E180" s="34" t="s">
        <v>3</v>
      </c>
      <c r="F180" s="34" t="s">
        <v>3228</v>
      </c>
      <c r="G180" s="54">
        <v>1819300120</v>
      </c>
      <c r="H180" s="54" t="s">
        <v>229</v>
      </c>
      <c r="I180" s="54" t="s">
        <v>3514</v>
      </c>
      <c r="J180" s="34" t="s">
        <v>3420</v>
      </c>
      <c r="K180" s="50">
        <v>173890</v>
      </c>
      <c r="L180" s="43">
        <v>40857</v>
      </c>
      <c r="M180" s="44">
        <f t="shared" si="20"/>
        <v>0.23495888205187188</v>
      </c>
      <c r="N180" s="49">
        <f>ROUND(L180/Summary!$C$3*Summary!$C$2,0)</f>
        <v>126657</v>
      </c>
      <c r="O180" s="44">
        <f t="shared" si="21"/>
        <v>0.72837425958939561</v>
      </c>
      <c r="P180" s="78">
        <v>12</v>
      </c>
      <c r="Q180" s="34">
        <v>2</v>
      </c>
      <c r="R180" s="35">
        <f t="shared" si="22"/>
        <v>0.16666666666666666</v>
      </c>
      <c r="S180" s="49">
        <f>ROUND(Q180/Summary!$C$3*Summary!$C$2,0)</f>
        <v>6</v>
      </c>
      <c r="T180" s="44">
        <f t="shared" si="23"/>
        <v>0.5</v>
      </c>
      <c r="U180" s="34">
        <v>0</v>
      </c>
      <c r="V180" s="34">
        <v>1</v>
      </c>
      <c r="W180" s="34">
        <v>0</v>
      </c>
      <c r="X180" s="34">
        <v>0</v>
      </c>
    </row>
    <row r="181" spans="1:24" hidden="1">
      <c r="A181" s="34" t="s">
        <v>452</v>
      </c>
      <c r="B181" s="34" t="s">
        <v>269</v>
      </c>
      <c r="C181" s="34" t="s">
        <v>198</v>
      </c>
      <c r="D181" s="34" t="s">
        <v>107</v>
      </c>
      <c r="E181" s="34" t="s">
        <v>3</v>
      </c>
      <c r="F181" s="34" t="s">
        <v>453</v>
      </c>
      <c r="G181" s="54">
        <v>1818873253</v>
      </c>
      <c r="H181" s="54" t="s">
        <v>229</v>
      </c>
      <c r="I181" s="54" t="s">
        <v>3514</v>
      </c>
      <c r="J181" s="34" t="s">
        <v>3515</v>
      </c>
      <c r="K181" s="50">
        <v>208579</v>
      </c>
      <c r="L181" s="43">
        <v>74630</v>
      </c>
      <c r="M181" s="44">
        <f t="shared" si="20"/>
        <v>0.35780207978751455</v>
      </c>
      <c r="N181" s="49">
        <f>ROUND(L181/Summary!$C$3*Summary!$C$2,0)</f>
        <v>231353</v>
      </c>
      <c r="O181" s="44">
        <f t="shared" si="21"/>
        <v>1.1091864473412951</v>
      </c>
      <c r="P181" s="78">
        <v>15</v>
      </c>
      <c r="Q181" s="34">
        <v>5</v>
      </c>
      <c r="R181" s="35">
        <f t="shared" si="22"/>
        <v>0.33333333333333331</v>
      </c>
      <c r="S181" s="49">
        <f>ROUND(Q181/Summary!$C$3*Summary!$C$2,0)</f>
        <v>16</v>
      </c>
      <c r="T181" s="44">
        <f t="shared" si="23"/>
        <v>1.0666666666666667</v>
      </c>
      <c r="U181" s="34">
        <v>0</v>
      </c>
      <c r="V181" s="34">
        <v>0</v>
      </c>
      <c r="W181" s="34">
        <v>0</v>
      </c>
      <c r="X181" s="34">
        <v>0</v>
      </c>
    </row>
    <row r="182" spans="1:24" hidden="1">
      <c r="A182" s="34" t="s">
        <v>3098</v>
      </c>
      <c r="B182" s="34" t="s">
        <v>3099</v>
      </c>
      <c r="C182" s="34" t="s">
        <v>198</v>
      </c>
      <c r="D182" s="34" t="s">
        <v>107</v>
      </c>
      <c r="E182" s="34" t="s">
        <v>3</v>
      </c>
      <c r="F182" s="34" t="s">
        <v>3100</v>
      </c>
      <c r="G182" s="54">
        <v>1818365786</v>
      </c>
      <c r="H182" s="54" t="s">
        <v>229</v>
      </c>
      <c r="I182" s="54" t="s">
        <v>3514</v>
      </c>
      <c r="J182" s="34" t="s">
        <v>3421</v>
      </c>
      <c r="K182" s="50">
        <v>130000</v>
      </c>
      <c r="L182" s="43">
        <v>21460</v>
      </c>
      <c r="M182" s="44">
        <f t="shared" si="20"/>
        <v>0.16507692307692307</v>
      </c>
      <c r="N182" s="49">
        <f>ROUND(L182/Summary!$C$3*Summary!$C$2,0)</f>
        <v>66526</v>
      </c>
      <c r="O182" s="44">
        <f t="shared" si="21"/>
        <v>0.51173846153846159</v>
      </c>
      <c r="P182" s="78">
        <v>10</v>
      </c>
      <c r="Q182" s="34">
        <v>0</v>
      </c>
      <c r="R182" s="35">
        <f t="shared" si="22"/>
        <v>0</v>
      </c>
      <c r="S182" s="49">
        <f>ROUND(Q182/Summary!$C$3*Summary!$C$2,0)</f>
        <v>0</v>
      </c>
      <c r="T182" s="44">
        <f t="shared" si="23"/>
        <v>0</v>
      </c>
      <c r="U182" s="34">
        <v>1</v>
      </c>
      <c r="V182" s="34">
        <v>0</v>
      </c>
      <c r="W182" s="34">
        <v>0</v>
      </c>
      <c r="X182" s="34">
        <v>0</v>
      </c>
    </row>
    <row r="183" spans="1:24" hidden="1">
      <c r="A183" s="34" t="s">
        <v>475</v>
      </c>
      <c r="B183" s="34" t="s">
        <v>476</v>
      </c>
      <c r="C183" s="34" t="s">
        <v>198</v>
      </c>
      <c r="D183" s="34" t="s">
        <v>107</v>
      </c>
      <c r="E183" s="34" t="s">
        <v>3</v>
      </c>
      <c r="F183" s="34" t="s">
        <v>477</v>
      </c>
      <c r="G183" s="54">
        <v>1741109764</v>
      </c>
      <c r="H183" s="54" t="s">
        <v>229</v>
      </c>
      <c r="I183" s="54" t="s">
        <v>3514</v>
      </c>
      <c r="J183" s="34" t="s">
        <v>3421</v>
      </c>
      <c r="K183" s="50">
        <v>130000</v>
      </c>
      <c r="L183" s="43">
        <v>32430</v>
      </c>
      <c r="M183" s="44">
        <f t="shared" si="20"/>
        <v>0.24946153846153846</v>
      </c>
      <c r="N183" s="49">
        <f>ROUND(L183/Summary!$C$3*Summary!$C$2,0)</f>
        <v>100533</v>
      </c>
      <c r="O183" s="44">
        <f t="shared" si="21"/>
        <v>0.77333076923076927</v>
      </c>
      <c r="P183" s="78">
        <v>10</v>
      </c>
      <c r="Q183" s="34">
        <v>0</v>
      </c>
      <c r="R183" s="35">
        <f t="shared" si="22"/>
        <v>0</v>
      </c>
      <c r="S183" s="49">
        <f>ROUND(Q183/Summary!$C$3*Summary!$C$2,0)</f>
        <v>0</v>
      </c>
      <c r="T183" s="44">
        <f t="shared" si="23"/>
        <v>0</v>
      </c>
      <c r="U183" s="34">
        <v>1</v>
      </c>
      <c r="V183" s="34">
        <v>0</v>
      </c>
      <c r="W183" s="34">
        <v>0</v>
      </c>
      <c r="X183" s="34">
        <v>0</v>
      </c>
    </row>
    <row r="184" spans="1:24" hidden="1">
      <c r="A184" s="34" t="s">
        <v>518</v>
      </c>
      <c r="B184" s="34" t="s">
        <v>519</v>
      </c>
      <c r="C184" s="34" t="s">
        <v>198</v>
      </c>
      <c r="D184" s="34" t="s">
        <v>107</v>
      </c>
      <c r="E184" s="34" t="s">
        <v>3</v>
      </c>
      <c r="F184" s="34" t="s">
        <v>520</v>
      </c>
      <c r="G184" s="54">
        <v>1712602200</v>
      </c>
      <c r="H184" s="54" t="s">
        <v>229</v>
      </c>
      <c r="I184" s="54" t="s">
        <v>3514</v>
      </c>
      <c r="J184" s="34" t="s">
        <v>3419</v>
      </c>
      <c r="K184" s="50">
        <v>180129</v>
      </c>
      <c r="L184" s="43">
        <v>61900</v>
      </c>
      <c r="M184" s="44">
        <f t="shared" si="20"/>
        <v>0.3436426116838488</v>
      </c>
      <c r="N184" s="49">
        <f>ROUND(L184/Summary!$C$3*Summary!$C$2,0)</f>
        <v>191890</v>
      </c>
      <c r="O184" s="44">
        <f t="shared" si="21"/>
        <v>1.0652920962199313</v>
      </c>
      <c r="P184" s="78">
        <v>10</v>
      </c>
      <c r="Q184" s="34">
        <v>5</v>
      </c>
      <c r="R184" s="35">
        <f t="shared" si="22"/>
        <v>0.5</v>
      </c>
      <c r="S184" s="49">
        <f>ROUND(Q184/Summary!$C$3*Summary!$C$2,0)</f>
        <v>16</v>
      </c>
      <c r="T184" s="44">
        <f t="shared" si="23"/>
        <v>1.6</v>
      </c>
      <c r="U184" s="34">
        <v>0</v>
      </c>
      <c r="V184" s="34">
        <v>1</v>
      </c>
      <c r="W184" s="34">
        <v>0</v>
      </c>
      <c r="X184" s="34">
        <v>1</v>
      </c>
    </row>
    <row r="185" spans="1:24" hidden="1">
      <c r="A185" s="75" t="s">
        <v>3536</v>
      </c>
      <c r="B185" s="75" t="s">
        <v>3537</v>
      </c>
      <c r="C185" s="75" t="s">
        <v>198</v>
      </c>
      <c r="D185" s="75" t="s">
        <v>107</v>
      </c>
      <c r="E185" s="75" t="s">
        <v>3</v>
      </c>
      <c r="F185" s="75" t="s">
        <v>3538</v>
      </c>
      <c r="G185" s="67">
        <v>1813257845</v>
      </c>
      <c r="H185" s="54" t="s">
        <v>229</v>
      </c>
      <c r="I185" s="54" t="s">
        <v>3514</v>
      </c>
      <c r="J185" s="34" t="s">
        <v>3421</v>
      </c>
      <c r="K185" s="50">
        <v>130000</v>
      </c>
      <c r="L185" s="43">
        <v>7575</v>
      </c>
      <c r="M185" s="44">
        <f t="shared" si="20"/>
        <v>5.8269230769230768E-2</v>
      </c>
      <c r="N185" s="49">
        <f>ROUND(L185/Summary!$C$3*Summary!$C$2,0)</f>
        <v>23483</v>
      </c>
      <c r="O185" s="44">
        <f t="shared" si="21"/>
        <v>0.18063846153846153</v>
      </c>
      <c r="P185" s="78">
        <v>10</v>
      </c>
      <c r="Q185" s="34">
        <v>1</v>
      </c>
      <c r="R185" s="35">
        <f t="shared" si="22"/>
        <v>0.1</v>
      </c>
      <c r="S185" s="49">
        <f>ROUND(Q185/Summary!$C$3*Summary!$C$2,0)</f>
        <v>3</v>
      </c>
      <c r="T185" s="44">
        <f t="shared" si="23"/>
        <v>0.3</v>
      </c>
      <c r="U185" s="34">
        <v>0</v>
      </c>
      <c r="V185" s="34">
        <v>0</v>
      </c>
      <c r="W185" s="34">
        <v>0</v>
      </c>
      <c r="X185" s="34">
        <v>0</v>
      </c>
    </row>
    <row r="186" spans="1:24" hidden="1">
      <c r="A186" s="34" t="s">
        <v>2906</v>
      </c>
      <c r="B186" s="34" t="s">
        <v>2907</v>
      </c>
      <c r="C186" s="34" t="s">
        <v>198</v>
      </c>
      <c r="D186" s="34" t="s">
        <v>107</v>
      </c>
      <c r="E186" s="34" t="s">
        <v>3</v>
      </c>
      <c r="F186" s="34" t="s">
        <v>511</v>
      </c>
      <c r="G186" s="54">
        <v>1862100002</v>
      </c>
      <c r="H186" s="54" t="s">
        <v>229</v>
      </c>
      <c r="I186" s="54" t="s">
        <v>3522</v>
      </c>
      <c r="J186" s="34" t="s">
        <v>3419</v>
      </c>
      <c r="K186" s="50">
        <v>584466</v>
      </c>
      <c r="L186" s="43">
        <v>160005</v>
      </c>
      <c r="M186" s="44">
        <f t="shared" si="20"/>
        <v>0.27376271673630287</v>
      </c>
      <c r="N186" s="49">
        <f>ROUND(L186/Summary!$C$3*Summary!$C$2,0)</f>
        <v>496016</v>
      </c>
      <c r="O186" s="44">
        <f t="shared" si="21"/>
        <v>0.84866527736429498</v>
      </c>
      <c r="P186" s="78">
        <v>38</v>
      </c>
      <c r="Q186" s="34">
        <v>11</v>
      </c>
      <c r="R186" s="35">
        <f t="shared" si="22"/>
        <v>0.28947368421052633</v>
      </c>
      <c r="S186" s="49">
        <f>ROUND(Q186/Summary!$C$3*Summary!$C$2,0)</f>
        <v>34</v>
      </c>
      <c r="T186" s="44">
        <f t="shared" si="23"/>
        <v>0.89473684210526316</v>
      </c>
      <c r="U186" s="34">
        <v>0</v>
      </c>
      <c r="V186" s="34">
        <v>0</v>
      </c>
      <c r="W186" s="34">
        <v>0</v>
      </c>
      <c r="X186" s="34">
        <v>2</v>
      </c>
    </row>
    <row r="187" spans="1:24" hidden="1">
      <c r="A187" s="34" t="s">
        <v>339</v>
      </c>
      <c r="B187" s="34" t="s">
        <v>340</v>
      </c>
      <c r="C187" s="34" t="s">
        <v>341</v>
      </c>
      <c r="D187" s="34" t="s">
        <v>55</v>
      </c>
      <c r="E187" s="34" t="s">
        <v>3</v>
      </c>
      <c r="F187" s="34" t="s">
        <v>342</v>
      </c>
      <c r="G187" s="54">
        <v>1821020033</v>
      </c>
      <c r="H187" s="54" t="s">
        <v>229</v>
      </c>
      <c r="I187" s="54" t="s">
        <v>3514</v>
      </c>
      <c r="J187" s="34" t="s">
        <v>3515</v>
      </c>
      <c r="K187" s="50">
        <v>169686</v>
      </c>
      <c r="L187" s="43">
        <v>27145</v>
      </c>
      <c r="M187" s="44">
        <f t="shared" si="20"/>
        <v>0.15997194818665064</v>
      </c>
      <c r="N187" s="49">
        <f>ROUND(L187/Summary!$C$3*Summary!$C$2,0)</f>
        <v>84150</v>
      </c>
      <c r="O187" s="44">
        <f t="shared" si="21"/>
        <v>0.49591598599766629</v>
      </c>
      <c r="P187" s="78">
        <v>10</v>
      </c>
      <c r="Q187" s="34">
        <v>2</v>
      </c>
      <c r="R187" s="35">
        <f t="shared" si="22"/>
        <v>0.2</v>
      </c>
      <c r="S187" s="49">
        <f>ROUND(Q187/Summary!$C$3*Summary!$C$2,0)</f>
        <v>6</v>
      </c>
      <c r="T187" s="44">
        <f t="shared" si="23"/>
        <v>0.6</v>
      </c>
      <c r="U187" s="34">
        <v>2</v>
      </c>
      <c r="V187" s="34">
        <v>0</v>
      </c>
      <c r="W187" s="34">
        <v>0</v>
      </c>
      <c r="X187" s="34">
        <v>0</v>
      </c>
    </row>
    <row r="188" spans="1:24" hidden="1">
      <c r="A188" s="34" t="s">
        <v>405</v>
      </c>
      <c r="B188" s="34" t="s">
        <v>406</v>
      </c>
      <c r="C188" s="34" t="s">
        <v>341</v>
      </c>
      <c r="D188" s="34" t="s">
        <v>55</v>
      </c>
      <c r="E188" s="34" t="s">
        <v>3</v>
      </c>
      <c r="F188" s="34" t="s">
        <v>407</v>
      </c>
      <c r="G188" s="54">
        <v>1830259222</v>
      </c>
      <c r="H188" s="54" t="s">
        <v>229</v>
      </c>
      <c r="I188" s="54" t="s">
        <v>3514</v>
      </c>
      <c r="J188" s="34" t="s">
        <v>3419</v>
      </c>
      <c r="K188" s="50">
        <v>130000</v>
      </c>
      <c r="L188" s="43">
        <v>11280</v>
      </c>
      <c r="M188" s="44">
        <f t="shared" si="20"/>
        <v>8.6769230769230765E-2</v>
      </c>
      <c r="N188" s="49">
        <f>ROUND(L188/Summary!$C$3*Summary!$C$2,0)</f>
        <v>34968</v>
      </c>
      <c r="O188" s="44">
        <f t="shared" si="21"/>
        <v>0.26898461538461538</v>
      </c>
      <c r="P188" s="78">
        <v>10</v>
      </c>
      <c r="Q188" s="34">
        <v>1</v>
      </c>
      <c r="R188" s="35">
        <f t="shared" si="22"/>
        <v>0.1</v>
      </c>
      <c r="S188" s="49">
        <f>ROUND(Q188/Summary!$C$3*Summary!$C$2,0)</f>
        <v>3</v>
      </c>
      <c r="T188" s="44">
        <f t="shared" si="23"/>
        <v>0.3</v>
      </c>
      <c r="U188" s="34">
        <v>0</v>
      </c>
      <c r="V188" s="34">
        <v>0</v>
      </c>
      <c r="W188" s="34">
        <v>0</v>
      </c>
      <c r="X188" s="34">
        <v>0</v>
      </c>
    </row>
    <row r="189" spans="1:24" hidden="1">
      <c r="A189" s="34" t="s">
        <v>394</v>
      </c>
      <c r="B189" s="34" t="s">
        <v>395</v>
      </c>
      <c r="C189" s="34" t="s">
        <v>341</v>
      </c>
      <c r="D189" s="34" t="s">
        <v>55</v>
      </c>
      <c r="E189" s="34" t="s">
        <v>3</v>
      </c>
      <c r="F189" s="34" t="s">
        <v>255</v>
      </c>
      <c r="G189" s="54">
        <v>1879656462</v>
      </c>
      <c r="H189" s="54" t="s">
        <v>229</v>
      </c>
      <c r="I189" s="54" t="s">
        <v>3514</v>
      </c>
      <c r="J189" s="34" t="s">
        <v>3419</v>
      </c>
      <c r="K189" s="50">
        <v>241196</v>
      </c>
      <c r="L189" s="43">
        <v>55830</v>
      </c>
      <c r="M189" s="44">
        <f t="shared" si="20"/>
        <v>0.2314715003565565</v>
      </c>
      <c r="N189" s="49">
        <f>ROUND(L189/Summary!$C$3*Summary!$C$2,0)</f>
        <v>173073</v>
      </c>
      <c r="O189" s="44">
        <f t="shared" si="21"/>
        <v>0.7175616511053251</v>
      </c>
      <c r="P189" s="78">
        <v>10</v>
      </c>
      <c r="Q189" s="34">
        <v>1</v>
      </c>
      <c r="R189" s="35">
        <f t="shared" si="22"/>
        <v>0.1</v>
      </c>
      <c r="S189" s="49">
        <f>ROUND(Q189/Summary!$C$3*Summary!$C$2,0)</f>
        <v>3</v>
      </c>
      <c r="T189" s="44">
        <f t="shared" si="23"/>
        <v>0.3</v>
      </c>
      <c r="U189" s="34">
        <v>0</v>
      </c>
      <c r="V189" s="34">
        <v>0</v>
      </c>
      <c r="W189" s="34">
        <v>0</v>
      </c>
      <c r="X189" s="34">
        <v>0</v>
      </c>
    </row>
    <row r="190" spans="1:24" hidden="1">
      <c r="A190" s="34" t="s">
        <v>343</v>
      </c>
      <c r="B190" s="34" t="s">
        <v>344</v>
      </c>
      <c r="C190" s="34" t="s">
        <v>341</v>
      </c>
      <c r="D190" s="34" t="s">
        <v>55</v>
      </c>
      <c r="E190" s="34" t="s">
        <v>3</v>
      </c>
      <c r="F190" s="34" t="s">
        <v>238</v>
      </c>
      <c r="G190" s="54">
        <v>1829969559</v>
      </c>
      <c r="H190" s="54" t="s">
        <v>229</v>
      </c>
      <c r="I190" s="54" t="s">
        <v>3514</v>
      </c>
      <c r="J190" s="34" t="s">
        <v>3419</v>
      </c>
      <c r="K190" s="50">
        <v>130000</v>
      </c>
      <c r="L190" s="43">
        <v>14220</v>
      </c>
      <c r="M190" s="44">
        <f t="shared" si="20"/>
        <v>0.10938461538461539</v>
      </c>
      <c r="N190" s="49">
        <f>ROUND(L190/Summary!$C$3*Summary!$C$2,0)</f>
        <v>44082</v>
      </c>
      <c r="O190" s="44">
        <f t="shared" si="21"/>
        <v>0.33909230769230769</v>
      </c>
      <c r="P190" s="78">
        <v>10</v>
      </c>
      <c r="Q190" s="34">
        <v>0</v>
      </c>
      <c r="R190" s="35">
        <f t="shared" si="22"/>
        <v>0</v>
      </c>
      <c r="S190" s="49">
        <f>ROUND(Q190/Summary!$C$3*Summary!$C$2,0)</f>
        <v>0</v>
      </c>
      <c r="T190" s="44">
        <f t="shared" si="23"/>
        <v>0</v>
      </c>
      <c r="U190" s="34">
        <v>0</v>
      </c>
      <c r="V190" s="34">
        <v>0</v>
      </c>
      <c r="W190" s="34">
        <v>0</v>
      </c>
      <c r="X190" s="34">
        <v>0</v>
      </c>
    </row>
    <row r="191" spans="1:24" hidden="1">
      <c r="A191" s="34" t="s">
        <v>376</v>
      </c>
      <c r="B191" s="34" t="s">
        <v>377</v>
      </c>
      <c r="C191" s="34" t="s">
        <v>341</v>
      </c>
      <c r="D191" s="34" t="s">
        <v>55</v>
      </c>
      <c r="E191" s="34" t="s">
        <v>3</v>
      </c>
      <c r="F191" s="34" t="s">
        <v>378</v>
      </c>
      <c r="G191" s="54">
        <v>1812376152</v>
      </c>
      <c r="H191" s="54" t="s">
        <v>229</v>
      </c>
      <c r="I191" s="54" t="s">
        <v>3514</v>
      </c>
      <c r="J191" s="34" t="s">
        <v>3515</v>
      </c>
      <c r="K191" s="50">
        <v>130000</v>
      </c>
      <c r="L191" s="43">
        <v>4990</v>
      </c>
      <c r="M191" s="44">
        <f t="shared" si="20"/>
        <v>3.8384615384615385E-2</v>
      </c>
      <c r="N191" s="49">
        <f>ROUND(L191/Summary!$C$3*Summary!$C$2,0)</f>
        <v>15469</v>
      </c>
      <c r="O191" s="44">
        <f t="shared" si="21"/>
        <v>0.11899230769230769</v>
      </c>
      <c r="P191" s="78">
        <v>10</v>
      </c>
      <c r="Q191" s="34">
        <v>0</v>
      </c>
      <c r="R191" s="35">
        <f t="shared" si="22"/>
        <v>0</v>
      </c>
      <c r="S191" s="49">
        <f>ROUND(Q191/Summary!$C$3*Summary!$C$2,0)</f>
        <v>0</v>
      </c>
      <c r="T191" s="44">
        <f t="shared" si="23"/>
        <v>0</v>
      </c>
      <c r="U191" s="34">
        <v>0</v>
      </c>
      <c r="V191" s="34">
        <v>0</v>
      </c>
      <c r="W191" s="34">
        <v>0</v>
      </c>
      <c r="X191" s="34">
        <v>0</v>
      </c>
    </row>
    <row r="192" spans="1:24" hidden="1">
      <c r="A192" s="34" t="s">
        <v>358</v>
      </c>
      <c r="B192" s="34" t="s">
        <v>359</v>
      </c>
      <c r="C192" s="34" t="s">
        <v>341</v>
      </c>
      <c r="D192" s="34" t="s">
        <v>55</v>
      </c>
      <c r="E192" s="34" t="s">
        <v>3</v>
      </c>
      <c r="F192" s="34" t="s">
        <v>360</v>
      </c>
      <c r="G192" s="54">
        <v>1858566655</v>
      </c>
      <c r="H192" s="54" t="s">
        <v>229</v>
      </c>
      <c r="I192" s="54" t="s">
        <v>3514</v>
      </c>
      <c r="J192" s="34" t="s">
        <v>3421</v>
      </c>
      <c r="K192" s="50">
        <v>130000</v>
      </c>
      <c r="L192" s="43">
        <v>11780</v>
      </c>
      <c r="M192" s="44">
        <f t="shared" si="20"/>
        <v>9.0615384615384612E-2</v>
      </c>
      <c r="N192" s="49">
        <f>ROUND(L192/Summary!$C$3*Summary!$C$2,0)</f>
        <v>36518</v>
      </c>
      <c r="O192" s="44">
        <f t="shared" si="21"/>
        <v>0.2809076923076923</v>
      </c>
      <c r="P192" s="78">
        <v>10</v>
      </c>
      <c r="Q192" s="34">
        <v>0</v>
      </c>
      <c r="R192" s="35">
        <f t="shared" si="22"/>
        <v>0</v>
      </c>
      <c r="S192" s="49">
        <f>ROUND(Q192/Summary!$C$3*Summary!$C$2,0)</f>
        <v>0</v>
      </c>
      <c r="T192" s="44">
        <f t="shared" si="23"/>
        <v>0</v>
      </c>
      <c r="U192" s="34">
        <v>1</v>
      </c>
      <c r="V192" s="34">
        <v>0</v>
      </c>
      <c r="W192" s="34">
        <v>0</v>
      </c>
      <c r="X192" s="34">
        <v>0</v>
      </c>
    </row>
    <row r="193" spans="1:24">
      <c r="A193" s="34" t="s">
        <v>352</v>
      </c>
      <c r="B193" s="34" t="s">
        <v>353</v>
      </c>
      <c r="C193" s="34" t="s">
        <v>119</v>
      </c>
      <c r="D193" s="34" t="s">
        <v>55</v>
      </c>
      <c r="E193" s="34" t="s">
        <v>3</v>
      </c>
      <c r="F193" s="34" t="s">
        <v>354</v>
      </c>
      <c r="G193" s="54">
        <v>1819963925</v>
      </c>
      <c r="H193" s="54" t="s">
        <v>229</v>
      </c>
      <c r="I193" s="54" t="s">
        <v>3514</v>
      </c>
      <c r="J193" s="34" t="s">
        <v>3515</v>
      </c>
      <c r="K193" s="50">
        <v>130000</v>
      </c>
      <c r="L193" s="43">
        <v>0</v>
      </c>
      <c r="M193" s="44">
        <f t="shared" si="20"/>
        <v>0</v>
      </c>
      <c r="N193" s="49">
        <f>ROUND(L193/Summary!$C$3*Summary!$C$2,0)</f>
        <v>0</v>
      </c>
      <c r="O193" s="44">
        <f t="shared" si="21"/>
        <v>0</v>
      </c>
      <c r="P193" s="78">
        <v>10</v>
      </c>
      <c r="Q193" s="34">
        <v>0</v>
      </c>
      <c r="R193" s="35">
        <f t="shared" si="22"/>
        <v>0</v>
      </c>
      <c r="S193" s="49">
        <f>ROUND(Q193/Summary!$C$3*Summary!$C$2,0)</f>
        <v>0</v>
      </c>
      <c r="T193" s="44">
        <f t="shared" si="23"/>
        <v>0</v>
      </c>
      <c r="U193" s="34">
        <v>0</v>
      </c>
      <c r="V193" s="34">
        <v>0</v>
      </c>
      <c r="W193" s="34">
        <v>0</v>
      </c>
      <c r="X193" s="34">
        <v>0</v>
      </c>
    </row>
    <row r="194" spans="1:24" hidden="1">
      <c r="A194" s="75" t="s">
        <v>3539</v>
      </c>
      <c r="B194" s="75" t="s">
        <v>3540</v>
      </c>
      <c r="C194" s="75" t="s">
        <v>119</v>
      </c>
      <c r="D194" s="75" t="s">
        <v>55</v>
      </c>
      <c r="E194" s="75" t="s">
        <v>3</v>
      </c>
      <c r="F194" s="75" t="s">
        <v>3541</v>
      </c>
      <c r="G194" s="67">
        <v>1830328232</v>
      </c>
      <c r="H194" s="54" t="s">
        <v>229</v>
      </c>
      <c r="I194" s="54" t="s">
        <v>3514</v>
      </c>
      <c r="J194" s="34" t="s">
        <v>3421</v>
      </c>
      <c r="K194" s="50">
        <v>130000</v>
      </c>
      <c r="L194" s="43">
        <v>6680</v>
      </c>
      <c r="M194" s="44">
        <f t="shared" si="20"/>
        <v>5.1384615384615383E-2</v>
      </c>
      <c r="N194" s="49">
        <f>ROUND(L194/Summary!$C$3*Summary!$C$2,0)</f>
        <v>20708</v>
      </c>
      <c r="O194" s="44">
        <f t="shared" si="21"/>
        <v>0.15929230769230771</v>
      </c>
      <c r="P194" s="78">
        <v>10</v>
      </c>
      <c r="Q194" s="34">
        <v>0</v>
      </c>
      <c r="R194" s="35">
        <f t="shared" si="22"/>
        <v>0</v>
      </c>
      <c r="S194" s="49">
        <f>ROUND(Q194/Summary!$C$3*Summary!$C$2,0)</f>
        <v>0</v>
      </c>
      <c r="T194" s="44">
        <f t="shared" si="23"/>
        <v>0</v>
      </c>
      <c r="U194" s="34">
        <v>0</v>
      </c>
      <c r="V194" s="34">
        <v>0</v>
      </c>
      <c r="W194" s="34">
        <v>0</v>
      </c>
      <c r="X194" s="34">
        <v>0</v>
      </c>
    </row>
    <row r="195" spans="1:24" hidden="1">
      <c r="A195" s="34" t="s">
        <v>396</v>
      </c>
      <c r="B195" s="34" t="s">
        <v>397</v>
      </c>
      <c r="C195" s="34" t="s">
        <v>119</v>
      </c>
      <c r="D195" s="34" t="s">
        <v>55</v>
      </c>
      <c r="E195" s="34" t="s">
        <v>3</v>
      </c>
      <c r="F195" s="34" t="s">
        <v>398</v>
      </c>
      <c r="G195" s="54">
        <v>1825443388</v>
      </c>
      <c r="H195" s="54" t="s">
        <v>229</v>
      </c>
      <c r="I195" s="54" t="s">
        <v>3514</v>
      </c>
      <c r="J195" s="34" t="s">
        <v>3421</v>
      </c>
      <c r="K195" s="50">
        <v>130000</v>
      </c>
      <c r="L195" s="43">
        <v>7990</v>
      </c>
      <c r="M195" s="44">
        <f t="shared" si="20"/>
        <v>6.1461538461538463E-2</v>
      </c>
      <c r="N195" s="49">
        <f>ROUND(L195/Summary!$C$3*Summary!$C$2,0)</f>
        <v>24769</v>
      </c>
      <c r="O195" s="44">
        <f t="shared" si="21"/>
        <v>0.19053076923076923</v>
      </c>
      <c r="P195" s="78">
        <v>10</v>
      </c>
      <c r="Q195" s="34">
        <v>1</v>
      </c>
      <c r="R195" s="35">
        <f t="shared" si="22"/>
        <v>0.1</v>
      </c>
      <c r="S195" s="49">
        <f>ROUND(Q195/Summary!$C$3*Summary!$C$2,0)</f>
        <v>3</v>
      </c>
      <c r="T195" s="44">
        <f t="shared" si="23"/>
        <v>0.3</v>
      </c>
      <c r="U195" s="34">
        <v>0</v>
      </c>
      <c r="V195" s="34">
        <v>0</v>
      </c>
      <c r="W195" s="34">
        <v>0</v>
      </c>
      <c r="X195" s="34">
        <v>0</v>
      </c>
    </row>
    <row r="196" spans="1:24" hidden="1">
      <c r="A196" s="34" t="s">
        <v>391</v>
      </c>
      <c r="B196" s="34" t="s">
        <v>392</v>
      </c>
      <c r="C196" s="34" t="s">
        <v>119</v>
      </c>
      <c r="D196" s="34" t="s">
        <v>55</v>
      </c>
      <c r="E196" s="34" t="s">
        <v>3</v>
      </c>
      <c r="F196" s="34" t="s">
        <v>393</v>
      </c>
      <c r="G196" s="54">
        <v>1817531980</v>
      </c>
      <c r="H196" s="54" t="s">
        <v>229</v>
      </c>
      <c r="I196" s="54" t="s">
        <v>3514</v>
      </c>
      <c r="J196" s="34" t="s">
        <v>3421</v>
      </c>
      <c r="K196" s="50">
        <v>130000</v>
      </c>
      <c r="L196" s="43">
        <v>14220</v>
      </c>
      <c r="M196" s="44">
        <f t="shared" si="20"/>
        <v>0.10938461538461539</v>
      </c>
      <c r="N196" s="49">
        <f>ROUND(L196/Summary!$C$3*Summary!$C$2,0)</f>
        <v>44082</v>
      </c>
      <c r="O196" s="44">
        <f t="shared" si="21"/>
        <v>0.33909230769230769</v>
      </c>
      <c r="P196" s="78">
        <v>10</v>
      </c>
      <c r="Q196" s="34">
        <v>0</v>
      </c>
      <c r="R196" s="35">
        <f t="shared" si="22"/>
        <v>0</v>
      </c>
      <c r="S196" s="49">
        <f>ROUND(Q196/Summary!$C$3*Summary!$C$2,0)</f>
        <v>0</v>
      </c>
      <c r="T196" s="44">
        <f t="shared" si="23"/>
        <v>0</v>
      </c>
      <c r="U196" s="34">
        <v>0</v>
      </c>
      <c r="V196" s="34">
        <v>0</v>
      </c>
      <c r="W196" s="34">
        <v>0</v>
      </c>
      <c r="X196" s="34">
        <v>0</v>
      </c>
    </row>
    <row r="197" spans="1:24" hidden="1">
      <c r="A197" s="34" t="s">
        <v>336</v>
      </c>
      <c r="B197" s="34" t="s">
        <v>337</v>
      </c>
      <c r="C197" s="34" t="s">
        <v>119</v>
      </c>
      <c r="D197" s="34" t="s">
        <v>55</v>
      </c>
      <c r="E197" s="34" t="s">
        <v>3</v>
      </c>
      <c r="F197" s="34" t="s">
        <v>338</v>
      </c>
      <c r="G197" s="54">
        <v>1821818181</v>
      </c>
      <c r="H197" s="54" t="s">
        <v>229</v>
      </c>
      <c r="I197" s="54" t="s">
        <v>3514</v>
      </c>
      <c r="J197" s="34" t="s">
        <v>3419</v>
      </c>
      <c r="K197" s="50">
        <v>130000</v>
      </c>
      <c r="L197" s="43">
        <v>28040</v>
      </c>
      <c r="M197" s="44">
        <f t="shared" si="20"/>
        <v>0.21569230769230768</v>
      </c>
      <c r="N197" s="49">
        <f>ROUND(L197/Summary!$C$3*Summary!$C$2,0)</f>
        <v>86924</v>
      </c>
      <c r="O197" s="44">
        <f t="shared" si="21"/>
        <v>0.66864615384615389</v>
      </c>
      <c r="P197" s="78">
        <v>10</v>
      </c>
      <c r="Q197" s="34">
        <v>1</v>
      </c>
      <c r="R197" s="35">
        <f t="shared" si="22"/>
        <v>0.1</v>
      </c>
      <c r="S197" s="49">
        <f>ROUND(Q197/Summary!$C$3*Summary!$C$2,0)</f>
        <v>3</v>
      </c>
      <c r="T197" s="44">
        <f t="shared" si="23"/>
        <v>0.3</v>
      </c>
      <c r="U197" s="34">
        <v>1</v>
      </c>
      <c r="V197" s="34">
        <v>0</v>
      </c>
      <c r="W197" s="34">
        <v>1</v>
      </c>
      <c r="X197" s="34">
        <v>0</v>
      </c>
    </row>
    <row r="198" spans="1:24" hidden="1">
      <c r="A198" s="34" t="s">
        <v>2993</v>
      </c>
      <c r="B198" s="34" t="s">
        <v>557</v>
      </c>
      <c r="C198" s="34" t="s">
        <v>119</v>
      </c>
      <c r="D198" s="34" t="s">
        <v>55</v>
      </c>
      <c r="E198" s="34" t="s">
        <v>3</v>
      </c>
      <c r="F198" s="34" t="s">
        <v>2994</v>
      </c>
      <c r="G198" s="54">
        <v>1829608540</v>
      </c>
      <c r="H198" s="54" t="s">
        <v>229</v>
      </c>
      <c r="I198" s="54" t="s">
        <v>3514</v>
      </c>
      <c r="J198" s="34" t="s">
        <v>3515</v>
      </c>
      <c r="K198" s="50">
        <v>130000</v>
      </c>
      <c r="L198" s="43">
        <v>6180</v>
      </c>
      <c r="M198" s="44">
        <f t="shared" si="20"/>
        <v>4.7538461538461536E-2</v>
      </c>
      <c r="N198" s="49">
        <f>ROUND(L198/Summary!$C$3*Summary!$C$2,0)</f>
        <v>19158</v>
      </c>
      <c r="O198" s="44">
        <f t="shared" si="21"/>
        <v>0.14736923076923078</v>
      </c>
      <c r="P198" s="78">
        <v>10</v>
      </c>
      <c r="Q198" s="34">
        <v>0</v>
      </c>
      <c r="R198" s="35">
        <f t="shared" si="22"/>
        <v>0</v>
      </c>
      <c r="S198" s="49">
        <f>ROUND(Q198/Summary!$C$3*Summary!$C$2,0)</f>
        <v>0</v>
      </c>
      <c r="T198" s="44">
        <f t="shared" si="23"/>
        <v>0</v>
      </c>
      <c r="U198" s="34">
        <v>0</v>
      </c>
      <c r="V198" s="34">
        <v>0</v>
      </c>
      <c r="W198" s="34">
        <v>0</v>
      </c>
      <c r="X198" s="34">
        <v>0</v>
      </c>
    </row>
    <row r="199" spans="1:24">
      <c r="A199" s="34" t="s">
        <v>385</v>
      </c>
      <c r="B199" s="34" t="s">
        <v>386</v>
      </c>
      <c r="C199" s="34" t="s">
        <v>119</v>
      </c>
      <c r="D199" s="34" t="s">
        <v>55</v>
      </c>
      <c r="E199" s="34" t="s">
        <v>3</v>
      </c>
      <c r="F199" s="34" t="s">
        <v>387</v>
      </c>
      <c r="G199" s="54">
        <v>1814079039</v>
      </c>
      <c r="H199" s="54" t="s">
        <v>229</v>
      </c>
      <c r="I199" s="54" t="s">
        <v>3514</v>
      </c>
      <c r="J199" s="34" t="s">
        <v>3421</v>
      </c>
      <c r="K199" s="50">
        <v>130000</v>
      </c>
      <c r="L199" s="43">
        <v>0</v>
      </c>
      <c r="M199" s="44">
        <f t="shared" si="20"/>
        <v>0</v>
      </c>
      <c r="N199" s="49">
        <f>ROUND(L199/Summary!$C$3*Summary!$C$2,0)</f>
        <v>0</v>
      </c>
      <c r="O199" s="44">
        <f t="shared" si="21"/>
        <v>0</v>
      </c>
      <c r="P199" s="78">
        <v>10</v>
      </c>
      <c r="Q199" s="34">
        <v>0</v>
      </c>
      <c r="R199" s="35">
        <f t="shared" si="22"/>
        <v>0</v>
      </c>
      <c r="S199" s="49">
        <f>ROUND(Q199/Summary!$C$3*Summary!$C$2,0)</f>
        <v>0</v>
      </c>
      <c r="T199" s="44">
        <f t="shared" si="23"/>
        <v>0</v>
      </c>
      <c r="U199" s="34">
        <v>0</v>
      </c>
      <c r="V199" s="34">
        <v>0</v>
      </c>
      <c r="W199" s="34">
        <v>0</v>
      </c>
      <c r="X199" s="34">
        <v>0</v>
      </c>
    </row>
    <row r="200" spans="1:24" hidden="1">
      <c r="A200" s="34" t="s">
        <v>361</v>
      </c>
      <c r="B200" s="34" t="s">
        <v>362</v>
      </c>
      <c r="C200" s="34" t="s">
        <v>119</v>
      </c>
      <c r="D200" s="34" t="s">
        <v>55</v>
      </c>
      <c r="E200" s="34" t="s">
        <v>3</v>
      </c>
      <c r="F200" s="34" t="s">
        <v>363</v>
      </c>
      <c r="G200" s="54">
        <v>1819360553</v>
      </c>
      <c r="H200" s="54" t="s">
        <v>229</v>
      </c>
      <c r="I200" s="54" t="s">
        <v>3514</v>
      </c>
      <c r="J200" s="34" t="s">
        <v>3419</v>
      </c>
      <c r="K200" s="50">
        <v>130000</v>
      </c>
      <c r="L200" s="43">
        <v>10680</v>
      </c>
      <c r="M200" s="44">
        <f t="shared" si="20"/>
        <v>8.2153846153846161E-2</v>
      </c>
      <c r="N200" s="49">
        <f>ROUND(L200/Summary!$C$3*Summary!$C$2,0)</f>
        <v>33108</v>
      </c>
      <c r="O200" s="44">
        <f t="shared" si="21"/>
        <v>0.25467692307692308</v>
      </c>
      <c r="P200" s="78">
        <v>10</v>
      </c>
      <c r="Q200" s="34">
        <v>1</v>
      </c>
      <c r="R200" s="35">
        <f t="shared" si="22"/>
        <v>0.1</v>
      </c>
      <c r="S200" s="49">
        <f>ROUND(Q200/Summary!$C$3*Summary!$C$2,0)</f>
        <v>3</v>
      </c>
      <c r="T200" s="44">
        <f t="shared" si="23"/>
        <v>0.3</v>
      </c>
      <c r="U200" s="34">
        <v>0</v>
      </c>
      <c r="V200" s="34">
        <v>0</v>
      </c>
      <c r="W200" s="34">
        <v>1</v>
      </c>
      <c r="X200" s="34">
        <v>0</v>
      </c>
    </row>
    <row r="201" spans="1:24" hidden="1">
      <c r="A201" s="34" t="s">
        <v>367</v>
      </c>
      <c r="B201" s="34" t="s">
        <v>368</v>
      </c>
      <c r="C201" s="34" t="s">
        <v>119</v>
      </c>
      <c r="D201" s="34" t="s">
        <v>55</v>
      </c>
      <c r="E201" s="34" t="s">
        <v>3</v>
      </c>
      <c r="F201" s="34" t="s">
        <v>369</v>
      </c>
      <c r="G201" s="54">
        <v>1815191919</v>
      </c>
      <c r="H201" s="54" t="s">
        <v>229</v>
      </c>
      <c r="I201" s="54" t="s">
        <v>3522</v>
      </c>
      <c r="J201" s="34" t="s">
        <v>3419</v>
      </c>
      <c r="K201" s="50">
        <v>553309</v>
      </c>
      <c r="L201" s="43">
        <v>116573</v>
      </c>
      <c r="M201" s="44">
        <f t="shared" ref="M201:M264" si="24">L201/K201</f>
        <v>0.21068336137673524</v>
      </c>
      <c r="N201" s="49">
        <f>ROUND(L201/Summary!$C$3*Summary!$C$2,0)</f>
        <v>361376</v>
      </c>
      <c r="O201" s="44">
        <f t="shared" ref="O201:O264" si="25">N201/K201</f>
        <v>0.65311787807536115</v>
      </c>
      <c r="P201" s="78">
        <v>22</v>
      </c>
      <c r="Q201" s="34">
        <v>3</v>
      </c>
      <c r="R201" s="35">
        <f t="shared" ref="R201:R264" si="26">Q201/P201</f>
        <v>0.13636363636363635</v>
      </c>
      <c r="S201" s="49">
        <f>ROUND(Q201/Summary!$C$3*Summary!$C$2,0)</f>
        <v>9</v>
      </c>
      <c r="T201" s="44">
        <f t="shared" ref="T201:T264" si="27">S201/P201</f>
        <v>0.40909090909090912</v>
      </c>
      <c r="U201" s="34">
        <v>2</v>
      </c>
      <c r="V201" s="34">
        <v>0</v>
      </c>
      <c r="W201" s="34">
        <v>0</v>
      </c>
      <c r="X201" s="34">
        <v>0</v>
      </c>
    </row>
    <row r="202" spans="1:24" hidden="1">
      <c r="A202" s="75" t="s">
        <v>3542</v>
      </c>
      <c r="B202" s="75" t="s">
        <v>3543</v>
      </c>
      <c r="C202" s="75" t="s">
        <v>119</v>
      </c>
      <c r="D202" s="75" t="s">
        <v>55</v>
      </c>
      <c r="E202" s="75" t="s">
        <v>3</v>
      </c>
      <c r="F202" s="75" t="s">
        <v>3544</v>
      </c>
      <c r="G202" s="67">
        <v>1818510330</v>
      </c>
      <c r="H202" s="54" t="s">
        <v>229</v>
      </c>
      <c r="I202" s="54" t="s">
        <v>3514</v>
      </c>
      <c r="J202" s="34" t="s">
        <v>3515</v>
      </c>
      <c r="K202" s="50">
        <v>130000</v>
      </c>
      <c r="L202" s="43">
        <v>16960</v>
      </c>
      <c r="M202" s="44">
        <f t="shared" si="24"/>
        <v>0.13046153846153846</v>
      </c>
      <c r="N202" s="49">
        <f>ROUND(L202/Summary!$C$3*Summary!$C$2,0)</f>
        <v>52576</v>
      </c>
      <c r="O202" s="44">
        <f t="shared" si="25"/>
        <v>0.4044307692307692</v>
      </c>
      <c r="P202" s="78">
        <v>10</v>
      </c>
      <c r="Q202" s="34">
        <v>0</v>
      </c>
      <c r="R202" s="35">
        <f t="shared" si="26"/>
        <v>0</v>
      </c>
      <c r="S202" s="49">
        <f>ROUND(Q202/Summary!$C$3*Summary!$C$2,0)</f>
        <v>0</v>
      </c>
      <c r="T202" s="44">
        <f t="shared" si="27"/>
        <v>0</v>
      </c>
      <c r="U202" s="34">
        <v>1</v>
      </c>
      <c r="V202" s="34">
        <v>0</v>
      </c>
      <c r="W202" s="34">
        <v>0</v>
      </c>
      <c r="X202" s="34">
        <v>0</v>
      </c>
    </row>
    <row r="203" spans="1:24" hidden="1">
      <c r="A203" s="34" t="s">
        <v>349</v>
      </c>
      <c r="B203" s="34" t="s">
        <v>350</v>
      </c>
      <c r="C203" s="34" t="s">
        <v>347</v>
      </c>
      <c r="D203" s="34" t="s">
        <v>55</v>
      </c>
      <c r="E203" s="34" t="s">
        <v>3</v>
      </c>
      <c r="F203" s="34" t="s">
        <v>351</v>
      </c>
      <c r="G203" s="54">
        <v>1851815097</v>
      </c>
      <c r="H203" s="54" t="s">
        <v>229</v>
      </c>
      <c r="I203" s="54" t="s">
        <v>3514</v>
      </c>
      <c r="J203" s="34" t="s">
        <v>3419</v>
      </c>
      <c r="K203" s="50">
        <v>130000</v>
      </c>
      <c r="L203" s="43">
        <v>11670</v>
      </c>
      <c r="M203" s="44">
        <f t="shared" si="24"/>
        <v>8.9769230769230768E-2</v>
      </c>
      <c r="N203" s="49">
        <f>ROUND(L203/Summary!$C$3*Summary!$C$2,0)</f>
        <v>36177</v>
      </c>
      <c r="O203" s="44">
        <f t="shared" si="25"/>
        <v>0.27828461538461541</v>
      </c>
      <c r="P203" s="78">
        <v>10</v>
      </c>
      <c r="Q203" s="34">
        <v>0</v>
      </c>
      <c r="R203" s="35">
        <f t="shared" si="26"/>
        <v>0</v>
      </c>
      <c r="S203" s="49">
        <f>ROUND(Q203/Summary!$C$3*Summary!$C$2,0)</f>
        <v>0</v>
      </c>
      <c r="T203" s="44">
        <f t="shared" si="27"/>
        <v>0</v>
      </c>
      <c r="U203" s="34">
        <v>0</v>
      </c>
      <c r="V203" s="34">
        <v>0</v>
      </c>
      <c r="W203" s="34">
        <v>0</v>
      </c>
      <c r="X203" s="34">
        <v>0</v>
      </c>
    </row>
    <row r="204" spans="1:24">
      <c r="A204" s="34" t="s">
        <v>345</v>
      </c>
      <c r="B204" s="34" t="s">
        <v>346</v>
      </c>
      <c r="C204" s="34" t="s">
        <v>347</v>
      </c>
      <c r="D204" s="34" t="s">
        <v>55</v>
      </c>
      <c r="E204" s="34" t="s">
        <v>3</v>
      </c>
      <c r="F204" s="34" t="s">
        <v>348</v>
      </c>
      <c r="G204" s="54">
        <v>1845675111</v>
      </c>
      <c r="H204" s="54" t="s">
        <v>229</v>
      </c>
      <c r="I204" s="54" t="s">
        <v>3514</v>
      </c>
      <c r="J204" s="34" t="s">
        <v>3421</v>
      </c>
      <c r="K204" s="50">
        <v>130000</v>
      </c>
      <c r="L204" s="43">
        <v>0</v>
      </c>
      <c r="M204" s="44">
        <f t="shared" si="24"/>
        <v>0</v>
      </c>
      <c r="N204" s="49">
        <f>ROUND(L204/Summary!$C$3*Summary!$C$2,0)</f>
        <v>0</v>
      </c>
      <c r="O204" s="44">
        <f t="shared" si="25"/>
        <v>0</v>
      </c>
      <c r="P204" s="78">
        <v>10</v>
      </c>
      <c r="Q204" s="34">
        <v>0</v>
      </c>
      <c r="R204" s="35">
        <f t="shared" si="26"/>
        <v>0</v>
      </c>
      <c r="S204" s="49">
        <f>ROUND(Q204/Summary!$C$3*Summary!$C$2,0)</f>
        <v>0</v>
      </c>
      <c r="T204" s="44">
        <f t="shared" si="27"/>
        <v>0</v>
      </c>
      <c r="U204" s="34">
        <v>0</v>
      </c>
      <c r="V204" s="34">
        <v>0</v>
      </c>
      <c r="W204" s="34">
        <v>0</v>
      </c>
      <c r="X204" s="34">
        <v>0</v>
      </c>
    </row>
    <row r="205" spans="1:24" hidden="1">
      <c r="A205" s="34" t="s">
        <v>408</v>
      </c>
      <c r="B205" s="34" t="s">
        <v>409</v>
      </c>
      <c r="C205" s="34" t="s">
        <v>347</v>
      </c>
      <c r="D205" s="34" t="s">
        <v>55</v>
      </c>
      <c r="E205" s="34" t="s">
        <v>3</v>
      </c>
      <c r="F205" s="34" t="s">
        <v>410</v>
      </c>
      <c r="G205" s="54">
        <v>1832303775</v>
      </c>
      <c r="H205" s="54" t="s">
        <v>229</v>
      </c>
      <c r="I205" s="54" t="s">
        <v>3514</v>
      </c>
      <c r="J205" s="34" t="s">
        <v>3421</v>
      </c>
      <c r="K205" s="50">
        <v>130000</v>
      </c>
      <c r="L205" s="43">
        <v>10180</v>
      </c>
      <c r="M205" s="44">
        <f t="shared" si="24"/>
        <v>7.8307692307692314E-2</v>
      </c>
      <c r="N205" s="49">
        <f>ROUND(L205/Summary!$C$3*Summary!$C$2,0)</f>
        <v>31558</v>
      </c>
      <c r="O205" s="44">
        <f t="shared" si="25"/>
        <v>0.24275384615384615</v>
      </c>
      <c r="P205" s="78">
        <v>10</v>
      </c>
      <c r="Q205" s="34">
        <v>0</v>
      </c>
      <c r="R205" s="35">
        <f t="shared" si="26"/>
        <v>0</v>
      </c>
      <c r="S205" s="49">
        <f>ROUND(Q205/Summary!$C$3*Summary!$C$2,0)</f>
        <v>0</v>
      </c>
      <c r="T205" s="44">
        <f t="shared" si="27"/>
        <v>0</v>
      </c>
      <c r="U205" s="34">
        <v>0</v>
      </c>
      <c r="V205" s="34">
        <v>0</v>
      </c>
      <c r="W205" s="34">
        <v>0</v>
      </c>
      <c r="X205" s="34">
        <v>0</v>
      </c>
    </row>
    <row r="206" spans="1:24" hidden="1">
      <c r="A206" s="34" t="s">
        <v>388</v>
      </c>
      <c r="B206" s="34" t="s">
        <v>389</v>
      </c>
      <c r="C206" s="34" t="s">
        <v>347</v>
      </c>
      <c r="D206" s="34" t="s">
        <v>55</v>
      </c>
      <c r="E206" s="34" t="s">
        <v>3</v>
      </c>
      <c r="F206" s="34" t="s">
        <v>390</v>
      </c>
      <c r="G206" s="54">
        <v>1719897384</v>
      </c>
      <c r="H206" s="54" t="s">
        <v>229</v>
      </c>
      <c r="I206" s="54" t="s">
        <v>3514</v>
      </c>
      <c r="J206" s="34" t="s">
        <v>3421</v>
      </c>
      <c r="K206" s="50">
        <v>130000</v>
      </c>
      <c r="L206" s="43">
        <v>10280</v>
      </c>
      <c r="M206" s="44">
        <f t="shared" si="24"/>
        <v>7.9076923076923072E-2</v>
      </c>
      <c r="N206" s="49">
        <f>ROUND(L206/Summary!$C$3*Summary!$C$2,0)</f>
        <v>31868</v>
      </c>
      <c r="O206" s="44">
        <f t="shared" si="25"/>
        <v>0.24513846153846153</v>
      </c>
      <c r="P206" s="78">
        <v>10</v>
      </c>
      <c r="Q206" s="34">
        <v>0</v>
      </c>
      <c r="R206" s="35">
        <f t="shared" si="26"/>
        <v>0</v>
      </c>
      <c r="S206" s="49">
        <f>ROUND(Q206/Summary!$C$3*Summary!$C$2,0)</f>
        <v>0</v>
      </c>
      <c r="T206" s="44">
        <f t="shared" si="27"/>
        <v>0</v>
      </c>
      <c r="U206" s="34">
        <v>0</v>
      </c>
      <c r="V206" s="34">
        <v>0</v>
      </c>
      <c r="W206" s="34">
        <v>0</v>
      </c>
      <c r="X206" s="34">
        <v>0</v>
      </c>
    </row>
    <row r="207" spans="1:24" hidden="1">
      <c r="A207" s="34" t="s">
        <v>382</v>
      </c>
      <c r="B207" s="34" t="s">
        <v>383</v>
      </c>
      <c r="C207" s="34" t="s">
        <v>347</v>
      </c>
      <c r="D207" s="34" t="s">
        <v>55</v>
      </c>
      <c r="E207" s="34" t="s">
        <v>3</v>
      </c>
      <c r="F207" s="34" t="s">
        <v>384</v>
      </c>
      <c r="G207" s="54">
        <v>1703121213</v>
      </c>
      <c r="H207" s="54" t="s">
        <v>229</v>
      </c>
      <c r="I207" s="54" t="s">
        <v>3514</v>
      </c>
      <c r="J207" s="34" t="s">
        <v>3419</v>
      </c>
      <c r="K207" s="50">
        <v>130000</v>
      </c>
      <c r="L207" s="43">
        <v>4590</v>
      </c>
      <c r="M207" s="44">
        <f t="shared" si="24"/>
        <v>3.5307692307692311E-2</v>
      </c>
      <c r="N207" s="49">
        <f>ROUND(L207/Summary!$C$3*Summary!$C$2,0)</f>
        <v>14229</v>
      </c>
      <c r="O207" s="44">
        <f t="shared" si="25"/>
        <v>0.10945384615384615</v>
      </c>
      <c r="P207" s="78">
        <v>10</v>
      </c>
      <c r="Q207" s="34">
        <v>0</v>
      </c>
      <c r="R207" s="35">
        <f t="shared" si="26"/>
        <v>0</v>
      </c>
      <c r="S207" s="49">
        <f>ROUND(Q207/Summary!$C$3*Summary!$C$2,0)</f>
        <v>0</v>
      </c>
      <c r="T207" s="44">
        <f t="shared" si="27"/>
        <v>0</v>
      </c>
      <c r="U207" s="34">
        <v>0</v>
      </c>
      <c r="V207" s="34">
        <v>0</v>
      </c>
      <c r="W207" s="34">
        <v>0</v>
      </c>
      <c r="X207" s="34">
        <v>0</v>
      </c>
    </row>
    <row r="208" spans="1:24">
      <c r="A208" s="34" t="s">
        <v>364</v>
      </c>
      <c r="B208" s="34" t="s">
        <v>365</v>
      </c>
      <c r="C208" s="34" t="s">
        <v>347</v>
      </c>
      <c r="D208" s="34" t="s">
        <v>55</v>
      </c>
      <c r="E208" s="34" t="s">
        <v>3</v>
      </c>
      <c r="F208" s="34" t="s">
        <v>366</v>
      </c>
      <c r="G208" s="54">
        <v>1882211178</v>
      </c>
      <c r="H208" s="54" t="s">
        <v>229</v>
      </c>
      <c r="I208" s="54" t="s">
        <v>3514</v>
      </c>
      <c r="J208" s="34" t="s">
        <v>3515</v>
      </c>
      <c r="K208" s="50">
        <v>130000</v>
      </c>
      <c r="L208" s="43">
        <v>0</v>
      </c>
      <c r="M208" s="44">
        <f t="shared" si="24"/>
        <v>0</v>
      </c>
      <c r="N208" s="49">
        <f>ROUND(L208/Summary!$C$3*Summary!$C$2,0)</f>
        <v>0</v>
      </c>
      <c r="O208" s="44">
        <f t="shared" si="25"/>
        <v>0</v>
      </c>
      <c r="P208" s="78">
        <v>10</v>
      </c>
      <c r="Q208" s="34">
        <v>0</v>
      </c>
      <c r="R208" s="35">
        <f t="shared" si="26"/>
        <v>0</v>
      </c>
      <c r="S208" s="49">
        <f>ROUND(Q208/Summary!$C$3*Summary!$C$2,0)</f>
        <v>0</v>
      </c>
      <c r="T208" s="44">
        <f t="shared" si="27"/>
        <v>0</v>
      </c>
      <c r="U208" s="34">
        <v>0</v>
      </c>
      <c r="V208" s="34">
        <v>0</v>
      </c>
      <c r="W208" s="34">
        <v>0</v>
      </c>
      <c r="X208" s="34">
        <v>0</v>
      </c>
    </row>
    <row r="209" spans="1:24" hidden="1">
      <c r="A209" s="34" t="s">
        <v>355</v>
      </c>
      <c r="B209" s="34" t="s">
        <v>356</v>
      </c>
      <c r="C209" s="34" t="s">
        <v>347</v>
      </c>
      <c r="D209" s="34" t="s">
        <v>55</v>
      </c>
      <c r="E209" s="34" t="s">
        <v>3</v>
      </c>
      <c r="F209" s="34" t="s">
        <v>357</v>
      </c>
      <c r="G209" s="54">
        <v>1820505878</v>
      </c>
      <c r="H209" s="54" t="s">
        <v>229</v>
      </c>
      <c r="I209" s="54" t="s">
        <v>3514</v>
      </c>
      <c r="J209" s="34" t="s">
        <v>3421</v>
      </c>
      <c r="K209" s="50">
        <v>130000</v>
      </c>
      <c r="L209" s="43">
        <v>10180</v>
      </c>
      <c r="M209" s="44">
        <f t="shared" si="24"/>
        <v>7.8307692307692314E-2</v>
      </c>
      <c r="N209" s="49">
        <f>ROUND(L209/Summary!$C$3*Summary!$C$2,0)</f>
        <v>31558</v>
      </c>
      <c r="O209" s="44">
        <f t="shared" si="25"/>
        <v>0.24275384615384615</v>
      </c>
      <c r="P209" s="78">
        <v>10</v>
      </c>
      <c r="Q209" s="34">
        <v>0</v>
      </c>
      <c r="R209" s="35">
        <f t="shared" si="26"/>
        <v>0</v>
      </c>
      <c r="S209" s="49">
        <f>ROUND(Q209/Summary!$C$3*Summary!$C$2,0)</f>
        <v>0</v>
      </c>
      <c r="T209" s="44">
        <f t="shared" si="27"/>
        <v>0</v>
      </c>
      <c r="U209" s="34">
        <v>0</v>
      </c>
      <c r="V209" s="34">
        <v>0</v>
      </c>
      <c r="W209" s="34">
        <v>0</v>
      </c>
      <c r="X209" s="34">
        <v>0</v>
      </c>
    </row>
    <row r="210" spans="1:24" hidden="1">
      <c r="A210" s="34" t="s">
        <v>379</v>
      </c>
      <c r="B210" s="34" t="s">
        <v>380</v>
      </c>
      <c r="C210" s="34" t="s">
        <v>347</v>
      </c>
      <c r="D210" s="34" t="s">
        <v>55</v>
      </c>
      <c r="E210" s="34" t="s">
        <v>3</v>
      </c>
      <c r="F210" s="34" t="s">
        <v>381</v>
      </c>
      <c r="G210" s="54">
        <v>1824998339</v>
      </c>
      <c r="H210" s="54" t="s">
        <v>229</v>
      </c>
      <c r="I210" s="54" t="s">
        <v>3514</v>
      </c>
      <c r="J210" s="34" t="s">
        <v>3421</v>
      </c>
      <c r="K210" s="50">
        <v>130000</v>
      </c>
      <c r="L210" s="43">
        <v>3090</v>
      </c>
      <c r="M210" s="44">
        <f t="shared" si="24"/>
        <v>2.3769230769230768E-2</v>
      </c>
      <c r="N210" s="49">
        <f>ROUND(L210/Summary!$C$3*Summary!$C$2,0)</f>
        <v>9579</v>
      </c>
      <c r="O210" s="44">
        <f t="shared" si="25"/>
        <v>7.368461538461539E-2</v>
      </c>
      <c r="P210" s="78">
        <v>10</v>
      </c>
      <c r="Q210" s="34">
        <v>0</v>
      </c>
      <c r="R210" s="35">
        <f t="shared" si="26"/>
        <v>0</v>
      </c>
      <c r="S210" s="49">
        <f>ROUND(Q210/Summary!$C$3*Summary!$C$2,0)</f>
        <v>0</v>
      </c>
      <c r="T210" s="44">
        <f t="shared" si="27"/>
        <v>0</v>
      </c>
      <c r="U210" s="34">
        <v>0</v>
      </c>
      <c r="V210" s="34">
        <v>0</v>
      </c>
      <c r="W210" s="34">
        <v>0</v>
      </c>
      <c r="X210" s="34">
        <v>0</v>
      </c>
    </row>
    <row r="211" spans="1:24" hidden="1">
      <c r="A211" s="34" t="s">
        <v>373</v>
      </c>
      <c r="B211" s="34" t="s">
        <v>374</v>
      </c>
      <c r="C211" s="34" t="s">
        <v>347</v>
      </c>
      <c r="D211" s="34" t="s">
        <v>55</v>
      </c>
      <c r="E211" s="34" t="s">
        <v>3</v>
      </c>
      <c r="F211" s="34" t="s">
        <v>375</v>
      </c>
      <c r="G211" s="54">
        <v>1816130400</v>
      </c>
      <c r="H211" s="54" t="s">
        <v>229</v>
      </c>
      <c r="I211" s="54" t="s">
        <v>3514</v>
      </c>
      <c r="J211" s="34" t="s">
        <v>3419</v>
      </c>
      <c r="K211" s="50">
        <v>130000</v>
      </c>
      <c r="L211" s="43">
        <v>15880</v>
      </c>
      <c r="M211" s="44">
        <f t="shared" si="24"/>
        <v>0.12215384615384615</v>
      </c>
      <c r="N211" s="49">
        <f>ROUND(L211/Summary!$C$3*Summary!$C$2,0)</f>
        <v>49228</v>
      </c>
      <c r="O211" s="44">
        <f t="shared" si="25"/>
        <v>0.37867692307692308</v>
      </c>
      <c r="P211" s="78">
        <v>10</v>
      </c>
      <c r="Q211" s="34">
        <v>1</v>
      </c>
      <c r="R211" s="35">
        <f t="shared" si="26"/>
        <v>0.1</v>
      </c>
      <c r="S211" s="49">
        <f>ROUND(Q211/Summary!$C$3*Summary!$C$2,0)</f>
        <v>3</v>
      </c>
      <c r="T211" s="44">
        <f t="shared" si="27"/>
        <v>0.3</v>
      </c>
      <c r="U211" s="34">
        <v>0</v>
      </c>
      <c r="V211" s="34">
        <v>0</v>
      </c>
      <c r="W211" s="34">
        <v>0</v>
      </c>
      <c r="X211" s="34">
        <v>0</v>
      </c>
    </row>
    <row r="212" spans="1:24">
      <c r="A212" s="34" t="s">
        <v>370</v>
      </c>
      <c r="B212" s="34" t="s">
        <v>371</v>
      </c>
      <c r="C212" s="34" t="s">
        <v>347</v>
      </c>
      <c r="D212" s="34" t="s">
        <v>55</v>
      </c>
      <c r="E212" s="34" t="s">
        <v>3</v>
      </c>
      <c r="F212" s="34" t="s">
        <v>372</v>
      </c>
      <c r="G212" s="54">
        <v>1815670183</v>
      </c>
      <c r="H212" s="54" t="s">
        <v>229</v>
      </c>
      <c r="I212" s="54" t="s">
        <v>3514</v>
      </c>
      <c r="J212" s="34" t="s">
        <v>3421</v>
      </c>
      <c r="K212" s="50">
        <v>130000</v>
      </c>
      <c r="L212" s="43">
        <v>0</v>
      </c>
      <c r="M212" s="44">
        <f t="shared" si="24"/>
        <v>0</v>
      </c>
      <c r="N212" s="49">
        <f>ROUND(L212/Summary!$C$3*Summary!$C$2,0)</f>
        <v>0</v>
      </c>
      <c r="O212" s="44">
        <f t="shared" si="25"/>
        <v>0</v>
      </c>
      <c r="P212" s="78">
        <v>10</v>
      </c>
      <c r="Q212" s="34">
        <v>0</v>
      </c>
      <c r="R212" s="35">
        <f t="shared" si="26"/>
        <v>0</v>
      </c>
      <c r="S212" s="49">
        <f>ROUND(Q212/Summary!$C$3*Summary!$C$2,0)</f>
        <v>0</v>
      </c>
      <c r="T212" s="44">
        <f t="shared" si="27"/>
        <v>0</v>
      </c>
      <c r="U212" s="34">
        <v>0</v>
      </c>
      <c r="V212" s="34">
        <v>0</v>
      </c>
      <c r="W212" s="34">
        <v>0</v>
      </c>
      <c r="X212" s="34">
        <v>0</v>
      </c>
    </row>
    <row r="213" spans="1:24" hidden="1">
      <c r="A213" s="34" t="s">
        <v>399</v>
      </c>
      <c r="B213" s="34" t="s">
        <v>400</v>
      </c>
      <c r="C213" s="34" t="s">
        <v>347</v>
      </c>
      <c r="D213" s="34" t="s">
        <v>55</v>
      </c>
      <c r="E213" s="34" t="s">
        <v>3</v>
      </c>
      <c r="F213" s="34" t="s">
        <v>401</v>
      </c>
      <c r="G213" s="54">
        <v>1856283029</v>
      </c>
      <c r="H213" s="54" t="s">
        <v>229</v>
      </c>
      <c r="I213" s="54" t="s">
        <v>3514</v>
      </c>
      <c r="J213" s="34" t="s">
        <v>3515</v>
      </c>
      <c r="K213" s="50">
        <v>130000</v>
      </c>
      <c r="L213" s="43">
        <v>4950</v>
      </c>
      <c r="M213" s="44">
        <f t="shared" si="24"/>
        <v>3.8076923076923078E-2</v>
      </c>
      <c r="N213" s="49">
        <f>ROUND(L213/Summary!$C$3*Summary!$C$2,0)</f>
        <v>15345</v>
      </c>
      <c r="O213" s="44">
        <f t="shared" si="25"/>
        <v>0.11803846153846154</v>
      </c>
      <c r="P213" s="78">
        <v>10</v>
      </c>
      <c r="Q213" s="34">
        <v>0</v>
      </c>
      <c r="R213" s="35">
        <f t="shared" si="26"/>
        <v>0</v>
      </c>
      <c r="S213" s="49">
        <f>ROUND(Q213/Summary!$C$3*Summary!$C$2,0)</f>
        <v>0</v>
      </c>
      <c r="T213" s="44">
        <f t="shared" si="27"/>
        <v>0</v>
      </c>
      <c r="U213" s="34">
        <v>0</v>
      </c>
      <c r="V213" s="34">
        <v>0</v>
      </c>
      <c r="W213" s="34">
        <v>0</v>
      </c>
      <c r="X213" s="34">
        <v>0</v>
      </c>
    </row>
    <row r="214" spans="1:24" hidden="1">
      <c r="A214" s="34" t="s">
        <v>402</v>
      </c>
      <c r="B214" s="34" t="s">
        <v>403</v>
      </c>
      <c r="C214" s="34" t="s">
        <v>347</v>
      </c>
      <c r="D214" s="34" t="s">
        <v>55</v>
      </c>
      <c r="E214" s="34" t="s">
        <v>3</v>
      </c>
      <c r="F214" s="34" t="s">
        <v>404</v>
      </c>
      <c r="G214" s="54">
        <v>1868232555</v>
      </c>
      <c r="H214" s="54" t="s">
        <v>229</v>
      </c>
      <c r="I214" s="54" t="s">
        <v>3514</v>
      </c>
      <c r="J214" s="34" t="s">
        <v>3421</v>
      </c>
      <c r="K214" s="50">
        <v>130000</v>
      </c>
      <c r="L214" s="43">
        <v>40330</v>
      </c>
      <c r="M214" s="44">
        <f t="shared" si="24"/>
        <v>0.31023076923076925</v>
      </c>
      <c r="N214" s="49">
        <f>ROUND(L214/Summary!$C$3*Summary!$C$2,0)</f>
        <v>125023</v>
      </c>
      <c r="O214" s="44">
        <f t="shared" si="25"/>
        <v>0.96171538461538464</v>
      </c>
      <c r="P214" s="78">
        <v>10</v>
      </c>
      <c r="Q214" s="34">
        <v>2</v>
      </c>
      <c r="R214" s="35">
        <f t="shared" si="26"/>
        <v>0.2</v>
      </c>
      <c r="S214" s="49">
        <f>ROUND(Q214/Summary!$C$3*Summary!$C$2,0)</f>
        <v>6</v>
      </c>
      <c r="T214" s="44">
        <f t="shared" si="27"/>
        <v>0.6</v>
      </c>
      <c r="U214" s="34">
        <v>0</v>
      </c>
      <c r="V214" s="34">
        <v>0</v>
      </c>
      <c r="W214" s="34">
        <v>0</v>
      </c>
      <c r="X214" s="34">
        <v>0</v>
      </c>
    </row>
    <row r="215" spans="1:24" hidden="1">
      <c r="A215" s="34" t="s">
        <v>420</v>
      </c>
      <c r="B215" s="34" t="s">
        <v>421</v>
      </c>
      <c r="C215" s="34" t="s">
        <v>422</v>
      </c>
      <c r="D215" s="34" t="s">
        <v>75</v>
      </c>
      <c r="E215" s="34" t="s">
        <v>3</v>
      </c>
      <c r="F215" s="34" t="s">
        <v>423</v>
      </c>
      <c r="G215" s="54">
        <v>1843051484</v>
      </c>
      <c r="H215" s="54" t="s">
        <v>229</v>
      </c>
      <c r="I215" s="54" t="s">
        <v>3522</v>
      </c>
      <c r="J215" s="34" t="s">
        <v>3419</v>
      </c>
      <c r="K215" s="50">
        <v>654461</v>
      </c>
      <c r="L215" s="43">
        <v>206280</v>
      </c>
      <c r="M215" s="44">
        <f t="shared" si="24"/>
        <v>0.31519066835151371</v>
      </c>
      <c r="N215" s="49">
        <f>ROUND(L215/Summary!$C$3*Summary!$C$2,0)</f>
        <v>639468</v>
      </c>
      <c r="O215" s="44">
        <f t="shared" si="25"/>
        <v>0.97709107188969246</v>
      </c>
      <c r="P215" s="78">
        <v>33</v>
      </c>
      <c r="Q215" s="34">
        <v>11</v>
      </c>
      <c r="R215" s="35">
        <f t="shared" si="26"/>
        <v>0.33333333333333331</v>
      </c>
      <c r="S215" s="49">
        <f>ROUND(Q215/Summary!$C$3*Summary!$C$2,0)</f>
        <v>34</v>
      </c>
      <c r="T215" s="44">
        <f t="shared" si="27"/>
        <v>1.0303030303030303</v>
      </c>
      <c r="U215" s="34">
        <v>7</v>
      </c>
      <c r="V215" s="34">
        <v>3</v>
      </c>
      <c r="W215" s="34">
        <v>1</v>
      </c>
      <c r="X215" s="34">
        <v>0</v>
      </c>
    </row>
    <row r="216" spans="1:24" hidden="1">
      <c r="A216" s="34" t="s">
        <v>426</v>
      </c>
      <c r="B216" s="34" t="s">
        <v>427</v>
      </c>
      <c r="C216" s="34" t="s">
        <v>422</v>
      </c>
      <c r="D216" s="34" t="s">
        <v>75</v>
      </c>
      <c r="E216" s="34" t="s">
        <v>3</v>
      </c>
      <c r="F216" s="34" t="s">
        <v>428</v>
      </c>
      <c r="G216" s="54">
        <v>1815599339</v>
      </c>
      <c r="H216" s="54" t="s">
        <v>229</v>
      </c>
      <c r="I216" s="54" t="s">
        <v>3514</v>
      </c>
      <c r="J216" s="34" t="s">
        <v>3419</v>
      </c>
      <c r="K216" s="50">
        <v>260770</v>
      </c>
      <c r="L216" s="43">
        <v>88729</v>
      </c>
      <c r="M216" s="44">
        <f t="shared" si="24"/>
        <v>0.34025769835487213</v>
      </c>
      <c r="N216" s="49">
        <f>ROUND(L216/Summary!$C$3*Summary!$C$2,0)</f>
        <v>275060</v>
      </c>
      <c r="O216" s="44">
        <f t="shared" si="25"/>
        <v>1.0547992483797983</v>
      </c>
      <c r="P216" s="78">
        <v>10</v>
      </c>
      <c r="Q216" s="34">
        <v>4</v>
      </c>
      <c r="R216" s="35">
        <f t="shared" si="26"/>
        <v>0.4</v>
      </c>
      <c r="S216" s="49">
        <f>ROUND(Q216/Summary!$C$3*Summary!$C$2,0)</f>
        <v>12</v>
      </c>
      <c r="T216" s="44">
        <f t="shared" si="27"/>
        <v>1.2</v>
      </c>
      <c r="U216" s="34">
        <v>3</v>
      </c>
      <c r="V216" s="34">
        <v>1</v>
      </c>
      <c r="W216" s="34">
        <v>0</v>
      </c>
      <c r="X216" s="34">
        <v>1</v>
      </c>
    </row>
    <row r="217" spans="1:24" hidden="1">
      <c r="A217" s="34" t="s">
        <v>417</v>
      </c>
      <c r="B217" s="34" t="s">
        <v>418</v>
      </c>
      <c r="C217" s="34" t="s">
        <v>120</v>
      </c>
      <c r="D217" s="34" t="s">
        <v>75</v>
      </c>
      <c r="E217" s="34" t="s">
        <v>3</v>
      </c>
      <c r="F217" s="34" t="s">
        <v>419</v>
      </c>
      <c r="G217" s="54">
        <v>1827864657</v>
      </c>
      <c r="H217" s="54" t="s">
        <v>229</v>
      </c>
      <c r="I217" s="54" t="s">
        <v>3514</v>
      </c>
      <c r="J217" s="34" t="s">
        <v>3421</v>
      </c>
      <c r="K217" s="50">
        <v>130000</v>
      </c>
      <c r="L217" s="43">
        <v>19510</v>
      </c>
      <c r="M217" s="44">
        <f t="shared" si="24"/>
        <v>0.15007692307692308</v>
      </c>
      <c r="N217" s="49">
        <f>ROUND(L217/Summary!$C$3*Summary!$C$2,0)</f>
        <v>60481</v>
      </c>
      <c r="O217" s="44">
        <f t="shared" si="25"/>
        <v>0.46523846153846155</v>
      </c>
      <c r="P217" s="78">
        <v>10</v>
      </c>
      <c r="Q217" s="34">
        <v>1</v>
      </c>
      <c r="R217" s="35">
        <f t="shared" si="26"/>
        <v>0.1</v>
      </c>
      <c r="S217" s="49">
        <f>ROUND(Q217/Summary!$C$3*Summary!$C$2,0)</f>
        <v>3</v>
      </c>
      <c r="T217" s="44">
        <f t="shared" si="27"/>
        <v>0.3</v>
      </c>
      <c r="U217" s="34">
        <v>0</v>
      </c>
      <c r="V217" s="34">
        <v>1</v>
      </c>
      <c r="W217" s="34">
        <v>0</v>
      </c>
      <c r="X217" s="34">
        <v>0</v>
      </c>
    </row>
    <row r="218" spans="1:24" hidden="1">
      <c r="A218" s="34" t="s">
        <v>411</v>
      </c>
      <c r="B218" s="34" t="s">
        <v>412</v>
      </c>
      <c r="C218" s="34" t="s">
        <v>120</v>
      </c>
      <c r="D218" s="34" t="s">
        <v>75</v>
      </c>
      <c r="E218" s="34" t="s">
        <v>3</v>
      </c>
      <c r="F218" s="34" t="s">
        <v>413</v>
      </c>
      <c r="G218" s="54">
        <v>1879066964</v>
      </c>
      <c r="H218" s="54" t="s">
        <v>229</v>
      </c>
      <c r="I218" s="54" t="s">
        <v>3514</v>
      </c>
      <c r="J218" s="34" t="s">
        <v>3421</v>
      </c>
      <c r="K218" s="50">
        <v>130000</v>
      </c>
      <c r="L218" s="43">
        <v>29740</v>
      </c>
      <c r="M218" s="44">
        <f t="shared" si="24"/>
        <v>0.22876923076923078</v>
      </c>
      <c r="N218" s="49">
        <f>ROUND(L218/Summary!$C$3*Summary!$C$2,0)</f>
        <v>92194</v>
      </c>
      <c r="O218" s="44">
        <f t="shared" si="25"/>
        <v>0.70918461538461541</v>
      </c>
      <c r="P218" s="78">
        <v>10</v>
      </c>
      <c r="Q218" s="34">
        <v>0</v>
      </c>
      <c r="R218" s="35">
        <f t="shared" si="26"/>
        <v>0</v>
      </c>
      <c r="S218" s="49">
        <f>ROUND(Q218/Summary!$C$3*Summary!$C$2,0)</f>
        <v>0</v>
      </c>
      <c r="T218" s="44">
        <f t="shared" si="27"/>
        <v>0</v>
      </c>
      <c r="U218" s="34">
        <v>2</v>
      </c>
      <c r="V218" s="34">
        <v>0</v>
      </c>
      <c r="W218" s="34">
        <v>0</v>
      </c>
      <c r="X218" s="34">
        <v>0</v>
      </c>
    </row>
    <row r="219" spans="1:24" hidden="1">
      <c r="A219" s="34" t="s">
        <v>414</v>
      </c>
      <c r="B219" s="34" t="s">
        <v>415</v>
      </c>
      <c r="C219" s="34" t="s">
        <v>120</v>
      </c>
      <c r="D219" s="34" t="s">
        <v>75</v>
      </c>
      <c r="E219" s="34" t="s">
        <v>3</v>
      </c>
      <c r="F219" s="34" t="s">
        <v>416</v>
      </c>
      <c r="G219" s="54">
        <v>1871662711</v>
      </c>
      <c r="H219" s="54" t="s">
        <v>229</v>
      </c>
      <c r="I219" s="54" t="s">
        <v>3514</v>
      </c>
      <c r="J219" s="34" t="s">
        <v>3419</v>
      </c>
      <c r="K219" s="50">
        <v>170170</v>
      </c>
      <c r="L219" s="43">
        <v>13980</v>
      </c>
      <c r="M219" s="44">
        <f t="shared" si="24"/>
        <v>8.2153140976670383E-2</v>
      </c>
      <c r="N219" s="49">
        <f>ROUND(L219/Summary!$C$3*Summary!$C$2,0)</f>
        <v>43338</v>
      </c>
      <c r="O219" s="44">
        <f t="shared" si="25"/>
        <v>0.25467473702767818</v>
      </c>
      <c r="P219" s="78">
        <v>10</v>
      </c>
      <c r="Q219" s="34">
        <v>1</v>
      </c>
      <c r="R219" s="35">
        <f t="shared" si="26"/>
        <v>0.1</v>
      </c>
      <c r="S219" s="49">
        <f>ROUND(Q219/Summary!$C$3*Summary!$C$2,0)</f>
        <v>3</v>
      </c>
      <c r="T219" s="44">
        <f t="shared" si="27"/>
        <v>0.3</v>
      </c>
      <c r="U219" s="34">
        <v>0</v>
      </c>
      <c r="V219" s="34">
        <v>0</v>
      </c>
      <c r="W219" s="34">
        <v>0</v>
      </c>
      <c r="X219" s="34">
        <v>0</v>
      </c>
    </row>
    <row r="220" spans="1:24" hidden="1">
      <c r="A220" s="34" t="s">
        <v>429</v>
      </c>
      <c r="B220" s="34" t="s">
        <v>430</v>
      </c>
      <c r="C220" s="34" t="s">
        <v>120</v>
      </c>
      <c r="D220" s="34" t="s">
        <v>75</v>
      </c>
      <c r="E220" s="34" t="s">
        <v>3</v>
      </c>
      <c r="F220" s="34" t="s">
        <v>431</v>
      </c>
      <c r="G220" s="54">
        <v>1852627282</v>
      </c>
      <c r="H220" s="54" t="s">
        <v>229</v>
      </c>
      <c r="I220" s="54" t="s">
        <v>3514</v>
      </c>
      <c r="J220" s="34" t="s">
        <v>3419</v>
      </c>
      <c r="K220" s="50">
        <v>130000</v>
      </c>
      <c r="L220" s="43">
        <v>30385</v>
      </c>
      <c r="M220" s="44">
        <f t="shared" si="24"/>
        <v>0.23373076923076924</v>
      </c>
      <c r="N220" s="49">
        <f>ROUND(L220/Summary!$C$3*Summary!$C$2,0)</f>
        <v>94194</v>
      </c>
      <c r="O220" s="44">
        <f t="shared" si="25"/>
        <v>0.72456923076923074</v>
      </c>
      <c r="P220" s="78">
        <v>10</v>
      </c>
      <c r="Q220" s="34">
        <v>2</v>
      </c>
      <c r="R220" s="35">
        <f t="shared" si="26"/>
        <v>0.2</v>
      </c>
      <c r="S220" s="49">
        <f>ROUND(Q220/Summary!$C$3*Summary!$C$2,0)</f>
        <v>6</v>
      </c>
      <c r="T220" s="44">
        <f t="shared" si="27"/>
        <v>0.6</v>
      </c>
      <c r="U220" s="34">
        <v>0</v>
      </c>
      <c r="V220" s="34">
        <v>0</v>
      </c>
      <c r="W220" s="34">
        <v>0</v>
      </c>
      <c r="X220" s="34">
        <v>0</v>
      </c>
    </row>
    <row r="221" spans="1:24" hidden="1">
      <c r="A221" s="34" t="s">
        <v>424</v>
      </c>
      <c r="B221" s="34" t="s">
        <v>192</v>
      </c>
      <c r="C221" s="34" t="s">
        <v>120</v>
      </c>
      <c r="D221" s="34" t="s">
        <v>75</v>
      </c>
      <c r="E221" s="34" t="s">
        <v>3</v>
      </c>
      <c r="F221" s="34" t="s">
        <v>425</v>
      </c>
      <c r="G221" s="54">
        <v>1711701242</v>
      </c>
      <c r="H221" s="54" t="s">
        <v>229</v>
      </c>
      <c r="I221" s="54" t="s">
        <v>3514</v>
      </c>
      <c r="J221" s="34" t="s">
        <v>3419</v>
      </c>
      <c r="K221" s="50">
        <v>180488</v>
      </c>
      <c r="L221" s="43">
        <v>61999</v>
      </c>
      <c r="M221" s="44">
        <f t="shared" si="24"/>
        <v>0.34350760161340366</v>
      </c>
      <c r="N221" s="49">
        <f>ROUND(L221/Summary!$C$3*Summary!$C$2,0)</f>
        <v>192197</v>
      </c>
      <c r="O221" s="44">
        <f t="shared" si="25"/>
        <v>1.0648741190550064</v>
      </c>
      <c r="P221" s="78">
        <v>10</v>
      </c>
      <c r="Q221" s="34">
        <v>3</v>
      </c>
      <c r="R221" s="35">
        <f t="shared" si="26"/>
        <v>0.3</v>
      </c>
      <c r="S221" s="49">
        <f>ROUND(Q221/Summary!$C$3*Summary!$C$2,0)</f>
        <v>9</v>
      </c>
      <c r="T221" s="44">
        <f t="shared" si="27"/>
        <v>0.9</v>
      </c>
      <c r="U221" s="34">
        <v>0</v>
      </c>
      <c r="V221" s="34">
        <v>1</v>
      </c>
      <c r="W221" s="34">
        <v>0</v>
      </c>
      <c r="X221" s="34">
        <v>0</v>
      </c>
    </row>
    <row r="222" spans="1:24" hidden="1">
      <c r="A222" s="34" t="s">
        <v>2995</v>
      </c>
      <c r="B222" s="34" t="s">
        <v>2996</v>
      </c>
      <c r="C222" s="34" t="s">
        <v>435</v>
      </c>
      <c r="D222" s="34" t="s">
        <v>436</v>
      </c>
      <c r="E222" s="34" t="s">
        <v>3</v>
      </c>
      <c r="F222" s="34" t="s">
        <v>2997</v>
      </c>
      <c r="G222" s="54">
        <v>1558450307</v>
      </c>
      <c r="H222" s="54" t="s">
        <v>229</v>
      </c>
      <c r="I222" s="54" t="s">
        <v>3514</v>
      </c>
      <c r="J222" s="34" t="s">
        <v>3421</v>
      </c>
      <c r="K222" s="50">
        <v>227468</v>
      </c>
      <c r="L222" s="43">
        <v>92799</v>
      </c>
      <c r="M222" s="44">
        <f t="shared" si="24"/>
        <v>0.40796507640635166</v>
      </c>
      <c r="N222" s="49">
        <f>ROUND(L222/Summary!$C$3*Summary!$C$2,0)</f>
        <v>287677</v>
      </c>
      <c r="O222" s="44">
        <f t="shared" si="25"/>
        <v>1.2646921764819667</v>
      </c>
      <c r="P222" s="78">
        <v>14</v>
      </c>
      <c r="Q222" s="34">
        <v>4</v>
      </c>
      <c r="R222" s="35">
        <f t="shared" si="26"/>
        <v>0.2857142857142857</v>
      </c>
      <c r="S222" s="49">
        <f>ROUND(Q222/Summary!$C$3*Summary!$C$2,0)</f>
        <v>12</v>
      </c>
      <c r="T222" s="44">
        <f t="shared" si="27"/>
        <v>0.8571428571428571</v>
      </c>
      <c r="U222" s="34">
        <v>0</v>
      </c>
      <c r="V222" s="34">
        <v>1</v>
      </c>
      <c r="W222" s="34">
        <v>1</v>
      </c>
      <c r="X222" s="34">
        <v>1</v>
      </c>
    </row>
    <row r="223" spans="1:24" hidden="1">
      <c r="A223" s="34" t="s">
        <v>433</v>
      </c>
      <c r="B223" s="34" t="s">
        <v>434</v>
      </c>
      <c r="C223" s="34" t="s">
        <v>435</v>
      </c>
      <c r="D223" s="34" t="s">
        <v>436</v>
      </c>
      <c r="E223" s="34" t="s">
        <v>3</v>
      </c>
      <c r="F223" s="34" t="s">
        <v>437</v>
      </c>
      <c r="G223" s="54">
        <v>1716392300</v>
      </c>
      <c r="H223" s="54" t="s">
        <v>229</v>
      </c>
      <c r="I223" s="54" t="s">
        <v>3514</v>
      </c>
      <c r="J223" s="34" t="s">
        <v>3421</v>
      </c>
      <c r="K223" s="50">
        <v>130000</v>
      </c>
      <c r="L223" s="43">
        <v>41529</v>
      </c>
      <c r="M223" s="44">
        <f t="shared" si="24"/>
        <v>0.31945384615384614</v>
      </c>
      <c r="N223" s="49">
        <f>ROUND(L223/Summary!$C$3*Summary!$C$2,0)</f>
        <v>128740</v>
      </c>
      <c r="O223" s="44">
        <f t="shared" si="25"/>
        <v>0.99030769230769233</v>
      </c>
      <c r="P223" s="78">
        <v>10</v>
      </c>
      <c r="Q223" s="34">
        <v>2</v>
      </c>
      <c r="R223" s="35">
        <f t="shared" si="26"/>
        <v>0.2</v>
      </c>
      <c r="S223" s="49">
        <f>ROUND(Q223/Summary!$C$3*Summary!$C$2,0)</f>
        <v>6</v>
      </c>
      <c r="T223" s="44">
        <f t="shared" si="27"/>
        <v>0.6</v>
      </c>
      <c r="U223" s="34">
        <v>0</v>
      </c>
      <c r="V223" s="34">
        <v>1</v>
      </c>
      <c r="W223" s="34">
        <v>0</v>
      </c>
      <c r="X223" s="34">
        <v>0</v>
      </c>
    </row>
    <row r="224" spans="1:24" hidden="1">
      <c r="A224" s="34" t="s">
        <v>438</v>
      </c>
      <c r="B224" s="34" t="s">
        <v>439</v>
      </c>
      <c r="C224" s="34" t="s">
        <v>435</v>
      </c>
      <c r="D224" s="34" t="s">
        <v>436</v>
      </c>
      <c r="E224" s="34" t="s">
        <v>3</v>
      </c>
      <c r="F224" s="34" t="s">
        <v>440</v>
      </c>
      <c r="G224" s="54">
        <v>1558883507</v>
      </c>
      <c r="H224" s="54" t="s">
        <v>229</v>
      </c>
      <c r="I224" s="54" t="s">
        <v>3514</v>
      </c>
      <c r="J224" s="34" t="s">
        <v>3419</v>
      </c>
      <c r="K224" s="50">
        <v>130000</v>
      </c>
      <c r="L224" s="43">
        <v>14970</v>
      </c>
      <c r="M224" s="44">
        <f t="shared" si="24"/>
        <v>0.11515384615384615</v>
      </c>
      <c r="N224" s="49">
        <f>ROUND(L224/Summary!$C$3*Summary!$C$2,0)</f>
        <v>46407</v>
      </c>
      <c r="O224" s="44">
        <f t="shared" si="25"/>
        <v>0.35697692307692308</v>
      </c>
      <c r="P224" s="78">
        <v>10</v>
      </c>
      <c r="Q224" s="34">
        <v>0</v>
      </c>
      <c r="R224" s="35">
        <f t="shared" si="26"/>
        <v>0</v>
      </c>
      <c r="S224" s="49">
        <f>ROUND(Q224/Summary!$C$3*Summary!$C$2,0)</f>
        <v>0</v>
      </c>
      <c r="T224" s="44">
        <f t="shared" si="27"/>
        <v>0</v>
      </c>
      <c r="U224" s="34">
        <v>1</v>
      </c>
      <c r="V224" s="34">
        <v>0</v>
      </c>
      <c r="W224" s="34">
        <v>0</v>
      </c>
      <c r="X224" s="34">
        <v>0</v>
      </c>
    </row>
    <row r="225" spans="1:24" hidden="1">
      <c r="A225" s="34" t="s">
        <v>448</v>
      </c>
      <c r="B225" s="34" t="s">
        <v>449</v>
      </c>
      <c r="C225" s="34" t="s">
        <v>450</v>
      </c>
      <c r="D225" s="34" t="s">
        <v>436</v>
      </c>
      <c r="E225" s="34" t="s">
        <v>3</v>
      </c>
      <c r="F225" s="34" t="s">
        <v>451</v>
      </c>
      <c r="G225" s="54">
        <v>1814346592</v>
      </c>
      <c r="H225" s="54" t="s">
        <v>229</v>
      </c>
      <c r="I225" s="54" t="s">
        <v>3514</v>
      </c>
      <c r="J225" s="34" t="s">
        <v>3419</v>
      </c>
      <c r="K225" s="50">
        <v>130000</v>
      </c>
      <c r="L225" s="43">
        <v>30209</v>
      </c>
      <c r="M225" s="44">
        <f t="shared" si="24"/>
        <v>0.23237692307692306</v>
      </c>
      <c r="N225" s="49">
        <f>ROUND(L225/Summary!$C$3*Summary!$C$2,0)</f>
        <v>93648</v>
      </c>
      <c r="O225" s="44">
        <f t="shared" si="25"/>
        <v>0.72036923076923076</v>
      </c>
      <c r="P225" s="78">
        <v>10</v>
      </c>
      <c r="Q225" s="34">
        <v>1</v>
      </c>
      <c r="R225" s="35">
        <f t="shared" si="26"/>
        <v>0.1</v>
      </c>
      <c r="S225" s="49">
        <f>ROUND(Q225/Summary!$C$3*Summary!$C$2,0)</f>
        <v>3</v>
      </c>
      <c r="T225" s="44">
        <f t="shared" si="27"/>
        <v>0.3</v>
      </c>
      <c r="U225" s="34">
        <v>1</v>
      </c>
      <c r="V225" s="34">
        <v>0</v>
      </c>
      <c r="W225" s="34">
        <v>0</v>
      </c>
      <c r="X225" s="34">
        <v>0</v>
      </c>
    </row>
    <row r="226" spans="1:24" hidden="1">
      <c r="A226" s="34" t="s">
        <v>441</v>
      </c>
      <c r="B226" s="34" t="s">
        <v>442</v>
      </c>
      <c r="C226" s="34" t="s">
        <v>443</v>
      </c>
      <c r="D226" s="34" t="s">
        <v>436</v>
      </c>
      <c r="E226" s="34" t="s">
        <v>3</v>
      </c>
      <c r="F226" s="34" t="s">
        <v>444</v>
      </c>
      <c r="G226" s="54">
        <v>1864644014</v>
      </c>
      <c r="H226" s="54" t="s">
        <v>229</v>
      </c>
      <c r="I226" s="54" t="s">
        <v>3518</v>
      </c>
      <c r="J226" s="34" t="s">
        <v>3419</v>
      </c>
      <c r="K226" s="50">
        <v>439034</v>
      </c>
      <c r="L226" s="43">
        <v>165224</v>
      </c>
      <c r="M226" s="44">
        <f t="shared" si="24"/>
        <v>0.37633531799359504</v>
      </c>
      <c r="N226" s="49">
        <f>ROUND(L226/Summary!$C$3*Summary!$C$2,0)</f>
        <v>512194</v>
      </c>
      <c r="O226" s="44">
        <f t="shared" si="25"/>
        <v>1.1666385746889762</v>
      </c>
      <c r="P226" s="78">
        <v>18</v>
      </c>
      <c r="Q226" s="34">
        <v>6</v>
      </c>
      <c r="R226" s="35">
        <f t="shared" si="26"/>
        <v>0.33333333333333331</v>
      </c>
      <c r="S226" s="49">
        <f>ROUND(Q226/Summary!$C$3*Summary!$C$2,0)</f>
        <v>19</v>
      </c>
      <c r="T226" s="44">
        <f t="shared" si="27"/>
        <v>1.0555555555555556</v>
      </c>
      <c r="U226" s="34">
        <v>3</v>
      </c>
      <c r="V226" s="34">
        <v>0</v>
      </c>
      <c r="W226" s="34">
        <v>0</v>
      </c>
      <c r="X226" s="34">
        <v>1</v>
      </c>
    </row>
    <row r="227" spans="1:24" hidden="1">
      <c r="A227" s="34" t="s">
        <v>445</v>
      </c>
      <c r="B227" s="34" t="s">
        <v>446</v>
      </c>
      <c r="C227" s="34" t="s">
        <v>443</v>
      </c>
      <c r="D227" s="34" t="s">
        <v>436</v>
      </c>
      <c r="E227" s="34" t="s">
        <v>3</v>
      </c>
      <c r="F227" s="34" t="s">
        <v>447</v>
      </c>
      <c r="G227" s="54">
        <v>1815355241</v>
      </c>
      <c r="H227" s="54" t="s">
        <v>229</v>
      </c>
      <c r="I227" s="54" t="s">
        <v>3514</v>
      </c>
      <c r="J227" s="34" t="s">
        <v>3419</v>
      </c>
      <c r="K227" s="50">
        <v>167897</v>
      </c>
      <c r="L227" s="43">
        <v>39530</v>
      </c>
      <c r="M227" s="44">
        <f t="shared" si="24"/>
        <v>0.23544196739667772</v>
      </c>
      <c r="N227" s="49">
        <f>ROUND(L227/Summary!$C$3*Summary!$C$2,0)</f>
        <v>122543</v>
      </c>
      <c r="O227" s="44">
        <f t="shared" si="25"/>
        <v>0.72987009892970089</v>
      </c>
      <c r="P227" s="78">
        <v>10</v>
      </c>
      <c r="Q227" s="34">
        <v>1</v>
      </c>
      <c r="R227" s="35">
        <f t="shared" si="26"/>
        <v>0.1</v>
      </c>
      <c r="S227" s="49">
        <f>ROUND(Q227/Summary!$C$3*Summary!$C$2,0)</f>
        <v>3</v>
      </c>
      <c r="T227" s="44">
        <f t="shared" si="27"/>
        <v>0.3</v>
      </c>
      <c r="U227" s="34">
        <v>0</v>
      </c>
      <c r="V227" s="34">
        <v>0</v>
      </c>
      <c r="W227" s="34">
        <v>0</v>
      </c>
      <c r="X227" s="34">
        <v>0</v>
      </c>
    </row>
    <row r="228" spans="1:24" hidden="1">
      <c r="A228" s="34" t="s">
        <v>3102</v>
      </c>
      <c r="B228" s="34" t="s">
        <v>3103</v>
      </c>
      <c r="C228" s="34" t="s">
        <v>68</v>
      </c>
      <c r="D228" s="34" t="s">
        <v>69</v>
      </c>
      <c r="E228" s="34" t="s">
        <v>3</v>
      </c>
      <c r="F228" s="34" t="s">
        <v>3104</v>
      </c>
      <c r="G228" s="54">
        <v>1739327418</v>
      </c>
      <c r="H228" s="54" t="s">
        <v>229</v>
      </c>
      <c r="I228" s="54" t="s">
        <v>3514</v>
      </c>
      <c r="J228" s="34" t="s">
        <v>3421</v>
      </c>
      <c r="K228" s="50">
        <v>130000</v>
      </c>
      <c r="L228" s="43">
        <v>18660</v>
      </c>
      <c r="M228" s="44">
        <f t="shared" si="24"/>
        <v>0.14353846153846153</v>
      </c>
      <c r="N228" s="49">
        <f>ROUND(L228/Summary!$C$3*Summary!$C$2,0)</f>
        <v>57846</v>
      </c>
      <c r="O228" s="44">
        <f t="shared" si="25"/>
        <v>0.44496923076923078</v>
      </c>
      <c r="P228" s="78">
        <v>10</v>
      </c>
      <c r="Q228" s="34">
        <v>0</v>
      </c>
      <c r="R228" s="35">
        <f t="shared" si="26"/>
        <v>0</v>
      </c>
      <c r="S228" s="49">
        <f>ROUND(Q228/Summary!$C$3*Summary!$C$2,0)</f>
        <v>0</v>
      </c>
      <c r="T228" s="44">
        <f t="shared" si="27"/>
        <v>0</v>
      </c>
      <c r="U228" s="34">
        <v>0</v>
      </c>
      <c r="V228" s="34">
        <v>0</v>
      </c>
      <c r="W228" s="34">
        <v>0</v>
      </c>
      <c r="X228" s="34">
        <v>0</v>
      </c>
    </row>
    <row r="229" spans="1:24" hidden="1">
      <c r="A229" s="34" t="s">
        <v>589</v>
      </c>
      <c r="B229" s="34" t="s">
        <v>590</v>
      </c>
      <c r="C229" s="34" t="s">
        <v>68</v>
      </c>
      <c r="D229" s="34" t="s">
        <v>69</v>
      </c>
      <c r="E229" s="34" t="s">
        <v>3</v>
      </c>
      <c r="F229" s="34" t="s">
        <v>591</v>
      </c>
      <c r="G229" s="54">
        <v>1716142664</v>
      </c>
      <c r="H229" s="54" t="s">
        <v>229</v>
      </c>
      <c r="I229" s="54" t="s">
        <v>3514</v>
      </c>
      <c r="J229" s="34" t="s">
        <v>3421</v>
      </c>
      <c r="K229" s="50">
        <v>140479</v>
      </c>
      <c r="L229" s="43">
        <v>51790</v>
      </c>
      <c r="M229" s="44">
        <f t="shared" si="24"/>
        <v>0.3686672029271279</v>
      </c>
      <c r="N229" s="49">
        <f>ROUND(L229/Summary!$C$3*Summary!$C$2,0)</f>
        <v>160549</v>
      </c>
      <c r="O229" s="44">
        <f t="shared" si="25"/>
        <v>1.1428683290740964</v>
      </c>
      <c r="P229" s="78">
        <v>10</v>
      </c>
      <c r="Q229" s="34">
        <v>1</v>
      </c>
      <c r="R229" s="35">
        <f t="shared" si="26"/>
        <v>0.1</v>
      </c>
      <c r="S229" s="49">
        <f>ROUND(Q229/Summary!$C$3*Summary!$C$2,0)</f>
        <v>3</v>
      </c>
      <c r="T229" s="44">
        <f t="shared" si="27"/>
        <v>0.3</v>
      </c>
      <c r="U229" s="34">
        <v>1</v>
      </c>
      <c r="V229" s="34">
        <v>0</v>
      </c>
      <c r="W229" s="34">
        <v>0</v>
      </c>
      <c r="X229" s="34">
        <v>0</v>
      </c>
    </row>
    <row r="230" spans="1:24" hidden="1">
      <c r="A230" s="75" t="s">
        <v>3545</v>
      </c>
      <c r="B230" s="75" t="s">
        <v>3320</v>
      </c>
      <c r="C230" s="75" t="s">
        <v>68</v>
      </c>
      <c r="D230" s="75" t="s">
        <v>69</v>
      </c>
      <c r="E230" s="75" t="s">
        <v>3</v>
      </c>
      <c r="F230" s="75" t="s">
        <v>3546</v>
      </c>
      <c r="G230" s="67">
        <v>1711953792</v>
      </c>
      <c r="H230" s="54" t="s">
        <v>229</v>
      </c>
      <c r="I230" s="54" t="s">
        <v>3514</v>
      </c>
      <c r="J230" s="34" t="s">
        <v>3419</v>
      </c>
      <c r="K230" s="50">
        <v>150000</v>
      </c>
      <c r="L230" s="43">
        <v>114350</v>
      </c>
      <c r="M230" s="44">
        <f t="shared" si="24"/>
        <v>0.76233333333333331</v>
      </c>
      <c r="N230" s="49">
        <f>ROUND(L230/Summary!$C$3*Summary!$C$2,0)</f>
        <v>354485</v>
      </c>
      <c r="O230" s="44">
        <f t="shared" si="25"/>
        <v>2.3632333333333335</v>
      </c>
      <c r="P230" s="78">
        <v>10</v>
      </c>
      <c r="Q230" s="34">
        <v>7</v>
      </c>
      <c r="R230" s="35">
        <f t="shared" si="26"/>
        <v>0.7</v>
      </c>
      <c r="S230" s="49">
        <f>ROUND(Q230/Summary!$C$3*Summary!$C$2,0)</f>
        <v>22</v>
      </c>
      <c r="T230" s="44">
        <f t="shared" si="27"/>
        <v>2.2000000000000002</v>
      </c>
      <c r="U230" s="34">
        <v>0</v>
      </c>
      <c r="V230" s="34">
        <v>0</v>
      </c>
      <c r="W230" s="34">
        <v>1</v>
      </c>
      <c r="X230" s="34">
        <v>1</v>
      </c>
    </row>
    <row r="231" spans="1:24" hidden="1">
      <c r="A231" s="34" t="s">
        <v>600</v>
      </c>
      <c r="B231" s="34" t="s">
        <v>601</v>
      </c>
      <c r="C231" s="34" t="s">
        <v>68</v>
      </c>
      <c r="D231" s="34" t="s">
        <v>69</v>
      </c>
      <c r="E231" s="34" t="s">
        <v>3</v>
      </c>
      <c r="F231" s="34" t="s">
        <v>602</v>
      </c>
      <c r="G231" s="54">
        <v>1824411700</v>
      </c>
      <c r="H231" s="54" t="s">
        <v>229</v>
      </c>
      <c r="I231" s="54" t="s">
        <v>3514</v>
      </c>
      <c r="J231" s="34" t="s">
        <v>3419</v>
      </c>
      <c r="K231" s="50">
        <v>150000</v>
      </c>
      <c r="L231" s="43">
        <v>35080</v>
      </c>
      <c r="M231" s="44">
        <f t="shared" si="24"/>
        <v>0.23386666666666667</v>
      </c>
      <c r="N231" s="49">
        <f>ROUND(L231/Summary!$C$3*Summary!$C$2,0)</f>
        <v>108748</v>
      </c>
      <c r="O231" s="44">
        <f t="shared" si="25"/>
        <v>0.72498666666666667</v>
      </c>
      <c r="P231" s="78">
        <v>10</v>
      </c>
      <c r="Q231" s="34">
        <v>0</v>
      </c>
      <c r="R231" s="35">
        <f t="shared" si="26"/>
        <v>0</v>
      </c>
      <c r="S231" s="49">
        <f>ROUND(Q231/Summary!$C$3*Summary!$C$2,0)</f>
        <v>0</v>
      </c>
      <c r="T231" s="44">
        <f t="shared" si="27"/>
        <v>0</v>
      </c>
      <c r="U231" s="34">
        <v>0</v>
      </c>
      <c r="V231" s="34">
        <v>0</v>
      </c>
      <c r="W231" s="34">
        <v>0</v>
      </c>
      <c r="X231" s="34">
        <v>0</v>
      </c>
    </row>
    <row r="232" spans="1:24" hidden="1">
      <c r="A232" s="34" t="s">
        <v>620</v>
      </c>
      <c r="B232" s="34" t="s">
        <v>621</v>
      </c>
      <c r="C232" s="34" t="s">
        <v>68</v>
      </c>
      <c r="D232" s="34" t="s">
        <v>69</v>
      </c>
      <c r="E232" s="34" t="s">
        <v>3</v>
      </c>
      <c r="F232" s="34" t="s">
        <v>622</v>
      </c>
      <c r="G232" s="54">
        <v>1813606950</v>
      </c>
      <c r="H232" s="54" t="s">
        <v>229</v>
      </c>
      <c r="I232" s="54" t="s">
        <v>3514</v>
      </c>
      <c r="J232" s="34" t="s">
        <v>3419</v>
      </c>
      <c r="K232" s="50">
        <v>130000</v>
      </c>
      <c r="L232" s="43">
        <v>16710</v>
      </c>
      <c r="M232" s="44">
        <f t="shared" si="24"/>
        <v>0.12853846153846155</v>
      </c>
      <c r="N232" s="49">
        <f>ROUND(L232/Summary!$C$3*Summary!$C$2,0)</f>
        <v>51801</v>
      </c>
      <c r="O232" s="44">
        <f t="shared" si="25"/>
        <v>0.39846923076923074</v>
      </c>
      <c r="P232" s="78">
        <v>10</v>
      </c>
      <c r="Q232" s="34">
        <v>0</v>
      </c>
      <c r="R232" s="35">
        <f t="shared" si="26"/>
        <v>0</v>
      </c>
      <c r="S232" s="49">
        <f>ROUND(Q232/Summary!$C$3*Summary!$C$2,0)</f>
        <v>0</v>
      </c>
      <c r="T232" s="44">
        <f t="shared" si="27"/>
        <v>0</v>
      </c>
      <c r="U232" s="34">
        <v>0</v>
      </c>
      <c r="V232" s="34">
        <v>0</v>
      </c>
      <c r="W232" s="34">
        <v>0</v>
      </c>
      <c r="X232" s="34">
        <v>0</v>
      </c>
    </row>
    <row r="233" spans="1:24" hidden="1">
      <c r="A233" s="34" t="s">
        <v>628</v>
      </c>
      <c r="B233" s="34" t="s">
        <v>629</v>
      </c>
      <c r="C233" s="34" t="s">
        <v>68</v>
      </c>
      <c r="D233" s="34" t="s">
        <v>69</v>
      </c>
      <c r="E233" s="34" t="s">
        <v>3</v>
      </c>
      <c r="F233" s="34" t="s">
        <v>630</v>
      </c>
      <c r="G233" s="54">
        <v>1854182502</v>
      </c>
      <c r="H233" s="54" t="s">
        <v>229</v>
      </c>
      <c r="I233" s="54" t="s">
        <v>3514</v>
      </c>
      <c r="J233" s="34" t="s">
        <v>3421</v>
      </c>
      <c r="K233" s="50">
        <v>160000</v>
      </c>
      <c r="L233" s="43">
        <v>43970</v>
      </c>
      <c r="M233" s="44">
        <f t="shared" si="24"/>
        <v>0.27481250000000002</v>
      </c>
      <c r="N233" s="49">
        <f>ROUND(L233/Summary!$C$3*Summary!$C$2,0)</f>
        <v>136307</v>
      </c>
      <c r="O233" s="44">
        <f t="shared" si="25"/>
        <v>0.85191874999999995</v>
      </c>
      <c r="P233" s="78">
        <v>10</v>
      </c>
      <c r="Q233" s="34">
        <v>1</v>
      </c>
      <c r="R233" s="35">
        <f t="shared" si="26"/>
        <v>0.1</v>
      </c>
      <c r="S233" s="49">
        <f>ROUND(Q233/Summary!$C$3*Summary!$C$2,0)</f>
        <v>3</v>
      </c>
      <c r="T233" s="44">
        <f t="shared" si="27"/>
        <v>0.3</v>
      </c>
      <c r="U233" s="34">
        <v>1</v>
      </c>
      <c r="V233" s="34">
        <v>0</v>
      </c>
      <c r="W233" s="34">
        <v>0</v>
      </c>
      <c r="X233" s="34">
        <v>1</v>
      </c>
    </row>
    <row r="234" spans="1:24" hidden="1">
      <c r="A234" s="34" t="s">
        <v>626</v>
      </c>
      <c r="B234" s="34" t="s">
        <v>557</v>
      </c>
      <c r="C234" s="34" t="s">
        <v>68</v>
      </c>
      <c r="D234" s="34" t="s">
        <v>69</v>
      </c>
      <c r="E234" s="34" t="s">
        <v>3</v>
      </c>
      <c r="F234" s="34" t="s">
        <v>627</v>
      </c>
      <c r="G234" s="54">
        <v>1840203060</v>
      </c>
      <c r="H234" s="54" t="s">
        <v>229</v>
      </c>
      <c r="I234" s="54" t="s">
        <v>3514</v>
      </c>
      <c r="J234" s="34" t="s">
        <v>3419</v>
      </c>
      <c r="K234" s="50">
        <v>150000</v>
      </c>
      <c r="L234" s="43">
        <v>32450</v>
      </c>
      <c r="M234" s="44">
        <f t="shared" si="24"/>
        <v>0.21633333333333332</v>
      </c>
      <c r="N234" s="49">
        <f>ROUND(L234/Summary!$C$3*Summary!$C$2,0)</f>
        <v>100595</v>
      </c>
      <c r="O234" s="44">
        <f t="shared" si="25"/>
        <v>0.6706333333333333</v>
      </c>
      <c r="P234" s="78">
        <v>10</v>
      </c>
      <c r="Q234" s="34">
        <v>1</v>
      </c>
      <c r="R234" s="35">
        <f t="shared" si="26"/>
        <v>0.1</v>
      </c>
      <c r="S234" s="49">
        <f>ROUND(Q234/Summary!$C$3*Summary!$C$2,0)</f>
        <v>3</v>
      </c>
      <c r="T234" s="44">
        <f t="shared" si="27"/>
        <v>0.3</v>
      </c>
      <c r="U234" s="34">
        <v>0</v>
      </c>
      <c r="V234" s="34">
        <v>0</v>
      </c>
      <c r="W234" s="34">
        <v>0</v>
      </c>
      <c r="X234" s="34">
        <v>0</v>
      </c>
    </row>
    <row r="235" spans="1:24" hidden="1">
      <c r="A235" s="34" t="s">
        <v>572</v>
      </c>
      <c r="B235" s="34" t="s">
        <v>85</v>
      </c>
      <c r="C235" s="34" t="s">
        <v>68</v>
      </c>
      <c r="D235" s="34" t="s">
        <v>69</v>
      </c>
      <c r="E235" s="34" t="s">
        <v>3</v>
      </c>
      <c r="F235" s="34" t="s">
        <v>573</v>
      </c>
      <c r="G235" s="54">
        <v>1869572020</v>
      </c>
      <c r="H235" s="54" t="s">
        <v>229</v>
      </c>
      <c r="I235" s="54" t="s">
        <v>3514</v>
      </c>
      <c r="J235" s="34" t="s">
        <v>3421</v>
      </c>
      <c r="K235" s="50">
        <v>130000</v>
      </c>
      <c r="L235" s="43">
        <v>24210</v>
      </c>
      <c r="M235" s="44">
        <f t="shared" si="24"/>
        <v>0.18623076923076923</v>
      </c>
      <c r="N235" s="49">
        <f>ROUND(L235/Summary!$C$3*Summary!$C$2,0)</f>
        <v>75051</v>
      </c>
      <c r="O235" s="44">
        <f t="shared" si="25"/>
        <v>0.57731538461538456</v>
      </c>
      <c r="P235" s="78">
        <v>10</v>
      </c>
      <c r="Q235" s="34">
        <v>1</v>
      </c>
      <c r="R235" s="35">
        <f t="shared" si="26"/>
        <v>0.1</v>
      </c>
      <c r="S235" s="49">
        <f>ROUND(Q235/Summary!$C$3*Summary!$C$2,0)</f>
        <v>3</v>
      </c>
      <c r="T235" s="44">
        <f t="shared" si="27"/>
        <v>0.3</v>
      </c>
      <c r="U235" s="34">
        <v>1</v>
      </c>
      <c r="V235" s="34">
        <v>0</v>
      </c>
      <c r="W235" s="34">
        <v>1</v>
      </c>
      <c r="X235" s="34">
        <v>0</v>
      </c>
    </row>
    <row r="236" spans="1:24" hidden="1">
      <c r="A236" s="34" t="s">
        <v>631</v>
      </c>
      <c r="B236" s="34" t="s">
        <v>59</v>
      </c>
      <c r="C236" s="34" t="s">
        <v>68</v>
      </c>
      <c r="D236" s="34" t="s">
        <v>69</v>
      </c>
      <c r="E236" s="34" t="s">
        <v>3</v>
      </c>
      <c r="F236" s="34" t="s">
        <v>632</v>
      </c>
      <c r="G236" s="54">
        <v>1816108031</v>
      </c>
      <c r="H236" s="54" t="s">
        <v>229</v>
      </c>
      <c r="I236" s="54" t="s">
        <v>3514</v>
      </c>
      <c r="J236" s="34" t="s">
        <v>3419</v>
      </c>
      <c r="K236" s="50">
        <v>200000</v>
      </c>
      <c r="L236" s="43">
        <v>87600</v>
      </c>
      <c r="M236" s="44">
        <f t="shared" si="24"/>
        <v>0.438</v>
      </c>
      <c r="N236" s="49">
        <f>ROUND(L236/Summary!$C$3*Summary!$C$2,0)</f>
        <v>271560</v>
      </c>
      <c r="O236" s="44">
        <f t="shared" si="25"/>
        <v>1.3577999999999999</v>
      </c>
      <c r="P236" s="78">
        <v>10</v>
      </c>
      <c r="Q236" s="34">
        <v>4</v>
      </c>
      <c r="R236" s="35">
        <f t="shared" si="26"/>
        <v>0.4</v>
      </c>
      <c r="S236" s="49">
        <f>ROUND(Q236/Summary!$C$3*Summary!$C$2,0)</f>
        <v>12</v>
      </c>
      <c r="T236" s="44">
        <f t="shared" si="27"/>
        <v>1.2</v>
      </c>
      <c r="U236" s="34">
        <v>0</v>
      </c>
      <c r="V236" s="34">
        <v>1</v>
      </c>
      <c r="W236" s="34">
        <v>1</v>
      </c>
      <c r="X236" s="34">
        <v>1</v>
      </c>
    </row>
    <row r="237" spans="1:24" hidden="1">
      <c r="A237" s="34" t="s">
        <v>648</v>
      </c>
      <c r="B237" s="34" t="s">
        <v>649</v>
      </c>
      <c r="C237" s="34" t="s">
        <v>68</v>
      </c>
      <c r="D237" s="34" t="s">
        <v>69</v>
      </c>
      <c r="E237" s="34" t="s">
        <v>3</v>
      </c>
      <c r="F237" s="34" t="s">
        <v>650</v>
      </c>
      <c r="G237" s="54">
        <v>1823814813</v>
      </c>
      <c r="H237" s="54" t="s">
        <v>229</v>
      </c>
      <c r="I237" s="54" t="s">
        <v>3514</v>
      </c>
      <c r="J237" s="34" t="s">
        <v>3419</v>
      </c>
      <c r="K237" s="50">
        <v>150000</v>
      </c>
      <c r="L237" s="43">
        <v>23950</v>
      </c>
      <c r="M237" s="44">
        <f t="shared" si="24"/>
        <v>0.15966666666666668</v>
      </c>
      <c r="N237" s="49">
        <f>ROUND(L237/Summary!$C$3*Summary!$C$2,0)</f>
        <v>74245</v>
      </c>
      <c r="O237" s="44">
        <f t="shared" si="25"/>
        <v>0.49496666666666667</v>
      </c>
      <c r="P237" s="78">
        <v>10</v>
      </c>
      <c r="Q237" s="34">
        <v>0</v>
      </c>
      <c r="R237" s="35">
        <f t="shared" si="26"/>
        <v>0</v>
      </c>
      <c r="S237" s="49">
        <f>ROUND(Q237/Summary!$C$3*Summary!$C$2,0)</f>
        <v>0</v>
      </c>
      <c r="T237" s="44">
        <f t="shared" si="27"/>
        <v>0</v>
      </c>
      <c r="U237" s="34">
        <v>2</v>
      </c>
      <c r="V237" s="34">
        <v>0</v>
      </c>
      <c r="W237" s="34">
        <v>0</v>
      </c>
      <c r="X237" s="34">
        <v>0</v>
      </c>
    </row>
    <row r="238" spans="1:24" hidden="1">
      <c r="A238" s="34" t="s">
        <v>615</v>
      </c>
      <c r="B238" s="34" t="s">
        <v>616</v>
      </c>
      <c r="C238" s="34" t="s">
        <v>68</v>
      </c>
      <c r="D238" s="34" t="s">
        <v>69</v>
      </c>
      <c r="E238" s="34" t="s">
        <v>3</v>
      </c>
      <c r="F238" s="34" t="s">
        <v>617</v>
      </c>
      <c r="G238" s="54">
        <v>1828134423</v>
      </c>
      <c r="H238" s="54" t="s">
        <v>229</v>
      </c>
      <c r="I238" s="54" t="s">
        <v>3514</v>
      </c>
      <c r="J238" s="34" t="s">
        <v>3419</v>
      </c>
      <c r="K238" s="50">
        <v>200000</v>
      </c>
      <c r="L238" s="43">
        <v>27760</v>
      </c>
      <c r="M238" s="44">
        <f t="shared" si="24"/>
        <v>0.13880000000000001</v>
      </c>
      <c r="N238" s="49">
        <f>ROUND(L238/Summary!$C$3*Summary!$C$2,0)</f>
        <v>86056</v>
      </c>
      <c r="O238" s="44">
        <f t="shared" si="25"/>
        <v>0.43028</v>
      </c>
      <c r="P238" s="78">
        <v>10</v>
      </c>
      <c r="Q238" s="34">
        <v>1</v>
      </c>
      <c r="R238" s="35">
        <f t="shared" si="26"/>
        <v>0.1</v>
      </c>
      <c r="S238" s="49">
        <f>ROUND(Q238/Summary!$C$3*Summary!$C$2,0)</f>
        <v>3</v>
      </c>
      <c r="T238" s="44">
        <f t="shared" si="27"/>
        <v>0.3</v>
      </c>
      <c r="U238" s="34">
        <v>0</v>
      </c>
      <c r="V238" s="34">
        <v>0</v>
      </c>
      <c r="W238" s="34">
        <v>0</v>
      </c>
      <c r="X238" s="34">
        <v>0</v>
      </c>
    </row>
    <row r="239" spans="1:24" hidden="1">
      <c r="A239" s="34" t="s">
        <v>623</v>
      </c>
      <c r="B239" s="34" t="s">
        <v>624</v>
      </c>
      <c r="C239" s="34" t="s">
        <v>135</v>
      </c>
      <c r="D239" s="34" t="s">
        <v>69</v>
      </c>
      <c r="E239" s="34" t="s">
        <v>3</v>
      </c>
      <c r="F239" s="34" t="s">
        <v>625</v>
      </c>
      <c r="G239" s="54">
        <v>1916852688</v>
      </c>
      <c r="H239" s="54" t="s">
        <v>229</v>
      </c>
      <c r="I239" s="54" t="s">
        <v>3514</v>
      </c>
      <c r="J239" s="34" t="s">
        <v>3419</v>
      </c>
      <c r="K239" s="50">
        <v>245000</v>
      </c>
      <c r="L239" s="43">
        <v>66720</v>
      </c>
      <c r="M239" s="44">
        <f t="shared" si="24"/>
        <v>0.27232653061224488</v>
      </c>
      <c r="N239" s="49">
        <f>ROUND(L239/Summary!$C$3*Summary!$C$2,0)</f>
        <v>206832</v>
      </c>
      <c r="O239" s="44">
        <f t="shared" si="25"/>
        <v>0.84421224489795921</v>
      </c>
      <c r="P239" s="78">
        <v>10</v>
      </c>
      <c r="Q239" s="34">
        <v>2</v>
      </c>
      <c r="R239" s="35">
        <f t="shared" si="26"/>
        <v>0.2</v>
      </c>
      <c r="S239" s="49">
        <f>ROUND(Q239/Summary!$C$3*Summary!$C$2,0)</f>
        <v>6</v>
      </c>
      <c r="T239" s="44">
        <f t="shared" si="27"/>
        <v>0.6</v>
      </c>
      <c r="U239" s="34">
        <v>0</v>
      </c>
      <c r="V239" s="34">
        <v>0</v>
      </c>
      <c r="W239" s="34">
        <v>0</v>
      </c>
      <c r="X239" s="34">
        <v>0</v>
      </c>
    </row>
    <row r="240" spans="1:24" hidden="1">
      <c r="A240" s="34" t="s">
        <v>577</v>
      </c>
      <c r="B240" s="34" t="s">
        <v>578</v>
      </c>
      <c r="C240" s="34" t="s">
        <v>135</v>
      </c>
      <c r="D240" s="34" t="s">
        <v>69</v>
      </c>
      <c r="E240" s="34" t="s">
        <v>3</v>
      </c>
      <c r="F240" s="34" t="s">
        <v>579</v>
      </c>
      <c r="G240" s="54">
        <v>1740919666</v>
      </c>
      <c r="H240" s="54" t="s">
        <v>229</v>
      </c>
      <c r="I240" s="54" t="s">
        <v>3518</v>
      </c>
      <c r="J240" s="34" t="s">
        <v>3419</v>
      </c>
      <c r="K240" s="50">
        <v>351000</v>
      </c>
      <c r="L240" s="43">
        <v>91650</v>
      </c>
      <c r="M240" s="44">
        <f t="shared" si="24"/>
        <v>0.26111111111111113</v>
      </c>
      <c r="N240" s="49">
        <f>ROUND(L240/Summary!$C$3*Summary!$C$2,0)</f>
        <v>284115</v>
      </c>
      <c r="O240" s="44">
        <f t="shared" si="25"/>
        <v>0.80944444444444441</v>
      </c>
      <c r="P240" s="78">
        <v>15</v>
      </c>
      <c r="Q240" s="34">
        <v>4</v>
      </c>
      <c r="R240" s="35">
        <f t="shared" si="26"/>
        <v>0.26666666666666666</v>
      </c>
      <c r="S240" s="49">
        <f>ROUND(Q240/Summary!$C$3*Summary!$C$2,0)</f>
        <v>12</v>
      </c>
      <c r="T240" s="44">
        <f t="shared" si="27"/>
        <v>0.8</v>
      </c>
      <c r="U240" s="34">
        <v>0</v>
      </c>
      <c r="V240" s="34">
        <v>1</v>
      </c>
      <c r="W240" s="34">
        <v>0</v>
      </c>
      <c r="X240" s="34">
        <v>1</v>
      </c>
    </row>
    <row r="241" spans="1:24" hidden="1">
      <c r="A241" s="34" t="s">
        <v>639</v>
      </c>
      <c r="B241" s="34" t="s">
        <v>640</v>
      </c>
      <c r="C241" s="34" t="s">
        <v>135</v>
      </c>
      <c r="D241" s="34" t="s">
        <v>69</v>
      </c>
      <c r="E241" s="34" t="s">
        <v>3</v>
      </c>
      <c r="F241" s="34" t="s">
        <v>641</v>
      </c>
      <c r="G241" s="54">
        <v>1716597183</v>
      </c>
      <c r="H241" s="54" t="s">
        <v>229</v>
      </c>
      <c r="I241" s="54" t="s">
        <v>3514</v>
      </c>
      <c r="J241" s="34" t="s">
        <v>3419</v>
      </c>
      <c r="K241" s="50">
        <v>160000</v>
      </c>
      <c r="L241" s="43">
        <v>42270</v>
      </c>
      <c r="M241" s="44">
        <f t="shared" si="24"/>
        <v>0.26418750000000002</v>
      </c>
      <c r="N241" s="49">
        <f>ROUND(L241/Summary!$C$3*Summary!$C$2,0)</f>
        <v>131037</v>
      </c>
      <c r="O241" s="44">
        <f t="shared" si="25"/>
        <v>0.81898124999999999</v>
      </c>
      <c r="P241" s="78">
        <v>10</v>
      </c>
      <c r="Q241" s="34">
        <v>2</v>
      </c>
      <c r="R241" s="35">
        <f t="shared" si="26"/>
        <v>0.2</v>
      </c>
      <c r="S241" s="49">
        <f>ROUND(Q241/Summary!$C$3*Summary!$C$2,0)</f>
        <v>6</v>
      </c>
      <c r="T241" s="44">
        <f t="shared" si="27"/>
        <v>0.6</v>
      </c>
      <c r="U241" s="34">
        <v>1</v>
      </c>
      <c r="V241" s="34">
        <v>0</v>
      </c>
      <c r="W241" s="34">
        <v>0</v>
      </c>
      <c r="X241" s="34">
        <v>0</v>
      </c>
    </row>
    <row r="242" spans="1:24" hidden="1">
      <c r="A242" s="34" t="s">
        <v>597</v>
      </c>
      <c r="B242" s="34" t="s">
        <v>598</v>
      </c>
      <c r="C242" s="34" t="s">
        <v>135</v>
      </c>
      <c r="D242" s="34" t="s">
        <v>69</v>
      </c>
      <c r="E242" s="34" t="s">
        <v>3</v>
      </c>
      <c r="F242" s="34" t="s">
        <v>599</v>
      </c>
      <c r="G242" s="54">
        <v>1838595326</v>
      </c>
      <c r="H242" s="54" t="s">
        <v>229</v>
      </c>
      <c r="I242" s="54" t="s">
        <v>3514</v>
      </c>
      <c r="J242" s="34" t="s">
        <v>3515</v>
      </c>
      <c r="K242" s="50">
        <v>130000</v>
      </c>
      <c r="L242" s="43">
        <v>27210</v>
      </c>
      <c r="M242" s="44">
        <f t="shared" si="24"/>
        <v>0.20930769230769231</v>
      </c>
      <c r="N242" s="49">
        <f>ROUND(L242/Summary!$C$3*Summary!$C$2,0)</f>
        <v>84351</v>
      </c>
      <c r="O242" s="44">
        <f t="shared" si="25"/>
        <v>0.64885384615384611</v>
      </c>
      <c r="P242" s="78">
        <v>10</v>
      </c>
      <c r="Q242" s="34">
        <v>3</v>
      </c>
      <c r="R242" s="35">
        <f t="shared" si="26"/>
        <v>0.3</v>
      </c>
      <c r="S242" s="49">
        <f>ROUND(Q242/Summary!$C$3*Summary!$C$2,0)</f>
        <v>9</v>
      </c>
      <c r="T242" s="44">
        <f t="shared" si="27"/>
        <v>0.9</v>
      </c>
      <c r="U242" s="34">
        <v>0</v>
      </c>
      <c r="V242" s="34">
        <v>1</v>
      </c>
      <c r="W242" s="34">
        <v>0</v>
      </c>
      <c r="X242" s="34">
        <v>0</v>
      </c>
    </row>
    <row r="243" spans="1:24" hidden="1">
      <c r="A243" s="34" t="s">
        <v>3428</v>
      </c>
      <c r="B243" s="34" t="s">
        <v>3429</v>
      </c>
      <c r="C243" s="34" t="s">
        <v>135</v>
      </c>
      <c r="D243" s="34" t="s">
        <v>69</v>
      </c>
      <c r="E243" s="34" t="s">
        <v>3</v>
      </c>
      <c r="F243" s="34" t="s">
        <v>3430</v>
      </c>
      <c r="G243" s="54">
        <v>1748300071</v>
      </c>
      <c r="H243" s="54" t="s">
        <v>229</v>
      </c>
      <c r="I243" s="54" t="s">
        <v>3514</v>
      </c>
      <c r="J243" s="34" t="s">
        <v>3421</v>
      </c>
      <c r="K243" s="50">
        <v>130000</v>
      </c>
      <c r="L243" s="43">
        <v>18660</v>
      </c>
      <c r="M243" s="44">
        <f t="shared" si="24"/>
        <v>0.14353846153846153</v>
      </c>
      <c r="N243" s="49">
        <f>ROUND(L243/Summary!$C$3*Summary!$C$2,0)</f>
        <v>57846</v>
      </c>
      <c r="O243" s="44">
        <f t="shared" si="25"/>
        <v>0.44496923076923078</v>
      </c>
      <c r="P243" s="78">
        <v>10</v>
      </c>
      <c r="Q243" s="34">
        <v>0</v>
      </c>
      <c r="R243" s="35">
        <f t="shared" si="26"/>
        <v>0</v>
      </c>
      <c r="S243" s="49">
        <f>ROUND(Q243/Summary!$C$3*Summary!$C$2,0)</f>
        <v>0</v>
      </c>
      <c r="T243" s="44">
        <f t="shared" si="27"/>
        <v>0</v>
      </c>
      <c r="U243" s="34">
        <v>0</v>
      </c>
      <c r="V243" s="34">
        <v>0</v>
      </c>
      <c r="W243" s="34">
        <v>0</v>
      </c>
      <c r="X243" s="34">
        <v>0</v>
      </c>
    </row>
    <row r="244" spans="1:24" hidden="1">
      <c r="A244" s="34" t="s">
        <v>645</v>
      </c>
      <c r="B244" s="34" t="s">
        <v>646</v>
      </c>
      <c r="C244" s="34" t="s">
        <v>135</v>
      </c>
      <c r="D244" s="34" t="s">
        <v>69</v>
      </c>
      <c r="E244" s="34" t="s">
        <v>3</v>
      </c>
      <c r="F244" s="34" t="s">
        <v>647</v>
      </c>
      <c r="G244" s="54">
        <v>1711453093</v>
      </c>
      <c r="H244" s="54" t="s">
        <v>229</v>
      </c>
      <c r="I244" s="54" t="s">
        <v>3514</v>
      </c>
      <c r="J244" s="34" t="s">
        <v>3419</v>
      </c>
      <c r="K244" s="50">
        <v>160000</v>
      </c>
      <c r="L244" s="43">
        <v>36740</v>
      </c>
      <c r="M244" s="44">
        <f t="shared" si="24"/>
        <v>0.229625</v>
      </c>
      <c r="N244" s="49">
        <f>ROUND(L244/Summary!$C$3*Summary!$C$2,0)</f>
        <v>113894</v>
      </c>
      <c r="O244" s="44">
        <f t="shared" si="25"/>
        <v>0.71183750000000001</v>
      </c>
      <c r="P244" s="78">
        <v>10</v>
      </c>
      <c r="Q244" s="34">
        <v>3</v>
      </c>
      <c r="R244" s="35">
        <f t="shared" si="26"/>
        <v>0.3</v>
      </c>
      <c r="S244" s="49">
        <f>ROUND(Q244/Summary!$C$3*Summary!$C$2,0)</f>
        <v>9</v>
      </c>
      <c r="T244" s="44">
        <f t="shared" si="27"/>
        <v>0.9</v>
      </c>
      <c r="U244" s="34">
        <v>0</v>
      </c>
      <c r="V244" s="34">
        <v>2</v>
      </c>
      <c r="W244" s="34">
        <v>0</v>
      </c>
      <c r="X244" s="34">
        <v>0</v>
      </c>
    </row>
    <row r="245" spans="1:24" hidden="1">
      <c r="A245" s="34" t="s">
        <v>595</v>
      </c>
      <c r="B245" s="34" t="s">
        <v>59</v>
      </c>
      <c r="C245" s="34" t="s">
        <v>135</v>
      </c>
      <c r="D245" s="34" t="s">
        <v>69</v>
      </c>
      <c r="E245" s="34" t="s">
        <v>3</v>
      </c>
      <c r="F245" s="34" t="s">
        <v>596</v>
      </c>
      <c r="G245" s="54">
        <v>1716619191</v>
      </c>
      <c r="H245" s="54" t="s">
        <v>229</v>
      </c>
      <c r="I245" s="54" t="s">
        <v>3514</v>
      </c>
      <c r="J245" s="34" t="s">
        <v>3421</v>
      </c>
      <c r="K245" s="50">
        <v>130000</v>
      </c>
      <c r="L245" s="43">
        <v>45089</v>
      </c>
      <c r="M245" s="44">
        <f t="shared" si="24"/>
        <v>0.34683846153846154</v>
      </c>
      <c r="N245" s="49">
        <f>ROUND(L245/Summary!$C$3*Summary!$C$2,0)</f>
        <v>139776</v>
      </c>
      <c r="O245" s="44">
        <f t="shared" si="25"/>
        <v>1.0751999999999999</v>
      </c>
      <c r="P245" s="78">
        <v>10</v>
      </c>
      <c r="Q245" s="34">
        <v>2</v>
      </c>
      <c r="R245" s="35">
        <f t="shared" si="26"/>
        <v>0.2</v>
      </c>
      <c r="S245" s="49">
        <f>ROUND(Q245/Summary!$C$3*Summary!$C$2,0)</f>
        <v>6</v>
      </c>
      <c r="T245" s="44">
        <f t="shared" si="27"/>
        <v>0.6</v>
      </c>
      <c r="U245" s="34">
        <v>1</v>
      </c>
      <c r="V245" s="34">
        <v>0</v>
      </c>
      <c r="W245" s="34">
        <v>0</v>
      </c>
      <c r="X245" s="34">
        <v>0</v>
      </c>
    </row>
    <row r="246" spans="1:24" hidden="1">
      <c r="A246" s="34" t="s">
        <v>3101</v>
      </c>
      <c r="B246" s="34" t="s">
        <v>3105</v>
      </c>
      <c r="C246" s="34" t="s">
        <v>135</v>
      </c>
      <c r="D246" s="34" t="s">
        <v>69</v>
      </c>
      <c r="E246" s="34" t="s">
        <v>3</v>
      </c>
      <c r="F246" s="34" t="s">
        <v>3106</v>
      </c>
      <c r="G246" s="54">
        <v>1820838754</v>
      </c>
      <c r="H246" s="54" t="s">
        <v>229</v>
      </c>
      <c r="I246" s="54" t="s">
        <v>3514</v>
      </c>
      <c r="J246" s="34" t="s">
        <v>3419</v>
      </c>
      <c r="K246" s="50">
        <v>130000</v>
      </c>
      <c r="L246" s="43">
        <v>26800</v>
      </c>
      <c r="M246" s="44">
        <f t="shared" si="24"/>
        <v>0.20615384615384616</v>
      </c>
      <c r="N246" s="49">
        <f>ROUND(L246/Summary!$C$3*Summary!$C$2,0)</f>
        <v>83080</v>
      </c>
      <c r="O246" s="44">
        <f t="shared" si="25"/>
        <v>0.6390769230769231</v>
      </c>
      <c r="P246" s="78">
        <v>10</v>
      </c>
      <c r="Q246" s="34">
        <v>1</v>
      </c>
      <c r="R246" s="35">
        <f t="shared" si="26"/>
        <v>0.1</v>
      </c>
      <c r="S246" s="49">
        <f>ROUND(Q246/Summary!$C$3*Summary!$C$2,0)</f>
        <v>3</v>
      </c>
      <c r="T246" s="44">
        <f t="shared" si="27"/>
        <v>0.3</v>
      </c>
      <c r="U246" s="34">
        <v>0</v>
      </c>
      <c r="V246" s="34">
        <v>0</v>
      </c>
      <c r="W246" s="34">
        <v>0</v>
      </c>
      <c r="X246" s="34">
        <v>0</v>
      </c>
    </row>
    <row r="247" spans="1:24" hidden="1">
      <c r="A247" s="34" t="s">
        <v>651</v>
      </c>
      <c r="B247" s="34" t="s">
        <v>652</v>
      </c>
      <c r="C247" s="34" t="s">
        <v>135</v>
      </c>
      <c r="D247" s="34" t="s">
        <v>69</v>
      </c>
      <c r="E247" s="34" t="s">
        <v>3</v>
      </c>
      <c r="F247" s="34" t="s">
        <v>653</v>
      </c>
      <c r="G247" s="54">
        <v>1816061663</v>
      </c>
      <c r="H247" s="54" t="s">
        <v>229</v>
      </c>
      <c r="I247" s="54" t="s">
        <v>3514</v>
      </c>
      <c r="J247" s="34" t="s">
        <v>3421</v>
      </c>
      <c r="K247" s="50">
        <v>210000</v>
      </c>
      <c r="L247" s="43">
        <v>29790</v>
      </c>
      <c r="M247" s="44">
        <f t="shared" si="24"/>
        <v>0.14185714285714285</v>
      </c>
      <c r="N247" s="49">
        <f>ROUND(L247/Summary!$C$3*Summary!$C$2,0)</f>
        <v>92349</v>
      </c>
      <c r="O247" s="44">
        <f t="shared" si="25"/>
        <v>0.43975714285714285</v>
      </c>
      <c r="P247" s="78">
        <v>13</v>
      </c>
      <c r="Q247" s="34">
        <v>0</v>
      </c>
      <c r="R247" s="35">
        <f t="shared" si="26"/>
        <v>0</v>
      </c>
      <c r="S247" s="49">
        <f>ROUND(Q247/Summary!$C$3*Summary!$C$2,0)</f>
        <v>0</v>
      </c>
      <c r="T247" s="44">
        <f t="shared" si="27"/>
        <v>0</v>
      </c>
      <c r="U247" s="34">
        <v>1</v>
      </c>
      <c r="V247" s="34">
        <v>0</v>
      </c>
      <c r="W247" s="34">
        <v>0</v>
      </c>
      <c r="X247" s="34">
        <v>0</v>
      </c>
    </row>
    <row r="248" spans="1:24" hidden="1">
      <c r="A248" s="34" t="s">
        <v>636</v>
      </c>
      <c r="B248" s="34" t="s">
        <v>637</v>
      </c>
      <c r="C248" s="34" t="s">
        <v>135</v>
      </c>
      <c r="D248" s="34" t="s">
        <v>69</v>
      </c>
      <c r="E248" s="34" t="s">
        <v>3</v>
      </c>
      <c r="F248" s="34" t="s">
        <v>638</v>
      </c>
      <c r="G248" s="54">
        <v>1833033890</v>
      </c>
      <c r="H248" s="54" t="s">
        <v>229</v>
      </c>
      <c r="I248" s="54" t="s">
        <v>3514</v>
      </c>
      <c r="J248" s="34" t="s">
        <v>3515</v>
      </c>
      <c r="K248" s="50">
        <v>130000</v>
      </c>
      <c r="L248" s="43">
        <v>24350</v>
      </c>
      <c r="M248" s="44">
        <f t="shared" si="24"/>
        <v>0.18730769230769231</v>
      </c>
      <c r="N248" s="49">
        <f>ROUND(L248/Summary!$C$3*Summary!$C$2,0)</f>
        <v>75485</v>
      </c>
      <c r="O248" s="44">
        <f t="shared" si="25"/>
        <v>0.58065384615384619</v>
      </c>
      <c r="P248" s="78">
        <v>10</v>
      </c>
      <c r="Q248" s="34">
        <v>1</v>
      </c>
      <c r="R248" s="35">
        <f t="shared" si="26"/>
        <v>0.1</v>
      </c>
      <c r="S248" s="49">
        <f>ROUND(Q248/Summary!$C$3*Summary!$C$2,0)</f>
        <v>3</v>
      </c>
      <c r="T248" s="44">
        <f t="shared" si="27"/>
        <v>0.3</v>
      </c>
      <c r="U248" s="34">
        <v>0</v>
      </c>
      <c r="V248" s="34">
        <v>0</v>
      </c>
      <c r="W248" s="34">
        <v>1</v>
      </c>
      <c r="X248" s="34">
        <v>0</v>
      </c>
    </row>
    <row r="249" spans="1:24" hidden="1">
      <c r="A249" s="34" t="s">
        <v>592</v>
      </c>
      <c r="B249" s="34" t="s">
        <v>593</v>
      </c>
      <c r="C249" s="34" t="s">
        <v>135</v>
      </c>
      <c r="D249" s="34" t="s">
        <v>69</v>
      </c>
      <c r="E249" s="34" t="s">
        <v>3</v>
      </c>
      <c r="F249" s="34" t="s">
        <v>594</v>
      </c>
      <c r="G249" s="54">
        <v>1836051938</v>
      </c>
      <c r="H249" s="54" t="s">
        <v>229</v>
      </c>
      <c r="I249" s="54" t="s">
        <v>3514</v>
      </c>
      <c r="J249" s="34" t="s">
        <v>3515</v>
      </c>
      <c r="K249" s="50">
        <v>130000</v>
      </c>
      <c r="L249" s="43">
        <v>29835</v>
      </c>
      <c r="M249" s="44">
        <f t="shared" si="24"/>
        <v>0.22950000000000001</v>
      </c>
      <c r="N249" s="49">
        <f>ROUND(L249/Summary!$C$3*Summary!$C$2,0)</f>
        <v>92489</v>
      </c>
      <c r="O249" s="44">
        <f t="shared" si="25"/>
        <v>0.7114538461538461</v>
      </c>
      <c r="P249" s="78">
        <v>10</v>
      </c>
      <c r="Q249" s="34">
        <v>2</v>
      </c>
      <c r="R249" s="35">
        <f t="shared" si="26"/>
        <v>0.2</v>
      </c>
      <c r="S249" s="49">
        <f>ROUND(Q249/Summary!$C$3*Summary!$C$2,0)</f>
        <v>6</v>
      </c>
      <c r="T249" s="44">
        <f t="shared" si="27"/>
        <v>0.6</v>
      </c>
      <c r="U249" s="34">
        <v>0</v>
      </c>
      <c r="V249" s="34">
        <v>1</v>
      </c>
      <c r="W249" s="34">
        <v>0</v>
      </c>
      <c r="X249" s="34">
        <v>0</v>
      </c>
    </row>
    <row r="250" spans="1:24" hidden="1">
      <c r="A250" s="34" t="s">
        <v>3363</v>
      </c>
      <c r="B250" s="34" t="s">
        <v>657</v>
      </c>
      <c r="C250" s="34" t="s">
        <v>135</v>
      </c>
      <c r="D250" s="34" t="s">
        <v>69</v>
      </c>
      <c r="E250" s="34" t="s">
        <v>3</v>
      </c>
      <c r="F250" s="34" t="s">
        <v>658</v>
      </c>
      <c r="G250" s="54">
        <v>1916552468</v>
      </c>
      <c r="H250" s="54" t="s">
        <v>229</v>
      </c>
      <c r="I250" s="54" t="s">
        <v>3514</v>
      </c>
      <c r="J250" s="34" t="s">
        <v>3421</v>
      </c>
      <c r="K250" s="50">
        <v>130000</v>
      </c>
      <c r="L250" s="43">
        <v>7830</v>
      </c>
      <c r="M250" s="44">
        <f t="shared" si="24"/>
        <v>6.0230769230769234E-2</v>
      </c>
      <c r="N250" s="49">
        <f>ROUND(L250/Summary!$C$3*Summary!$C$2,0)</f>
        <v>24273</v>
      </c>
      <c r="O250" s="44">
        <f t="shared" si="25"/>
        <v>0.18671538461538462</v>
      </c>
      <c r="P250" s="78">
        <v>10</v>
      </c>
      <c r="Q250" s="34">
        <v>0</v>
      </c>
      <c r="R250" s="35">
        <f t="shared" si="26"/>
        <v>0</v>
      </c>
      <c r="S250" s="49">
        <f>ROUND(Q250/Summary!$C$3*Summary!$C$2,0)</f>
        <v>0</v>
      </c>
      <c r="T250" s="44">
        <f t="shared" si="27"/>
        <v>0</v>
      </c>
      <c r="U250" s="34">
        <v>0</v>
      </c>
      <c r="V250" s="34">
        <v>0</v>
      </c>
      <c r="W250" s="34">
        <v>0</v>
      </c>
      <c r="X250" s="34">
        <v>0</v>
      </c>
    </row>
    <row r="251" spans="1:24" hidden="1">
      <c r="A251" s="34" t="s">
        <v>654</v>
      </c>
      <c r="B251" s="34" t="s">
        <v>655</v>
      </c>
      <c r="C251" s="34" t="s">
        <v>570</v>
      </c>
      <c r="D251" s="34" t="s">
        <v>69</v>
      </c>
      <c r="E251" s="34" t="s">
        <v>3</v>
      </c>
      <c r="F251" s="34" t="s">
        <v>656</v>
      </c>
      <c r="G251" s="54">
        <v>1713102638</v>
      </c>
      <c r="H251" s="54" t="s">
        <v>229</v>
      </c>
      <c r="I251" s="54" t="s">
        <v>3514</v>
      </c>
      <c r="J251" s="34" t="s">
        <v>3421</v>
      </c>
      <c r="K251" s="50">
        <v>130000</v>
      </c>
      <c r="L251" s="43">
        <v>31670</v>
      </c>
      <c r="M251" s="44">
        <f t="shared" si="24"/>
        <v>0.24361538461538462</v>
      </c>
      <c r="N251" s="49">
        <f>ROUND(L251/Summary!$C$3*Summary!$C$2,0)</f>
        <v>98177</v>
      </c>
      <c r="O251" s="44">
        <f t="shared" si="25"/>
        <v>0.75520769230769236</v>
      </c>
      <c r="P251" s="78">
        <v>10</v>
      </c>
      <c r="Q251" s="34">
        <v>2</v>
      </c>
      <c r="R251" s="35">
        <f t="shared" si="26"/>
        <v>0.2</v>
      </c>
      <c r="S251" s="49">
        <f>ROUND(Q251/Summary!$C$3*Summary!$C$2,0)</f>
        <v>6</v>
      </c>
      <c r="T251" s="44">
        <f t="shared" si="27"/>
        <v>0.6</v>
      </c>
      <c r="U251" s="34">
        <v>0</v>
      </c>
      <c r="V251" s="34">
        <v>0</v>
      </c>
      <c r="W251" s="34">
        <v>0</v>
      </c>
      <c r="X251" s="34">
        <v>0</v>
      </c>
    </row>
    <row r="252" spans="1:24" hidden="1">
      <c r="A252" s="34" t="s">
        <v>568</v>
      </c>
      <c r="B252" s="34" t="s">
        <v>569</v>
      </c>
      <c r="C252" s="34" t="s">
        <v>570</v>
      </c>
      <c r="D252" s="34" t="s">
        <v>69</v>
      </c>
      <c r="E252" s="34" t="s">
        <v>3</v>
      </c>
      <c r="F252" s="34" t="s">
        <v>571</v>
      </c>
      <c r="G252" s="54">
        <v>1714044695</v>
      </c>
      <c r="H252" s="54" t="s">
        <v>229</v>
      </c>
      <c r="I252" s="54" t="s">
        <v>3514</v>
      </c>
      <c r="J252" s="34" t="s">
        <v>3421</v>
      </c>
      <c r="K252" s="50">
        <v>240000</v>
      </c>
      <c r="L252" s="43">
        <v>84365</v>
      </c>
      <c r="M252" s="44">
        <f t="shared" si="24"/>
        <v>0.35152083333333334</v>
      </c>
      <c r="N252" s="49">
        <f>ROUND(L252/Summary!$C$3*Summary!$C$2,0)</f>
        <v>261532</v>
      </c>
      <c r="O252" s="44">
        <f t="shared" si="25"/>
        <v>1.0897166666666667</v>
      </c>
      <c r="P252" s="78">
        <v>12</v>
      </c>
      <c r="Q252" s="34">
        <v>4</v>
      </c>
      <c r="R252" s="35">
        <f t="shared" si="26"/>
        <v>0.33333333333333331</v>
      </c>
      <c r="S252" s="49">
        <f>ROUND(Q252/Summary!$C$3*Summary!$C$2,0)</f>
        <v>12</v>
      </c>
      <c r="T252" s="44">
        <f t="shared" si="27"/>
        <v>1</v>
      </c>
      <c r="U252" s="34">
        <v>0</v>
      </c>
      <c r="V252" s="34">
        <v>0</v>
      </c>
      <c r="W252" s="34">
        <v>0</v>
      </c>
      <c r="X252" s="34">
        <v>0</v>
      </c>
    </row>
    <row r="253" spans="1:24" hidden="1">
      <c r="A253" s="34" t="s">
        <v>586</v>
      </c>
      <c r="B253" s="34" t="s">
        <v>587</v>
      </c>
      <c r="C253" s="34" t="s">
        <v>570</v>
      </c>
      <c r="D253" s="34" t="s">
        <v>69</v>
      </c>
      <c r="E253" s="34" t="s">
        <v>3</v>
      </c>
      <c r="F253" s="34" t="s">
        <v>588</v>
      </c>
      <c r="G253" s="54">
        <v>1716460621</v>
      </c>
      <c r="H253" s="54" t="s">
        <v>229</v>
      </c>
      <c r="I253" s="54" t="s">
        <v>3514</v>
      </c>
      <c r="J253" s="34" t="s">
        <v>3421</v>
      </c>
      <c r="K253" s="50">
        <v>240000</v>
      </c>
      <c r="L253" s="43">
        <v>132760</v>
      </c>
      <c r="M253" s="44">
        <f t="shared" si="24"/>
        <v>0.5531666666666667</v>
      </c>
      <c r="N253" s="49">
        <f>ROUND(L253/Summary!$C$3*Summary!$C$2,0)</f>
        <v>411556</v>
      </c>
      <c r="O253" s="44">
        <f t="shared" si="25"/>
        <v>1.7148166666666667</v>
      </c>
      <c r="P253" s="78">
        <v>15</v>
      </c>
      <c r="Q253" s="34">
        <v>10</v>
      </c>
      <c r="R253" s="35">
        <f t="shared" si="26"/>
        <v>0.66666666666666663</v>
      </c>
      <c r="S253" s="49">
        <f>ROUND(Q253/Summary!$C$3*Summary!$C$2,0)</f>
        <v>31</v>
      </c>
      <c r="T253" s="44">
        <f t="shared" si="27"/>
        <v>2.0666666666666669</v>
      </c>
      <c r="U253" s="34">
        <v>3</v>
      </c>
      <c r="V253" s="34">
        <v>3</v>
      </c>
      <c r="W253" s="34">
        <v>1</v>
      </c>
      <c r="X253" s="34">
        <v>0</v>
      </c>
    </row>
    <row r="254" spans="1:24" hidden="1">
      <c r="A254" s="34" t="s">
        <v>583</v>
      </c>
      <c r="B254" s="34" t="s">
        <v>584</v>
      </c>
      <c r="C254" s="34" t="s">
        <v>176</v>
      </c>
      <c r="D254" s="34" t="s">
        <v>69</v>
      </c>
      <c r="E254" s="34" t="s">
        <v>3</v>
      </c>
      <c r="F254" s="34" t="s">
        <v>585</v>
      </c>
      <c r="G254" s="54">
        <v>1714021309</v>
      </c>
      <c r="H254" s="54" t="s">
        <v>229</v>
      </c>
      <c r="I254" s="54" t="s">
        <v>3518</v>
      </c>
      <c r="J254" s="34" t="s">
        <v>3419</v>
      </c>
      <c r="K254" s="50">
        <v>300000</v>
      </c>
      <c r="L254" s="43">
        <v>30168</v>
      </c>
      <c r="M254" s="44">
        <f t="shared" si="24"/>
        <v>0.10056</v>
      </c>
      <c r="N254" s="49">
        <f>ROUND(L254/Summary!$C$3*Summary!$C$2,0)</f>
        <v>93521</v>
      </c>
      <c r="O254" s="44">
        <f t="shared" si="25"/>
        <v>0.31173666666666666</v>
      </c>
      <c r="P254" s="78">
        <v>13</v>
      </c>
      <c r="Q254" s="34">
        <v>2</v>
      </c>
      <c r="R254" s="35">
        <f t="shared" si="26"/>
        <v>0.15384615384615385</v>
      </c>
      <c r="S254" s="49">
        <f>ROUND(Q254/Summary!$C$3*Summary!$C$2,0)</f>
        <v>6</v>
      </c>
      <c r="T254" s="44">
        <f t="shared" si="27"/>
        <v>0.46153846153846156</v>
      </c>
      <c r="U254" s="34">
        <v>0</v>
      </c>
      <c r="V254" s="34">
        <v>0</v>
      </c>
      <c r="W254" s="34">
        <v>0</v>
      </c>
      <c r="X254" s="34">
        <v>0</v>
      </c>
    </row>
    <row r="255" spans="1:24" hidden="1">
      <c r="A255" s="34" t="s">
        <v>659</v>
      </c>
      <c r="B255" s="34" t="s">
        <v>660</v>
      </c>
      <c r="C255" s="34" t="s">
        <v>176</v>
      </c>
      <c r="D255" s="34" t="s">
        <v>69</v>
      </c>
      <c r="E255" s="34" t="s">
        <v>3</v>
      </c>
      <c r="F255" s="34" t="s">
        <v>661</v>
      </c>
      <c r="G255" s="54">
        <v>1726435493</v>
      </c>
      <c r="H255" s="54" t="s">
        <v>229</v>
      </c>
      <c r="I255" s="54" t="s">
        <v>3514</v>
      </c>
      <c r="J255" s="34" t="s">
        <v>3421</v>
      </c>
      <c r="K255" s="50">
        <v>130000</v>
      </c>
      <c r="L255" s="43">
        <v>24850</v>
      </c>
      <c r="M255" s="44">
        <f t="shared" si="24"/>
        <v>0.19115384615384615</v>
      </c>
      <c r="N255" s="49">
        <f>ROUND(L255/Summary!$C$3*Summary!$C$2,0)</f>
        <v>77035</v>
      </c>
      <c r="O255" s="44">
        <f t="shared" si="25"/>
        <v>0.59257692307692311</v>
      </c>
      <c r="P255" s="78">
        <v>10</v>
      </c>
      <c r="Q255" s="34">
        <v>0</v>
      </c>
      <c r="R255" s="35">
        <f t="shared" si="26"/>
        <v>0</v>
      </c>
      <c r="S255" s="49">
        <f>ROUND(Q255/Summary!$C$3*Summary!$C$2,0)</f>
        <v>0</v>
      </c>
      <c r="T255" s="44">
        <f t="shared" si="27"/>
        <v>0</v>
      </c>
      <c r="U255" s="34">
        <v>0</v>
      </c>
      <c r="V255" s="34">
        <v>0</v>
      </c>
      <c r="W255" s="34">
        <v>0</v>
      </c>
      <c r="X255" s="34">
        <v>0</v>
      </c>
    </row>
    <row r="256" spans="1:24" hidden="1">
      <c r="A256" s="34" t="s">
        <v>612</v>
      </c>
      <c r="B256" s="34" t="s">
        <v>613</v>
      </c>
      <c r="C256" s="34" t="s">
        <v>176</v>
      </c>
      <c r="D256" s="34" t="s">
        <v>69</v>
      </c>
      <c r="E256" s="34" t="s">
        <v>3</v>
      </c>
      <c r="F256" s="34" t="s">
        <v>614</v>
      </c>
      <c r="G256" s="54">
        <v>1790469934</v>
      </c>
      <c r="H256" s="54" t="s">
        <v>229</v>
      </c>
      <c r="I256" s="54" t="s">
        <v>3514</v>
      </c>
      <c r="J256" s="34" t="s">
        <v>3419</v>
      </c>
      <c r="K256" s="50">
        <v>190000</v>
      </c>
      <c r="L256" s="43">
        <v>53500</v>
      </c>
      <c r="M256" s="44">
        <f t="shared" si="24"/>
        <v>0.28157894736842104</v>
      </c>
      <c r="N256" s="49">
        <f>ROUND(L256/Summary!$C$3*Summary!$C$2,0)</f>
        <v>165850</v>
      </c>
      <c r="O256" s="44">
        <f t="shared" si="25"/>
        <v>0.87289473684210528</v>
      </c>
      <c r="P256" s="78">
        <v>10</v>
      </c>
      <c r="Q256" s="34">
        <v>3</v>
      </c>
      <c r="R256" s="35">
        <f t="shared" si="26"/>
        <v>0.3</v>
      </c>
      <c r="S256" s="49">
        <f>ROUND(Q256/Summary!$C$3*Summary!$C$2,0)</f>
        <v>9</v>
      </c>
      <c r="T256" s="44">
        <f t="shared" si="27"/>
        <v>0.9</v>
      </c>
      <c r="U256" s="34">
        <v>0</v>
      </c>
      <c r="V256" s="34">
        <v>1</v>
      </c>
      <c r="W256" s="34">
        <v>0</v>
      </c>
      <c r="X256" s="34">
        <v>0</v>
      </c>
    </row>
    <row r="257" spans="1:24" hidden="1">
      <c r="A257" s="34" t="s">
        <v>603</v>
      </c>
      <c r="B257" s="34" t="s">
        <v>604</v>
      </c>
      <c r="C257" s="34" t="s">
        <v>176</v>
      </c>
      <c r="D257" s="34" t="s">
        <v>69</v>
      </c>
      <c r="E257" s="34" t="s">
        <v>3</v>
      </c>
      <c r="F257" s="34" t="s">
        <v>605</v>
      </c>
      <c r="G257" s="54">
        <v>1737307056</v>
      </c>
      <c r="H257" s="54" t="s">
        <v>229</v>
      </c>
      <c r="I257" s="54" t="s">
        <v>3514</v>
      </c>
      <c r="J257" s="34" t="s">
        <v>3419</v>
      </c>
      <c r="K257" s="50">
        <v>150000</v>
      </c>
      <c r="L257" s="43">
        <v>51800</v>
      </c>
      <c r="M257" s="44">
        <f t="shared" si="24"/>
        <v>0.34533333333333333</v>
      </c>
      <c r="N257" s="49">
        <f>ROUND(L257/Summary!$C$3*Summary!$C$2,0)</f>
        <v>160580</v>
      </c>
      <c r="O257" s="44">
        <f t="shared" si="25"/>
        <v>1.0705333333333333</v>
      </c>
      <c r="P257" s="78">
        <v>10</v>
      </c>
      <c r="Q257" s="34">
        <v>2</v>
      </c>
      <c r="R257" s="35">
        <f t="shared" si="26"/>
        <v>0.2</v>
      </c>
      <c r="S257" s="49">
        <f>ROUND(Q257/Summary!$C$3*Summary!$C$2,0)</f>
        <v>6</v>
      </c>
      <c r="T257" s="44">
        <f t="shared" si="27"/>
        <v>0.6</v>
      </c>
      <c r="U257" s="34">
        <v>0</v>
      </c>
      <c r="V257" s="34">
        <v>0</v>
      </c>
      <c r="W257" s="34">
        <v>0</v>
      </c>
      <c r="X257" s="34">
        <v>0</v>
      </c>
    </row>
    <row r="258" spans="1:24" hidden="1">
      <c r="A258" s="34" t="s">
        <v>574</v>
      </c>
      <c r="B258" s="34" t="s">
        <v>575</v>
      </c>
      <c r="C258" s="34" t="s">
        <v>176</v>
      </c>
      <c r="D258" s="34" t="s">
        <v>69</v>
      </c>
      <c r="E258" s="34" t="s">
        <v>3</v>
      </c>
      <c r="F258" s="34" t="s">
        <v>576</v>
      </c>
      <c r="G258" s="54">
        <v>1711459295</v>
      </c>
      <c r="H258" s="54" t="s">
        <v>229</v>
      </c>
      <c r="I258" s="54" t="s">
        <v>3514</v>
      </c>
      <c r="J258" s="34" t="s">
        <v>3419</v>
      </c>
      <c r="K258" s="50">
        <v>150000</v>
      </c>
      <c r="L258" s="43">
        <v>27699</v>
      </c>
      <c r="M258" s="44">
        <f t="shared" si="24"/>
        <v>0.18465999999999999</v>
      </c>
      <c r="N258" s="49">
        <f>ROUND(L258/Summary!$C$3*Summary!$C$2,0)</f>
        <v>85867</v>
      </c>
      <c r="O258" s="44">
        <f t="shared" si="25"/>
        <v>0.57244666666666666</v>
      </c>
      <c r="P258" s="78">
        <v>10</v>
      </c>
      <c r="Q258" s="34">
        <v>0</v>
      </c>
      <c r="R258" s="35">
        <f t="shared" si="26"/>
        <v>0</v>
      </c>
      <c r="S258" s="49">
        <f>ROUND(Q258/Summary!$C$3*Summary!$C$2,0)</f>
        <v>0</v>
      </c>
      <c r="T258" s="44">
        <f t="shared" si="27"/>
        <v>0</v>
      </c>
      <c r="U258" s="34">
        <v>0</v>
      </c>
      <c r="V258" s="34">
        <v>0</v>
      </c>
      <c r="W258" s="34">
        <v>0</v>
      </c>
      <c r="X258" s="34">
        <v>0</v>
      </c>
    </row>
    <row r="259" spans="1:24" hidden="1">
      <c r="A259" s="34" t="s">
        <v>580</v>
      </c>
      <c r="B259" s="34" t="s">
        <v>581</v>
      </c>
      <c r="C259" s="34" t="s">
        <v>176</v>
      </c>
      <c r="D259" s="34" t="s">
        <v>69</v>
      </c>
      <c r="E259" s="34" t="s">
        <v>3</v>
      </c>
      <c r="F259" s="34" t="s">
        <v>582</v>
      </c>
      <c r="G259" s="54">
        <v>1736320686</v>
      </c>
      <c r="H259" s="54" t="s">
        <v>229</v>
      </c>
      <c r="I259" s="54" t="s">
        <v>3514</v>
      </c>
      <c r="J259" s="34" t="s">
        <v>3419</v>
      </c>
      <c r="K259" s="50">
        <v>130000</v>
      </c>
      <c r="L259" s="43">
        <v>15879</v>
      </c>
      <c r="M259" s="44">
        <f t="shared" si="24"/>
        <v>0.12214615384615385</v>
      </c>
      <c r="N259" s="49">
        <f>ROUND(L259/Summary!$C$3*Summary!$C$2,0)</f>
        <v>49225</v>
      </c>
      <c r="O259" s="44">
        <f t="shared" si="25"/>
        <v>0.37865384615384617</v>
      </c>
      <c r="P259" s="78">
        <v>10</v>
      </c>
      <c r="Q259" s="34">
        <v>1</v>
      </c>
      <c r="R259" s="35">
        <f t="shared" si="26"/>
        <v>0.1</v>
      </c>
      <c r="S259" s="49">
        <f>ROUND(Q259/Summary!$C$3*Summary!$C$2,0)</f>
        <v>3</v>
      </c>
      <c r="T259" s="44">
        <f t="shared" si="27"/>
        <v>0.3</v>
      </c>
      <c r="U259" s="34">
        <v>0</v>
      </c>
      <c r="V259" s="34">
        <v>0</v>
      </c>
      <c r="W259" s="34">
        <v>0</v>
      </c>
      <c r="X259" s="34">
        <v>0</v>
      </c>
    </row>
    <row r="260" spans="1:24" hidden="1">
      <c r="A260" s="34" t="s">
        <v>662</v>
      </c>
      <c r="B260" s="34" t="s">
        <v>663</v>
      </c>
      <c r="C260" s="34" t="s">
        <v>176</v>
      </c>
      <c r="D260" s="34" t="s">
        <v>69</v>
      </c>
      <c r="E260" s="34" t="s">
        <v>3</v>
      </c>
      <c r="F260" s="34" t="s">
        <v>664</v>
      </c>
      <c r="G260" s="54">
        <v>1717260489</v>
      </c>
      <c r="H260" s="54" t="s">
        <v>229</v>
      </c>
      <c r="I260" s="54" t="s">
        <v>3514</v>
      </c>
      <c r="J260" s="34" t="s">
        <v>3421</v>
      </c>
      <c r="K260" s="50">
        <v>130000</v>
      </c>
      <c r="L260" s="43">
        <v>13770</v>
      </c>
      <c r="M260" s="44">
        <f t="shared" si="24"/>
        <v>0.10592307692307693</v>
      </c>
      <c r="N260" s="49">
        <f>ROUND(L260/Summary!$C$3*Summary!$C$2,0)</f>
        <v>42687</v>
      </c>
      <c r="O260" s="44">
        <f t="shared" si="25"/>
        <v>0.32836153846153848</v>
      </c>
      <c r="P260" s="78">
        <v>10</v>
      </c>
      <c r="Q260" s="34">
        <v>0</v>
      </c>
      <c r="R260" s="35">
        <f t="shared" si="26"/>
        <v>0</v>
      </c>
      <c r="S260" s="49">
        <f>ROUND(Q260/Summary!$C$3*Summary!$C$2,0)</f>
        <v>0</v>
      </c>
      <c r="T260" s="44">
        <f t="shared" si="27"/>
        <v>0</v>
      </c>
      <c r="U260" s="34">
        <v>1</v>
      </c>
      <c r="V260" s="34">
        <v>0</v>
      </c>
      <c r="W260" s="34">
        <v>0</v>
      </c>
      <c r="X260" s="34">
        <v>0</v>
      </c>
    </row>
    <row r="261" spans="1:24" hidden="1">
      <c r="A261" s="34" t="s">
        <v>606</v>
      </c>
      <c r="B261" s="34" t="s">
        <v>607</v>
      </c>
      <c r="C261" s="34" t="s">
        <v>176</v>
      </c>
      <c r="D261" s="34" t="s">
        <v>69</v>
      </c>
      <c r="E261" s="34" t="s">
        <v>3</v>
      </c>
      <c r="F261" s="34" t="s">
        <v>608</v>
      </c>
      <c r="G261" s="54">
        <v>1718893500</v>
      </c>
      <c r="H261" s="54" t="s">
        <v>229</v>
      </c>
      <c r="I261" s="54" t="s">
        <v>3518</v>
      </c>
      <c r="J261" s="34" t="s">
        <v>3419</v>
      </c>
      <c r="K261" s="50">
        <v>300000</v>
      </c>
      <c r="L261" s="43">
        <v>127686</v>
      </c>
      <c r="M261" s="44">
        <f t="shared" si="24"/>
        <v>0.42562</v>
      </c>
      <c r="N261" s="49">
        <f>ROUND(L261/Summary!$C$3*Summary!$C$2,0)</f>
        <v>395827</v>
      </c>
      <c r="O261" s="44">
        <f t="shared" si="25"/>
        <v>1.3194233333333334</v>
      </c>
      <c r="P261" s="78">
        <v>10</v>
      </c>
      <c r="Q261" s="34">
        <v>2</v>
      </c>
      <c r="R261" s="35">
        <f t="shared" si="26"/>
        <v>0.2</v>
      </c>
      <c r="S261" s="49">
        <f>ROUND(Q261/Summary!$C$3*Summary!$C$2,0)</f>
        <v>6</v>
      </c>
      <c r="T261" s="44">
        <f t="shared" si="27"/>
        <v>0.6</v>
      </c>
      <c r="U261" s="34">
        <v>1</v>
      </c>
      <c r="V261" s="34">
        <v>0</v>
      </c>
      <c r="W261" s="34">
        <v>0</v>
      </c>
      <c r="X261" s="34">
        <v>0</v>
      </c>
    </row>
    <row r="262" spans="1:24" hidden="1">
      <c r="A262" s="34" t="s">
        <v>618</v>
      </c>
      <c r="B262" s="34" t="s">
        <v>430</v>
      </c>
      <c r="C262" s="34" t="s">
        <v>176</v>
      </c>
      <c r="D262" s="34" t="s">
        <v>69</v>
      </c>
      <c r="E262" s="34" t="s">
        <v>3</v>
      </c>
      <c r="F262" s="34" t="s">
        <v>619</v>
      </c>
      <c r="G262" s="54">
        <v>1726900155</v>
      </c>
      <c r="H262" s="54" t="s">
        <v>229</v>
      </c>
      <c r="I262" s="54" t="s">
        <v>3514</v>
      </c>
      <c r="J262" s="34" t="s">
        <v>3419</v>
      </c>
      <c r="K262" s="50">
        <v>247000</v>
      </c>
      <c r="L262" s="43">
        <v>48145</v>
      </c>
      <c r="M262" s="44">
        <f t="shared" si="24"/>
        <v>0.19491902834008099</v>
      </c>
      <c r="N262" s="49">
        <f>ROUND(L262/Summary!$C$3*Summary!$C$2,0)</f>
        <v>149250</v>
      </c>
      <c r="O262" s="44">
        <f t="shared" si="25"/>
        <v>0.60425101214574894</v>
      </c>
      <c r="P262" s="78">
        <v>10</v>
      </c>
      <c r="Q262" s="34">
        <v>3</v>
      </c>
      <c r="R262" s="35">
        <f t="shared" si="26"/>
        <v>0.3</v>
      </c>
      <c r="S262" s="49">
        <f>ROUND(Q262/Summary!$C$3*Summary!$C$2,0)</f>
        <v>9</v>
      </c>
      <c r="T262" s="44">
        <f t="shared" si="27"/>
        <v>0.9</v>
      </c>
      <c r="U262" s="34">
        <v>0</v>
      </c>
      <c r="V262" s="34">
        <v>0</v>
      </c>
      <c r="W262" s="34">
        <v>0</v>
      </c>
      <c r="X262" s="34">
        <v>0</v>
      </c>
    </row>
    <row r="263" spans="1:24" hidden="1">
      <c r="A263" s="34" t="s">
        <v>609</v>
      </c>
      <c r="B263" s="34" t="s">
        <v>610</v>
      </c>
      <c r="C263" s="34" t="s">
        <v>176</v>
      </c>
      <c r="D263" s="34" t="s">
        <v>69</v>
      </c>
      <c r="E263" s="34" t="s">
        <v>3</v>
      </c>
      <c r="F263" s="34" t="s">
        <v>611</v>
      </c>
      <c r="G263" s="54">
        <v>1849325020</v>
      </c>
      <c r="H263" s="54" t="s">
        <v>229</v>
      </c>
      <c r="I263" s="54" t="s">
        <v>3514</v>
      </c>
      <c r="J263" s="34" t="s">
        <v>3419</v>
      </c>
      <c r="K263" s="50">
        <v>150000</v>
      </c>
      <c r="L263" s="43">
        <v>45910</v>
      </c>
      <c r="M263" s="44">
        <f t="shared" si="24"/>
        <v>0.30606666666666665</v>
      </c>
      <c r="N263" s="49">
        <f>ROUND(L263/Summary!$C$3*Summary!$C$2,0)</f>
        <v>142321</v>
      </c>
      <c r="O263" s="44">
        <f t="shared" si="25"/>
        <v>0.94880666666666669</v>
      </c>
      <c r="P263" s="78">
        <v>10</v>
      </c>
      <c r="Q263" s="34">
        <v>2</v>
      </c>
      <c r="R263" s="35">
        <f t="shared" si="26"/>
        <v>0.2</v>
      </c>
      <c r="S263" s="49">
        <f>ROUND(Q263/Summary!$C$3*Summary!$C$2,0)</f>
        <v>6</v>
      </c>
      <c r="T263" s="44">
        <f t="shared" si="27"/>
        <v>0.6</v>
      </c>
      <c r="U263" s="34">
        <v>0</v>
      </c>
      <c r="V263" s="34">
        <v>1</v>
      </c>
      <c r="W263" s="34">
        <v>0</v>
      </c>
      <c r="X263" s="34">
        <v>0</v>
      </c>
    </row>
    <row r="264" spans="1:24" hidden="1">
      <c r="A264" s="34" t="s">
        <v>642</v>
      </c>
      <c r="B264" s="34" t="s">
        <v>643</v>
      </c>
      <c r="C264" s="34" t="s">
        <v>176</v>
      </c>
      <c r="D264" s="34" t="s">
        <v>69</v>
      </c>
      <c r="E264" s="34" t="s">
        <v>3</v>
      </c>
      <c r="F264" s="34" t="s">
        <v>644</v>
      </c>
      <c r="G264" s="54">
        <v>1715476606</v>
      </c>
      <c r="H264" s="54" t="s">
        <v>229</v>
      </c>
      <c r="I264" s="54" t="s">
        <v>3514</v>
      </c>
      <c r="J264" s="34" t="s">
        <v>3419</v>
      </c>
      <c r="K264" s="50">
        <v>170000</v>
      </c>
      <c r="L264" s="43">
        <v>75890</v>
      </c>
      <c r="M264" s="44">
        <f t="shared" si="24"/>
        <v>0.44641176470588234</v>
      </c>
      <c r="N264" s="49">
        <f>ROUND(L264/Summary!$C$3*Summary!$C$2,0)</f>
        <v>235259</v>
      </c>
      <c r="O264" s="44">
        <f t="shared" si="25"/>
        <v>1.3838764705882354</v>
      </c>
      <c r="P264" s="78">
        <v>10</v>
      </c>
      <c r="Q264" s="34">
        <v>0</v>
      </c>
      <c r="R264" s="35">
        <f t="shared" si="26"/>
        <v>0</v>
      </c>
      <c r="S264" s="49">
        <f>ROUND(Q264/Summary!$C$3*Summary!$C$2,0)</f>
        <v>0</v>
      </c>
      <c r="T264" s="44">
        <f t="shared" si="27"/>
        <v>0</v>
      </c>
      <c r="U264" s="34">
        <v>3</v>
      </c>
      <c r="V264" s="34">
        <v>0</v>
      </c>
      <c r="W264" s="34">
        <v>0</v>
      </c>
      <c r="X264" s="34">
        <v>0</v>
      </c>
    </row>
    <row r="265" spans="1:24" hidden="1">
      <c r="A265" s="34" t="s">
        <v>633</v>
      </c>
      <c r="B265" s="34" t="s">
        <v>634</v>
      </c>
      <c r="C265" s="34" t="s">
        <v>176</v>
      </c>
      <c r="D265" s="34" t="s">
        <v>69</v>
      </c>
      <c r="E265" s="34" t="s">
        <v>3</v>
      </c>
      <c r="F265" s="34" t="s">
        <v>635</v>
      </c>
      <c r="G265" s="54">
        <v>1762399653</v>
      </c>
      <c r="H265" s="54" t="s">
        <v>229</v>
      </c>
      <c r="I265" s="54" t="s">
        <v>3514</v>
      </c>
      <c r="J265" s="34" t="s">
        <v>3419</v>
      </c>
      <c r="K265" s="50">
        <v>280000</v>
      </c>
      <c r="L265" s="43">
        <v>95249</v>
      </c>
      <c r="M265" s="44">
        <f t="shared" ref="M265:M328" si="28">L265/K265</f>
        <v>0.34017500000000001</v>
      </c>
      <c r="N265" s="49">
        <f>ROUND(L265/Summary!$C$3*Summary!$C$2,0)</f>
        <v>295272</v>
      </c>
      <c r="O265" s="44">
        <f t="shared" ref="O265:O328" si="29">N265/K265</f>
        <v>1.0545428571428572</v>
      </c>
      <c r="P265" s="78">
        <v>10</v>
      </c>
      <c r="Q265" s="34">
        <v>3</v>
      </c>
      <c r="R265" s="35">
        <f t="shared" ref="R265:R328" si="30">Q265/P265</f>
        <v>0.3</v>
      </c>
      <c r="S265" s="49">
        <f>ROUND(Q265/Summary!$C$3*Summary!$C$2,0)</f>
        <v>9</v>
      </c>
      <c r="T265" s="44">
        <f t="shared" ref="T265:T328" si="31">S265/P265</f>
        <v>0.9</v>
      </c>
      <c r="U265" s="34">
        <v>0</v>
      </c>
      <c r="V265" s="34">
        <v>1</v>
      </c>
      <c r="W265" s="34">
        <v>0</v>
      </c>
      <c r="X265" s="34">
        <v>0</v>
      </c>
    </row>
    <row r="266" spans="1:24" hidden="1">
      <c r="A266" s="34" t="s">
        <v>239</v>
      </c>
      <c r="B266" s="34" t="s">
        <v>240</v>
      </c>
      <c r="C266" s="34" t="s">
        <v>227</v>
      </c>
      <c r="D266" s="34" t="s">
        <v>166</v>
      </c>
      <c r="E266" s="34" t="s">
        <v>3</v>
      </c>
      <c r="F266" s="34" t="s">
        <v>241</v>
      </c>
      <c r="G266" s="54">
        <v>1861272720</v>
      </c>
      <c r="H266" s="54" t="s">
        <v>229</v>
      </c>
      <c r="I266" s="54" t="s">
        <v>3514</v>
      </c>
      <c r="J266" s="34" t="s">
        <v>3419</v>
      </c>
      <c r="K266" s="50">
        <v>130000</v>
      </c>
      <c r="L266" s="43">
        <v>23670</v>
      </c>
      <c r="M266" s="44">
        <f t="shared" si="28"/>
        <v>0.18207692307692308</v>
      </c>
      <c r="N266" s="49">
        <f>ROUND(L266/Summary!$C$3*Summary!$C$2,0)</f>
        <v>73377</v>
      </c>
      <c r="O266" s="44">
        <f t="shared" si="29"/>
        <v>0.56443846153846156</v>
      </c>
      <c r="P266" s="78">
        <v>10</v>
      </c>
      <c r="Q266" s="34">
        <v>2</v>
      </c>
      <c r="R266" s="35">
        <f t="shared" si="30"/>
        <v>0.2</v>
      </c>
      <c r="S266" s="49">
        <f>ROUND(Q266/Summary!$C$3*Summary!$C$2,0)</f>
        <v>6</v>
      </c>
      <c r="T266" s="44">
        <f t="shared" si="31"/>
        <v>0.6</v>
      </c>
      <c r="U266" s="34">
        <v>0</v>
      </c>
      <c r="V266" s="34">
        <v>1</v>
      </c>
      <c r="W266" s="34">
        <v>0</v>
      </c>
      <c r="X266" s="34">
        <v>0</v>
      </c>
    </row>
    <row r="267" spans="1:24" hidden="1">
      <c r="A267" s="34" t="s">
        <v>230</v>
      </c>
      <c r="B267" s="34" t="s">
        <v>231</v>
      </c>
      <c r="C267" s="34" t="s">
        <v>227</v>
      </c>
      <c r="D267" s="34" t="s">
        <v>166</v>
      </c>
      <c r="E267" s="34" t="s">
        <v>3</v>
      </c>
      <c r="F267" s="34" t="s">
        <v>232</v>
      </c>
      <c r="G267" s="54">
        <v>1813991336</v>
      </c>
      <c r="H267" s="54" t="s">
        <v>229</v>
      </c>
      <c r="I267" s="54" t="s">
        <v>3514</v>
      </c>
      <c r="J267" s="34" t="s">
        <v>3419</v>
      </c>
      <c r="K267" s="50">
        <v>130000</v>
      </c>
      <c r="L267" s="43">
        <v>33709</v>
      </c>
      <c r="M267" s="44">
        <f t="shared" si="28"/>
        <v>0.25929999999999997</v>
      </c>
      <c r="N267" s="49">
        <f>ROUND(L267/Summary!$C$3*Summary!$C$2,0)</f>
        <v>104498</v>
      </c>
      <c r="O267" s="44">
        <f t="shared" si="29"/>
        <v>0.80383076923076924</v>
      </c>
      <c r="P267" s="78">
        <v>10</v>
      </c>
      <c r="Q267" s="34">
        <v>2</v>
      </c>
      <c r="R267" s="35">
        <f t="shared" si="30"/>
        <v>0.2</v>
      </c>
      <c r="S267" s="49">
        <f>ROUND(Q267/Summary!$C$3*Summary!$C$2,0)</f>
        <v>6</v>
      </c>
      <c r="T267" s="44">
        <f t="shared" si="31"/>
        <v>0.6</v>
      </c>
      <c r="U267" s="34">
        <v>1</v>
      </c>
      <c r="V267" s="34">
        <v>0</v>
      </c>
      <c r="W267" s="34">
        <v>0</v>
      </c>
      <c r="X267" s="34">
        <v>0</v>
      </c>
    </row>
    <row r="268" spans="1:24" hidden="1">
      <c r="A268" s="34" t="s">
        <v>248</v>
      </c>
      <c r="B268" s="34" t="s">
        <v>249</v>
      </c>
      <c r="C268" s="34" t="s">
        <v>227</v>
      </c>
      <c r="D268" s="34" t="s">
        <v>166</v>
      </c>
      <c r="E268" s="34" t="s">
        <v>3</v>
      </c>
      <c r="F268" s="34" t="s">
        <v>250</v>
      </c>
      <c r="G268" s="54">
        <v>1818889970</v>
      </c>
      <c r="H268" s="54" t="s">
        <v>229</v>
      </c>
      <c r="I268" s="54" t="s">
        <v>3514</v>
      </c>
      <c r="J268" s="34" t="s">
        <v>3419</v>
      </c>
      <c r="K268" s="50">
        <v>130000</v>
      </c>
      <c r="L268" s="43">
        <v>5990</v>
      </c>
      <c r="M268" s="44">
        <f t="shared" si="28"/>
        <v>4.6076923076923078E-2</v>
      </c>
      <c r="N268" s="49">
        <f>ROUND(L268/Summary!$C$3*Summary!$C$2,0)</f>
        <v>18569</v>
      </c>
      <c r="O268" s="44">
        <f t="shared" si="29"/>
        <v>0.14283846153846153</v>
      </c>
      <c r="P268" s="78">
        <v>10</v>
      </c>
      <c r="Q268" s="34">
        <v>0</v>
      </c>
      <c r="R268" s="35">
        <f t="shared" si="30"/>
        <v>0</v>
      </c>
      <c r="S268" s="49">
        <f>ROUND(Q268/Summary!$C$3*Summary!$C$2,0)</f>
        <v>0</v>
      </c>
      <c r="T268" s="44">
        <f t="shared" si="31"/>
        <v>0</v>
      </c>
      <c r="U268" s="34">
        <v>0</v>
      </c>
      <c r="V268" s="34">
        <v>0</v>
      </c>
      <c r="W268" s="34">
        <v>0</v>
      </c>
      <c r="X268" s="34">
        <v>0</v>
      </c>
    </row>
    <row r="269" spans="1:24" hidden="1">
      <c r="A269" s="34" t="s">
        <v>236</v>
      </c>
      <c r="B269" s="34" t="s">
        <v>237</v>
      </c>
      <c r="C269" s="34" t="s">
        <v>227</v>
      </c>
      <c r="D269" s="34" t="s">
        <v>166</v>
      </c>
      <c r="E269" s="34" t="s">
        <v>3</v>
      </c>
      <c r="F269" s="34" t="s">
        <v>238</v>
      </c>
      <c r="G269" s="54">
        <v>1813554082</v>
      </c>
      <c r="H269" s="54" t="s">
        <v>229</v>
      </c>
      <c r="I269" s="54" t="s">
        <v>3514</v>
      </c>
      <c r="J269" s="34" t="s">
        <v>3419</v>
      </c>
      <c r="K269" s="50">
        <v>130000</v>
      </c>
      <c r="L269" s="43">
        <v>47720</v>
      </c>
      <c r="M269" s="44">
        <f t="shared" si="28"/>
        <v>0.36707692307692308</v>
      </c>
      <c r="N269" s="49">
        <f>ROUND(L269/Summary!$C$3*Summary!$C$2,0)</f>
        <v>147932</v>
      </c>
      <c r="O269" s="44">
        <f t="shared" si="29"/>
        <v>1.1379384615384616</v>
      </c>
      <c r="P269" s="78">
        <v>10</v>
      </c>
      <c r="Q269" s="34">
        <v>3</v>
      </c>
      <c r="R269" s="35">
        <f t="shared" si="30"/>
        <v>0.3</v>
      </c>
      <c r="S269" s="49">
        <f>ROUND(Q269/Summary!$C$3*Summary!$C$2,0)</f>
        <v>9</v>
      </c>
      <c r="T269" s="44">
        <f t="shared" si="31"/>
        <v>0.9</v>
      </c>
      <c r="U269" s="34">
        <v>0</v>
      </c>
      <c r="V269" s="34">
        <v>0</v>
      </c>
      <c r="W269" s="34">
        <v>0</v>
      </c>
      <c r="X269" s="34">
        <v>1</v>
      </c>
    </row>
    <row r="270" spans="1:24" hidden="1">
      <c r="A270" s="34" t="s">
        <v>225</v>
      </c>
      <c r="B270" s="34" t="s">
        <v>226</v>
      </c>
      <c r="C270" s="34" t="s">
        <v>227</v>
      </c>
      <c r="D270" s="34" t="s">
        <v>166</v>
      </c>
      <c r="E270" s="34" t="s">
        <v>3</v>
      </c>
      <c r="F270" s="34" t="s">
        <v>228</v>
      </c>
      <c r="G270" s="54">
        <v>1822118585</v>
      </c>
      <c r="H270" s="54" t="s">
        <v>229</v>
      </c>
      <c r="I270" s="54" t="s">
        <v>3514</v>
      </c>
      <c r="J270" s="34" t="s">
        <v>3515</v>
      </c>
      <c r="K270" s="50">
        <v>130000</v>
      </c>
      <c r="L270" s="43">
        <v>32230</v>
      </c>
      <c r="M270" s="44">
        <f t="shared" si="28"/>
        <v>0.24792307692307691</v>
      </c>
      <c r="N270" s="49">
        <f>ROUND(L270/Summary!$C$3*Summary!$C$2,0)</f>
        <v>99913</v>
      </c>
      <c r="O270" s="44">
        <f t="shared" si="29"/>
        <v>0.76856153846153841</v>
      </c>
      <c r="P270" s="78">
        <v>10</v>
      </c>
      <c r="Q270" s="34">
        <v>0</v>
      </c>
      <c r="R270" s="35">
        <f t="shared" si="30"/>
        <v>0</v>
      </c>
      <c r="S270" s="49">
        <f>ROUND(Q270/Summary!$C$3*Summary!$C$2,0)</f>
        <v>0</v>
      </c>
      <c r="T270" s="44">
        <f t="shared" si="31"/>
        <v>0</v>
      </c>
      <c r="U270" s="34">
        <v>1</v>
      </c>
      <c r="V270" s="34">
        <v>0</v>
      </c>
      <c r="W270" s="34">
        <v>0</v>
      </c>
      <c r="X270" s="34">
        <v>0</v>
      </c>
    </row>
    <row r="271" spans="1:24" hidden="1">
      <c r="A271" s="34" t="s">
        <v>242</v>
      </c>
      <c r="B271" s="34" t="s">
        <v>243</v>
      </c>
      <c r="C271" s="34" t="s">
        <v>227</v>
      </c>
      <c r="D271" s="34" t="s">
        <v>166</v>
      </c>
      <c r="E271" s="34" t="s">
        <v>3</v>
      </c>
      <c r="F271" s="34" t="s">
        <v>244</v>
      </c>
      <c r="G271" s="54">
        <v>1817380683</v>
      </c>
      <c r="H271" s="54" t="s">
        <v>229</v>
      </c>
      <c r="I271" s="54" t="s">
        <v>3514</v>
      </c>
      <c r="J271" s="34" t="s">
        <v>3515</v>
      </c>
      <c r="K271" s="50">
        <v>130000</v>
      </c>
      <c r="L271" s="43">
        <v>4990</v>
      </c>
      <c r="M271" s="44">
        <f t="shared" si="28"/>
        <v>3.8384615384615385E-2</v>
      </c>
      <c r="N271" s="49">
        <f>ROUND(L271/Summary!$C$3*Summary!$C$2,0)</f>
        <v>15469</v>
      </c>
      <c r="O271" s="44">
        <f t="shared" si="29"/>
        <v>0.11899230769230769</v>
      </c>
      <c r="P271" s="78">
        <v>10</v>
      </c>
      <c r="Q271" s="34">
        <v>0</v>
      </c>
      <c r="R271" s="35">
        <f t="shared" si="30"/>
        <v>0</v>
      </c>
      <c r="S271" s="49">
        <f>ROUND(Q271/Summary!$C$3*Summary!$C$2,0)</f>
        <v>0</v>
      </c>
      <c r="T271" s="44">
        <f t="shared" si="31"/>
        <v>0</v>
      </c>
      <c r="U271" s="34">
        <v>0</v>
      </c>
      <c r="V271" s="34">
        <v>0</v>
      </c>
      <c r="W271" s="34">
        <v>0</v>
      </c>
      <c r="X271" s="34">
        <v>0</v>
      </c>
    </row>
    <row r="272" spans="1:24" hidden="1">
      <c r="A272" s="34" t="s">
        <v>245</v>
      </c>
      <c r="B272" s="34" t="s">
        <v>246</v>
      </c>
      <c r="C272" s="34" t="s">
        <v>227</v>
      </c>
      <c r="D272" s="34" t="s">
        <v>166</v>
      </c>
      <c r="E272" s="34" t="s">
        <v>3</v>
      </c>
      <c r="F272" s="34" t="s">
        <v>247</v>
      </c>
      <c r="G272" s="54">
        <v>1816778921</v>
      </c>
      <c r="H272" s="54" t="s">
        <v>229</v>
      </c>
      <c r="I272" s="54" t="s">
        <v>3514</v>
      </c>
      <c r="J272" s="34" t="s">
        <v>3419</v>
      </c>
      <c r="K272" s="50">
        <v>264878</v>
      </c>
      <c r="L272" s="43">
        <v>82739</v>
      </c>
      <c r="M272" s="44">
        <f t="shared" si="28"/>
        <v>0.31236644794962209</v>
      </c>
      <c r="N272" s="49">
        <f>ROUND(L272/Summary!$C$3*Summary!$C$2,0)</f>
        <v>256491</v>
      </c>
      <c r="O272" s="44">
        <f t="shared" si="29"/>
        <v>0.9683363661761264</v>
      </c>
      <c r="P272" s="78">
        <v>14</v>
      </c>
      <c r="Q272" s="34">
        <v>5</v>
      </c>
      <c r="R272" s="35">
        <f t="shared" si="30"/>
        <v>0.35714285714285715</v>
      </c>
      <c r="S272" s="49">
        <f>ROUND(Q272/Summary!$C$3*Summary!$C$2,0)</f>
        <v>16</v>
      </c>
      <c r="T272" s="44">
        <f t="shared" si="31"/>
        <v>1.1428571428571428</v>
      </c>
      <c r="U272" s="34">
        <v>0</v>
      </c>
      <c r="V272" s="34">
        <v>1</v>
      </c>
      <c r="W272" s="34">
        <v>0</v>
      </c>
      <c r="X272" s="34">
        <v>0</v>
      </c>
    </row>
    <row r="273" spans="1:24" hidden="1">
      <c r="A273" s="34" t="s">
        <v>233</v>
      </c>
      <c r="B273" s="34" t="s">
        <v>234</v>
      </c>
      <c r="C273" s="34" t="s">
        <v>227</v>
      </c>
      <c r="D273" s="34" t="s">
        <v>166</v>
      </c>
      <c r="E273" s="34" t="s">
        <v>3</v>
      </c>
      <c r="F273" s="34" t="s">
        <v>235</v>
      </c>
      <c r="G273" s="54">
        <v>1818924555</v>
      </c>
      <c r="H273" s="54" t="s">
        <v>229</v>
      </c>
      <c r="I273" s="54" t="s">
        <v>3514</v>
      </c>
      <c r="J273" s="34" t="s">
        <v>3419</v>
      </c>
      <c r="K273" s="50">
        <v>175915</v>
      </c>
      <c r="L273" s="43">
        <v>51549</v>
      </c>
      <c r="M273" s="44">
        <f t="shared" si="28"/>
        <v>0.29303356734786684</v>
      </c>
      <c r="N273" s="49">
        <f>ROUND(L273/Summary!$C$3*Summary!$C$2,0)</f>
        <v>159802</v>
      </c>
      <c r="O273" s="44">
        <f t="shared" si="29"/>
        <v>0.90840462723474402</v>
      </c>
      <c r="P273" s="78">
        <v>10</v>
      </c>
      <c r="Q273" s="34">
        <v>1</v>
      </c>
      <c r="R273" s="35">
        <f t="shared" si="30"/>
        <v>0.1</v>
      </c>
      <c r="S273" s="49">
        <f>ROUND(Q273/Summary!$C$3*Summary!$C$2,0)</f>
        <v>3</v>
      </c>
      <c r="T273" s="44">
        <f t="shared" si="31"/>
        <v>0.3</v>
      </c>
      <c r="U273" s="34">
        <v>0</v>
      </c>
      <c r="V273" s="34">
        <v>1</v>
      </c>
      <c r="W273" s="34">
        <v>0</v>
      </c>
      <c r="X273" s="34">
        <v>0</v>
      </c>
    </row>
    <row r="274" spans="1:24" hidden="1">
      <c r="A274" s="34" t="s">
        <v>274</v>
      </c>
      <c r="B274" s="34" t="s">
        <v>275</v>
      </c>
      <c r="C274" s="34" t="s">
        <v>253</v>
      </c>
      <c r="D274" s="34" t="s">
        <v>166</v>
      </c>
      <c r="E274" s="34" t="s">
        <v>3</v>
      </c>
      <c r="F274" s="34" t="s">
        <v>276</v>
      </c>
      <c r="G274" s="54">
        <v>1820711750</v>
      </c>
      <c r="H274" s="54" t="s">
        <v>229</v>
      </c>
      <c r="I274" s="54" t="s">
        <v>3514</v>
      </c>
      <c r="J274" s="34" t="s">
        <v>3419</v>
      </c>
      <c r="K274" s="50">
        <v>204825</v>
      </c>
      <c r="L274" s="43">
        <v>52610</v>
      </c>
      <c r="M274" s="44">
        <f t="shared" si="28"/>
        <v>0.25685341144879775</v>
      </c>
      <c r="N274" s="49">
        <f>ROUND(L274/Summary!$C$3*Summary!$C$2,0)</f>
        <v>163091</v>
      </c>
      <c r="O274" s="44">
        <f t="shared" si="29"/>
        <v>0.79624557549127306</v>
      </c>
      <c r="P274" s="78">
        <v>10</v>
      </c>
      <c r="Q274" s="34">
        <v>3</v>
      </c>
      <c r="R274" s="35">
        <f t="shared" si="30"/>
        <v>0.3</v>
      </c>
      <c r="S274" s="49">
        <f>ROUND(Q274/Summary!$C$3*Summary!$C$2,0)</f>
        <v>9</v>
      </c>
      <c r="T274" s="44">
        <f t="shared" si="31"/>
        <v>0.9</v>
      </c>
      <c r="U274" s="34">
        <v>1</v>
      </c>
      <c r="V274" s="34">
        <v>2</v>
      </c>
      <c r="W274" s="34">
        <v>0</v>
      </c>
      <c r="X274" s="34">
        <v>0</v>
      </c>
    </row>
    <row r="275" spans="1:24" hidden="1">
      <c r="A275" s="34" t="s">
        <v>256</v>
      </c>
      <c r="B275" s="34" t="s">
        <v>257</v>
      </c>
      <c r="C275" s="34" t="s">
        <v>253</v>
      </c>
      <c r="D275" s="34" t="s">
        <v>166</v>
      </c>
      <c r="E275" s="34" t="s">
        <v>3</v>
      </c>
      <c r="F275" s="34" t="s">
        <v>258</v>
      </c>
      <c r="G275" s="54">
        <v>1554466444</v>
      </c>
      <c r="H275" s="54" t="s">
        <v>229</v>
      </c>
      <c r="I275" s="54" t="s">
        <v>3514</v>
      </c>
      <c r="J275" s="34" t="s">
        <v>3419</v>
      </c>
      <c r="K275" s="50">
        <v>130000</v>
      </c>
      <c r="L275" s="43">
        <v>53885</v>
      </c>
      <c r="M275" s="44">
        <f t="shared" si="28"/>
        <v>0.41449999999999998</v>
      </c>
      <c r="N275" s="49">
        <f>ROUND(L275/Summary!$C$3*Summary!$C$2,0)</f>
        <v>167044</v>
      </c>
      <c r="O275" s="44">
        <f t="shared" si="29"/>
        <v>1.2849538461538461</v>
      </c>
      <c r="P275" s="78">
        <v>10</v>
      </c>
      <c r="Q275" s="34">
        <v>4</v>
      </c>
      <c r="R275" s="35">
        <f t="shared" si="30"/>
        <v>0.4</v>
      </c>
      <c r="S275" s="49">
        <f>ROUND(Q275/Summary!$C$3*Summary!$C$2,0)</f>
        <v>12</v>
      </c>
      <c r="T275" s="44">
        <f t="shared" si="31"/>
        <v>1.2</v>
      </c>
      <c r="U275" s="34">
        <v>1</v>
      </c>
      <c r="V275" s="34">
        <v>1</v>
      </c>
      <c r="W275" s="34">
        <v>0</v>
      </c>
      <c r="X275" s="34">
        <v>0</v>
      </c>
    </row>
    <row r="276" spans="1:24" hidden="1">
      <c r="A276" s="34" t="s">
        <v>277</v>
      </c>
      <c r="B276" s="34" t="s">
        <v>278</v>
      </c>
      <c r="C276" s="34" t="s">
        <v>253</v>
      </c>
      <c r="D276" s="34" t="s">
        <v>166</v>
      </c>
      <c r="E276" s="34" t="s">
        <v>3</v>
      </c>
      <c r="F276" s="34" t="s">
        <v>279</v>
      </c>
      <c r="G276" s="54">
        <v>1820701195</v>
      </c>
      <c r="H276" s="54" t="s">
        <v>229</v>
      </c>
      <c r="I276" s="54" t="s">
        <v>3514</v>
      </c>
      <c r="J276" s="34" t="s">
        <v>3515</v>
      </c>
      <c r="K276" s="50">
        <v>130000</v>
      </c>
      <c r="L276" s="43">
        <v>22255</v>
      </c>
      <c r="M276" s="44">
        <f t="shared" si="28"/>
        <v>0.1711923076923077</v>
      </c>
      <c r="N276" s="49">
        <f>ROUND(L276/Summary!$C$3*Summary!$C$2,0)</f>
        <v>68991</v>
      </c>
      <c r="O276" s="44">
        <f t="shared" si="29"/>
        <v>0.53069999999999995</v>
      </c>
      <c r="P276" s="78">
        <v>10</v>
      </c>
      <c r="Q276" s="34">
        <v>3</v>
      </c>
      <c r="R276" s="35">
        <f t="shared" si="30"/>
        <v>0.3</v>
      </c>
      <c r="S276" s="49">
        <f>ROUND(Q276/Summary!$C$3*Summary!$C$2,0)</f>
        <v>9</v>
      </c>
      <c r="T276" s="44">
        <f t="shared" si="31"/>
        <v>0.9</v>
      </c>
      <c r="U276" s="34">
        <v>0</v>
      </c>
      <c r="V276" s="34">
        <v>1</v>
      </c>
      <c r="W276" s="34">
        <v>0</v>
      </c>
      <c r="X276" s="34">
        <v>0</v>
      </c>
    </row>
    <row r="277" spans="1:24" hidden="1">
      <c r="A277" s="34" t="s">
        <v>259</v>
      </c>
      <c r="B277" s="34" t="s">
        <v>260</v>
      </c>
      <c r="C277" s="34" t="s">
        <v>253</v>
      </c>
      <c r="D277" s="34" t="s">
        <v>166</v>
      </c>
      <c r="E277" s="34" t="s">
        <v>3</v>
      </c>
      <c r="F277" s="34" t="s">
        <v>261</v>
      </c>
      <c r="G277" s="54">
        <v>1866662600</v>
      </c>
      <c r="H277" s="54" t="s">
        <v>229</v>
      </c>
      <c r="I277" s="54" t="s">
        <v>3514</v>
      </c>
      <c r="J277" s="34" t="s">
        <v>3419</v>
      </c>
      <c r="K277" s="50">
        <v>130000</v>
      </c>
      <c r="L277" s="43">
        <v>4740</v>
      </c>
      <c r="M277" s="44">
        <f t="shared" si="28"/>
        <v>3.6461538461538462E-2</v>
      </c>
      <c r="N277" s="49">
        <f>ROUND(L277/Summary!$C$3*Summary!$C$2,0)</f>
        <v>14694</v>
      </c>
      <c r="O277" s="44">
        <f t="shared" si="29"/>
        <v>0.11303076923076923</v>
      </c>
      <c r="P277" s="78">
        <v>10</v>
      </c>
      <c r="Q277" s="34">
        <v>0</v>
      </c>
      <c r="R277" s="35">
        <f t="shared" si="30"/>
        <v>0</v>
      </c>
      <c r="S277" s="49">
        <f>ROUND(Q277/Summary!$C$3*Summary!$C$2,0)</f>
        <v>0</v>
      </c>
      <c r="T277" s="44">
        <f t="shared" si="31"/>
        <v>0</v>
      </c>
      <c r="U277" s="34">
        <v>0</v>
      </c>
      <c r="V277" s="34">
        <v>0</v>
      </c>
      <c r="W277" s="34">
        <v>0</v>
      </c>
      <c r="X277" s="34">
        <v>0</v>
      </c>
    </row>
    <row r="278" spans="1:24" hidden="1">
      <c r="A278" s="34" t="s">
        <v>271</v>
      </c>
      <c r="B278" s="34" t="s">
        <v>272</v>
      </c>
      <c r="C278" s="34" t="s">
        <v>253</v>
      </c>
      <c r="D278" s="34" t="s">
        <v>166</v>
      </c>
      <c r="E278" s="34" t="s">
        <v>3</v>
      </c>
      <c r="F278" s="34" t="s">
        <v>273</v>
      </c>
      <c r="G278" s="54">
        <v>1812997749</v>
      </c>
      <c r="H278" s="54" t="s">
        <v>229</v>
      </c>
      <c r="I278" s="54" t="s">
        <v>3514</v>
      </c>
      <c r="J278" s="34" t="s">
        <v>3419</v>
      </c>
      <c r="K278" s="50">
        <v>130000</v>
      </c>
      <c r="L278" s="43">
        <v>28960</v>
      </c>
      <c r="M278" s="44">
        <f t="shared" si="28"/>
        <v>0.22276923076923077</v>
      </c>
      <c r="N278" s="49">
        <f>ROUND(L278/Summary!$C$3*Summary!$C$2,0)</f>
        <v>89776</v>
      </c>
      <c r="O278" s="44">
        <f t="shared" si="29"/>
        <v>0.69058461538461535</v>
      </c>
      <c r="P278" s="78">
        <v>10</v>
      </c>
      <c r="Q278" s="34">
        <v>1</v>
      </c>
      <c r="R278" s="35">
        <f t="shared" si="30"/>
        <v>0.1</v>
      </c>
      <c r="S278" s="49">
        <f>ROUND(Q278/Summary!$C$3*Summary!$C$2,0)</f>
        <v>3</v>
      </c>
      <c r="T278" s="44">
        <f t="shared" si="31"/>
        <v>0.3</v>
      </c>
      <c r="U278" s="34">
        <v>1</v>
      </c>
      <c r="V278" s="34">
        <v>0</v>
      </c>
      <c r="W278" s="34">
        <v>0</v>
      </c>
      <c r="X278" s="34">
        <v>0</v>
      </c>
    </row>
    <row r="279" spans="1:24" hidden="1">
      <c r="A279" s="34" t="s">
        <v>268</v>
      </c>
      <c r="B279" s="34" t="s">
        <v>269</v>
      </c>
      <c r="C279" s="34" t="s">
        <v>253</v>
      </c>
      <c r="D279" s="34" t="s">
        <v>166</v>
      </c>
      <c r="E279" s="34" t="s">
        <v>3</v>
      </c>
      <c r="F279" s="34" t="s">
        <v>270</v>
      </c>
      <c r="G279" s="54">
        <v>1845773344</v>
      </c>
      <c r="H279" s="54" t="s">
        <v>229</v>
      </c>
      <c r="I279" s="54" t="s">
        <v>3514</v>
      </c>
      <c r="J279" s="34" t="s">
        <v>3419</v>
      </c>
      <c r="K279" s="50">
        <v>130000</v>
      </c>
      <c r="L279" s="43">
        <v>46510</v>
      </c>
      <c r="M279" s="44">
        <f t="shared" si="28"/>
        <v>0.35776923076923078</v>
      </c>
      <c r="N279" s="49">
        <f>ROUND(L279/Summary!$C$3*Summary!$C$2,0)</f>
        <v>144181</v>
      </c>
      <c r="O279" s="44">
        <f t="shared" si="29"/>
        <v>1.1090846153846154</v>
      </c>
      <c r="P279" s="78">
        <v>10</v>
      </c>
      <c r="Q279" s="34">
        <v>1</v>
      </c>
      <c r="R279" s="35">
        <f t="shared" si="30"/>
        <v>0.1</v>
      </c>
      <c r="S279" s="49">
        <f>ROUND(Q279/Summary!$C$3*Summary!$C$2,0)</f>
        <v>3</v>
      </c>
      <c r="T279" s="44">
        <f t="shared" si="31"/>
        <v>0.3</v>
      </c>
      <c r="U279" s="34">
        <v>0</v>
      </c>
      <c r="V279" s="34">
        <v>0</v>
      </c>
      <c r="W279" s="34">
        <v>0</v>
      </c>
      <c r="X279" s="34">
        <v>0</v>
      </c>
    </row>
    <row r="280" spans="1:24" hidden="1">
      <c r="A280" s="34" t="s">
        <v>265</v>
      </c>
      <c r="B280" s="34" t="s">
        <v>266</v>
      </c>
      <c r="C280" s="34" t="s">
        <v>253</v>
      </c>
      <c r="D280" s="34" t="s">
        <v>166</v>
      </c>
      <c r="E280" s="34" t="s">
        <v>3</v>
      </c>
      <c r="F280" s="34" t="s">
        <v>267</v>
      </c>
      <c r="G280" s="54">
        <v>1820702222</v>
      </c>
      <c r="H280" s="54" t="s">
        <v>229</v>
      </c>
      <c r="I280" s="54" t="s">
        <v>3514</v>
      </c>
      <c r="J280" s="34" t="s">
        <v>3419</v>
      </c>
      <c r="K280" s="50">
        <v>163666</v>
      </c>
      <c r="L280" s="43">
        <v>34710</v>
      </c>
      <c r="M280" s="44">
        <f t="shared" si="28"/>
        <v>0.21207825693791013</v>
      </c>
      <c r="N280" s="49">
        <f>ROUND(L280/Summary!$C$3*Summary!$C$2,0)</f>
        <v>107601</v>
      </c>
      <c r="O280" s="44">
        <f t="shared" si="29"/>
        <v>0.65744259650752146</v>
      </c>
      <c r="P280" s="78">
        <v>10</v>
      </c>
      <c r="Q280" s="34">
        <v>3</v>
      </c>
      <c r="R280" s="35">
        <f t="shared" si="30"/>
        <v>0.3</v>
      </c>
      <c r="S280" s="49">
        <f>ROUND(Q280/Summary!$C$3*Summary!$C$2,0)</f>
        <v>9</v>
      </c>
      <c r="T280" s="44">
        <f t="shared" si="31"/>
        <v>0.9</v>
      </c>
      <c r="U280" s="34">
        <v>1</v>
      </c>
      <c r="V280" s="34">
        <v>0</v>
      </c>
      <c r="W280" s="34">
        <v>0</v>
      </c>
      <c r="X280" s="34">
        <v>1</v>
      </c>
    </row>
    <row r="281" spans="1:24" hidden="1">
      <c r="A281" s="34" t="s">
        <v>262</v>
      </c>
      <c r="B281" s="34" t="s">
        <v>263</v>
      </c>
      <c r="C281" s="34" t="s">
        <v>253</v>
      </c>
      <c r="D281" s="34" t="s">
        <v>166</v>
      </c>
      <c r="E281" s="34" t="s">
        <v>3</v>
      </c>
      <c r="F281" s="34" t="s">
        <v>264</v>
      </c>
      <c r="G281" s="54">
        <v>1815797278</v>
      </c>
      <c r="H281" s="54" t="s">
        <v>229</v>
      </c>
      <c r="I281" s="54" t="s">
        <v>3514</v>
      </c>
      <c r="J281" s="34" t="s">
        <v>3419</v>
      </c>
      <c r="K281" s="50">
        <v>130000</v>
      </c>
      <c r="L281" s="43">
        <v>32420</v>
      </c>
      <c r="M281" s="44">
        <f t="shared" si="28"/>
        <v>0.24938461538461537</v>
      </c>
      <c r="N281" s="49">
        <f>ROUND(L281/Summary!$C$3*Summary!$C$2,0)</f>
        <v>100502</v>
      </c>
      <c r="O281" s="44">
        <f t="shared" si="29"/>
        <v>0.77309230769230775</v>
      </c>
      <c r="P281" s="78">
        <v>10</v>
      </c>
      <c r="Q281" s="34">
        <v>1</v>
      </c>
      <c r="R281" s="35">
        <f t="shared" si="30"/>
        <v>0.1</v>
      </c>
      <c r="S281" s="49">
        <f>ROUND(Q281/Summary!$C$3*Summary!$C$2,0)</f>
        <v>3</v>
      </c>
      <c r="T281" s="44">
        <f t="shared" si="31"/>
        <v>0.3</v>
      </c>
      <c r="U281" s="34">
        <v>0</v>
      </c>
      <c r="V281" s="34">
        <v>0</v>
      </c>
      <c r="W281" s="34">
        <v>0</v>
      </c>
      <c r="X281" s="34">
        <v>0</v>
      </c>
    </row>
    <row r="282" spans="1:24" hidden="1">
      <c r="A282" s="34" t="s">
        <v>251</v>
      </c>
      <c r="B282" s="34" t="s">
        <v>252</v>
      </c>
      <c r="C282" s="34" t="s">
        <v>253</v>
      </c>
      <c r="D282" s="34" t="s">
        <v>166</v>
      </c>
      <c r="E282" s="34" t="s">
        <v>3</v>
      </c>
      <c r="F282" s="34" t="s">
        <v>254</v>
      </c>
      <c r="G282" s="54">
        <v>1829737878</v>
      </c>
      <c r="H282" s="54" t="s">
        <v>229</v>
      </c>
      <c r="I282" s="54" t="s">
        <v>3514</v>
      </c>
      <c r="J282" s="34" t="s">
        <v>3419</v>
      </c>
      <c r="K282" s="50">
        <v>183664</v>
      </c>
      <c r="L282" s="43">
        <v>46820</v>
      </c>
      <c r="M282" s="44">
        <f t="shared" si="28"/>
        <v>0.25492203153584808</v>
      </c>
      <c r="N282" s="49">
        <f>ROUND(L282/Summary!$C$3*Summary!$C$2,0)</f>
        <v>145142</v>
      </c>
      <c r="O282" s="44">
        <f t="shared" si="29"/>
        <v>0.79025829776112899</v>
      </c>
      <c r="P282" s="78">
        <v>10</v>
      </c>
      <c r="Q282" s="34">
        <v>3</v>
      </c>
      <c r="R282" s="35">
        <f t="shared" si="30"/>
        <v>0.3</v>
      </c>
      <c r="S282" s="49">
        <f>ROUND(Q282/Summary!$C$3*Summary!$C$2,0)</f>
        <v>9</v>
      </c>
      <c r="T282" s="44">
        <f t="shared" si="31"/>
        <v>0.9</v>
      </c>
      <c r="U282" s="34">
        <v>0</v>
      </c>
      <c r="V282" s="34">
        <v>0</v>
      </c>
      <c r="W282" s="34">
        <v>0</v>
      </c>
      <c r="X282" s="34">
        <v>0</v>
      </c>
    </row>
    <row r="283" spans="1:24" hidden="1">
      <c r="A283" s="34" t="s">
        <v>293</v>
      </c>
      <c r="B283" s="34" t="s">
        <v>294</v>
      </c>
      <c r="C283" s="34" t="s">
        <v>202</v>
      </c>
      <c r="D283" s="34" t="s">
        <v>166</v>
      </c>
      <c r="E283" s="34" t="s">
        <v>3</v>
      </c>
      <c r="F283" s="34" t="s">
        <v>295</v>
      </c>
      <c r="G283" s="54">
        <v>1556545294</v>
      </c>
      <c r="H283" s="54" t="s">
        <v>229</v>
      </c>
      <c r="I283" s="54" t="s">
        <v>3514</v>
      </c>
      <c r="J283" s="34" t="s">
        <v>3419</v>
      </c>
      <c r="K283" s="50">
        <v>130000</v>
      </c>
      <c r="L283" s="43">
        <v>12080</v>
      </c>
      <c r="M283" s="44">
        <f t="shared" si="28"/>
        <v>9.2923076923076928E-2</v>
      </c>
      <c r="N283" s="49">
        <f>ROUND(L283/Summary!$C$3*Summary!$C$2,0)</f>
        <v>37448</v>
      </c>
      <c r="O283" s="44">
        <f t="shared" si="29"/>
        <v>0.28806153846153848</v>
      </c>
      <c r="P283" s="78">
        <v>10</v>
      </c>
      <c r="Q283" s="34">
        <v>1</v>
      </c>
      <c r="R283" s="35">
        <f t="shared" si="30"/>
        <v>0.1</v>
      </c>
      <c r="S283" s="49">
        <f>ROUND(Q283/Summary!$C$3*Summary!$C$2,0)</f>
        <v>3</v>
      </c>
      <c r="T283" s="44">
        <f t="shared" si="31"/>
        <v>0.3</v>
      </c>
      <c r="U283" s="34">
        <v>0</v>
      </c>
      <c r="V283" s="34">
        <v>0</v>
      </c>
      <c r="W283" s="34">
        <v>0</v>
      </c>
      <c r="X283" s="34">
        <v>0</v>
      </c>
    </row>
    <row r="284" spans="1:24" hidden="1">
      <c r="A284" s="34" t="s">
        <v>282</v>
      </c>
      <c r="B284" s="34" t="s">
        <v>269</v>
      </c>
      <c r="C284" s="34" t="s">
        <v>202</v>
      </c>
      <c r="D284" s="34" t="s">
        <v>166</v>
      </c>
      <c r="E284" s="34" t="s">
        <v>3</v>
      </c>
      <c r="F284" s="34" t="s">
        <v>283</v>
      </c>
      <c r="G284" s="54">
        <v>1819536328</v>
      </c>
      <c r="H284" s="54" t="s">
        <v>229</v>
      </c>
      <c r="I284" s="54" t="s">
        <v>3514</v>
      </c>
      <c r="J284" s="34" t="s">
        <v>3515</v>
      </c>
      <c r="K284" s="50">
        <v>130000</v>
      </c>
      <c r="L284" s="43">
        <v>16820</v>
      </c>
      <c r="M284" s="44">
        <f t="shared" si="28"/>
        <v>0.12938461538461538</v>
      </c>
      <c r="N284" s="49">
        <f>ROUND(L284/Summary!$C$3*Summary!$C$2,0)</f>
        <v>52142</v>
      </c>
      <c r="O284" s="44">
        <f t="shared" si="29"/>
        <v>0.40109230769230769</v>
      </c>
      <c r="P284" s="78">
        <v>10</v>
      </c>
      <c r="Q284" s="34">
        <v>1</v>
      </c>
      <c r="R284" s="35">
        <f t="shared" si="30"/>
        <v>0.1</v>
      </c>
      <c r="S284" s="49">
        <f>ROUND(Q284/Summary!$C$3*Summary!$C$2,0)</f>
        <v>3</v>
      </c>
      <c r="T284" s="44">
        <f t="shared" si="31"/>
        <v>0.3</v>
      </c>
      <c r="U284" s="34">
        <v>0</v>
      </c>
      <c r="V284" s="34">
        <v>0</v>
      </c>
      <c r="W284" s="34">
        <v>0</v>
      </c>
      <c r="X284" s="34">
        <v>0</v>
      </c>
    </row>
    <row r="285" spans="1:24" hidden="1">
      <c r="A285" s="34" t="s">
        <v>290</v>
      </c>
      <c r="B285" s="34" t="s">
        <v>291</v>
      </c>
      <c r="C285" s="34" t="s">
        <v>202</v>
      </c>
      <c r="D285" s="34" t="s">
        <v>166</v>
      </c>
      <c r="E285" s="34" t="s">
        <v>3</v>
      </c>
      <c r="F285" s="34" t="s">
        <v>292</v>
      </c>
      <c r="G285" s="54">
        <v>1875117072</v>
      </c>
      <c r="H285" s="54" t="s">
        <v>229</v>
      </c>
      <c r="I285" s="54" t="s">
        <v>3514</v>
      </c>
      <c r="J285" s="34" t="s">
        <v>3421</v>
      </c>
      <c r="K285" s="50">
        <v>130000</v>
      </c>
      <c r="L285" s="43">
        <v>15188</v>
      </c>
      <c r="M285" s="44">
        <f t="shared" si="28"/>
        <v>0.11683076923076922</v>
      </c>
      <c r="N285" s="49">
        <f>ROUND(L285/Summary!$C$3*Summary!$C$2,0)</f>
        <v>47083</v>
      </c>
      <c r="O285" s="44">
        <f t="shared" si="29"/>
        <v>0.36217692307692306</v>
      </c>
      <c r="P285" s="78">
        <v>10</v>
      </c>
      <c r="Q285" s="34">
        <v>0</v>
      </c>
      <c r="R285" s="35">
        <f t="shared" si="30"/>
        <v>0</v>
      </c>
      <c r="S285" s="49">
        <f>ROUND(Q285/Summary!$C$3*Summary!$C$2,0)</f>
        <v>0</v>
      </c>
      <c r="T285" s="44">
        <f t="shared" si="31"/>
        <v>0</v>
      </c>
      <c r="U285" s="34">
        <v>0</v>
      </c>
      <c r="V285" s="34">
        <v>0</v>
      </c>
      <c r="W285" s="34">
        <v>0</v>
      </c>
      <c r="X285" s="34">
        <v>0</v>
      </c>
    </row>
    <row r="286" spans="1:24" hidden="1">
      <c r="A286" s="34" t="s">
        <v>284</v>
      </c>
      <c r="B286" s="34" t="s">
        <v>285</v>
      </c>
      <c r="C286" s="34" t="s">
        <v>202</v>
      </c>
      <c r="D286" s="34" t="s">
        <v>166</v>
      </c>
      <c r="E286" s="34" t="s">
        <v>3</v>
      </c>
      <c r="F286" s="34" t="s">
        <v>286</v>
      </c>
      <c r="G286" s="54">
        <v>1811199117</v>
      </c>
      <c r="H286" s="54" t="s">
        <v>229</v>
      </c>
      <c r="I286" s="54" t="s">
        <v>3514</v>
      </c>
      <c r="J286" s="34" t="s">
        <v>3419</v>
      </c>
      <c r="K286" s="50">
        <v>130000</v>
      </c>
      <c r="L286" s="43">
        <v>7590</v>
      </c>
      <c r="M286" s="44">
        <f t="shared" si="28"/>
        <v>5.8384615384615382E-2</v>
      </c>
      <c r="N286" s="49">
        <f>ROUND(L286/Summary!$C$3*Summary!$C$2,0)</f>
        <v>23529</v>
      </c>
      <c r="O286" s="44">
        <f t="shared" si="29"/>
        <v>0.1809923076923077</v>
      </c>
      <c r="P286" s="78">
        <v>10</v>
      </c>
      <c r="Q286" s="34">
        <v>1</v>
      </c>
      <c r="R286" s="35">
        <f t="shared" si="30"/>
        <v>0.1</v>
      </c>
      <c r="S286" s="49">
        <f>ROUND(Q286/Summary!$C$3*Summary!$C$2,0)</f>
        <v>3</v>
      </c>
      <c r="T286" s="44">
        <f t="shared" si="31"/>
        <v>0.3</v>
      </c>
      <c r="U286" s="34">
        <v>0</v>
      </c>
      <c r="V286" s="34">
        <v>0</v>
      </c>
      <c r="W286" s="34">
        <v>1</v>
      </c>
      <c r="X286" s="34">
        <v>0</v>
      </c>
    </row>
    <row r="287" spans="1:24" hidden="1">
      <c r="A287" s="34" t="s">
        <v>280</v>
      </c>
      <c r="B287" s="34" t="s">
        <v>202</v>
      </c>
      <c r="C287" s="34" t="s">
        <v>202</v>
      </c>
      <c r="D287" s="34" t="s">
        <v>166</v>
      </c>
      <c r="E287" s="34" t="s">
        <v>3</v>
      </c>
      <c r="F287" s="34" t="s">
        <v>281</v>
      </c>
      <c r="G287" s="54">
        <v>1820302279</v>
      </c>
      <c r="H287" s="54" t="s">
        <v>229</v>
      </c>
      <c r="I287" s="54" t="s">
        <v>3514</v>
      </c>
      <c r="J287" s="34" t="s">
        <v>3419</v>
      </c>
      <c r="K287" s="50">
        <v>192657</v>
      </c>
      <c r="L287" s="43">
        <v>54809</v>
      </c>
      <c r="M287" s="44">
        <f t="shared" si="28"/>
        <v>0.28449005226905849</v>
      </c>
      <c r="N287" s="49">
        <f>ROUND(L287/Summary!$C$3*Summary!$C$2,0)</f>
        <v>169908</v>
      </c>
      <c r="O287" s="44">
        <f t="shared" si="29"/>
        <v>0.88191968109126584</v>
      </c>
      <c r="P287" s="78">
        <v>10</v>
      </c>
      <c r="Q287" s="34">
        <v>3</v>
      </c>
      <c r="R287" s="35">
        <f t="shared" si="30"/>
        <v>0.3</v>
      </c>
      <c r="S287" s="49">
        <f>ROUND(Q287/Summary!$C$3*Summary!$C$2,0)</f>
        <v>9</v>
      </c>
      <c r="T287" s="44">
        <f t="shared" si="31"/>
        <v>0.9</v>
      </c>
      <c r="U287" s="34">
        <v>1</v>
      </c>
      <c r="V287" s="34">
        <v>2</v>
      </c>
      <c r="W287" s="34">
        <v>0</v>
      </c>
      <c r="X287" s="34">
        <v>0</v>
      </c>
    </row>
    <row r="288" spans="1:24" hidden="1">
      <c r="A288" s="34" t="s">
        <v>287</v>
      </c>
      <c r="B288" s="34" t="s">
        <v>288</v>
      </c>
      <c r="C288" s="34" t="s">
        <v>202</v>
      </c>
      <c r="D288" s="34" t="s">
        <v>166</v>
      </c>
      <c r="E288" s="34" t="s">
        <v>3</v>
      </c>
      <c r="F288" s="34" t="s">
        <v>289</v>
      </c>
      <c r="G288" s="54">
        <v>1881095594</v>
      </c>
      <c r="H288" s="54" t="s">
        <v>229</v>
      </c>
      <c r="I288" s="54" t="s">
        <v>3514</v>
      </c>
      <c r="J288" s="34" t="s">
        <v>3419</v>
      </c>
      <c r="K288" s="50">
        <v>130000</v>
      </c>
      <c r="L288" s="43">
        <v>43089</v>
      </c>
      <c r="M288" s="44">
        <f t="shared" si="28"/>
        <v>0.33145384615384615</v>
      </c>
      <c r="N288" s="49">
        <f>ROUND(L288/Summary!$C$3*Summary!$C$2,0)</f>
        <v>133576</v>
      </c>
      <c r="O288" s="44">
        <f t="shared" si="29"/>
        <v>1.0275076923076922</v>
      </c>
      <c r="P288" s="78">
        <v>10</v>
      </c>
      <c r="Q288" s="34">
        <v>2</v>
      </c>
      <c r="R288" s="35">
        <f t="shared" si="30"/>
        <v>0.2</v>
      </c>
      <c r="S288" s="49">
        <f>ROUND(Q288/Summary!$C$3*Summary!$C$2,0)</f>
        <v>6</v>
      </c>
      <c r="T288" s="44">
        <f t="shared" si="31"/>
        <v>0.6</v>
      </c>
      <c r="U288" s="34">
        <v>0</v>
      </c>
      <c r="V288" s="34">
        <v>1</v>
      </c>
      <c r="W288" s="34">
        <v>0</v>
      </c>
      <c r="X288" s="34">
        <v>0</v>
      </c>
    </row>
    <row r="289" spans="1:24" hidden="1">
      <c r="A289" s="34" t="s">
        <v>1103</v>
      </c>
      <c r="B289" s="34" t="s">
        <v>1104</v>
      </c>
      <c r="C289" s="34" t="s">
        <v>130</v>
      </c>
      <c r="D289" s="34" t="s">
        <v>49</v>
      </c>
      <c r="E289" s="34" t="s">
        <v>7</v>
      </c>
      <c r="F289" s="34" t="s">
        <v>1105</v>
      </c>
      <c r="G289" s="54">
        <v>1688616468</v>
      </c>
      <c r="H289" s="54" t="s">
        <v>229</v>
      </c>
      <c r="I289" s="54" t="s">
        <v>3514</v>
      </c>
      <c r="J289" s="34" t="s">
        <v>3419</v>
      </c>
      <c r="K289" s="50">
        <v>241541</v>
      </c>
      <c r="L289" s="43">
        <v>40310</v>
      </c>
      <c r="M289" s="44">
        <f t="shared" si="28"/>
        <v>0.16688678112618563</v>
      </c>
      <c r="N289" s="49">
        <f>ROUND(L289/Summary!$C$3*Summary!$C$2,0)</f>
        <v>124961</v>
      </c>
      <c r="O289" s="44">
        <f t="shared" si="29"/>
        <v>0.51734902149117545</v>
      </c>
      <c r="P289" s="78">
        <v>12</v>
      </c>
      <c r="Q289" s="34">
        <v>4</v>
      </c>
      <c r="R289" s="35">
        <f t="shared" si="30"/>
        <v>0.33333333333333331</v>
      </c>
      <c r="S289" s="49">
        <f>ROUND(Q289/Summary!$C$3*Summary!$C$2,0)</f>
        <v>12</v>
      </c>
      <c r="T289" s="44">
        <f t="shared" si="31"/>
        <v>1</v>
      </c>
      <c r="U289" s="34">
        <v>0</v>
      </c>
      <c r="V289" s="34">
        <v>0</v>
      </c>
      <c r="W289" s="34">
        <v>0</v>
      </c>
      <c r="X289" s="34">
        <v>0</v>
      </c>
    </row>
    <row r="290" spans="1:24" hidden="1">
      <c r="A290" s="34" t="s">
        <v>1114</v>
      </c>
      <c r="B290" s="34" t="s">
        <v>1115</v>
      </c>
      <c r="C290" s="34" t="s">
        <v>130</v>
      </c>
      <c r="D290" s="34" t="s">
        <v>49</v>
      </c>
      <c r="E290" s="34" t="s">
        <v>7</v>
      </c>
      <c r="F290" s="34" t="s">
        <v>1116</v>
      </c>
      <c r="G290" s="54">
        <v>1946716383</v>
      </c>
      <c r="H290" s="54" t="s">
        <v>229</v>
      </c>
      <c r="I290" s="54" t="s">
        <v>3514</v>
      </c>
      <c r="J290" s="34" t="s">
        <v>3515</v>
      </c>
      <c r="K290" s="50">
        <v>150000</v>
      </c>
      <c r="L290" s="43">
        <v>11730</v>
      </c>
      <c r="M290" s="44">
        <f t="shared" si="28"/>
        <v>7.8200000000000006E-2</v>
      </c>
      <c r="N290" s="49">
        <f>ROUND(L290/Summary!$C$3*Summary!$C$2,0)</f>
        <v>36363</v>
      </c>
      <c r="O290" s="44">
        <f t="shared" si="29"/>
        <v>0.24242</v>
      </c>
      <c r="P290" s="78">
        <v>10</v>
      </c>
      <c r="Q290" s="34">
        <v>1</v>
      </c>
      <c r="R290" s="35">
        <f t="shared" si="30"/>
        <v>0.1</v>
      </c>
      <c r="S290" s="49">
        <f>ROUND(Q290/Summary!$C$3*Summary!$C$2,0)</f>
        <v>3</v>
      </c>
      <c r="T290" s="44">
        <f t="shared" si="31"/>
        <v>0.3</v>
      </c>
      <c r="U290" s="34">
        <v>0</v>
      </c>
      <c r="V290" s="34">
        <v>0</v>
      </c>
      <c r="W290" s="34">
        <v>0</v>
      </c>
      <c r="X290" s="34">
        <v>0</v>
      </c>
    </row>
    <row r="291" spans="1:24" hidden="1">
      <c r="A291" s="34" t="s">
        <v>3026</v>
      </c>
      <c r="B291" s="34" t="s">
        <v>3027</v>
      </c>
      <c r="C291" s="34" t="s">
        <v>130</v>
      </c>
      <c r="D291" s="34" t="s">
        <v>49</v>
      </c>
      <c r="E291" s="34" t="s">
        <v>7</v>
      </c>
      <c r="F291" s="34" t="s">
        <v>3028</v>
      </c>
      <c r="G291" s="54">
        <v>1719321804</v>
      </c>
      <c r="H291" s="54" t="s">
        <v>229</v>
      </c>
      <c r="I291" s="54" t="s">
        <v>3514</v>
      </c>
      <c r="J291" s="34" t="s">
        <v>3419</v>
      </c>
      <c r="K291" s="50">
        <v>275841</v>
      </c>
      <c r="L291" s="43">
        <v>106545</v>
      </c>
      <c r="M291" s="44">
        <f t="shared" si="28"/>
        <v>0.38625512523518984</v>
      </c>
      <c r="N291" s="49">
        <f>ROUND(L291/Summary!$C$3*Summary!$C$2,0)</f>
        <v>330290</v>
      </c>
      <c r="O291" s="44">
        <f t="shared" si="29"/>
        <v>1.1973927008675287</v>
      </c>
      <c r="P291" s="78">
        <v>18</v>
      </c>
      <c r="Q291" s="34">
        <v>4</v>
      </c>
      <c r="R291" s="35">
        <f t="shared" si="30"/>
        <v>0.22222222222222221</v>
      </c>
      <c r="S291" s="49">
        <f>ROUND(Q291/Summary!$C$3*Summary!$C$2,0)</f>
        <v>12</v>
      </c>
      <c r="T291" s="44">
        <f t="shared" si="31"/>
        <v>0.66666666666666663</v>
      </c>
      <c r="U291" s="34">
        <v>1</v>
      </c>
      <c r="V291" s="34">
        <v>0</v>
      </c>
      <c r="W291" s="34">
        <v>0</v>
      </c>
      <c r="X291" s="34">
        <v>0</v>
      </c>
    </row>
    <row r="292" spans="1:24" hidden="1">
      <c r="A292" s="34" t="s">
        <v>1098</v>
      </c>
      <c r="B292" s="34" t="s">
        <v>1099</v>
      </c>
      <c r="C292" s="34" t="s">
        <v>130</v>
      </c>
      <c r="D292" s="34" t="s">
        <v>49</v>
      </c>
      <c r="E292" s="34" t="s">
        <v>7</v>
      </c>
      <c r="F292" s="34" t="s">
        <v>1100</v>
      </c>
      <c r="G292" s="54">
        <v>1796606028</v>
      </c>
      <c r="H292" s="54" t="s">
        <v>229</v>
      </c>
      <c r="I292" s="54" t="s">
        <v>3514</v>
      </c>
      <c r="J292" s="34" t="s">
        <v>3421</v>
      </c>
      <c r="K292" s="50">
        <v>166419</v>
      </c>
      <c r="L292" s="43">
        <v>70775</v>
      </c>
      <c r="M292" s="44">
        <f t="shared" si="28"/>
        <v>0.42528196900594284</v>
      </c>
      <c r="N292" s="49">
        <f>ROUND(L292/Summary!$C$3*Summary!$C$2,0)</f>
        <v>219403</v>
      </c>
      <c r="O292" s="44">
        <f t="shared" si="29"/>
        <v>1.3183771083830573</v>
      </c>
      <c r="P292" s="78">
        <v>12</v>
      </c>
      <c r="Q292" s="34">
        <v>5</v>
      </c>
      <c r="R292" s="35">
        <f t="shared" si="30"/>
        <v>0.41666666666666669</v>
      </c>
      <c r="S292" s="49">
        <f>ROUND(Q292/Summary!$C$3*Summary!$C$2,0)</f>
        <v>16</v>
      </c>
      <c r="T292" s="44">
        <f t="shared" si="31"/>
        <v>1.3333333333333333</v>
      </c>
      <c r="U292" s="34">
        <v>0</v>
      </c>
      <c r="V292" s="34">
        <v>0</v>
      </c>
      <c r="W292" s="34">
        <v>1</v>
      </c>
      <c r="X292" s="34">
        <v>3</v>
      </c>
    </row>
    <row r="293" spans="1:24" hidden="1">
      <c r="A293" s="34" t="s">
        <v>1106</v>
      </c>
      <c r="B293" s="34" t="s">
        <v>1107</v>
      </c>
      <c r="C293" s="34" t="s">
        <v>130</v>
      </c>
      <c r="D293" s="34" t="s">
        <v>49</v>
      </c>
      <c r="E293" s="34" t="s">
        <v>7</v>
      </c>
      <c r="F293" s="34" t="s">
        <v>1108</v>
      </c>
      <c r="G293" s="54">
        <v>1820100114</v>
      </c>
      <c r="H293" s="54" t="s">
        <v>229</v>
      </c>
      <c r="I293" s="54" t="s">
        <v>3514</v>
      </c>
      <c r="J293" s="34" t="s">
        <v>3515</v>
      </c>
      <c r="K293" s="50">
        <v>130000</v>
      </c>
      <c r="L293" s="43">
        <v>31910</v>
      </c>
      <c r="M293" s="44">
        <f t="shared" si="28"/>
        <v>0.24546153846153845</v>
      </c>
      <c r="N293" s="49">
        <f>ROUND(L293/Summary!$C$3*Summary!$C$2,0)</f>
        <v>98921</v>
      </c>
      <c r="O293" s="44">
        <f t="shared" si="29"/>
        <v>0.76093076923076919</v>
      </c>
      <c r="P293" s="78">
        <v>10</v>
      </c>
      <c r="Q293" s="34">
        <v>3</v>
      </c>
      <c r="R293" s="35">
        <f t="shared" si="30"/>
        <v>0.3</v>
      </c>
      <c r="S293" s="49">
        <f>ROUND(Q293/Summary!$C$3*Summary!$C$2,0)</f>
        <v>9</v>
      </c>
      <c r="T293" s="44">
        <f t="shared" si="31"/>
        <v>0.9</v>
      </c>
      <c r="U293" s="34">
        <v>1</v>
      </c>
      <c r="V293" s="34">
        <v>0</v>
      </c>
      <c r="W293" s="34">
        <v>1</v>
      </c>
      <c r="X293" s="34">
        <v>0</v>
      </c>
    </row>
    <row r="294" spans="1:24" hidden="1">
      <c r="A294" s="34" t="s">
        <v>2908</v>
      </c>
      <c r="B294" s="34" t="s">
        <v>2909</v>
      </c>
      <c r="C294" s="34" t="s">
        <v>130</v>
      </c>
      <c r="D294" s="34" t="s">
        <v>49</v>
      </c>
      <c r="E294" s="34" t="s">
        <v>7</v>
      </c>
      <c r="F294" s="34" t="s">
        <v>2910</v>
      </c>
      <c r="G294" s="54">
        <v>1715155223</v>
      </c>
      <c r="H294" s="54" t="s">
        <v>229</v>
      </c>
      <c r="I294" s="54" t="s">
        <v>3518</v>
      </c>
      <c r="J294" s="34" t="s">
        <v>3419</v>
      </c>
      <c r="K294" s="50">
        <v>481451</v>
      </c>
      <c r="L294" s="43">
        <v>199809</v>
      </c>
      <c r="M294" s="44">
        <f t="shared" si="28"/>
        <v>0.41501419666798905</v>
      </c>
      <c r="N294" s="49">
        <f>ROUND(L294/Summary!$C$3*Summary!$C$2,0)</f>
        <v>619408</v>
      </c>
      <c r="O294" s="44">
        <f t="shared" si="29"/>
        <v>1.2865442173762232</v>
      </c>
      <c r="P294" s="78">
        <v>34</v>
      </c>
      <c r="Q294" s="34">
        <v>12</v>
      </c>
      <c r="R294" s="35">
        <f t="shared" si="30"/>
        <v>0.35294117647058826</v>
      </c>
      <c r="S294" s="49">
        <f>ROUND(Q294/Summary!$C$3*Summary!$C$2,0)</f>
        <v>37</v>
      </c>
      <c r="T294" s="44">
        <f t="shared" si="31"/>
        <v>1.088235294117647</v>
      </c>
      <c r="U294" s="34">
        <v>0</v>
      </c>
      <c r="V294" s="34">
        <v>0</v>
      </c>
      <c r="W294" s="34">
        <v>0</v>
      </c>
      <c r="X294" s="34">
        <v>2</v>
      </c>
    </row>
    <row r="295" spans="1:24" hidden="1">
      <c r="A295" s="34" t="s">
        <v>1235</v>
      </c>
      <c r="B295" s="34" t="s">
        <v>1236</v>
      </c>
      <c r="C295" s="34" t="s">
        <v>130</v>
      </c>
      <c r="D295" s="34" t="s">
        <v>49</v>
      </c>
      <c r="E295" s="34" t="s">
        <v>7</v>
      </c>
      <c r="F295" s="34" t="s">
        <v>1237</v>
      </c>
      <c r="G295" s="54">
        <v>1967976831</v>
      </c>
      <c r="H295" s="54" t="s">
        <v>229</v>
      </c>
      <c r="I295" s="54" t="s">
        <v>3514</v>
      </c>
      <c r="J295" s="34" t="s">
        <v>3419</v>
      </c>
      <c r="K295" s="50">
        <v>130000</v>
      </c>
      <c r="L295" s="43">
        <v>22470</v>
      </c>
      <c r="M295" s="44">
        <f t="shared" si="28"/>
        <v>0.17284615384615384</v>
      </c>
      <c r="N295" s="49">
        <f>ROUND(L295/Summary!$C$3*Summary!$C$2,0)</f>
        <v>69657</v>
      </c>
      <c r="O295" s="44">
        <f t="shared" si="29"/>
        <v>0.53582307692307696</v>
      </c>
      <c r="P295" s="78">
        <v>10</v>
      </c>
      <c r="Q295" s="34">
        <v>3</v>
      </c>
      <c r="R295" s="35">
        <f t="shared" si="30"/>
        <v>0.3</v>
      </c>
      <c r="S295" s="49">
        <f>ROUND(Q295/Summary!$C$3*Summary!$C$2,0)</f>
        <v>9</v>
      </c>
      <c r="T295" s="44">
        <f t="shared" si="31"/>
        <v>0.9</v>
      </c>
      <c r="U295" s="34">
        <v>0</v>
      </c>
      <c r="V295" s="34">
        <v>0</v>
      </c>
      <c r="W295" s="34">
        <v>0</v>
      </c>
      <c r="X295" s="34">
        <v>0</v>
      </c>
    </row>
    <row r="296" spans="1:24" hidden="1">
      <c r="A296" s="34" t="s">
        <v>1125</v>
      </c>
      <c r="B296" s="34" t="s">
        <v>1126</v>
      </c>
      <c r="C296" s="34" t="s">
        <v>130</v>
      </c>
      <c r="D296" s="34" t="s">
        <v>49</v>
      </c>
      <c r="E296" s="34" t="s">
        <v>7</v>
      </c>
      <c r="F296" s="34" t="s">
        <v>1127</v>
      </c>
      <c r="G296" s="54">
        <v>1819985015</v>
      </c>
      <c r="H296" s="54" t="s">
        <v>229</v>
      </c>
      <c r="I296" s="54" t="s">
        <v>3518</v>
      </c>
      <c r="J296" s="34" t="s">
        <v>3419</v>
      </c>
      <c r="K296" s="50">
        <v>467272</v>
      </c>
      <c r="L296" s="43">
        <v>135640</v>
      </c>
      <c r="M296" s="44">
        <f t="shared" si="28"/>
        <v>0.29028060744063416</v>
      </c>
      <c r="N296" s="49">
        <f>ROUND(L296/Summary!$C$3*Summary!$C$2,0)</f>
        <v>420484</v>
      </c>
      <c r="O296" s="44">
        <f t="shared" si="29"/>
        <v>0.89986988306596583</v>
      </c>
      <c r="P296" s="78">
        <v>29</v>
      </c>
      <c r="Q296" s="34">
        <v>6</v>
      </c>
      <c r="R296" s="35">
        <f t="shared" si="30"/>
        <v>0.20689655172413793</v>
      </c>
      <c r="S296" s="49">
        <f>ROUND(Q296/Summary!$C$3*Summary!$C$2,0)</f>
        <v>19</v>
      </c>
      <c r="T296" s="44">
        <f t="shared" si="31"/>
        <v>0.65517241379310343</v>
      </c>
      <c r="U296" s="34">
        <v>1</v>
      </c>
      <c r="V296" s="34">
        <v>2</v>
      </c>
      <c r="W296" s="34">
        <v>0</v>
      </c>
      <c r="X296" s="34">
        <v>1</v>
      </c>
    </row>
    <row r="297" spans="1:24" hidden="1">
      <c r="A297" s="34" t="s">
        <v>1169</v>
      </c>
      <c r="B297" s="34" t="s">
        <v>1170</v>
      </c>
      <c r="C297" s="34" t="s">
        <v>130</v>
      </c>
      <c r="D297" s="34" t="s">
        <v>49</v>
      </c>
      <c r="E297" s="34" t="s">
        <v>7</v>
      </c>
      <c r="F297" s="34" t="s">
        <v>1171</v>
      </c>
      <c r="G297" s="54">
        <v>1915626523</v>
      </c>
      <c r="H297" s="54" t="s">
        <v>229</v>
      </c>
      <c r="I297" s="54" t="s">
        <v>3514</v>
      </c>
      <c r="J297" s="34" t="s">
        <v>3421</v>
      </c>
      <c r="K297" s="50">
        <v>130000</v>
      </c>
      <c r="L297" s="43">
        <v>19870</v>
      </c>
      <c r="M297" s="44">
        <f t="shared" si="28"/>
        <v>0.15284615384615385</v>
      </c>
      <c r="N297" s="49">
        <f>ROUND(L297/Summary!$C$3*Summary!$C$2,0)</f>
        <v>61597</v>
      </c>
      <c r="O297" s="44">
        <f t="shared" si="29"/>
        <v>0.4738230769230769</v>
      </c>
      <c r="P297" s="78">
        <v>10</v>
      </c>
      <c r="Q297" s="34">
        <v>3</v>
      </c>
      <c r="R297" s="35">
        <f t="shared" si="30"/>
        <v>0.3</v>
      </c>
      <c r="S297" s="49">
        <f>ROUND(Q297/Summary!$C$3*Summary!$C$2,0)</f>
        <v>9</v>
      </c>
      <c r="T297" s="44">
        <f t="shared" si="31"/>
        <v>0.9</v>
      </c>
      <c r="U297" s="34">
        <v>0</v>
      </c>
      <c r="V297" s="34">
        <v>1</v>
      </c>
      <c r="W297" s="34">
        <v>0</v>
      </c>
      <c r="X297" s="34">
        <v>0</v>
      </c>
    </row>
    <row r="298" spans="1:24" hidden="1">
      <c r="A298" s="34" t="s">
        <v>1205</v>
      </c>
      <c r="B298" s="34" t="s">
        <v>1206</v>
      </c>
      <c r="C298" s="34" t="s">
        <v>130</v>
      </c>
      <c r="D298" s="34" t="s">
        <v>49</v>
      </c>
      <c r="E298" s="34" t="s">
        <v>7</v>
      </c>
      <c r="F298" s="34" t="s">
        <v>1207</v>
      </c>
      <c r="G298" s="54">
        <v>1967997289</v>
      </c>
      <c r="H298" s="54" t="s">
        <v>229</v>
      </c>
      <c r="I298" s="54" t="s">
        <v>3514</v>
      </c>
      <c r="J298" s="34" t="s">
        <v>3421</v>
      </c>
      <c r="K298" s="50">
        <v>130000</v>
      </c>
      <c r="L298" s="43">
        <v>23519</v>
      </c>
      <c r="M298" s="44">
        <f t="shared" si="28"/>
        <v>0.18091538461538462</v>
      </c>
      <c r="N298" s="49">
        <f>ROUND(L298/Summary!$C$3*Summary!$C$2,0)</f>
        <v>72909</v>
      </c>
      <c r="O298" s="44">
        <f t="shared" si="29"/>
        <v>0.56083846153846151</v>
      </c>
      <c r="P298" s="78">
        <v>10</v>
      </c>
      <c r="Q298" s="34">
        <v>1</v>
      </c>
      <c r="R298" s="35">
        <f t="shared" si="30"/>
        <v>0.1</v>
      </c>
      <c r="S298" s="49">
        <f>ROUND(Q298/Summary!$C$3*Summary!$C$2,0)</f>
        <v>3</v>
      </c>
      <c r="T298" s="44">
        <f t="shared" si="31"/>
        <v>0.3</v>
      </c>
      <c r="U298" s="34">
        <v>0</v>
      </c>
      <c r="V298" s="34">
        <v>0</v>
      </c>
      <c r="W298" s="34">
        <v>0</v>
      </c>
      <c r="X298" s="34">
        <v>0</v>
      </c>
    </row>
    <row r="299" spans="1:24" hidden="1">
      <c r="A299" s="34" t="s">
        <v>1199</v>
      </c>
      <c r="B299" s="34" t="s">
        <v>1200</v>
      </c>
      <c r="C299" s="34" t="s">
        <v>130</v>
      </c>
      <c r="D299" s="34" t="s">
        <v>49</v>
      </c>
      <c r="E299" s="34" t="s">
        <v>7</v>
      </c>
      <c r="F299" s="34" t="s">
        <v>1201</v>
      </c>
      <c r="G299" s="54">
        <v>1819170092</v>
      </c>
      <c r="H299" s="54" t="s">
        <v>229</v>
      </c>
      <c r="I299" s="54" t="s">
        <v>3514</v>
      </c>
      <c r="J299" s="34" t="s">
        <v>3421</v>
      </c>
      <c r="K299" s="50">
        <v>191120</v>
      </c>
      <c r="L299" s="43">
        <v>10030</v>
      </c>
      <c r="M299" s="44">
        <f t="shared" si="28"/>
        <v>5.2480117203850984E-2</v>
      </c>
      <c r="N299" s="49">
        <f>ROUND(L299/Summary!$C$3*Summary!$C$2,0)</f>
        <v>31093</v>
      </c>
      <c r="O299" s="44">
        <f t="shared" si="29"/>
        <v>0.16268836333193806</v>
      </c>
      <c r="P299" s="78">
        <v>15</v>
      </c>
      <c r="Q299" s="34">
        <v>0</v>
      </c>
      <c r="R299" s="35">
        <f t="shared" si="30"/>
        <v>0</v>
      </c>
      <c r="S299" s="49">
        <f>ROUND(Q299/Summary!$C$3*Summary!$C$2,0)</f>
        <v>0</v>
      </c>
      <c r="T299" s="44">
        <f t="shared" si="31"/>
        <v>0</v>
      </c>
      <c r="U299" s="34">
        <v>0</v>
      </c>
      <c r="V299" s="34">
        <v>0</v>
      </c>
      <c r="W299" s="34">
        <v>0</v>
      </c>
      <c r="X299" s="34">
        <v>0</v>
      </c>
    </row>
    <row r="300" spans="1:24" hidden="1">
      <c r="A300" s="34" t="s">
        <v>1109</v>
      </c>
      <c r="B300" s="34" t="s">
        <v>1110</v>
      </c>
      <c r="C300" s="34" t="s">
        <v>130</v>
      </c>
      <c r="D300" s="34" t="s">
        <v>49</v>
      </c>
      <c r="E300" s="34" t="s">
        <v>7</v>
      </c>
      <c r="F300" s="34" t="s">
        <v>1111</v>
      </c>
      <c r="G300" s="54">
        <v>1911395840</v>
      </c>
      <c r="H300" s="54" t="s">
        <v>229</v>
      </c>
      <c r="I300" s="54" t="s">
        <v>3514</v>
      </c>
      <c r="J300" s="34" t="s">
        <v>3515</v>
      </c>
      <c r="K300" s="50">
        <v>297464</v>
      </c>
      <c r="L300" s="43">
        <v>81230</v>
      </c>
      <c r="M300" s="44">
        <f t="shared" si="28"/>
        <v>0.27307506118387437</v>
      </c>
      <c r="N300" s="49">
        <f>ROUND(L300/Summary!$C$3*Summary!$C$2,0)</f>
        <v>251813</v>
      </c>
      <c r="O300" s="44">
        <f t="shared" si="29"/>
        <v>0.8465326896700105</v>
      </c>
      <c r="P300" s="78">
        <v>20</v>
      </c>
      <c r="Q300" s="34">
        <v>4</v>
      </c>
      <c r="R300" s="35">
        <f t="shared" si="30"/>
        <v>0.2</v>
      </c>
      <c r="S300" s="49">
        <f>ROUND(Q300/Summary!$C$3*Summary!$C$2,0)</f>
        <v>12</v>
      </c>
      <c r="T300" s="44">
        <f t="shared" si="31"/>
        <v>0.6</v>
      </c>
      <c r="U300" s="34">
        <v>0</v>
      </c>
      <c r="V300" s="34">
        <v>0</v>
      </c>
      <c r="W300" s="34">
        <v>0</v>
      </c>
      <c r="X300" s="34">
        <v>0</v>
      </c>
    </row>
    <row r="301" spans="1:24" hidden="1">
      <c r="A301" s="34" t="s">
        <v>1244</v>
      </c>
      <c r="B301" s="34" t="s">
        <v>1245</v>
      </c>
      <c r="C301" s="34" t="s">
        <v>130</v>
      </c>
      <c r="D301" s="34" t="s">
        <v>49</v>
      </c>
      <c r="E301" s="34" t="s">
        <v>7</v>
      </c>
      <c r="F301" s="34" t="s">
        <v>1246</v>
      </c>
      <c r="G301" s="54">
        <v>1812226012</v>
      </c>
      <c r="H301" s="54" t="s">
        <v>229</v>
      </c>
      <c r="I301" s="54" t="s">
        <v>3514</v>
      </c>
      <c r="J301" s="34" t="s">
        <v>3421</v>
      </c>
      <c r="K301" s="50">
        <v>130000</v>
      </c>
      <c r="L301" s="43">
        <v>23510</v>
      </c>
      <c r="M301" s="44">
        <f t="shared" si="28"/>
        <v>0.18084615384615385</v>
      </c>
      <c r="N301" s="49">
        <f>ROUND(L301/Summary!$C$3*Summary!$C$2,0)</f>
        <v>72881</v>
      </c>
      <c r="O301" s="44">
        <f t="shared" si="29"/>
        <v>0.56062307692307689</v>
      </c>
      <c r="P301" s="78">
        <v>10</v>
      </c>
      <c r="Q301" s="34">
        <v>2</v>
      </c>
      <c r="R301" s="35">
        <f t="shared" si="30"/>
        <v>0.2</v>
      </c>
      <c r="S301" s="49">
        <f>ROUND(Q301/Summary!$C$3*Summary!$C$2,0)</f>
        <v>6</v>
      </c>
      <c r="T301" s="44">
        <f t="shared" si="31"/>
        <v>0.6</v>
      </c>
      <c r="U301" s="34">
        <v>0</v>
      </c>
      <c r="V301" s="34">
        <v>1</v>
      </c>
      <c r="W301" s="34">
        <v>0</v>
      </c>
      <c r="X301" s="34">
        <v>0</v>
      </c>
    </row>
    <row r="302" spans="1:24" hidden="1">
      <c r="A302" s="34" t="s">
        <v>1128</v>
      </c>
      <c r="B302" s="34" t="s">
        <v>1129</v>
      </c>
      <c r="C302" s="34" t="s">
        <v>209</v>
      </c>
      <c r="D302" s="34" t="s">
        <v>49</v>
      </c>
      <c r="E302" s="34" t="s">
        <v>7</v>
      </c>
      <c r="F302" s="34" t="s">
        <v>1130</v>
      </c>
      <c r="G302" s="54">
        <v>1824168475</v>
      </c>
      <c r="H302" s="54" t="s">
        <v>229</v>
      </c>
      <c r="I302" s="54" t="s">
        <v>3514</v>
      </c>
      <c r="J302" s="34" t="s">
        <v>3421</v>
      </c>
      <c r="K302" s="50">
        <v>130000</v>
      </c>
      <c r="L302" s="43">
        <v>15570</v>
      </c>
      <c r="M302" s="44">
        <f t="shared" si="28"/>
        <v>0.11976923076923077</v>
      </c>
      <c r="N302" s="49">
        <f>ROUND(L302/Summary!$C$3*Summary!$C$2,0)</f>
        <v>48267</v>
      </c>
      <c r="O302" s="44">
        <f t="shared" si="29"/>
        <v>0.37128461538461538</v>
      </c>
      <c r="P302" s="78">
        <v>10</v>
      </c>
      <c r="Q302" s="34">
        <v>0</v>
      </c>
      <c r="R302" s="35">
        <f t="shared" si="30"/>
        <v>0</v>
      </c>
      <c r="S302" s="49">
        <f>ROUND(Q302/Summary!$C$3*Summary!$C$2,0)</f>
        <v>0</v>
      </c>
      <c r="T302" s="44">
        <f t="shared" si="31"/>
        <v>0</v>
      </c>
      <c r="U302" s="34">
        <v>0</v>
      </c>
      <c r="V302" s="34">
        <v>0</v>
      </c>
      <c r="W302" s="34">
        <v>0</v>
      </c>
      <c r="X302" s="34">
        <v>0</v>
      </c>
    </row>
    <row r="303" spans="1:24" hidden="1">
      <c r="A303" s="34" t="s">
        <v>1089</v>
      </c>
      <c r="B303" s="34" t="s">
        <v>1090</v>
      </c>
      <c r="C303" s="34" t="s">
        <v>209</v>
      </c>
      <c r="D303" s="34" t="s">
        <v>49</v>
      </c>
      <c r="E303" s="34" t="s">
        <v>7</v>
      </c>
      <c r="F303" s="34" t="s">
        <v>1091</v>
      </c>
      <c r="G303" s="54">
        <v>1739180818</v>
      </c>
      <c r="H303" s="54" t="s">
        <v>229</v>
      </c>
      <c r="I303" s="54" t="s">
        <v>3518</v>
      </c>
      <c r="J303" s="34" t="s">
        <v>3419</v>
      </c>
      <c r="K303" s="50">
        <v>476183</v>
      </c>
      <c r="L303" s="43">
        <v>62617</v>
      </c>
      <c r="M303" s="44">
        <f t="shared" si="28"/>
        <v>0.13149776451490289</v>
      </c>
      <c r="N303" s="49">
        <f>ROUND(L303/Summary!$C$3*Summary!$C$2,0)</f>
        <v>194113</v>
      </c>
      <c r="O303" s="44">
        <f t="shared" si="29"/>
        <v>0.40764370000609007</v>
      </c>
      <c r="P303" s="78">
        <v>37</v>
      </c>
      <c r="Q303" s="34">
        <v>1</v>
      </c>
      <c r="R303" s="35">
        <f t="shared" si="30"/>
        <v>2.7027027027027029E-2</v>
      </c>
      <c r="S303" s="49">
        <f>ROUND(Q303/Summary!$C$3*Summary!$C$2,0)</f>
        <v>3</v>
      </c>
      <c r="T303" s="44">
        <f t="shared" si="31"/>
        <v>8.1081081081081086E-2</v>
      </c>
      <c r="U303" s="34">
        <v>0</v>
      </c>
      <c r="V303" s="34">
        <v>0</v>
      </c>
      <c r="W303" s="34">
        <v>0</v>
      </c>
      <c r="X303" s="34">
        <v>1</v>
      </c>
    </row>
    <row r="304" spans="1:24" hidden="1">
      <c r="A304" s="34" t="s">
        <v>1117</v>
      </c>
      <c r="B304" s="34" t="s">
        <v>1118</v>
      </c>
      <c r="C304" s="34" t="s">
        <v>209</v>
      </c>
      <c r="D304" s="34" t="s">
        <v>49</v>
      </c>
      <c r="E304" s="34" t="s">
        <v>7</v>
      </c>
      <c r="F304" s="34" t="s">
        <v>1119</v>
      </c>
      <c r="G304" s="54">
        <v>1677762454</v>
      </c>
      <c r="H304" s="54" t="s">
        <v>229</v>
      </c>
      <c r="I304" s="54" t="s">
        <v>3514</v>
      </c>
      <c r="J304" s="34" t="s">
        <v>3421</v>
      </c>
      <c r="K304" s="50">
        <v>130000</v>
      </c>
      <c r="L304" s="43">
        <v>22195</v>
      </c>
      <c r="M304" s="44">
        <f t="shared" si="28"/>
        <v>0.17073076923076924</v>
      </c>
      <c r="N304" s="49">
        <f>ROUND(L304/Summary!$C$3*Summary!$C$2,0)</f>
        <v>68805</v>
      </c>
      <c r="O304" s="44">
        <f t="shared" si="29"/>
        <v>0.52926923076923071</v>
      </c>
      <c r="P304" s="78">
        <v>10</v>
      </c>
      <c r="Q304" s="34">
        <v>1</v>
      </c>
      <c r="R304" s="35">
        <f t="shared" si="30"/>
        <v>0.1</v>
      </c>
      <c r="S304" s="49">
        <f>ROUND(Q304/Summary!$C$3*Summary!$C$2,0)</f>
        <v>3</v>
      </c>
      <c r="T304" s="44">
        <f t="shared" si="31"/>
        <v>0.3</v>
      </c>
      <c r="U304" s="34">
        <v>0</v>
      </c>
      <c r="V304" s="34">
        <v>0</v>
      </c>
      <c r="W304" s="34">
        <v>0</v>
      </c>
      <c r="X304" s="34">
        <v>0</v>
      </c>
    </row>
    <row r="305" spans="1:24" hidden="1">
      <c r="A305" s="34" t="s">
        <v>1274</v>
      </c>
      <c r="B305" s="34" t="s">
        <v>1275</v>
      </c>
      <c r="C305" s="34" t="s">
        <v>209</v>
      </c>
      <c r="D305" s="34" t="s">
        <v>49</v>
      </c>
      <c r="E305" s="34" t="s">
        <v>7</v>
      </c>
      <c r="F305" s="34" t="s">
        <v>1276</v>
      </c>
      <c r="G305" s="54">
        <v>1720204531</v>
      </c>
      <c r="H305" s="54" t="s">
        <v>229</v>
      </c>
      <c r="I305" s="54" t="s">
        <v>3514</v>
      </c>
      <c r="J305" s="34" t="s">
        <v>3421</v>
      </c>
      <c r="K305" s="50">
        <v>130000</v>
      </c>
      <c r="L305" s="43">
        <v>40825</v>
      </c>
      <c r="M305" s="44">
        <f t="shared" si="28"/>
        <v>0.31403846153846154</v>
      </c>
      <c r="N305" s="49">
        <f>ROUND(L305/Summary!$C$3*Summary!$C$2,0)</f>
        <v>126558</v>
      </c>
      <c r="O305" s="44">
        <f t="shared" si="29"/>
        <v>0.97352307692307694</v>
      </c>
      <c r="P305" s="78">
        <v>10</v>
      </c>
      <c r="Q305" s="34">
        <v>5</v>
      </c>
      <c r="R305" s="35">
        <f t="shared" si="30"/>
        <v>0.5</v>
      </c>
      <c r="S305" s="49">
        <f>ROUND(Q305/Summary!$C$3*Summary!$C$2,0)</f>
        <v>16</v>
      </c>
      <c r="T305" s="44">
        <f t="shared" si="31"/>
        <v>1.6</v>
      </c>
      <c r="U305" s="34">
        <v>0</v>
      </c>
      <c r="V305" s="34">
        <v>3</v>
      </c>
      <c r="W305" s="34">
        <v>0</v>
      </c>
      <c r="X305" s="34">
        <v>0</v>
      </c>
    </row>
    <row r="306" spans="1:24" hidden="1">
      <c r="A306" s="34" t="s">
        <v>1134</v>
      </c>
      <c r="B306" s="34" t="s">
        <v>1135</v>
      </c>
      <c r="C306" s="34" t="s">
        <v>209</v>
      </c>
      <c r="D306" s="34" t="s">
        <v>49</v>
      </c>
      <c r="E306" s="34" t="s">
        <v>7</v>
      </c>
      <c r="F306" s="34" t="s">
        <v>1136</v>
      </c>
      <c r="G306" s="54">
        <v>1911111615</v>
      </c>
      <c r="H306" s="54" t="s">
        <v>229</v>
      </c>
      <c r="I306" s="54" t="s">
        <v>3514</v>
      </c>
      <c r="J306" s="34" t="s">
        <v>3421</v>
      </c>
      <c r="K306" s="50">
        <v>130000</v>
      </c>
      <c r="L306" s="43">
        <v>32720</v>
      </c>
      <c r="M306" s="44">
        <f t="shared" si="28"/>
        <v>0.25169230769230772</v>
      </c>
      <c r="N306" s="49">
        <f>ROUND(L306/Summary!$C$3*Summary!$C$2,0)</f>
        <v>101432</v>
      </c>
      <c r="O306" s="44">
        <f t="shared" si="29"/>
        <v>0.78024615384615381</v>
      </c>
      <c r="P306" s="78">
        <v>10</v>
      </c>
      <c r="Q306" s="34">
        <v>2</v>
      </c>
      <c r="R306" s="35">
        <f t="shared" si="30"/>
        <v>0.2</v>
      </c>
      <c r="S306" s="49">
        <f>ROUND(Q306/Summary!$C$3*Summary!$C$2,0)</f>
        <v>6</v>
      </c>
      <c r="T306" s="44">
        <f t="shared" si="31"/>
        <v>0.6</v>
      </c>
      <c r="U306" s="34">
        <v>0</v>
      </c>
      <c r="V306" s="34">
        <v>0</v>
      </c>
      <c r="W306" s="34">
        <v>0</v>
      </c>
      <c r="X306" s="34">
        <v>0</v>
      </c>
    </row>
    <row r="307" spans="1:24" hidden="1">
      <c r="A307" s="34" t="s">
        <v>1086</v>
      </c>
      <c r="B307" s="34" t="s">
        <v>1087</v>
      </c>
      <c r="C307" s="34" t="s">
        <v>209</v>
      </c>
      <c r="D307" s="34" t="s">
        <v>49</v>
      </c>
      <c r="E307" s="34" t="s">
        <v>7</v>
      </c>
      <c r="F307" s="34" t="s">
        <v>1088</v>
      </c>
      <c r="G307" s="54">
        <v>1711456565</v>
      </c>
      <c r="H307" s="54" t="s">
        <v>229</v>
      </c>
      <c r="I307" s="54" t="s">
        <v>3514</v>
      </c>
      <c r="J307" s="34" t="s">
        <v>3419</v>
      </c>
      <c r="K307" s="50">
        <v>292709</v>
      </c>
      <c r="L307" s="43">
        <v>184370</v>
      </c>
      <c r="M307" s="44">
        <f t="shared" si="28"/>
        <v>0.6298747219935158</v>
      </c>
      <c r="N307" s="49">
        <f>ROUND(L307/Summary!$C$3*Summary!$C$2,0)</f>
        <v>571547</v>
      </c>
      <c r="O307" s="44">
        <f t="shared" si="29"/>
        <v>1.9526116381798988</v>
      </c>
      <c r="P307" s="78">
        <v>16</v>
      </c>
      <c r="Q307" s="34">
        <v>14</v>
      </c>
      <c r="R307" s="35">
        <f t="shared" si="30"/>
        <v>0.875</v>
      </c>
      <c r="S307" s="49">
        <f>ROUND(Q307/Summary!$C$3*Summary!$C$2,0)</f>
        <v>43</v>
      </c>
      <c r="T307" s="44">
        <f t="shared" si="31"/>
        <v>2.6875</v>
      </c>
      <c r="U307" s="34">
        <v>1</v>
      </c>
      <c r="V307" s="34">
        <v>7</v>
      </c>
      <c r="W307" s="34">
        <v>0</v>
      </c>
      <c r="X307" s="34">
        <v>0</v>
      </c>
    </row>
    <row r="308" spans="1:24" hidden="1">
      <c r="A308" s="75" t="s">
        <v>3547</v>
      </c>
      <c r="B308" s="75" t="s">
        <v>132</v>
      </c>
      <c r="C308" s="75" t="s">
        <v>209</v>
      </c>
      <c r="D308" s="75" t="s">
        <v>49</v>
      </c>
      <c r="E308" s="75" t="s">
        <v>7</v>
      </c>
      <c r="F308" s="77" t="s">
        <v>3548</v>
      </c>
      <c r="G308" s="68">
        <v>1912008187</v>
      </c>
      <c r="H308" s="54" t="s">
        <v>229</v>
      </c>
      <c r="I308" s="54" t="s">
        <v>3514</v>
      </c>
      <c r="J308" s="34" t="s">
        <v>3421</v>
      </c>
      <c r="K308" s="50">
        <v>150000</v>
      </c>
      <c r="L308" s="43">
        <v>83225</v>
      </c>
      <c r="M308" s="44">
        <f t="shared" si="28"/>
        <v>0.55483333333333329</v>
      </c>
      <c r="N308" s="49">
        <f>ROUND(L308/Summary!$C$3*Summary!$C$2,0)</f>
        <v>257998</v>
      </c>
      <c r="O308" s="44">
        <f t="shared" si="29"/>
        <v>1.7199866666666668</v>
      </c>
      <c r="P308" s="78">
        <v>13</v>
      </c>
      <c r="Q308" s="34">
        <v>7</v>
      </c>
      <c r="R308" s="35">
        <f t="shared" si="30"/>
        <v>0.53846153846153844</v>
      </c>
      <c r="S308" s="49">
        <f>ROUND(Q308/Summary!$C$3*Summary!$C$2,0)</f>
        <v>22</v>
      </c>
      <c r="T308" s="44">
        <f t="shared" si="31"/>
        <v>1.6923076923076923</v>
      </c>
      <c r="U308" s="34">
        <v>1</v>
      </c>
      <c r="V308" s="34">
        <v>2</v>
      </c>
      <c r="W308" s="34">
        <v>0</v>
      </c>
      <c r="X308" s="34">
        <v>1</v>
      </c>
    </row>
    <row r="309" spans="1:24" hidden="1">
      <c r="A309" s="34" t="s">
        <v>1260</v>
      </c>
      <c r="B309" s="34" t="s">
        <v>1261</v>
      </c>
      <c r="C309" s="34" t="s">
        <v>209</v>
      </c>
      <c r="D309" s="34" t="s">
        <v>49</v>
      </c>
      <c r="E309" s="34" t="s">
        <v>7</v>
      </c>
      <c r="F309" s="34" t="s">
        <v>1262</v>
      </c>
      <c r="G309" s="54">
        <v>1716410805</v>
      </c>
      <c r="H309" s="54" t="s">
        <v>229</v>
      </c>
      <c r="I309" s="54" t="s">
        <v>3514</v>
      </c>
      <c r="J309" s="34" t="s">
        <v>3419</v>
      </c>
      <c r="K309" s="50">
        <v>209004</v>
      </c>
      <c r="L309" s="43">
        <v>19470</v>
      </c>
      <c r="M309" s="44">
        <f t="shared" si="28"/>
        <v>9.3156111844749381E-2</v>
      </c>
      <c r="N309" s="49">
        <f>ROUND(L309/Summary!$C$3*Summary!$C$2,0)</f>
        <v>60357</v>
      </c>
      <c r="O309" s="44">
        <f t="shared" si="29"/>
        <v>0.28878394671872309</v>
      </c>
      <c r="P309" s="78">
        <v>12</v>
      </c>
      <c r="Q309" s="34">
        <v>2</v>
      </c>
      <c r="R309" s="35">
        <f t="shared" si="30"/>
        <v>0.16666666666666666</v>
      </c>
      <c r="S309" s="49">
        <f>ROUND(Q309/Summary!$C$3*Summary!$C$2,0)</f>
        <v>6</v>
      </c>
      <c r="T309" s="44">
        <f t="shared" si="31"/>
        <v>0.5</v>
      </c>
      <c r="U309" s="34">
        <v>0</v>
      </c>
      <c r="V309" s="34">
        <v>0</v>
      </c>
      <c r="W309" s="34">
        <v>0</v>
      </c>
      <c r="X309" s="34">
        <v>0</v>
      </c>
    </row>
    <row r="310" spans="1:24" hidden="1">
      <c r="A310" s="34" t="s">
        <v>1095</v>
      </c>
      <c r="B310" s="34" t="s">
        <v>1096</v>
      </c>
      <c r="C310" s="34" t="s">
        <v>209</v>
      </c>
      <c r="D310" s="34" t="s">
        <v>49</v>
      </c>
      <c r="E310" s="34" t="s">
        <v>7</v>
      </c>
      <c r="F310" s="34" t="s">
        <v>1097</v>
      </c>
      <c r="G310" s="54">
        <v>1712035948</v>
      </c>
      <c r="H310" s="54" t="s">
        <v>229</v>
      </c>
      <c r="I310" s="54" t="s">
        <v>3514</v>
      </c>
      <c r="J310" s="34" t="s">
        <v>3419</v>
      </c>
      <c r="K310" s="50">
        <v>191095</v>
      </c>
      <c r="L310" s="43">
        <v>67065</v>
      </c>
      <c r="M310" s="44">
        <f t="shared" si="28"/>
        <v>0.35095109762160182</v>
      </c>
      <c r="N310" s="49">
        <f>ROUND(L310/Summary!$C$3*Summary!$C$2,0)</f>
        <v>207902</v>
      </c>
      <c r="O310" s="44">
        <f t="shared" si="29"/>
        <v>1.0879510191266124</v>
      </c>
      <c r="P310" s="78">
        <v>10</v>
      </c>
      <c r="Q310" s="34">
        <v>4</v>
      </c>
      <c r="R310" s="35">
        <f t="shared" si="30"/>
        <v>0.4</v>
      </c>
      <c r="S310" s="49">
        <f>ROUND(Q310/Summary!$C$3*Summary!$C$2,0)</f>
        <v>12</v>
      </c>
      <c r="T310" s="44">
        <f t="shared" si="31"/>
        <v>1.2</v>
      </c>
      <c r="U310" s="34">
        <v>0</v>
      </c>
      <c r="V310" s="34">
        <v>1</v>
      </c>
      <c r="W310" s="34">
        <v>0</v>
      </c>
      <c r="X310" s="34">
        <v>0</v>
      </c>
    </row>
    <row r="311" spans="1:24" hidden="1">
      <c r="A311" s="34" t="s">
        <v>1123</v>
      </c>
      <c r="B311" s="34" t="s">
        <v>1124</v>
      </c>
      <c r="C311" s="34" t="s">
        <v>209</v>
      </c>
      <c r="D311" s="34" t="s">
        <v>49</v>
      </c>
      <c r="E311" s="34" t="s">
        <v>7</v>
      </c>
      <c r="F311" s="34" t="s">
        <v>235</v>
      </c>
      <c r="G311" s="54">
        <v>1715765553</v>
      </c>
      <c r="H311" s="54" t="s">
        <v>229</v>
      </c>
      <c r="I311" s="54" t="s">
        <v>3514</v>
      </c>
      <c r="J311" s="34" t="s">
        <v>3421</v>
      </c>
      <c r="K311" s="50">
        <v>130000</v>
      </c>
      <c r="L311" s="43">
        <v>41970</v>
      </c>
      <c r="M311" s="44">
        <f t="shared" si="28"/>
        <v>0.32284615384615384</v>
      </c>
      <c r="N311" s="49">
        <f>ROUND(L311/Summary!$C$3*Summary!$C$2,0)</f>
        <v>130107</v>
      </c>
      <c r="O311" s="44">
        <f t="shared" si="29"/>
        <v>1.0008230769230768</v>
      </c>
      <c r="P311" s="78">
        <v>10</v>
      </c>
      <c r="Q311" s="34">
        <v>1</v>
      </c>
      <c r="R311" s="35">
        <f t="shared" si="30"/>
        <v>0.1</v>
      </c>
      <c r="S311" s="49">
        <f>ROUND(Q311/Summary!$C$3*Summary!$C$2,0)</f>
        <v>3</v>
      </c>
      <c r="T311" s="44">
        <f t="shared" si="31"/>
        <v>0.3</v>
      </c>
      <c r="U311" s="34">
        <v>0</v>
      </c>
      <c r="V311" s="34">
        <v>0</v>
      </c>
      <c r="W311" s="34">
        <v>0</v>
      </c>
      <c r="X311" s="34">
        <v>0</v>
      </c>
    </row>
    <row r="312" spans="1:24" hidden="1">
      <c r="A312" s="34" t="s">
        <v>1156</v>
      </c>
      <c r="B312" s="34" t="s">
        <v>1157</v>
      </c>
      <c r="C312" s="34" t="s">
        <v>209</v>
      </c>
      <c r="D312" s="34" t="s">
        <v>49</v>
      </c>
      <c r="E312" s="34" t="s">
        <v>7</v>
      </c>
      <c r="F312" s="34" t="s">
        <v>1158</v>
      </c>
      <c r="G312" s="54">
        <v>1670931337</v>
      </c>
      <c r="H312" s="54" t="s">
        <v>229</v>
      </c>
      <c r="I312" s="54" t="s">
        <v>3514</v>
      </c>
      <c r="J312" s="34" t="s">
        <v>3419</v>
      </c>
      <c r="K312" s="50">
        <v>200304</v>
      </c>
      <c r="L312" s="43">
        <v>55085</v>
      </c>
      <c r="M312" s="44">
        <f t="shared" si="28"/>
        <v>0.27500698937614826</v>
      </c>
      <c r="N312" s="49">
        <f>ROUND(L312/Summary!$C$3*Summary!$C$2,0)</f>
        <v>170764</v>
      </c>
      <c r="O312" s="44">
        <f t="shared" si="29"/>
        <v>0.85252416327182678</v>
      </c>
      <c r="P312" s="78">
        <v>10</v>
      </c>
      <c r="Q312" s="34">
        <v>2</v>
      </c>
      <c r="R312" s="35">
        <f t="shared" si="30"/>
        <v>0.2</v>
      </c>
      <c r="S312" s="49">
        <f>ROUND(Q312/Summary!$C$3*Summary!$C$2,0)</f>
        <v>6</v>
      </c>
      <c r="T312" s="44">
        <f t="shared" si="31"/>
        <v>0.6</v>
      </c>
      <c r="U312" s="34">
        <v>2</v>
      </c>
      <c r="V312" s="34">
        <v>0</v>
      </c>
      <c r="W312" s="34">
        <v>0</v>
      </c>
      <c r="X312" s="34">
        <v>0</v>
      </c>
    </row>
    <row r="313" spans="1:24" hidden="1">
      <c r="A313" s="34" t="s">
        <v>1211</v>
      </c>
      <c r="B313" s="34" t="s">
        <v>1212</v>
      </c>
      <c r="C313" s="34" t="s">
        <v>209</v>
      </c>
      <c r="D313" s="34" t="s">
        <v>49</v>
      </c>
      <c r="E313" s="34" t="s">
        <v>7</v>
      </c>
      <c r="F313" s="34" t="s">
        <v>1213</v>
      </c>
      <c r="G313" s="54">
        <v>1957529695</v>
      </c>
      <c r="H313" s="54" t="s">
        <v>229</v>
      </c>
      <c r="I313" s="54" t="s">
        <v>3514</v>
      </c>
      <c r="J313" s="34" t="s">
        <v>3421</v>
      </c>
      <c r="K313" s="50">
        <v>130000</v>
      </c>
      <c r="L313" s="43">
        <v>11730</v>
      </c>
      <c r="M313" s="44">
        <f t="shared" si="28"/>
        <v>9.0230769230769226E-2</v>
      </c>
      <c r="N313" s="49">
        <f>ROUND(L313/Summary!$C$3*Summary!$C$2,0)</f>
        <v>36363</v>
      </c>
      <c r="O313" s="44">
        <f t="shared" si="29"/>
        <v>0.27971538461538459</v>
      </c>
      <c r="P313" s="78">
        <v>10</v>
      </c>
      <c r="Q313" s="34">
        <v>1</v>
      </c>
      <c r="R313" s="35">
        <f t="shared" si="30"/>
        <v>0.1</v>
      </c>
      <c r="S313" s="49">
        <f>ROUND(Q313/Summary!$C$3*Summary!$C$2,0)</f>
        <v>3</v>
      </c>
      <c r="T313" s="44">
        <f t="shared" si="31"/>
        <v>0.3</v>
      </c>
      <c r="U313" s="34">
        <v>0</v>
      </c>
      <c r="V313" s="34">
        <v>0</v>
      </c>
      <c r="W313" s="34">
        <v>0</v>
      </c>
      <c r="X313" s="34">
        <v>0</v>
      </c>
    </row>
    <row r="314" spans="1:24" hidden="1">
      <c r="A314" s="34" t="s">
        <v>2976</v>
      </c>
      <c r="B314" s="34" t="s">
        <v>1280</v>
      </c>
      <c r="C314" s="34" t="s">
        <v>209</v>
      </c>
      <c r="D314" s="34" t="s">
        <v>49</v>
      </c>
      <c r="E314" s="34" t="s">
        <v>7</v>
      </c>
      <c r="F314" s="34" t="s">
        <v>2911</v>
      </c>
      <c r="G314" s="54">
        <v>1736288344</v>
      </c>
      <c r="H314" s="54" t="s">
        <v>229</v>
      </c>
      <c r="I314" s="54" t="s">
        <v>3518</v>
      </c>
      <c r="J314" s="34" t="s">
        <v>3419</v>
      </c>
      <c r="K314" s="50">
        <v>435410</v>
      </c>
      <c r="L314" s="43">
        <v>149045</v>
      </c>
      <c r="M314" s="44">
        <f t="shared" si="28"/>
        <v>0.34230954732321262</v>
      </c>
      <c r="N314" s="49">
        <f>ROUND(L314/Summary!$C$3*Summary!$C$2,0)</f>
        <v>462040</v>
      </c>
      <c r="O314" s="44">
        <f t="shared" si="29"/>
        <v>1.0611607450449001</v>
      </c>
      <c r="P314" s="78">
        <v>34</v>
      </c>
      <c r="Q314" s="34">
        <v>12</v>
      </c>
      <c r="R314" s="35">
        <f t="shared" si="30"/>
        <v>0.35294117647058826</v>
      </c>
      <c r="S314" s="49">
        <f>ROUND(Q314/Summary!$C$3*Summary!$C$2,0)</f>
        <v>37</v>
      </c>
      <c r="T314" s="44">
        <f t="shared" si="31"/>
        <v>1.088235294117647</v>
      </c>
      <c r="U314" s="34">
        <v>2</v>
      </c>
      <c r="V314" s="34">
        <v>6</v>
      </c>
      <c r="W314" s="34">
        <v>2</v>
      </c>
      <c r="X314" s="34">
        <v>0</v>
      </c>
    </row>
    <row r="315" spans="1:24" hidden="1">
      <c r="A315" s="34" t="s">
        <v>1223</v>
      </c>
      <c r="B315" s="34" t="s">
        <v>1224</v>
      </c>
      <c r="C315" s="34" t="s">
        <v>209</v>
      </c>
      <c r="D315" s="34" t="s">
        <v>49</v>
      </c>
      <c r="E315" s="34" t="s">
        <v>7</v>
      </c>
      <c r="F315" s="34" t="s">
        <v>1225</v>
      </c>
      <c r="G315" s="54">
        <v>1715759115</v>
      </c>
      <c r="H315" s="54" t="s">
        <v>229</v>
      </c>
      <c r="I315" s="54" t="s">
        <v>3514</v>
      </c>
      <c r="J315" s="34" t="s">
        <v>3421</v>
      </c>
      <c r="K315" s="50">
        <v>130000</v>
      </c>
      <c r="L315" s="43">
        <v>27935</v>
      </c>
      <c r="M315" s="44">
        <f t="shared" si="28"/>
        <v>0.2148846153846154</v>
      </c>
      <c r="N315" s="49">
        <f>ROUND(L315/Summary!$C$3*Summary!$C$2,0)</f>
        <v>86599</v>
      </c>
      <c r="O315" s="44">
        <f t="shared" si="29"/>
        <v>0.66614615384615383</v>
      </c>
      <c r="P315" s="78">
        <v>10</v>
      </c>
      <c r="Q315" s="34">
        <v>2</v>
      </c>
      <c r="R315" s="35">
        <f t="shared" si="30"/>
        <v>0.2</v>
      </c>
      <c r="S315" s="49">
        <f>ROUND(Q315/Summary!$C$3*Summary!$C$2,0)</f>
        <v>6</v>
      </c>
      <c r="T315" s="44">
        <f t="shared" si="31"/>
        <v>0.6</v>
      </c>
      <c r="U315" s="34">
        <v>1</v>
      </c>
      <c r="V315" s="34">
        <v>1</v>
      </c>
      <c r="W315" s="34">
        <v>0</v>
      </c>
      <c r="X315" s="34">
        <v>0</v>
      </c>
    </row>
    <row r="316" spans="1:24" hidden="1">
      <c r="A316" s="34" t="s">
        <v>1137</v>
      </c>
      <c r="B316" s="34" t="s">
        <v>1138</v>
      </c>
      <c r="C316" s="34" t="s">
        <v>209</v>
      </c>
      <c r="D316" s="34" t="s">
        <v>49</v>
      </c>
      <c r="E316" s="34" t="s">
        <v>7</v>
      </c>
      <c r="F316" s="34" t="s">
        <v>1139</v>
      </c>
      <c r="G316" s="54">
        <v>1715765553</v>
      </c>
      <c r="H316" s="54" t="s">
        <v>229</v>
      </c>
      <c r="I316" s="54" t="s">
        <v>3514</v>
      </c>
      <c r="J316" s="34" t="s">
        <v>3419</v>
      </c>
      <c r="K316" s="50">
        <v>237369</v>
      </c>
      <c r="L316" s="43">
        <v>108005</v>
      </c>
      <c r="M316" s="44">
        <f t="shared" si="28"/>
        <v>0.45500886804932406</v>
      </c>
      <c r="N316" s="49">
        <f>ROUND(L316/Summary!$C$3*Summary!$C$2,0)</f>
        <v>334816</v>
      </c>
      <c r="O316" s="44">
        <f t="shared" si="29"/>
        <v>1.4105295973779222</v>
      </c>
      <c r="P316" s="78">
        <v>10</v>
      </c>
      <c r="Q316" s="34">
        <v>9</v>
      </c>
      <c r="R316" s="35">
        <f t="shared" si="30"/>
        <v>0.9</v>
      </c>
      <c r="S316" s="49">
        <f>ROUND(Q316/Summary!$C$3*Summary!$C$2,0)</f>
        <v>28</v>
      </c>
      <c r="T316" s="44">
        <f t="shared" si="31"/>
        <v>2.8</v>
      </c>
      <c r="U316" s="34">
        <v>0</v>
      </c>
      <c r="V316" s="34">
        <v>1</v>
      </c>
      <c r="W316" s="34">
        <v>0</v>
      </c>
      <c r="X316" s="34">
        <v>0</v>
      </c>
    </row>
    <row r="317" spans="1:24" hidden="1">
      <c r="A317" s="34" t="s">
        <v>1131</v>
      </c>
      <c r="B317" s="34" t="s">
        <v>1132</v>
      </c>
      <c r="C317" s="34" t="s">
        <v>209</v>
      </c>
      <c r="D317" s="34" t="s">
        <v>49</v>
      </c>
      <c r="E317" s="34" t="s">
        <v>7</v>
      </c>
      <c r="F317" s="34" t="s">
        <v>1133</v>
      </c>
      <c r="G317" s="54">
        <v>1675433416</v>
      </c>
      <c r="H317" s="54" t="s">
        <v>229</v>
      </c>
      <c r="I317" s="54" t="s">
        <v>3514</v>
      </c>
      <c r="J317" s="34" t="s">
        <v>3515</v>
      </c>
      <c r="K317" s="50">
        <v>246840</v>
      </c>
      <c r="L317" s="43">
        <v>104479</v>
      </c>
      <c r="M317" s="44">
        <f t="shared" si="28"/>
        <v>0.42326608329282128</v>
      </c>
      <c r="N317" s="49">
        <f>ROUND(L317/Summary!$C$3*Summary!$C$2,0)</f>
        <v>323885</v>
      </c>
      <c r="O317" s="44">
        <f t="shared" si="29"/>
        <v>1.3121252633284719</v>
      </c>
      <c r="P317" s="78">
        <v>18</v>
      </c>
      <c r="Q317" s="34">
        <v>5</v>
      </c>
      <c r="R317" s="35">
        <f t="shared" si="30"/>
        <v>0.27777777777777779</v>
      </c>
      <c r="S317" s="49">
        <f>ROUND(Q317/Summary!$C$3*Summary!$C$2,0)</f>
        <v>16</v>
      </c>
      <c r="T317" s="44">
        <f t="shared" si="31"/>
        <v>0.88888888888888884</v>
      </c>
      <c r="U317" s="34">
        <v>1</v>
      </c>
      <c r="V317" s="34">
        <v>1</v>
      </c>
      <c r="W317" s="34">
        <v>0</v>
      </c>
      <c r="X317" s="34">
        <v>0</v>
      </c>
    </row>
    <row r="318" spans="1:24" hidden="1">
      <c r="A318" s="34" t="s">
        <v>2984</v>
      </c>
      <c r="B318" s="34" t="s">
        <v>2985</v>
      </c>
      <c r="C318" s="34" t="s">
        <v>173</v>
      </c>
      <c r="D318" s="34" t="s">
        <v>174</v>
      </c>
      <c r="E318" s="34" t="s">
        <v>7</v>
      </c>
      <c r="F318" s="34" t="s">
        <v>2986</v>
      </c>
      <c r="G318" s="54">
        <v>1922324849</v>
      </c>
      <c r="H318" s="54" t="s">
        <v>229</v>
      </c>
      <c r="I318" s="54" t="s">
        <v>3514</v>
      </c>
      <c r="J318" s="34" t="s">
        <v>3419</v>
      </c>
      <c r="K318" s="50">
        <v>130000</v>
      </c>
      <c r="L318" s="43">
        <v>29940</v>
      </c>
      <c r="M318" s="44">
        <f t="shared" si="28"/>
        <v>0.2303076923076923</v>
      </c>
      <c r="N318" s="49">
        <f>ROUND(L318/Summary!$C$3*Summary!$C$2,0)</f>
        <v>92814</v>
      </c>
      <c r="O318" s="44">
        <f t="shared" si="29"/>
        <v>0.71395384615384616</v>
      </c>
      <c r="P318" s="78">
        <v>10</v>
      </c>
      <c r="Q318" s="34">
        <v>1</v>
      </c>
      <c r="R318" s="35">
        <f t="shared" si="30"/>
        <v>0.1</v>
      </c>
      <c r="S318" s="49">
        <f>ROUND(Q318/Summary!$C$3*Summary!$C$2,0)</f>
        <v>3</v>
      </c>
      <c r="T318" s="44">
        <f t="shared" si="31"/>
        <v>0.3</v>
      </c>
      <c r="U318" s="34">
        <v>0</v>
      </c>
      <c r="V318" s="34">
        <v>0</v>
      </c>
      <c r="W318" s="34">
        <v>0</v>
      </c>
      <c r="X318" s="34">
        <v>0</v>
      </c>
    </row>
    <row r="319" spans="1:24" hidden="1">
      <c r="A319" s="34" t="s">
        <v>1182</v>
      </c>
      <c r="B319" s="34" t="s">
        <v>1183</v>
      </c>
      <c r="C319" s="34" t="s">
        <v>173</v>
      </c>
      <c r="D319" s="34" t="s">
        <v>174</v>
      </c>
      <c r="E319" s="34" t="s">
        <v>7</v>
      </c>
      <c r="F319" s="34" t="s">
        <v>1184</v>
      </c>
      <c r="G319" s="54">
        <v>1735577977</v>
      </c>
      <c r="H319" s="54" t="s">
        <v>229</v>
      </c>
      <c r="I319" s="54" t="s">
        <v>3514</v>
      </c>
      <c r="J319" s="34" t="s">
        <v>3419</v>
      </c>
      <c r="K319" s="50">
        <v>130000</v>
      </c>
      <c r="L319" s="43">
        <v>27159</v>
      </c>
      <c r="M319" s="44">
        <f t="shared" si="28"/>
        <v>0.20891538461538461</v>
      </c>
      <c r="N319" s="49">
        <f>ROUND(L319/Summary!$C$3*Summary!$C$2,0)</f>
        <v>84193</v>
      </c>
      <c r="O319" s="44">
        <f t="shared" si="29"/>
        <v>0.6476384615384615</v>
      </c>
      <c r="P319" s="78">
        <v>10</v>
      </c>
      <c r="Q319" s="34">
        <v>1</v>
      </c>
      <c r="R319" s="35">
        <f t="shared" si="30"/>
        <v>0.1</v>
      </c>
      <c r="S319" s="49">
        <f>ROUND(Q319/Summary!$C$3*Summary!$C$2,0)</f>
        <v>3</v>
      </c>
      <c r="T319" s="44">
        <f t="shared" si="31"/>
        <v>0.3</v>
      </c>
      <c r="U319" s="34">
        <v>0</v>
      </c>
      <c r="V319" s="34">
        <v>0</v>
      </c>
      <c r="W319" s="34">
        <v>0</v>
      </c>
      <c r="X319" s="34">
        <v>0</v>
      </c>
    </row>
    <row r="320" spans="1:24" hidden="1">
      <c r="A320" s="34" t="s">
        <v>1214</v>
      </c>
      <c r="B320" s="34" t="s">
        <v>1215</v>
      </c>
      <c r="C320" s="34" t="s">
        <v>173</v>
      </c>
      <c r="D320" s="34" t="s">
        <v>174</v>
      </c>
      <c r="E320" s="34" t="s">
        <v>7</v>
      </c>
      <c r="F320" s="34" t="s">
        <v>1216</v>
      </c>
      <c r="G320" s="54">
        <v>1674128184</v>
      </c>
      <c r="H320" s="54" t="s">
        <v>229</v>
      </c>
      <c r="I320" s="54" t="s">
        <v>3514</v>
      </c>
      <c r="J320" s="34" t="s">
        <v>3419</v>
      </c>
      <c r="K320" s="50">
        <v>130000</v>
      </c>
      <c r="L320" s="43">
        <v>29850</v>
      </c>
      <c r="M320" s="44">
        <f t="shared" si="28"/>
        <v>0.22961538461538461</v>
      </c>
      <c r="N320" s="49">
        <f>ROUND(L320/Summary!$C$3*Summary!$C$2,0)</f>
        <v>92535</v>
      </c>
      <c r="O320" s="44">
        <f t="shared" si="29"/>
        <v>0.71180769230769225</v>
      </c>
      <c r="P320" s="78">
        <v>10</v>
      </c>
      <c r="Q320" s="34">
        <v>1</v>
      </c>
      <c r="R320" s="35">
        <f t="shared" si="30"/>
        <v>0.1</v>
      </c>
      <c r="S320" s="49">
        <f>ROUND(Q320/Summary!$C$3*Summary!$C$2,0)</f>
        <v>3</v>
      </c>
      <c r="T320" s="44">
        <f t="shared" si="31"/>
        <v>0.3</v>
      </c>
      <c r="U320" s="34">
        <v>0</v>
      </c>
      <c r="V320" s="34">
        <v>0</v>
      </c>
      <c r="W320" s="34">
        <v>0</v>
      </c>
      <c r="X320" s="34">
        <v>0</v>
      </c>
    </row>
    <row r="321" spans="1:24" hidden="1">
      <c r="A321" s="34" t="s">
        <v>2987</v>
      </c>
      <c r="B321" s="34" t="s">
        <v>2988</v>
      </c>
      <c r="C321" s="34" t="s">
        <v>203</v>
      </c>
      <c r="D321" s="34" t="s">
        <v>174</v>
      </c>
      <c r="E321" s="34" t="s">
        <v>7</v>
      </c>
      <c r="F321" s="34" t="s">
        <v>2989</v>
      </c>
      <c r="G321" s="54">
        <v>1711336380</v>
      </c>
      <c r="H321" s="54" t="s">
        <v>229</v>
      </c>
      <c r="I321" s="54" t="s">
        <v>3514</v>
      </c>
      <c r="J321" s="34" t="s">
        <v>3420</v>
      </c>
      <c r="K321" s="50">
        <v>246788</v>
      </c>
      <c r="L321" s="43">
        <v>59760</v>
      </c>
      <c r="M321" s="44">
        <f t="shared" si="28"/>
        <v>0.24215115807899898</v>
      </c>
      <c r="N321" s="49">
        <f>ROUND(L321/Summary!$C$3*Summary!$C$2,0)</f>
        <v>185256</v>
      </c>
      <c r="O321" s="44">
        <f t="shared" si="29"/>
        <v>0.75066859004489683</v>
      </c>
      <c r="P321" s="78">
        <v>14</v>
      </c>
      <c r="Q321" s="34">
        <v>3</v>
      </c>
      <c r="R321" s="35">
        <f t="shared" si="30"/>
        <v>0.21428571428571427</v>
      </c>
      <c r="S321" s="49">
        <f>ROUND(Q321/Summary!$C$3*Summary!$C$2,0)</f>
        <v>9</v>
      </c>
      <c r="T321" s="44">
        <f t="shared" si="31"/>
        <v>0.6428571428571429</v>
      </c>
      <c r="U321" s="34">
        <v>1</v>
      </c>
      <c r="V321" s="34">
        <v>1</v>
      </c>
      <c r="W321" s="34">
        <v>0</v>
      </c>
      <c r="X321" s="34">
        <v>0</v>
      </c>
    </row>
    <row r="322" spans="1:24" hidden="1">
      <c r="A322" s="34" t="s">
        <v>1220</v>
      </c>
      <c r="B322" s="34" t="s">
        <v>1221</v>
      </c>
      <c r="C322" s="34" t="s">
        <v>203</v>
      </c>
      <c r="D322" s="34" t="s">
        <v>174</v>
      </c>
      <c r="E322" s="34" t="s">
        <v>7</v>
      </c>
      <c r="F322" s="34" t="s">
        <v>1222</v>
      </c>
      <c r="G322" s="54">
        <v>1684017820</v>
      </c>
      <c r="H322" s="54" t="s">
        <v>229</v>
      </c>
      <c r="I322" s="54" t="s">
        <v>3514</v>
      </c>
      <c r="J322" s="34" t="s">
        <v>3419</v>
      </c>
      <c r="K322" s="50">
        <v>130000</v>
      </c>
      <c r="L322" s="43">
        <v>41039</v>
      </c>
      <c r="M322" s="44">
        <f t="shared" si="28"/>
        <v>0.3156846153846154</v>
      </c>
      <c r="N322" s="49">
        <f>ROUND(L322/Summary!$C$3*Summary!$C$2,0)</f>
        <v>127221</v>
      </c>
      <c r="O322" s="44">
        <f t="shared" si="29"/>
        <v>0.97862307692307693</v>
      </c>
      <c r="P322" s="78">
        <v>10</v>
      </c>
      <c r="Q322" s="34">
        <v>2</v>
      </c>
      <c r="R322" s="35">
        <f t="shared" si="30"/>
        <v>0.2</v>
      </c>
      <c r="S322" s="49">
        <f>ROUND(Q322/Summary!$C$3*Summary!$C$2,0)</f>
        <v>6</v>
      </c>
      <c r="T322" s="44">
        <f t="shared" si="31"/>
        <v>0.6</v>
      </c>
      <c r="U322" s="34">
        <v>0</v>
      </c>
      <c r="V322" s="34">
        <v>1</v>
      </c>
      <c r="W322" s="34">
        <v>0</v>
      </c>
      <c r="X322" s="34">
        <v>1</v>
      </c>
    </row>
    <row r="323" spans="1:24" hidden="1">
      <c r="A323" s="34" t="s">
        <v>1254</v>
      </c>
      <c r="B323" s="34" t="s">
        <v>838</v>
      </c>
      <c r="C323" s="34" t="s">
        <v>203</v>
      </c>
      <c r="D323" s="34" t="s">
        <v>174</v>
      </c>
      <c r="E323" s="34" t="s">
        <v>7</v>
      </c>
      <c r="F323" s="34" t="s">
        <v>1255</v>
      </c>
      <c r="G323" s="54">
        <v>1741525260</v>
      </c>
      <c r="H323" s="54" t="s">
        <v>229</v>
      </c>
      <c r="I323" s="54" t="s">
        <v>3514</v>
      </c>
      <c r="J323" s="34" t="s">
        <v>3515</v>
      </c>
      <c r="K323" s="50">
        <v>130000</v>
      </c>
      <c r="L323" s="43">
        <v>67280</v>
      </c>
      <c r="M323" s="44">
        <f t="shared" si="28"/>
        <v>0.5175384615384615</v>
      </c>
      <c r="N323" s="49">
        <f>ROUND(L323/Summary!$C$3*Summary!$C$2,0)</f>
        <v>208568</v>
      </c>
      <c r="O323" s="44">
        <f t="shared" si="29"/>
        <v>1.6043692307692308</v>
      </c>
      <c r="P323" s="78">
        <v>10</v>
      </c>
      <c r="Q323" s="34">
        <v>3</v>
      </c>
      <c r="R323" s="35">
        <f t="shared" si="30"/>
        <v>0.3</v>
      </c>
      <c r="S323" s="49">
        <f>ROUND(Q323/Summary!$C$3*Summary!$C$2,0)</f>
        <v>9</v>
      </c>
      <c r="T323" s="44">
        <f t="shared" si="31"/>
        <v>0.9</v>
      </c>
      <c r="U323" s="34">
        <v>0</v>
      </c>
      <c r="V323" s="34">
        <v>1</v>
      </c>
      <c r="W323" s="34">
        <v>0</v>
      </c>
      <c r="X323" s="34">
        <v>0</v>
      </c>
    </row>
    <row r="324" spans="1:24" hidden="1">
      <c r="A324" s="34" t="s">
        <v>1143</v>
      </c>
      <c r="B324" s="34" t="s">
        <v>88</v>
      </c>
      <c r="C324" s="34" t="s">
        <v>203</v>
      </c>
      <c r="D324" s="34" t="s">
        <v>174</v>
      </c>
      <c r="E324" s="34" t="s">
        <v>7</v>
      </c>
      <c r="F324" s="34" t="s">
        <v>1144</v>
      </c>
      <c r="G324" s="54">
        <v>1712046515</v>
      </c>
      <c r="H324" s="54" t="s">
        <v>229</v>
      </c>
      <c r="I324" s="54" t="s">
        <v>3514</v>
      </c>
      <c r="J324" s="34" t="s">
        <v>3419</v>
      </c>
      <c r="K324" s="50">
        <v>130000</v>
      </c>
      <c r="L324" s="43">
        <v>51390</v>
      </c>
      <c r="M324" s="44">
        <f t="shared" si="28"/>
        <v>0.3953076923076923</v>
      </c>
      <c r="N324" s="49">
        <f>ROUND(L324/Summary!$C$3*Summary!$C$2,0)</f>
        <v>159309</v>
      </c>
      <c r="O324" s="44">
        <f t="shared" si="29"/>
        <v>1.2254538461538462</v>
      </c>
      <c r="P324" s="78">
        <v>10</v>
      </c>
      <c r="Q324" s="34">
        <v>1</v>
      </c>
      <c r="R324" s="35">
        <f t="shared" si="30"/>
        <v>0.1</v>
      </c>
      <c r="S324" s="49">
        <f>ROUND(Q324/Summary!$C$3*Summary!$C$2,0)</f>
        <v>3</v>
      </c>
      <c r="T324" s="44">
        <f t="shared" si="31"/>
        <v>0.3</v>
      </c>
      <c r="U324" s="34">
        <v>0</v>
      </c>
      <c r="V324" s="34">
        <v>0</v>
      </c>
      <c r="W324" s="34">
        <v>0</v>
      </c>
      <c r="X324" s="34">
        <v>0</v>
      </c>
    </row>
    <row r="325" spans="1:24" hidden="1">
      <c r="A325" s="34" t="s">
        <v>1140</v>
      </c>
      <c r="B325" s="34" t="s">
        <v>1141</v>
      </c>
      <c r="C325" s="34" t="s">
        <v>203</v>
      </c>
      <c r="D325" s="34" t="s">
        <v>174</v>
      </c>
      <c r="E325" s="34" t="s">
        <v>7</v>
      </c>
      <c r="F325" s="34" t="s">
        <v>1142</v>
      </c>
      <c r="G325" s="54">
        <v>1705543574</v>
      </c>
      <c r="H325" s="54" t="s">
        <v>229</v>
      </c>
      <c r="I325" s="54" t="s">
        <v>3514</v>
      </c>
      <c r="J325" s="34" t="s">
        <v>3515</v>
      </c>
      <c r="K325" s="50">
        <v>292558</v>
      </c>
      <c r="L325" s="43">
        <v>76597</v>
      </c>
      <c r="M325" s="44">
        <f t="shared" si="28"/>
        <v>0.26181816938863406</v>
      </c>
      <c r="N325" s="49">
        <f>ROUND(L325/Summary!$C$3*Summary!$C$2,0)</f>
        <v>237451</v>
      </c>
      <c r="O325" s="44">
        <f t="shared" si="29"/>
        <v>0.81163735054245656</v>
      </c>
      <c r="P325" s="78">
        <v>19</v>
      </c>
      <c r="Q325" s="34">
        <v>3</v>
      </c>
      <c r="R325" s="35">
        <f t="shared" si="30"/>
        <v>0.15789473684210525</v>
      </c>
      <c r="S325" s="49">
        <f>ROUND(Q325/Summary!$C$3*Summary!$C$2,0)</f>
        <v>9</v>
      </c>
      <c r="T325" s="44">
        <f t="shared" si="31"/>
        <v>0.47368421052631576</v>
      </c>
      <c r="U325" s="34">
        <v>0</v>
      </c>
      <c r="V325" s="34">
        <v>0</v>
      </c>
      <c r="W325" s="34">
        <v>0</v>
      </c>
      <c r="X325" s="34">
        <v>0</v>
      </c>
    </row>
    <row r="326" spans="1:24" hidden="1">
      <c r="A326" s="34" t="s">
        <v>1159</v>
      </c>
      <c r="B326" s="34" t="s">
        <v>1160</v>
      </c>
      <c r="C326" s="34" t="s">
        <v>203</v>
      </c>
      <c r="D326" s="34" t="s">
        <v>174</v>
      </c>
      <c r="E326" s="34" t="s">
        <v>7</v>
      </c>
      <c r="F326" s="34" t="s">
        <v>1161</v>
      </c>
      <c r="G326" s="54">
        <v>1963513352</v>
      </c>
      <c r="H326" s="54" t="s">
        <v>229</v>
      </c>
      <c r="I326" s="54" t="s">
        <v>3514</v>
      </c>
      <c r="J326" s="34" t="s">
        <v>3421</v>
      </c>
      <c r="K326" s="50">
        <v>130000</v>
      </c>
      <c r="L326" s="43">
        <v>46139</v>
      </c>
      <c r="M326" s="44">
        <f t="shared" si="28"/>
        <v>0.35491538461538463</v>
      </c>
      <c r="N326" s="49">
        <f>ROUND(L326/Summary!$C$3*Summary!$C$2,0)</f>
        <v>143031</v>
      </c>
      <c r="O326" s="44">
        <f t="shared" si="29"/>
        <v>1.1002384615384615</v>
      </c>
      <c r="P326" s="78">
        <v>10</v>
      </c>
      <c r="Q326" s="34">
        <v>3</v>
      </c>
      <c r="R326" s="35">
        <f t="shared" si="30"/>
        <v>0.3</v>
      </c>
      <c r="S326" s="49">
        <f>ROUND(Q326/Summary!$C$3*Summary!$C$2,0)</f>
        <v>9</v>
      </c>
      <c r="T326" s="44">
        <f t="shared" si="31"/>
        <v>0.9</v>
      </c>
      <c r="U326" s="34">
        <v>0</v>
      </c>
      <c r="V326" s="34">
        <v>1</v>
      </c>
      <c r="W326" s="34">
        <v>0</v>
      </c>
      <c r="X326" s="34">
        <v>1</v>
      </c>
    </row>
    <row r="327" spans="1:24" hidden="1">
      <c r="A327" s="34" t="s">
        <v>1232</v>
      </c>
      <c r="B327" s="34" t="s">
        <v>1233</v>
      </c>
      <c r="C327" s="34" t="s">
        <v>203</v>
      </c>
      <c r="D327" s="34" t="s">
        <v>174</v>
      </c>
      <c r="E327" s="34" t="s">
        <v>7</v>
      </c>
      <c r="F327" s="34" t="s">
        <v>1234</v>
      </c>
      <c r="G327" s="54">
        <v>1715800287</v>
      </c>
      <c r="H327" s="54" t="s">
        <v>229</v>
      </c>
      <c r="I327" s="54" t="s">
        <v>3514</v>
      </c>
      <c r="J327" s="34" t="s">
        <v>3419</v>
      </c>
      <c r="K327" s="50">
        <v>130000</v>
      </c>
      <c r="L327" s="43">
        <v>44865</v>
      </c>
      <c r="M327" s="44">
        <f t="shared" si="28"/>
        <v>0.3451153846153846</v>
      </c>
      <c r="N327" s="49">
        <f>ROUND(L327/Summary!$C$3*Summary!$C$2,0)</f>
        <v>139082</v>
      </c>
      <c r="O327" s="44">
        <f t="shared" si="29"/>
        <v>1.0698615384615384</v>
      </c>
      <c r="P327" s="78">
        <v>10</v>
      </c>
      <c r="Q327" s="34">
        <v>3</v>
      </c>
      <c r="R327" s="35">
        <f t="shared" si="30"/>
        <v>0.3</v>
      </c>
      <c r="S327" s="49">
        <f>ROUND(Q327/Summary!$C$3*Summary!$C$2,0)</f>
        <v>9</v>
      </c>
      <c r="T327" s="44">
        <f t="shared" si="31"/>
        <v>0.9</v>
      </c>
      <c r="U327" s="34">
        <v>0</v>
      </c>
      <c r="V327" s="34">
        <v>0</v>
      </c>
      <c r="W327" s="34">
        <v>0</v>
      </c>
      <c r="X327" s="34">
        <v>0</v>
      </c>
    </row>
    <row r="328" spans="1:24" hidden="1">
      <c r="A328" s="34" t="s">
        <v>3431</v>
      </c>
      <c r="B328" s="34" t="s">
        <v>3432</v>
      </c>
      <c r="C328" s="34" t="s">
        <v>142</v>
      </c>
      <c r="D328" s="34" t="s">
        <v>143</v>
      </c>
      <c r="E328" s="34" t="s">
        <v>7</v>
      </c>
      <c r="F328" s="34" t="s">
        <v>1915</v>
      </c>
      <c r="G328" s="54">
        <v>1676807070</v>
      </c>
      <c r="H328" s="54" t="s">
        <v>229</v>
      </c>
      <c r="I328" s="54" t="s">
        <v>3514</v>
      </c>
      <c r="J328" s="34" t="s">
        <v>3419</v>
      </c>
      <c r="K328" s="50">
        <v>130000</v>
      </c>
      <c r="L328" s="43">
        <v>19760</v>
      </c>
      <c r="M328" s="44">
        <f t="shared" si="28"/>
        <v>0.152</v>
      </c>
      <c r="N328" s="49">
        <f>ROUND(L328/Summary!$C$3*Summary!$C$2,0)</f>
        <v>61256</v>
      </c>
      <c r="O328" s="44">
        <f t="shared" si="29"/>
        <v>0.47120000000000001</v>
      </c>
      <c r="P328" s="78">
        <v>10</v>
      </c>
      <c r="Q328" s="34">
        <v>0</v>
      </c>
      <c r="R328" s="35">
        <f t="shared" si="30"/>
        <v>0</v>
      </c>
      <c r="S328" s="49">
        <f>ROUND(Q328/Summary!$C$3*Summary!$C$2,0)</f>
        <v>0</v>
      </c>
      <c r="T328" s="44">
        <f t="shared" si="31"/>
        <v>0</v>
      </c>
      <c r="U328" s="34">
        <v>0</v>
      </c>
      <c r="V328" s="34">
        <v>0</v>
      </c>
      <c r="W328" s="34">
        <v>0</v>
      </c>
      <c r="X328" s="34">
        <v>0</v>
      </c>
    </row>
    <row r="329" spans="1:24" hidden="1">
      <c r="A329" s="34" t="s">
        <v>1120</v>
      </c>
      <c r="B329" s="34" t="s">
        <v>1121</v>
      </c>
      <c r="C329" s="34" t="s">
        <v>142</v>
      </c>
      <c r="D329" s="34" t="s">
        <v>143</v>
      </c>
      <c r="E329" s="34" t="s">
        <v>7</v>
      </c>
      <c r="F329" s="34" t="s">
        <v>1122</v>
      </c>
      <c r="G329" s="54">
        <v>1861791920</v>
      </c>
      <c r="H329" s="54" t="s">
        <v>229</v>
      </c>
      <c r="I329" s="54" t="s">
        <v>3514</v>
      </c>
      <c r="J329" s="34" t="s">
        <v>3421</v>
      </c>
      <c r="K329" s="50">
        <v>130000</v>
      </c>
      <c r="L329" s="43">
        <v>30650</v>
      </c>
      <c r="M329" s="44">
        <f t="shared" ref="M329:M392" si="32">L329/K329</f>
        <v>0.23576923076923076</v>
      </c>
      <c r="N329" s="49">
        <f>ROUND(L329/Summary!$C$3*Summary!$C$2,0)</f>
        <v>95015</v>
      </c>
      <c r="O329" s="44">
        <f t="shared" ref="O329:O392" si="33">N329/K329</f>
        <v>0.73088461538461535</v>
      </c>
      <c r="P329" s="78">
        <v>10</v>
      </c>
      <c r="Q329" s="34">
        <v>2</v>
      </c>
      <c r="R329" s="35">
        <f t="shared" ref="R329:R392" si="34">Q329/P329</f>
        <v>0.2</v>
      </c>
      <c r="S329" s="49">
        <f>ROUND(Q329/Summary!$C$3*Summary!$C$2,0)</f>
        <v>6</v>
      </c>
      <c r="T329" s="44">
        <f t="shared" ref="T329:T392" si="35">S329/P329</f>
        <v>0.6</v>
      </c>
      <c r="U329" s="34">
        <v>0</v>
      </c>
      <c r="V329" s="34">
        <v>1</v>
      </c>
      <c r="W329" s="34">
        <v>1</v>
      </c>
      <c r="X329" s="34">
        <v>0</v>
      </c>
    </row>
    <row r="330" spans="1:24" hidden="1">
      <c r="A330" s="34" t="s">
        <v>3229</v>
      </c>
      <c r="B330" s="34" t="s">
        <v>3230</v>
      </c>
      <c r="C330" s="34" t="s">
        <v>142</v>
      </c>
      <c r="D330" s="34" t="s">
        <v>143</v>
      </c>
      <c r="E330" s="34" t="s">
        <v>7</v>
      </c>
      <c r="F330" s="34" t="s">
        <v>3231</v>
      </c>
      <c r="G330" s="54">
        <v>1743512512</v>
      </c>
      <c r="H330" s="54" t="s">
        <v>229</v>
      </c>
      <c r="I330" s="54" t="s">
        <v>3514</v>
      </c>
      <c r="J330" s="34" t="s">
        <v>3419</v>
      </c>
      <c r="K330" s="50">
        <v>159799</v>
      </c>
      <c r="L330" s="43">
        <v>21745</v>
      </c>
      <c r="M330" s="44">
        <f t="shared" si="32"/>
        <v>0.13607719697870449</v>
      </c>
      <c r="N330" s="49">
        <f>ROUND(L330/Summary!$C$3*Summary!$C$2,0)</f>
        <v>67410</v>
      </c>
      <c r="O330" s="44">
        <f t="shared" si="33"/>
        <v>0.42184243956470313</v>
      </c>
      <c r="P330" s="78">
        <v>10</v>
      </c>
      <c r="Q330" s="34">
        <v>1</v>
      </c>
      <c r="R330" s="35">
        <f t="shared" si="34"/>
        <v>0.1</v>
      </c>
      <c r="S330" s="49">
        <f>ROUND(Q330/Summary!$C$3*Summary!$C$2,0)</f>
        <v>3</v>
      </c>
      <c r="T330" s="44">
        <f t="shared" si="35"/>
        <v>0.3</v>
      </c>
      <c r="U330" s="34">
        <v>0</v>
      </c>
      <c r="V330" s="34">
        <v>0</v>
      </c>
      <c r="W330" s="34">
        <v>0</v>
      </c>
      <c r="X330" s="34">
        <v>0</v>
      </c>
    </row>
    <row r="331" spans="1:24" hidden="1">
      <c r="A331" s="75" t="s">
        <v>3549</v>
      </c>
      <c r="B331" s="75" t="s">
        <v>3550</v>
      </c>
      <c r="C331" s="75" t="s">
        <v>142</v>
      </c>
      <c r="D331" s="75" t="s">
        <v>143</v>
      </c>
      <c r="E331" s="75" t="s">
        <v>7</v>
      </c>
      <c r="F331" s="75" t="s">
        <v>3551</v>
      </c>
      <c r="G331" s="67">
        <v>1710973636</v>
      </c>
      <c r="H331" s="54" t="s">
        <v>229</v>
      </c>
      <c r="I331" s="54" t="s">
        <v>3514</v>
      </c>
      <c r="J331" s="34" t="s">
        <v>3421</v>
      </c>
      <c r="K331" s="50">
        <v>130000</v>
      </c>
      <c r="L331" s="43">
        <v>4740</v>
      </c>
      <c r="M331" s="44">
        <f t="shared" si="32"/>
        <v>3.6461538461538462E-2</v>
      </c>
      <c r="N331" s="49">
        <f>ROUND(L331/Summary!$C$3*Summary!$C$2,0)</f>
        <v>14694</v>
      </c>
      <c r="O331" s="44">
        <f t="shared" si="33"/>
        <v>0.11303076923076923</v>
      </c>
      <c r="P331" s="78">
        <v>10</v>
      </c>
      <c r="Q331" s="34">
        <v>0</v>
      </c>
      <c r="R331" s="35">
        <f t="shared" si="34"/>
        <v>0</v>
      </c>
      <c r="S331" s="49">
        <f>ROUND(Q331/Summary!$C$3*Summary!$C$2,0)</f>
        <v>0</v>
      </c>
      <c r="T331" s="44">
        <f t="shared" si="35"/>
        <v>0</v>
      </c>
      <c r="U331" s="34">
        <v>0</v>
      </c>
      <c r="V331" s="34">
        <v>0</v>
      </c>
      <c r="W331" s="34">
        <v>0</v>
      </c>
      <c r="X331" s="34">
        <v>0</v>
      </c>
    </row>
    <row r="332" spans="1:24" hidden="1">
      <c r="A332" s="75" t="s">
        <v>3552</v>
      </c>
      <c r="B332" s="75" t="s">
        <v>127</v>
      </c>
      <c r="C332" s="75" t="s">
        <v>142</v>
      </c>
      <c r="D332" s="75" t="s">
        <v>143</v>
      </c>
      <c r="E332" s="75" t="s">
        <v>7</v>
      </c>
      <c r="F332" s="75" t="s">
        <v>3553</v>
      </c>
      <c r="G332" s="67">
        <v>1686769519</v>
      </c>
      <c r="H332" s="54" t="s">
        <v>229</v>
      </c>
      <c r="I332" s="54" t="s">
        <v>3514</v>
      </c>
      <c r="J332" s="34" t="s">
        <v>3419</v>
      </c>
      <c r="K332" s="50">
        <v>170000</v>
      </c>
      <c r="L332" s="43">
        <v>19510</v>
      </c>
      <c r="M332" s="44">
        <f t="shared" si="32"/>
        <v>0.11476470588235294</v>
      </c>
      <c r="N332" s="49">
        <f>ROUND(L332/Summary!$C$3*Summary!$C$2,0)</f>
        <v>60481</v>
      </c>
      <c r="O332" s="44">
        <f t="shared" si="33"/>
        <v>0.35577058823529412</v>
      </c>
      <c r="P332" s="78">
        <v>12</v>
      </c>
      <c r="Q332" s="34">
        <v>1</v>
      </c>
      <c r="R332" s="35">
        <f t="shared" si="34"/>
        <v>8.3333333333333329E-2</v>
      </c>
      <c r="S332" s="49">
        <f>ROUND(Q332/Summary!$C$3*Summary!$C$2,0)</f>
        <v>3</v>
      </c>
      <c r="T332" s="44">
        <f t="shared" si="35"/>
        <v>0.25</v>
      </c>
      <c r="U332" s="34">
        <v>0</v>
      </c>
      <c r="V332" s="34">
        <v>1</v>
      </c>
      <c r="W332" s="34">
        <v>0</v>
      </c>
      <c r="X332" s="34">
        <v>0</v>
      </c>
    </row>
    <row r="333" spans="1:24" hidden="1">
      <c r="A333" s="34" t="s">
        <v>1150</v>
      </c>
      <c r="B333" s="34" t="s">
        <v>1151</v>
      </c>
      <c r="C333" s="34" t="s">
        <v>142</v>
      </c>
      <c r="D333" s="34" t="s">
        <v>143</v>
      </c>
      <c r="E333" s="34" t="s">
        <v>7</v>
      </c>
      <c r="F333" s="34" t="s">
        <v>1152</v>
      </c>
      <c r="G333" s="54">
        <v>1823323234</v>
      </c>
      <c r="H333" s="54" t="s">
        <v>229</v>
      </c>
      <c r="I333" s="54" t="s">
        <v>3514</v>
      </c>
      <c r="J333" s="34" t="s">
        <v>3419</v>
      </c>
      <c r="K333" s="50">
        <v>130000</v>
      </c>
      <c r="L333" s="43">
        <v>30850</v>
      </c>
      <c r="M333" s="44">
        <f t="shared" si="32"/>
        <v>0.2373076923076923</v>
      </c>
      <c r="N333" s="49">
        <f>ROUND(L333/Summary!$C$3*Summary!$C$2,0)</f>
        <v>95635</v>
      </c>
      <c r="O333" s="44">
        <f t="shared" si="33"/>
        <v>0.7356538461538461</v>
      </c>
      <c r="P333" s="78">
        <v>10</v>
      </c>
      <c r="Q333" s="34">
        <v>2</v>
      </c>
      <c r="R333" s="35">
        <f t="shared" si="34"/>
        <v>0.2</v>
      </c>
      <c r="S333" s="49">
        <f>ROUND(Q333/Summary!$C$3*Summary!$C$2,0)</f>
        <v>6</v>
      </c>
      <c r="T333" s="44">
        <f t="shared" si="35"/>
        <v>0.6</v>
      </c>
      <c r="U333" s="34">
        <v>0</v>
      </c>
      <c r="V333" s="34">
        <v>0</v>
      </c>
      <c r="W333" s="34">
        <v>0</v>
      </c>
      <c r="X333" s="34">
        <v>0</v>
      </c>
    </row>
    <row r="334" spans="1:24" hidden="1">
      <c r="A334" s="34" t="s">
        <v>3433</v>
      </c>
      <c r="B334" s="34" t="s">
        <v>3434</v>
      </c>
      <c r="C334" s="34" t="s">
        <v>142</v>
      </c>
      <c r="D334" s="34" t="s">
        <v>143</v>
      </c>
      <c r="E334" s="34" t="s">
        <v>7</v>
      </c>
      <c r="F334" s="34" t="s">
        <v>3435</v>
      </c>
      <c r="G334" s="54">
        <v>1972110702</v>
      </c>
      <c r="H334" s="54" t="s">
        <v>229</v>
      </c>
      <c r="I334" s="54" t="s">
        <v>3514</v>
      </c>
      <c r="J334" s="34" t="s">
        <v>3421</v>
      </c>
      <c r="K334" s="50">
        <v>130000</v>
      </c>
      <c r="L334" s="43">
        <v>29390</v>
      </c>
      <c r="M334" s="44">
        <f t="shared" si="32"/>
        <v>0.22607692307692306</v>
      </c>
      <c r="N334" s="49">
        <f>ROUND(L334/Summary!$C$3*Summary!$C$2,0)</f>
        <v>91109</v>
      </c>
      <c r="O334" s="44">
        <f t="shared" si="33"/>
        <v>0.70083846153846152</v>
      </c>
      <c r="P334" s="78">
        <v>10</v>
      </c>
      <c r="Q334" s="34">
        <v>0</v>
      </c>
      <c r="R334" s="35">
        <f t="shared" si="34"/>
        <v>0</v>
      </c>
      <c r="S334" s="49">
        <f>ROUND(Q334/Summary!$C$3*Summary!$C$2,0)</f>
        <v>0</v>
      </c>
      <c r="T334" s="44">
        <f t="shared" si="35"/>
        <v>0</v>
      </c>
      <c r="U334" s="34">
        <v>1</v>
      </c>
      <c r="V334" s="34">
        <v>0</v>
      </c>
      <c r="W334" s="34">
        <v>0</v>
      </c>
      <c r="X334" s="34">
        <v>0</v>
      </c>
    </row>
    <row r="335" spans="1:24" hidden="1">
      <c r="A335" s="75" t="s">
        <v>3554</v>
      </c>
      <c r="B335" s="75" t="s">
        <v>3555</v>
      </c>
      <c r="C335" s="75" t="s">
        <v>142</v>
      </c>
      <c r="D335" s="75" t="s">
        <v>143</v>
      </c>
      <c r="E335" s="75" t="s">
        <v>7</v>
      </c>
      <c r="F335" s="75" t="s">
        <v>3556</v>
      </c>
      <c r="G335" s="67">
        <v>1914581173</v>
      </c>
      <c r="H335" s="54" t="s">
        <v>229</v>
      </c>
      <c r="I335" s="54" t="s">
        <v>3514</v>
      </c>
      <c r="J335" s="34" t="s">
        <v>3419</v>
      </c>
      <c r="K335" s="50">
        <v>200000</v>
      </c>
      <c r="L335" s="43">
        <v>66679</v>
      </c>
      <c r="M335" s="44">
        <f t="shared" si="32"/>
        <v>0.333395</v>
      </c>
      <c r="N335" s="49">
        <f>ROUND(L335/Summary!$C$3*Summary!$C$2,0)</f>
        <v>206705</v>
      </c>
      <c r="O335" s="44">
        <f t="shared" si="33"/>
        <v>1.033525</v>
      </c>
      <c r="P335" s="78">
        <v>15</v>
      </c>
      <c r="Q335" s="34">
        <v>2</v>
      </c>
      <c r="R335" s="35">
        <f t="shared" si="34"/>
        <v>0.13333333333333333</v>
      </c>
      <c r="S335" s="49">
        <f>ROUND(Q335/Summary!$C$3*Summary!$C$2,0)</f>
        <v>6</v>
      </c>
      <c r="T335" s="44">
        <f t="shared" si="35"/>
        <v>0.4</v>
      </c>
      <c r="U335" s="34">
        <v>0</v>
      </c>
      <c r="V335" s="34">
        <v>2</v>
      </c>
      <c r="W335" s="34">
        <v>0</v>
      </c>
      <c r="X335" s="34">
        <v>0</v>
      </c>
    </row>
    <row r="336" spans="1:24">
      <c r="A336" s="34" t="s">
        <v>1101</v>
      </c>
      <c r="B336" s="34" t="s">
        <v>74</v>
      </c>
      <c r="C336" s="34" t="s">
        <v>142</v>
      </c>
      <c r="D336" s="34" t="s">
        <v>143</v>
      </c>
      <c r="E336" s="34" t="s">
        <v>7</v>
      </c>
      <c r="F336" s="34" t="s">
        <v>1102</v>
      </c>
      <c r="G336" s="54">
        <v>1915003740</v>
      </c>
      <c r="H336" s="54" t="s">
        <v>229</v>
      </c>
      <c r="I336" s="54" t="s">
        <v>3514</v>
      </c>
      <c r="J336" s="34" t="s">
        <v>3419</v>
      </c>
      <c r="K336" s="50">
        <v>130000</v>
      </c>
      <c r="L336" s="43">
        <v>0</v>
      </c>
      <c r="M336" s="44">
        <f t="shared" si="32"/>
        <v>0</v>
      </c>
      <c r="N336" s="49">
        <f>ROUND(L336/Summary!$C$3*Summary!$C$2,0)</f>
        <v>0</v>
      </c>
      <c r="O336" s="44">
        <f t="shared" si="33"/>
        <v>0</v>
      </c>
      <c r="P336" s="78">
        <v>10</v>
      </c>
      <c r="Q336" s="34">
        <v>0</v>
      </c>
      <c r="R336" s="35">
        <f t="shared" si="34"/>
        <v>0</v>
      </c>
      <c r="S336" s="49">
        <f>ROUND(Q336/Summary!$C$3*Summary!$C$2,0)</f>
        <v>0</v>
      </c>
      <c r="T336" s="44">
        <f t="shared" si="35"/>
        <v>0</v>
      </c>
      <c r="U336" s="34">
        <v>0</v>
      </c>
      <c r="V336" s="34">
        <v>0</v>
      </c>
      <c r="W336" s="34">
        <v>0</v>
      </c>
      <c r="X336" s="34">
        <v>0</v>
      </c>
    </row>
    <row r="337" spans="1:24" hidden="1">
      <c r="A337" s="34" t="s">
        <v>1148</v>
      </c>
      <c r="B337" s="34" t="s">
        <v>120</v>
      </c>
      <c r="C337" s="34" t="s">
        <v>142</v>
      </c>
      <c r="D337" s="34" t="s">
        <v>143</v>
      </c>
      <c r="E337" s="34" t="s">
        <v>7</v>
      </c>
      <c r="F337" s="34" t="s">
        <v>1149</v>
      </c>
      <c r="G337" s="54">
        <v>1725556966</v>
      </c>
      <c r="H337" s="54" t="s">
        <v>229</v>
      </c>
      <c r="I337" s="54" t="s">
        <v>3514</v>
      </c>
      <c r="J337" s="34" t="s">
        <v>3419</v>
      </c>
      <c r="K337" s="50">
        <v>130000</v>
      </c>
      <c r="L337" s="43">
        <v>55350</v>
      </c>
      <c r="M337" s="44">
        <f t="shared" si="32"/>
        <v>0.42576923076923079</v>
      </c>
      <c r="N337" s="49">
        <f>ROUND(L337/Summary!$C$3*Summary!$C$2,0)</f>
        <v>171585</v>
      </c>
      <c r="O337" s="44">
        <f t="shared" si="33"/>
        <v>1.3198846153846153</v>
      </c>
      <c r="P337" s="78">
        <v>10</v>
      </c>
      <c r="Q337" s="34">
        <v>3</v>
      </c>
      <c r="R337" s="35">
        <f t="shared" si="34"/>
        <v>0.3</v>
      </c>
      <c r="S337" s="49">
        <f>ROUND(Q337/Summary!$C$3*Summary!$C$2,0)</f>
        <v>9</v>
      </c>
      <c r="T337" s="44">
        <f t="shared" si="35"/>
        <v>0.9</v>
      </c>
      <c r="U337" s="34">
        <v>0</v>
      </c>
      <c r="V337" s="34">
        <v>3</v>
      </c>
      <c r="W337" s="34">
        <v>0</v>
      </c>
      <c r="X337" s="34">
        <v>0</v>
      </c>
    </row>
    <row r="338" spans="1:24" hidden="1">
      <c r="A338" s="34" t="s">
        <v>1145</v>
      </c>
      <c r="B338" s="34" t="s">
        <v>1146</v>
      </c>
      <c r="C338" s="34" t="s">
        <v>142</v>
      </c>
      <c r="D338" s="34" t="s">
        <v>143</v>
      </c>
      <c r="E338" s="34" t="s">
        <v>7</v>
      </c>
      <c r="F338" s="34" t="s">
        <v>1147</v>
      </c>
      <c r="G338" s="54">
        <v>1944701265</v>
      </c>
      <c r="H338" s="54" t="s">
        <v>229</v>
      </c>
      <c r="I338" s="54" t="s">
        <v>3514</v>
      </c>
      <c r="J338" s="34" t="s">
        <v>3421</v>
      </c>
      <c r="K338" s="50">
        <v>130000</v>
      </c>
      <c r="L338" s="43">
        <v>6990</v>
      </c>
      <c r="M338" s="44">
        <f t="shared" si="32"/>
        <v>5.3769230769230771E-2</v>
      </c>
      <c r="N338" s="49">
        <f>ROUND(L338/Summary!$C$3*Summary!$C$2,0)</f>
        <v>21669</v>
      </c>
      <c r="O338" s="44">
        <f t="shared" si="33"/>
        <v>0.16668461538461538</v>
      </c>
      <c r="P338" s="78">
        <v>10</v>
      </c>
      <c r="Q338" s="34">
        <v>1</v>
      </c>
      <c r="R338" s="35">
        <f t="shared" si="34"/>
        <v>0.1</v>
      </c>
      <c r="S338" s="49">
        <f>ROUND(Q338/Summary!$C$3*Summary!$C$2,0)</f>
        <v>3</v>
      </c>
      <c r="T338" s="44">
        <f t="shared" si="35"/>
        <v>0.3</v>
      </c>
      <c r="U338" s="34">
        <v>0</v>
      </c>
      <c r="V338" s="34">
        <v>0</v>
      </c>
      <c r="W338" s="34">
        <v>0</v>
      </c>
      <c r="X338" s="34">
        <v>0</v>
      </c>
    </row>
    <row r="339" spans="1:24" hidden="1">
      <c r="A339" s="75" t="s">
        <v>3557</v>
      </c>
      <c r="B339" s="75" t="s">
        <v>3558</v>
      </c>
      <c r="C339" s="75" t="s">
        <v>142</v>
      </c>
      <c r="D339" s="75" t="s">
        <v>143</v>
      </c>
      <c r="E339" s="75" t="s">
        <v>7</v>
      </c>
      <c r="F339" s="75" t="s">
        <v>276</v>
      </c>
      <c r="G339" s="67">
        <v>1950947577</v>
      </c>
      <c r="H339" s="54" t="s">
        <v>229</v>
      </c>
      <c r="I339" s="54" t="s">
        <v>3514</v>
      </c>
      <c r="J339" s="34" t="s">
        <v>3419</v>
      </c>
      <c r="K339" s="50">
        <v>130000</v>
      </c>
      <c r="L339" s="43">
        <v>31645</v>
      </c>
      <c r="M339" s="44">
        <f t="shared" si="32"/>
        <v>0.24342307692307694</v>
      </c>
      <c r="N339" s="49">
        <f>ROUND(L339/Summary!$C$3*Summary!$C$2,0)</f>
        <v>98100</v>
      </c>
      <c r="O339" s="44">
        <f t="shared" si="33"/>
        <v>0.75461538461538458</v>
      </c>
      <c r="P339" s="78">
        <v>10</v>
      </c>
      <c r="Q339" s="34">
        <v>3</v>
      </c>
      <c r="R339" s="35">
        <f t="shared" si="34"/>
        <v>0.3</v>
      </c>
      <c r="S339" s="49">
        <f>ROUND(Q339/Summary!$C$3*Summary!$C$2,0)</f>
        <v>9</v>
      </c>
      <c r="T339" s="44">
        <f t="shared" si="35"/>
        <v>0.9</v>
      </c>
      <c r="U339" s="34">
        <v>0</v>
      </c>
      <c r="V339" s="34">
        <v>0</v>
      </c>
      <c r="W339" s="34">
        <v>0</v>
      </c>
      <c r="X339" s="34">
        <v>0</v>
      </c>
    </row>
    <row r="340" spans="1:24" hidden="1">
      <c r="A340" s="34" t="s">
        <v>1153</v>
      </c>
      <c r="B340" s="34" t="s">
        <v>1154</v>
      </c>
      <c r="C340" s="34" t="s">
        <v>142</v>
      </c>
      <c r="D340" s="34" t="s">
        <v>143</v>
      </c>
      <c r="E340" s="34" t="s">
        <v>7</v>
      </c>
      <c r="F340" s="34" t="s">
        <v>1155</v>
      </c>
      <c r="G340" s="54">
        <v>1748315000</v>
      </c>
      <c r="H340" s="54" t="s">
        <v>229</v>
      </c>
      <c r="I340" s="54" t="s">
        <v>3514</v>
      </c>
      <c r="J340" s="34" t="s">
        <v>3419</v>
      </c>
      <c r="K340" s="50">
        <v>140000</v>
      </c>
      <c r="L340" s="43">
        <v>55899</v>
      </c>
      <c r="M340" s="44">
        <f t="shared" si="32"/>
        <v>0.39927857142857143</v>
      </c>
      <c r="N340" s="49">
        <f>ROUND(L340/Summary!$C$3*Summary!$C$2,0)</f>
        <v>173287</v>
      </c>
      <c r="O340" s="44">
        <f t="shared" si="33"/>
        <v>1.2377642857142857</v>
      </c>
      <c r="P340" s="78">
        <v>10</v>
      </c>
      <c r="Q340" s="34">
        <v>2</v>
      </c>
      <c r="R340" s="35">
        <f t="shared" si="34"/>
        <v>0.2</v>
      </c>
      <c r="S340" s="49">
        <f>ROUND(Q340/Summary!$C$3*Summary!$C$2,0)</f>
        <v>6</v>
      </c>
      <c r="T340" s="44">
        <f t="shared" si="35"/>
        <v>0.6</v>
      </c>
      <c r="U340" s="34">
        <v>0</v>
      </c>
      <c r="V340" s="34">
        <v>0</v>
      </c>
      <c r="W340" s="34">
        <v>0</v>
      </c>
      <c r="X340" s="34">
        <v>0</v>
      </c>
    </row>
    <row r="341" spans="1:24" hidden="1">
      <c r="A341" s="34" t="s">
        <v>1185</v>
      </c>
      <c r="B341" s="34" t="s">
        <v>1186</v>
      </c>
      <c r="C341" s="34" t="s">
        <v>88</v>
      </c>
      <c r="D341" s="34" t="s">
        <v>131</v>
      </c>
      <c r="E341" s="34" t="s">
        <v>7</v>
      </c>
      <c r="F341" s="34" t="s">
        <v>1187</v>
      </c>
      <c r="G341" s="54">
        <v>1845919261</v>
      </c>
      <c r="H341" s="54" t="s">
        <v>229</v>
      </c>
      <c r="I341" s="54" t="s">
        <v>3514</v>
      </c>
      <c r="J341" s="34" t="s">
        <v>3421</v>
      </c>
      <c r="K341" s="50">
        <v>130000</v>
      </c>
      <c r="L341" s="43">
        <v>15820</v>
      </c>
      <c r="M341" s="44">
        <f t="shared" si="32"/>
        <v>0.1216923076923077</v>
      </c>
      <c r="N341" s="49">
        <f>ROUND(L341/Summary!$C$3*Summary!$C$2,0)</f>
        <v>49042</v>
      </c>
      <c r="O341" s="44">
        <f t="shared" si="33"/>
        <v>0.37724615384615384</v>
      </c>
      <c r="P341" s="78">
        <v>10</v>
      </c>
      <c r="Q341" s="34">
        <v>0</v>
      </c>
      <c r="R341" s="35">
        <f t="shared" si="34"/>
        <v>0</v>
      </c>
      <c r="S341" s="49">
        <f>ROUND(Q341/Summary!$C$3*Summary!$C$2,0)</f>
        <v>0</v>
      </c>
      <c r="T341" s="44">
        <f t="shared" si="35"/>
        <v>0</v>
      </c>
      <c r="U341" s="34">
        <v>0</v>
      </c>
      <c r="V341" s="34">
        <v>0</v>
      </c>
      <c r="W341" s="34">
        <v>0</v>
      </c>
      <c r="X341" s="34">
        <v>0</v>
      </c>
    </row>
    <row r="342" spans="1:24" hidden="1">
      <c r="A342" s="34" t="s">
        <v>1179</v>
      </c>
      <c r="B342" s="34" t="s">
        <v>1180</v>
      </c>
      <c r="C342" s="34" t="s">
        <v>88</v>
      </c>
      <c r="D342" s="34" t="s">
        <v>131</v>
      </c>
      <c r="E342" s="34" t="s">
        <v>7</v>
      </c>
      <c r="F342" s="34" t="s">
        <v>1181</v>
      </c>
      <c r="G342" s="54">
        <v>1717766777</v>
      </c>
      <c r="H342" s="54" t="s">
        <v>229</v>
      </c>
      <c r="I342" s="54" t="s">
        <v>3514</v>
      </c>
      <c r="J342" s="34" t="s">
        <v>3419</v>
      </c>
      <c r="K342" s="50">
        <v>130000</v>
      </c>
      <c r="L342" s="43">
        <v>27940</v>
      </c>
      <c r="M342" s="44">
        <f t="shared" si="32"/>
        <v>0.21492307692307691</v>
      </c>
      <c r="N342" s="49">
        <f>ROUND(L342/Summary!$C$3*Summary!$C$2,0)</f>
        <v>86614</v>
      </c>
      <c r="O342" s="44">
        <f t="shared" si="33"/>
        <v>0.66626153846153846</v>
      </c>
      <c r="P342" s="78">
        <v>10</v>
      </c>
      <c r="Q342" s="34">
        <v>0</v>
      </c>
      <c r="R342" s="35">
        <f t="shared" si="34"/>
        <v>0</v>
      </c>
      <c r="S342" s="49">
        <f>ROUND(Q342/Summary!$C$3*Summary!$C$2,0)</f>
        <v>0</v>
      </c>
      <c r="T342" s="44">
        <f t="shared" si="35"/>
        <v>0</v>
      </c>
      <c r="U342" s="34">
        <v>0</v>
      </c>
      <c r="V342" s="34">
        <v>0</v>
      </c>
      <c r="W342" s="34">
        <v>0</v>
      </c>
      <c r="X342" s="34">
        <v>0</v>
      </c>
    </row>
    <row r="343" spans="1:24" hidden="1">
      <c r="A343" s="34" t="s">
        <v>1162</v>
      </c>
      <c r="B343" s="34" t="s">
        <v>132</v>
      </c>
      <c r="C343" s="34" t="s">
        <v>88</v>
      </c>
      <c r="D343" s="34" t="s">
        <v>131</v>
      </c>
      <c r="E343" s="34" t="s">
        <v>7</v>
      </c>
      <c r="F343" s="34" t="s">
        <v>1163</v>
      </c>
      <c r="G343" s="54">
        <v>1716043362</v>
      </c>
      <c r="H343" s="54" t="s">
        <v>229</v>
      </c>
      <c r="I343" s="54" t="s">
        <v>3514</v>
      </c>
      <c r="J343" s="34" t="s">
        <v>3419</v>
      </c>
      <c r="K343" s="50">
        <v>150069</v>
      </c>
      <c r="L343" s="43">
        <v>45030</v>
      </c>
      <c r="M343" s="44">
        <f t="shared" si="32"/>
        <v>0.30006197149311314</v>
      </c>
      <c r="N343" s="49">
        <f>ROUND(L343/Summary!$C$3*Summary!$C$2,0)</f>
        <v>139593</v>
      </c>
      <c r="O343" s="44">
        <f t="shared" si="33"/>
        <v>0.93019211162865079</v>
      </c>
      <c r="P343" s="78">
        <v>10</v>
      </c>
      <c r="Q343" s="34">
        <v>4</v>
      </c>
      <c r="R343" s="35">
        <f t="shared" si="34"/>
        <v>0.4</v>
      </c>
      <c r="S343" s="49">
        <f>ROUND(Q343/Summary!$C$3*Summary!$C$2,0)</f>
        <v>12</v>
      </c>
      <c r="T343" s="44">
        <f t="shared" si="35"/>
        <v>1.2</v>
      </c>
      <c r="U343" s="34">
        <v>0</v>
      </c>
      <c r="V343" s="34">
        <v>1</v>
      </c>
      <c r="W343" s="34">
        <v>0</v>
      </c>
      <c r="X343" s="34">
        <v>0</v>
      </c>
    </row>
    <row r="344" spans="1:24" hidden="1">
      <c r="A344" s="34" t="s">
        <v>1164</v>
      </c>
      <c r="B344" s="34" t="s">
        <v>217</v>
      </c>
      <c r="C344" s="34" t="s">
        <v>88</v>
      </c>
      <c r="D344" s="34" t="s">
        <v>131</v>
      </c>
      <c r="E344" s="34" t="s">
        <v>7</v>
      </c>
      <c r="F344" s="34" t="s">
        <v>539</v>
      </c>
      <c r="G344" s="54">
        <v>1920624552</v>
      </c>
      <c r="H344" s="54" t="s">
        <v>229</v>
      </c>
      <c r="I344" s="54" t="s">
        <v>3514</v>
      </c>
      <c r="J344" s="34" t="s">
        <v>3419</v>
      </c>
      <c r="K344" s="50">
        <v>130000</v>
      </c>
      <c r="L344" s="43">
        <v>62590</v>
      </c>
      <c r="M344" s="44">
        <f t="shared" si="32"/>
        <v>0.48146153846153844</v>
      </c>
      <c r="N344" s="49">
        <f>ROUND(L344/Summary!$C$3*Summary!$C$2,0)</f>
        <v>194029</v>
      </c>
      <c r="O344" s="44">
        <f t="shared" si="33"/>
        <v>1.4925307692307692</v>
      </c>
      <c r="P344" s="78">
        <v>10</v>
      </c>
      <c r="Q344" s="34">
        <v>4</v>
      </c>
      <c r="R344" s="35">
        <f t="shared" si="34"/>
        <v>0.4</v>
      </c>
      <c r="S344" s="49">
        <f>ROUND(Q344/Summary!$C$3*Summary!$C$2,0)</f>
        <v>12</v>
      </c>
      <c r="T344" s="44">
        <f t="shared" si="35"/>
        <v>1.2</v>
      </c>
      <c r="U344" s="34">
        <v>0</v>
      </c>
      <c r="V344" s="34">
        <v>1</v>
      </c>
      <c r="W344" s="34">
        <v>0</v>
      </c>
      <c r="X344" s="34">
        <v>1</v>
      </c>
    </row>
    <row r="345" spans="1:24" hidden="1">
      <c r="A345" s="34" t="s">
        <v>1175</v>
      </c>
      <c r="B345" s="34" t="s">
        <v>1176</v>
      </c>
      <c r="C345" s="34" t="s">
        <v>52</v>
      </c>
      <c r="D345" s="34" t="s">
        <v>193</v>
      </c>
      <c r="E345" s="34" t="s">
        <v>7</v>
      </c>
      <c r="F345" s="34" t="s">
        <v>1177</v>
      </c>
      <c r="G345" s="54" t="s">
        <v>1178</v>
      </c>
      <c r="H345" s="54" t="s">
        <v>229</v>
      </c>
      <c r="I345" s="54" t="s">
        <v>3514</v>
      </c>
      <c r="J345" s="34" t="s">
        <v>3419</v>
      </c>
      <c r="K345" s="50">
        <v>130000</v>
      </c>
      <c r="L345" s="43">
        <v>32980</v>
      </c>
      <c r="M345" s="44">
        <f t="shared" si="32"/>
        <v>0.25369230769230772</v>
      </c>
      <c r="N345" s="49">
        <f>ROUND(L345/Summary!$C$3*Summary!$C$2,0)</f>
        <v>102238</v>
      </c>
      <c r="O345" s="44">
        <f t="shared" si="33"/>
        <v>0.78644615384615379</v>
      </c>
      <c r="P345" s="78">
        <v>10</v>
      </c>
      <c r="Q345" s="34">
        <v>0</v>
      </c>
      <c r="R345" s="35">
        <f t="shared" si="34"/>
        <v>0</v>
      </c>
      <c r="S345" s="49">
        <f>ROUND(Q345/Summary!$C$3*Summary!$C$2,0)</f>
        <v>0</v>
      </c>
      <c r="T345" s="44">
        <f t="shared" si="35"/>
        <v>0</v>
      </c>
      <c r="U345" s="34">
        <v>0</v>
      </c>
      <c r="V345" s="34">
        <v>0</v>
      </c>
      <c r="W345" s="34">
        <v>0</v>
      </c>
      <c r="X345" s="34">
        <v>0</v>
      </c>
    </row>
    <row r="346" spans="1:24" hidden="1">
      <c r="A346" s="34" t="s">
        <v>1189</v>
      </c>
      <c r="B346" s="34" t="s">
        <v>1190</v>
      </c>
      <c r="C346" s="34" t="s">
        <v>52</v>
      </c>
      <c r="D346" s="34" t="s">
        <v>193</v>
      </c>
      <c r="E346" s="34" t="s">
        <v>7</v>
      </c>
      <c r="F346" s="34" t="s">
        <v>1191</v>
      </c>
      <c r="G346" s="54" t="s">
        <v>1192</v>
      </c>
      <c r="H346" s="54" t="s">
        <v>229</v>
      </c>
      <c r="I346" s="54" t="s">
        <v>3514</v>
      </c>
      <c r="J346" s="34" t="s">
        <v>3421</v>
      </c>
      <c r="K346" s="50">
        <v>130000</v>
      </c>
      <c r="L346" s="43">
        <v>28260</v>
      </c>
      <c r="M346" s="44">
        <f t="shared" si="32"/>
        <v>0.2173846153846154</v>
      </c>
      <c r="N346" s="49">
        <f>ROUND(L346/Summary!$C$3*Summary!$C$2,0)</f>
        <v>87606</v>
      </c>
      <c r="O346" s="44">
        <f t="shared" si="33"/>
        <v>0.67389230769230768</v>
      </c>
      <c r="P346" s="78">
        <v>10</v>
      </c>
      <c r="Q346" s="34">
        <v>2</v>
      </c>
      <c r="R346" s="35">
        <f t="shared" si="34"/>
        <v>0.2</v>
      </c>
      <c r="S346" s="49">
        <f>ROUND(Q346/Summary!$C$3*Summary!$C$2,0)</f>
        <v>6</v>
      </c>
      <c r="T346" s="44">
        <f t="shared" si="35"/>
        <v>0.6</v>
      </c>
      <c r="U346" s="34">
        <v>0</v>
      </c>
      <c r="V346" s="34">
        <v>0</v>
      </c>
      <c r="W346" s="34">
        <v>0</v>
      </c>
      <c r="X346" s="34">
        <v>1</v>
      </c>
    </row>
    <row r="347" spans="1:24" hidden="1">
      <c r="A347" s="34" t="s">
        <v>1165</v>
      </c>
      <c r="B347" s="34" t="s">
        <v>1166</v>
      </c>
      <c r="C347" s="34" t="s">
        <v>52</v>
      </c>
      <c r="D347" s="34" t="s">
        <v>193</v>
      </c>
      <c r="E347" s="34" t="s">
        <v>7</v>
      </c>
      <c r="F347" s="34" t="s">
        <v>1167</v>
      </c>
      <c r="G347" s="54" t="s">
        <v>1168</v>
      </c>
      <c r="H347" s="54" t="s">
        <v>229</v>
      </c>
      <c r="I347" s="54" t="s">
        <v>3514</v>
      </c>
      <c r="J347" s="34" t="s">
        <v>3421</v>
      </c>
      <c r="K347" s="50">
        <v>130000</v>
      </c>
      <c r="L347" s="43">
        <v>42315</v>
      </c>
      <c r="M347" s="44">
        <f t="shared" si="32"/>
        <v>0.32550000000000001</v>
      </c>
      <c r="N347" s="49">
        <f>ROUND(L347/Summary!$C$3*Summary!$C$2,0)</f>
        <v>131177</v>
      </c>
      <c r="O347" s="44">
        <f t="shared" si="33"/>
        <v>1.0090538461538461</v>
      </c>
      <c r="P347" s="78">
        <v>10</v>
      </c>
      <c r="Q347" s="34">
        <v>3</v>
      </c>
      <c r="R347" s="35">
        <f t="shared" si="34"/>
        <v>0.3</v>
      </c>
      <c r="S347" s="49">
        <f>ROUND(Q347/Summary!$C$3*Summary!$C$2,0)</f>
        <v>9</v>
      </c>
      <c r="T347" s="44">
        <f t="shared" si="35"/>
        <v>0.9</v>
      </c>
      <c r="U347" s="34">
        <v>0</v>
      </c>
      <c r="V347" s="34">
        <v>1</v>
      </c>
      <c r="W347" s="34">
        <v>0</v>
      </c>
      <c r="X347" s="34">
        <v>0</v>
      </c>
    </row>
    <row r="348" spans="1:24" hidden="1">
      <c r="A348" s="34" t="s">
        <v>1267</v>
      </c>
      <c r="B348" s="34" t="s">
        <v>1268</v>
      </c>
      <c r="C348" s="34" t="s">
        <v>52</v>
      </c>
      <c r="D348" s="34" t="s">
        <v>193</v>
      </c>
      <c r="E348" s="34" t="s">
        <v>7</v>
      </c>
      <c r="F348" s="34" t="s">
        <v>1269</v>
      </c>
      <c r="G348" s="54" t="s">
        <v>1270</v>
      </c>
      <c r="H348" s="54" t="s">
        <v>229</v>
      </c>
      <c r="I348" s="54" t="s">
        <v>3514</v>
      </c>
      <c r="J348" s="34" t="s">
        <v>3421</v>
      </c>
      <c r="K348" s="50">
        <v>130000</v>
      </c>
      <c r="L348" s="43">
        <v>5790</v>
      </c>
      <c r="M348" s="44">
        <f t="shared" si="32"/>
        <v>4.4538461538461541E-2</v>
      </c>
      <c r="N348" s="49">
        <f>ROUND(L348/Summary!$C$3*Summary!$C$2,0)</f>
        <v>17949</v>
      </c>
      <c r="O348" s="44">
        <f t="shared" si="33"/>
        <v>0.13806923076923078</v>
      </c>
      <c r="P348" s="78">
        <v>10</v>
      </c>
      <c r="Q348" s="34">
        <v>0</v>
      </c>
      <c r="R348" s="35">
        <f t="shared" si="34"/>
        <v>0</v>
      </c>
      <c r="S348" s="49">
        <f>ROUND(Q348/Summary!$C$3*Summary!$C$2,0)</f>
        <v>0</v>
      </c>
      <c r="T348" s="44">
        <f t="shared" si="35"/>
        <v>0</v>
      </c>
      <c r="U348" s="34">
        <v>1</v>
      </c>
      <c r="V348" s="34">
        <v>0</v>
      </c>
      <c r="W348" s="34">
        <v>0</v>
      </c>
      <c r="X348" s="34">
        <v>0</v>
      </c>
    </row>
    <row r="349" spans="1:24" hidden="1">
      <c r="A349" s="34" t="s">
        <v>1247</v>
      </c>
      <c r="B349" s="34" t="s">
        <v>1248</v>
      </c>
      <c r="C349" s="34" t="s">
        <v>52</v>
      </c>
      <c r="D349" s="34" t="s">
        <v>193</v>
      </c>
      <c r="E349" s="34" t="s">
        <v>7</v>
      </c>
      <c r="F349" s="34" t="s">
        <v>1249</v>
      </c>
      <c r="G349" s="54" t="s">
        <v>1250</v>
      </c>
      <c r="H349" s="54" t="s">
        <v>229</v>
      </c>
      <c r="I349" s="54" t="s">
        <v>3514</v>
      </c>
      <c r="J349" s="34" t="s">
        <v>3421</v>
      </c>
      <c r="K349" s="50">
        <v>130000</v>
      </c>
      <c r="L349" s="43">
        <v>14780</v>
      </c>
      <c r="M349" s="44">
        <f t="shared" si="32"/>
        <v>0.11369230769230769</v>
      </c>
      <c r="N349" s="49">
        <f>ROUND(L349/Summary!$C$3*Summary!$C$2,0)</f>
        <v>45818</v>
      </c>
      <c r="O349" s="44">
        <f t="shared" si="33"/>
        <v>0.35244615384615385</v>
      </c>
      <c r="P349" s="78">
        <v>10</v>
      </c>
      <c r="Q349" s="34">
        <v>1</v>
      </c>
      <c r="R349" s="35">
        <f t="shared" si="34"/>
        <v>0.1</v>
      </c>
      <c r="S349" s="49">
        <f>ROUND(Q349/Summary!$C$3*Summary!$C$2,0)</f>
        <v>3</v>
      </c>
      <c r="T349" s="44">
        <f t="shared" si="35"/>
        <v>0.3</v>
      </c>
      <c r="U349" s="34">
        <v>0</v>
      </c>
      <c r="V349" s="34">
        <v>0</v>
      </c>
      <c r="W349" s="34">
        <v>0</v>
      </c>
      <c r="X349" s="34">
        <v>0</v>
      </c>
    </row>
    <row r="350" spans="1:24" hidden="1">
      <c r="A350" s="34" t="s">
        <v>1172</v>
      </c>
      <c r="B350" s="34" t="s">
        <v>1173</v>
      </c>
      <c r="C350" s="34" t="s">
        <v>52</v>
      </c>
      <c r="D350" s="34" t="s">
        <v>193</v>
      </c>
      <c r="E350" s="34" t="s">
        <v>7</v>
      </c>
      <c r="F350" s="34" t="s">
        <v>1174</v>
      </c>
      <c r="G350" s="54">
        <v>1779966333</v>
      </c>
      <c r="H350" s="54" t="s">
        <v>229</v>
      </c>
      <c r="I350" s="54" t="s">
        <v>3514</v>
      </c>
      <c r="J350" s="34" t="s">
        <v>3421</v>
      </c>
      <c r="K350" s="50">
        <v>130000</v>
      </c>
      <c r="L350" s="43">
        <v>9589</v>
      </c>
      <c r="M350" s="44">
        <f t="shared" si="32"/>
        <v>7.3761538461538462E-2</v>
      </c>
      <c r="N350" s="49">
        <f>ROUND(L350/Summary!$C$3*Summary!$C$2,0)</f>
        <v>29726</v>
      </c>
      <c r="O350" s="44">
        <f t="shared" si="33"/>
        <v>0.22866153846153847</v>
      </c>
      <c r="P350" s="78">
        <v>10</v>
      </c>
      <c r="Q350" s="34">
        <v>0</v>
      </c>
      <c r="R350" s="35">
        <f t="shared" si="34"/>
        <v>0</v>
      </c>
      <c r="S350" s="49">
        <f>ROUND(Q350/Summary!$C$3*Summary!$C$2,0)</f>
        <v>0</v>
      </c>
      <c r="T350" s="44">
        <f t="shared" si="35"/>
        <v>0</v>
      </c>
      <c r="U350" s="34">
        <v>0</v>
      </c>
      <c r="V350" s="34">
        <v>0</v>
      </c>
      <c r="W350" s="34">
        <v>0</v>
      </c>
      <c r="X350" s="34">
        <v>0</v>
      </c>
    </row>
    <row r="351" spans="1:24" hidden="1">
      <c r="A351" s="34" t="s">
        <v>1217</v>
      </c>
      <c r="B351" s="34" t="s">
        <v>1218</v>
      </c>
      <c r="C351" s="34" t="s">
        <v>52</v>
      </c>
      <c r="D351" s="34" t="s">
        <v>193</v>
      </c>
      <c r="E351" s="34" t="s">
        <v>7</v>
      </c>
      <c r="F351" s="34" t="s">
        <v>1219</v>
      </c>
      <c r="G351" s="54">
        <v>1747666551</v>
      </c>
      <c r="H351" s="54" t="s">
        <v>229</v>
      </c>
      <c r="I351" s="54" t="s">
        <v>3514</v>
      </c>
      <c r="J351" s="34" t="s">
        <v>3419</v>
      </c>
      <c r="K351" s="50">
        <v>130000</v>
      </c>
      <c r="L351" s="43">
        <v>58690</v>
      </c>
      <c r="M351" s="44">
        <f t="shared" si="32"/>
        <v>0.45146153846153847</v>
      </c>
      <c r="N351" s="49">
        <f>ROUND(L351/Summary!$C$3*Summary!$C$2,0)</f>
        <v>181939</v>
      </c>
      <c r="O351" s="44">
        <f t="shared" si="33"/>
        <v>1.3995307692307692</v>
      </c>
      <c r="P351" s="78">
        <v>10</v>
      </c>
      <c r="Q351" s="34">
        <v>2</v>
      </c>
      <c r="R351" s="35">
        <f t="shared" si="34"/>
        <v>0.2</v>
      </c>
      <c r="S351" s="49">
        <f>ROUND(Q351/Summary!$C$3*Summary!$C$2,0)</f>
        <v>6</v>
      </c>
      <c r="T351" s="44">
        <f t="shared" si="35"/>
        <v>0.6</v>
      </c>
      <c r="U351" s="34">
        <v>1</v>
      </c>
      <c r="V351" s="34">
        <v>1</v>
      </c>
      <c r="W351" s="34">
        <v>0</v>
      </c>
      <c r="X351" s="34">
        <v>0</v>
      </c>
    </row>
    <row r="352" spans="1:24" hidden="1">
      <c r="A352" s="34" t="s">
        <v>1263</v>
      </c>
      <c r="B352" s="34" t="s">
        <v>269</v>
      </c>
      <c r="C352" s="34" t="s">
        <v>52</v>
      </c>
      <c r="D352" s="34" t="s">
        <v>193</v>
      </c>
      <c r="E352" s="34" t="s">
        <v>7</v>
      </c>
      <c r="F352" s="34" t="s">
        <v>849</v>
      </c>
      <c r="G352" s="54">
        <v>1833225455</v>
      </c>
      <c r="H352" s="54" t="s">
        <v>229</v>
      </c>
      <c r="I352" s="54" t="s">
        <v>3514</v>
      </c>
      <c r="J352" s="34" t="s">
        <v>3421</v>
      </c>
      <c r="K352" s="50">
        <v>130000</v>
      </c>
      <c r="L352" s="43">
        <v>23800</v>
      </c>
      <c r="M352" s="44">
        <f t="shared" si="32"/>
        <v>0.18307692307692308</v>
      </c>
      <c r="N352" s="49">
        <f>ROUND(L352/Summary!$C$3*Summary!$C$2,0)</f>
        <v>73780</v>
      </c>
      <c r="O352" s="44">
        <f t="shared" si="33"/>
        <v>0.56753846153846155</v>
      </c>
      <c r="P352" s="78">
        <v>10</v>
      </c>
      <c r="Q352" s="34">
        <v>0</v>
      </c>
      <c r="R352" s="35">
        <f t="shared" si="34"/>
        <v>0</v>
      </c>
      <c r="S352" s="49">
        <f>ROUND(Q352/Summary!$C$3*Summary!$C$2,0)</f>
        <v>0</v>
      </c>
      <c r="T352" s="44">
        <f t="shared" si="35"/>
        <v>0</v>
      </c>
      <c r="U352" s="34">
        <v>0</v>
      </c>
      <c r="V352" s="34">
        <v>0</v>
      </c>
      <c r="W352" s="34">
        <v>0</v>
      </c>
      <c r="X352" s="34">
        <v>0</v>
      </c>
    </row>
    <row r="353" spans="1:24" hidden="1">
      <c r="A353" s="34" t="s">
        <v>1196</v>
      </c>
      <c r="B353" s="34" t="s">
        <v>1197</v>
      </c>
      <c r="C353" s="34" t="s">
        <v>52</v>
      </c>
      <c r="D353" s="34" t="s">
        <v>193</v>
      </c>
      <c r="E353" s="34" t="s">
        <v>7</v>
      </c>
      <c r="F353" s="34" t="s">
        <v>1198</v>
      </c>
      <c r="G353" s="54">
        <v>1721026691</v>
      </c>
      <c r="H353" s="54" t="s">
        <v>229</v>
      </c>
      <c r="I353" s="54" t="s">
        <v>3514</v>
      </c>
      <c r="J353" s="34" t="s">
        <v>3419</v>
      </c>
      <c r="K353" s="50">
        <v>290253</v>
      </c>
      <c r="L353" s="43">
        <v>38580</v>
      </c>
      <c r="M353" s="44">
        <f t="shared" si="32"/>
        <v>0.13291852280596583</v>
      </c>
      <c r="N353" s="49">
        <f>ROUND(L353/Summary!$C$3*Summary!$C$2,0)</f>
        <v>119598</v>
      </c>
      <c r="O353" s="44">
        <f t="shared" si="33"/>
        <v>0.41204742069849409</v>
      </c>
      <c r="P353" s="78">
        <v>20</v>
      </c>
      <c r="Q353" s="34">
        <v>1</v>
      </c>
      <c r="R353" s="35">
        <f t="shared" si="34"/>
        <v>0.05</v>
      </c>
      <c r="S353" s="49">
        <f>ROUND(Q353/Summary!$C$3*Summary!$C$2,0)</f>
        <v>3</v>
      </c>
      <c r="T353" s="44">
        <f t="shared" si="35"/>
        <v>0.15</v>
      </c>
      <c r="U353" s="34">
        <v>0</v>
      </c>
      <c r="V353" s="34">
        <v>0</v>
      </c>
      <c r="W353" s="34">
        <v>0</v>
      </c>
      <c r="X353" s="34">
        <v>0</v>
      </c>
    </row>
    <row r="354" spans="1:24" hidden="1">
      <c r="A354" s="34" t="s">
        <v>1238</v>
      </c>
      <c r="B354" s="34" t="s">
        <v>1239</v>
      </c>
      <c r="C354" s="34" t="s">
        <v>52</v>
      </c>
      <c r="D354" s="34" t="s">
        <v>193</v>
      </c>
      <c r="E354" s="34" t="s">
        <v>7</v>
      </c>
      <c r="F354" s="34" t="s">
        <v>1240</v>
      </c>
      <c r="G354" s="54">
        <v>1785552831</v>
      </c>
      <c r="H354" s="54" t="s">
        <v>229</v>
      </c>
      <c r="I354" s="54" t="s">
        <v>3514</v>
      </c>
      <c r="J354" s="34" t="s">
        <v>3421</v>
      </c>
      <c r="K354" s="50">
        <v>130000</v>
      </c>
      <c r="L354" s="43">
        <v>28060</v>
      </c>
      <c r="M354" s="44">
        <f t="shared" si="32"/>
        <v>0.21584615384615385</v>
      </c>
      <c r="N354" s="49">
        <f>ROUND(L354/Summary!$C$3*Summary!$C$2,0)</f>
        <v>86986</v>
      </c>
      <c r="O354" s="44">
        <f t="shared" si="33"/>
        <v>0.66912307692307693</v>
      </c>
      <c r="P354" s="78">
        <v>10</v>
      </c>
      <c r="Q354" s="34">
        <v>4</v>
      </c>
      <c r="R354" s="35">
        <f t="shared" si="34"/>
        <v>0.4</v>
      </c>
      <c r="S354" s="49">
        <f>ROUND(Q354/Summary!$C$3*Summary!$C$2,0)</f>
        <v>12</v>
      </c>
      <c r="T354" s="44">
        <f t="shared" si="35"/>
        <v>1.2</v>
      </c>
      <c r="U354" s="34">
        <v>0</v>
      </c>
      <c r="V354" s="34">
        <v>3</v>
      </c>
      <c r="W354" s="34">
        <v>0</v>
      </c>
      <c r="X354" s="34">
        <v>0</v>
      </c>
    </row>
    <row r="355" spans="1:24" hidden="1">
      <c r="A355" s="34" t="s">
        <v>1193</v>
      </c>
      <c r="B355" s="34" t="s">
        <v>1194</v>
      </c>
      <c r="C355" s="34" t="s">
        <v>52</v>
      </c>
      <c r="D355" s="34" t="s">
        <v>193</v>
      </c>
      <c r="E355" s="34" t="s">
        <v>7</v>
      </c>
      <c r="F355" s="34" t="s">
        <v>1195</v>
      </c>
      <c r="G355" s="54">
        <v>1757950099</v>
      </c>
      <c r="H355" s="54" t="s">
        <v>229</v>
      </c>
      <c r="I355" s="54" t="s">
        <v>3514</v>
      </c>
      <c r="J355" s="34" t="s">
        <v>3419</v>
      </c>
      <c r="K355" s="50">
        <v>258786</v>
      </c>
      <c r="L355" s="43">
        <v>55455</v>
      </c>
      <c r="M355" s="44">
        <f t="shared" si="32"/>
        <v>0.2142890264542904</v>
      </c>
      <c r="N355" s="49">
        <f>ROUND(L355/Summary!$C$3*Summary!$C$2,0)</f>
        <v>171911</v>
      </c>
      <c r="O355" s="44">
        <f t="shared" si="33"/>
        <v>0.66429791410663641</v>
      </c>
      <c r="P355" s="78">
        <v>15</v>
      </c>
      <c r="Q355" s="34">
        <v>5</v>
      </c>
      <c r="R355" s="35">
        <f t="shared" si="34"/>
        <v>0.33333333333333331</v>
      </c>
      <c r="S355" s="49">
        <f>ROUND(Q355/Summary!$C$3*Summary!$C$2,0)</f>
        <v>16</v>
      </c>
      <c r="T355" s="44">
        <f t="shared" si="35"/>
        <v>1.0666666666666667</v>
      </c>
      <c r="U355" s="34">
        <v>0</v>
      </c>
      <c r="V355" s="34">
        <v>2</v>
      </c>
      <c r="W355" s="34">
        <v>0</v>
      </c>
      <c r="X355" s="34">
        <v>0</v>
      </c>
    </row>
    <row r="356" spans="1:24" hidden="1">
      <c r="A356" s="34" t="s">
        <v>1241</v>
      </c>
      <c r="B356" s="34" t="s">
        <v>1242</v>
      </c>
      <c r="C356" s="34" t="s">
        <v>207</v>
      </c>
      <c r="D356" s="34" t="s">
        <v>193</v>
      </c>
      <c r="E356" s="34" t="s">
        <v>7</v>
      </c>
      <c r="F356" s="34" t="s">
        <v>1243</v>
      </c>
      <c r="G356" s="54">
        <v>1701720250</v>
      </c>
      <c r="H356" s="54" t="s">
        <v>229</v>
      </c>
      <c r="I356" s="54" t="s">
        <v>3514</v>
      </c>
      <c r="J356" s="34" t="s">
        <v>3419</v>
      </c>
      <c r="K356" s="50">
        <v>130000</v>
      </c>
      <c r="L356" s="43">
        <v>29959</v>
      </c>
      <c r="M356" s="44">
        <f t="shared" si="32"/>
        <v>0.23045384615384615</v>
      </c>
      <c r="N356" s="49">
        <f>ROUND(L356/Summary!$C$3*Summary!$C$2,0)</f>
        <v>92873</v>
      </c>
      <c r="O356" s="44">
        <f t="shared" si="33"/>
        <v>0.7144076923076923</v>
      </c>
      <c r="P356" s="78">
        <v>10</v>
      </c>
      <c r="Q356" s="34">
        <v>2</v>
      </c>
      <c r="R356" s="35">
        <f t="shared" si="34"/>
        <v>0.2</v>
      </c>
      <c r="S356" s="49">
        <f>ROUND(Q356/Summary!$C$3*Summary!$C$2,0)</f>
        <v>6</v>
      </c>
      <c r="T356" s="44">
        <f t="shared" si="35"/>
        <v>0.6</v>
      </c>
      <c r="U356" s="34">
        <v>0</v>
      </c>
      <c r="V356" s="34">
        <v>0</v>
      </c>
      <c r="W356" s="34">
        <v>0</v>
      </c>
      <c r="X356" s="34">
        <v>0</v>
      </c>
    </row>
    <row r="357" spans="1:24" hidden="1">
      <c r="A357" s="34" t="s">
        <v>1229</v>
      </c>
      <c r="B357" s="34" t="s">
        <v>1230</v>
      </c>
      <c r="C357" s="34" t="s">
        <v>207</v>
      </c>
      <c r="D357" s="34" t="s">
        <v>193</v>
      </c>
      <c r="E357" s="34" t="s">
        <v>7</v>
      </c>
      <c r="F357" s="34" t="s">
        <v>1231</v>
      </c>
      <c r="G357" s="54">
        <v>1701769622</v>
      </c>
      <c r="H357" s="54" t="s">
        <v>229</v>
      </c>
      <c r="I357" s="54" t="s">
        <v>3514</v>
      </c>
      <c r="J357" s="34" t="s">
        <v>3421</v>
      </c>
      <c r="K357" s="50">
        <v>130000</v>
      </c>
      <c r="L357" s="43">
        <v>4740</v>
      </c>
      <c r="M357" s="44">
        <f t="shared" si="32"/>
        <v>3.6461538461538462E-2</v>
      </c>
      <c r="N357" s="49">
        <f>ROUND(L357/Summary!$C$3*Summary!$C$2,0)</f>
        <v>14694</v>
      </c>
      <c r="O357" s="44">
        <f t="shared" si="33"/>
        <v>0.11303076923076923</v>
      </c>
      <c r="P357" s="78">
        <v>10</v>
      </c>
      <c r="Q357" s="34">
        <v>0</v>
      </c>
      <c r="R357" s="35">
        <f t="shared" si="34"/>
        <v>0</v>
      </c>
      <c r="S357" s="49">
        <f>ROUND(Q357/Summary!$C$3*Summary!$C$2,0)</f>
        <v>0</v>
      </c>
      <c r="T357" s="44">
        <f t="shared" si="35"/>
        <v>0</v>
      </c>
      <c r="U357" s="34">
        <v>0</v>
      </c>
      <c r="V357" s="34">
        <v>0</v>
      </c>
      <c r="W357" s="34">
        <v>0</v>
      </c>
      <c r="X357" s="34">
        <v>0</v>
      </c>
    </row>
    <row r="358" spans="1:24" hidden="1">
      <c r="A358" s="34" t="s">
        <v>1226</v>
      </c>
      <c r="B358" s="34" t="s">
        <v>1227</v>
      </c>
      <c r="C358" s="34" t="s">
        <v>207</v>
      </c>
      <c r="D358" s="34" t="s">
        <v>193</v>
      </c>
      <c r="E358" s="34" t="s">
        <v>7</v>
      </c>
      <c r="F358" s="34" t="s">
        <v>1228</v>
      </c>
      <c r="G358" s="54">
        <v>1611661900</v>
      </c>
      <c r="H358" s="54" t="s">
        <v>229</v>
      </c>
      <c r="I358" s="54" t="s">
        <v>3514</v>
      </c>
      <c r="J358" s="34" t="s">
        <v>3421</v>
      </c>
      <c r="K358" s="50">
        <v>172347</v>
      </c>
      <c r="L358" s="43">
        <v>45509</v>
      </c>
      <c r="M358" s="44">
        <f t="shared" si="32"/>
        <v>0.26405449471125114</v>
      </c>
      <c r="N358" s="49">
        <f>ROUND(L358/Summary!$C$3*Summary!$C$2,0)</f>
        <v>141078</v>
      </c>
      <c r="O358" s="44">
        <f t="shared" si="33"/>
        <v>0.81856951382965759</v>
      </c>
      <c r="P358" s="78">
        <v>12</v>
      </c>
      <c r="Q358" s="34">
        <v>0</v>
      </c>
      <c r="R358" s="35">
        <f t="shared" si="34"/>
        <v>0</v>
      </c>
      <c r="S358" s="49">
        <f>ROUND(Q358/Summary!$C$3*Summary!$C$2,0)</f>
        <v>0</v>
      </c>
      <c r="T358" s="44">
        <f t="shared" si="35"/>
        <v>0</v>
      </c>
      <c r="U358" s="34">
        <v>0</v>
      </c>
      <c r="V358" s="34">
        <v>0</v>
      </c>
      <c r="W358" s="34">
        <v>0</v>
      </c>
      <c r="X358" s="34">
        <v>0</v>
      </c>
    </row>
    <row r="359" spans="1:24" hidden="1">
      <c r="A359" s="34" t="s">
        <v>1264</v>
      </c>
      <c r="B359" s="34" t="s">
        <v>1265</v>
      </c>
      <c r="C359" s="34" t="s">
        <v>207</v>
      </c>
      <c r="D359" s="34" t="s">
        <v>193</v>
      </c>
      <c r="E359" s="34" t="s">
        <v>7</v>
      </c>
      <c r="F359" s="34" t="s">
        <v>1266</v>
      </c>
      <c r="G359" s="54">
        <v>1748999577</v>
      </c>
      <c r="H359" s="54" t="s">
        <v>229</v>
      </c>
      <c r="I359" s="54" t="s">
        <v>3514</v>
      </c>
      <c r="J359" s="34" t="s">
        <v>3421</v>
      </c>
      <c r="K359" s="50">
        <v>130000</v>
      </c>
      <c r="L359" s="43">
        <v>5990</v>
      </c>
      <c r="M359" s="44">
        <f t="shared" si="32"/>
        <v>4.6076923076923078E-2</v>
      </c>
      <c r="N359" s="49">
        <f>ROUND(L359/Summary!$C$3*Summary!$C$2,0)</f>
        <v>18569</v>
      </c>
      <c r="O359" s="44">
        <f t="shared" si="33"/>
        <v>0.14283846153846153</v>
      </c>
      <c r="P359" s="78">
        <v>10</v>
      </c>
      <c r="Q359" s="34">
        <v>0</v>
      </c>
      <c r="R359" s="35">
        <f t="shared" si="34"/>
        <v>0</v>
      </c>
      <c r="S359" s="49">
        <f>ROUND(Q359/Summary!$C$3*Summary!$C$2,0)</f>
        <v>0</v>
      </c>
      <c r="T359" s="44">
        <f t="shared" si="35"/>
        <v>0</v>
      </c>
      <c r="U359" s="34">
        <v>0</v>
      </c>
      <c r="V359" s="34">
        <v>0</v>
      </c>
      <c r="W359" s="34">
        <v>0</v>
      </c>
      <c r="X359" s="34">
        <v>0</v>
      </c>
    </row>
    <row r="360" spans="1:24" hidden="1">
      <c r="A360" s="34" t="s">
        <v>1277</v>
      </c>
      <c r="B360" s="34" t="s">
        <v>1278</v>
      </c>
      <c r="C360" s="34" t="s">
        <v>207</v>
      </c>
      <c r="D360" s="34" t="s">
        <v>193</v>
      </c>
      <c r="E360" s="34" t="s">
        <v>7</v>
      </c>
      <c r="F360" s="34" t="s">
        <v>1279</v>
      </c>
      <c r="G360" s="54">
        <v>1711346868</v>
      </c>
      <c r="H360" s="54" t="s">
        <v>229</v>
      </c>
      <c r="I360" s="54" t="s">
        <v>3514</v>
      </c>
      <c r="J360" s="34" t="s">
        <v>3421</v>
      </c>
      <c r="K360" s="50">
        <v>130000</v>
      </c>
      <c r="L360" s="43">
        <v>8330</v>
      </c>
      <c r="M360" s="44">
        <f t="shared" si="32"/>
        <v>6.4076923076923073E-2</v>
      </c>
      <c r="N360" s="49">
        <f>ROUND(L360/Summary!$C$3*Summary!$C$2,0)</f>
        <v>25823</v>
      </c>
      <c r="O360" s="44">
        <f t="shared" si="33"/>
        <v>0.19863846153846154</v>
      </c>
      <c r="P360" s="78">
        <v>10</v>
      </c>
      <c r="Q360" s="34">
        <v>0</v>
      </c>
      <c r="R360" s="35">
        <f t="shared" si="34"/>
        <v>0</v>
      </c>
      <c r="S360" s="49">
        <f>ROUND(Q360/Summary!$C$3*Summary!$C$2,0)</f>
        <v>0</v>
      </c>
      <c r="T360" s="44">
        <f t="shared" si="35"/>
        <v>0</v>
      </c>
      <c r="U360" s="34">
        <v>0</v>
      </c>
      <c r="V360" s="34">
        <v>0</v>
      </c>
      <c r="W360" s="34">
        <v>0</v>
      </c>
      <c r="X360" s="34">
        <v>0</v>
      </c>
    </row>
    <row r="361" spans="1:24" hidden="1">
      <c r="A361" s="34" t="s">
        <v>1112</v>
      </c>
      <c r="B361" s="34" t="s">
        <v>127</v>
      </c>
      <c r="C361" s="34" t="s">
        <v>207</v>
      </c>
      <c r="D361" s="34" t="s">
        <v>193</v>
      </c>
      <c r="E361" s="34" t="s">
        <v>7</v>
      </c>
      <c r="F361" s="34" t="s">
        <v>1113</v>
      </c>
      <c r="G361" s="54">
        <v>1620735157</v>
      </c>
      <c r="H361" s="54" t="s">
        <v>229</v>
      </c>
      <c r="I361" s="54" t="s">
        <v>3514</v>
      </c>
      <c r="J361" s="34" t="s">
        <v>3421</v>
      </c>
      <c r="K361" s="50">
        <v>130000</v>
      </c>
      <c r="L361" s="43">
        <v>21610</v>
      </c>
      <c r="M361" s="44">
        <f t="shared" si="32"/>
        <v>0.16623076923076924</v>
      </c>
      <c r="N361" s="49">
        <f>ROUND(L361/Summary!$C$3*Summary!$C$2,0)</f>
        <v>66991</v>
      </c>
      <c r="O361" s="44">
        <f t="shared" si="33"/>
        <v>0.51531538461538462</v>
      </c>
      <c r="P361" s="78">
        <v>10</v>
      </c>
      <c r="Q361" s="34">
        <v>1</v>
      </c>
      <c r="R361" s="35">
        <f t="shared" si="34"/>
        <v>0.1</v>
      </c>
      <c r="S361" s="49">
        <f>ROUND(Q361/Summary!$C$3*Summary!$C$2,0)</f>
        <v>3</v>
      </c>
      <c r="T361" s="44">
        <f t="shared" si="35"/>
        <v>0.3</v>
      </c>
      <c r="U361" s="34">
        <v>0</v>
      </c>
      <c r="V361" s="34">
        <v>0</v>
      </c>
      <c r="W361" s="34">
        <v>0</v>
      </c>
      <c r="X361" s="34">
        <v>0</v>
      </c>
    </row>
    <row r="362" spans="1:24" hidden="1">
      <c r="A362" s="34" t="s">
        <v>1208</v>
      </c>
      <c r="B362" s="34" t="s">
        <v>1209</v>
      </c>
      <c r="C362" s="34" t="s">
        <v>207</v>
      </c>
      <c r="D362" s="34" t="s">
        <v>193</v>
      </c>
      <c r="E362" s="34" t="s">
        <v>7</v>
      </c>
      <c r="F362" s="34" t="s">
        <v>1210</v>
      </c>
      <c r="G362" s="54">
        <v>1717319853</v>
      </c>
      <c r="H362" s="54" t="s">
        <v>229</v>
      </c>
      <c r="I362" s="54" t="s">
        <v>3514</v>
      </c>
      <c r="J362" s="34" t="s">
        <v>3419</v>
      </c>
      <c r="K362" s="50">
        <v>272981</v>
      </c>
      <c r="L362" s="43">
        <v>40630</v>
      </c>
      <c r="M362" s="44">
        <f t="shared" si="32"/>
        <v>0.14883819753023103</v>
      </c>
      <c r="N362" s="49">
        <f>ROUND(L362/Summary!$C$3*Summary!$C$2,0)</f>
        <v>125953</v>
      </c>
      <c r="O362" s="44">
        <f t="shared" si="33"/>
        <v>0.4613984123437162</v>
      </c>
      <c r="P362" s="78">
        <v>24</v>
      </c>
      <c r="Q362" s="34">
        <v>2</v>
      </c>
      <c r="R362" s="35">
        <f t="shared" si="34"/>
        <v>8.3333333333333329E-2</v>
      </c>
      <c r="S362" s="49">
        <f>ROUND(Q362/Summary!$C$3*Summary!$C$2,0)</f>
        <v>6</v>
      </c>
      <c r="T362" s="44">
        <f t="shared" si="35"/>
        <v>0.25</v>
      </c>
      <c r="U362" s="34">
        <v>1</v>
      </c>
      <c r="V362" s="34">
        <v>0</v>
      </c>
      <c r="W362" s="34">
        <v>1</v>
      </c>
      <c r="X362" s="34">
        <v>0</v>
      </c>
    </row>
    <row r="363" spans="1:24" hidden="1">
      <c r="A363" s="34" t="s">
        <v>1256</v>
      </c>
      <c r="B363" s="34" t="s">
        <v>1257</v>
      </c>
      <c r="C363" s="34" t="s">
        <v>207</v>
      </c>
      <c r="D363" s="34" t="s">
        <v>193</v>
      </c>
      <c r="E363" s="34" t="s">
        <v>7</v>
      </c>
      <c r="F363" s="34" t="s">
        <v>1258</v>
      </c>
      <c r="G363" s="54">
        <v>1917380127</v>
      </c>
      <c r="H363" s="54" t="s">
        <v>229</v>
      </c>
      <c r="I363" s="54" t="s">
        <v>3514</v>
      </c>
      <c r="J363" s="34" t="s">
        <v>3421</v>
      </c>
      <c r="K363" s="50">
        <v>242578</v>
      </c>
      <c r="L363" s="43">
        <v>42815</v>
      </c>
      <c r="M363" s="44">
        <f t="shared" si="32"/>
        <v>0.1764999299194486</v>
      </c>
      <c r="N363" s="49">
        <f>ROUND(L363/Summary!$C$3*Summary!$C$2,0)</f>
        <v>132727</v>
      </c>
      <c r="O363" s="44">
        <f t="shared" si="33"/>
        <v>0.54715184394297911</v>
      </c>
      <c r="P363" s="78">
        <v>14</v>
      </c>
      <c r="Q363" s="34">
        <v>4</v>
      </c>
      <c r="R363" s="35">
        <f t="shared" si="34"/>
        <v>0.2857142857142857</v>
      </c>
      <c r="S363" s="49">
        <f>ROUND(Q363/Summary!$C$3*Summary!$C$2,0)</f>
        <v>12</v>
      </c>
      <c r="T363" s="44">
        <f t="shared" si="35"/>
        <v>0.8571428571428571</v>
      </c>
      <c r="U363" s="34">
        <v>0</v>
      </c>
      <c r="V363" s="34">
        <v>2</v>
      </c>
      <c r="W363" s="34">
        <v>0</v>
      </c>
      <c r="X363" s="34">
        <v>0</v>
      </c>
    </row>
    <row r="364" spans="1:24" hidden="1">
      <c r="A364" s="34" t="s">
        <v>1092</v>
      </c>
      <c r="B364" s="34" t="s">
        <v>1093</v>
      </c>
      <c r="C364" s="34" t="s">
        <v>207</v>
      </c>
      <c r="D364" s="34" t="s">
        <v>193</v>
      </c>
      <c r="E364" s="34" t="s">
        <v>7</v>
      </c>
      <c r="F364" s="34" t="s">
        <v>1094</v>
      </c>
      <c r="G364" s="54">
        <v>1686518541</v>
      </c>
      <c r="H364" s="54" t="s">
        <v>229</v>
      </c>
      <c r="I364" s="54" t="s">
        <v>3514</v>
      </c>
      <c r="J364" s="34" t="s">
        <v>3421</v>
      </c>
      <c r="K364" s="50">
        <v>130000</v>
      </c>
      <c r="L364" s="43">
        <v>16065</v>
      </c>
      <c r="M364" s="44">
        <f t="shared" si="32"/>
        <v>0.12357692307692307</v>
      </c>
      <c r="N364" s="49">
        <f>ROUND(L364/Summary!$C$3*Summary!$C$2,0)</f>
        <v>49802</v>
      </c>
      <c r="O364" s="44">
        <f t="shared" si="33"/>
        <v>0.38309230769230768</v>
      </c>
      <c r="P364" s="78">
        <v>10</v>
      </c>
      <c r="Q364" s="34">
        <v>2</v>
      </c>
      <c r="R364" s="35">
        <f t="shared" si="34"/>
        <v>0.2</v>
      </c>
      <c r="S364" s="49">
        <f>ROUND(Q364/Summary!$C$3*Summary!$C$2,0)</f>
        <v>6</v>
      </c>
      <c r="T364" s="44">
        <f t="shared" si="35"/>
        <v>0.6</v>
      </c>
      <c r="U364" s="34">
        <v>0</v>
      </c>
      <c r="V364" s="34">
        <v>0</v>
      </c>
      <c r="W364" s="34">
        <v>0</v>
      </c>
      <c r="X364" s="34">
        <v>0</v>
      </c>
    </row>
    <row r="365" spans="1:24" hidden="1">
      <c r="A365" s="34" t="s">
        <v>3436</v>
      </c>
      <c r="B365" s="34" t="s">
        <v>3437</v>
      </c>
      <c r="C365" s="34" t="s">
        <v>207</v>
      </c>
      <c r="D365" s="34" t="s">
        <v>193</v>
      </c>
      <c r="E365" s="34" t="s">
        <v>7</v>
      </c>
      <c r="F365" s="34" t="s">
        <v>3438</v>
      </c>
      <c r="G365" s="54">
        <v>1929756919</v>
      </c>
      <c r="H365" s="54" t="s">
        <v>229</v>
      </c>
      <c r="I365" s="54" t="s">
        <v>3514</v>
      </c>
      <c r="J365" s="34" t="s">
        <v>3421</v>
      </c>
      <c r="K365" s="50">
        <v>130000</v>
      </c>
      <c r="L365" s="43">
        <v>28835</v>
      </c>
      <c r="M365" s="44">
        <f t="shared" si="32"/>
        <v>0.22180769230769232</v>
      </c>
      <c r="N365" s="49">
        <f>ROUND(L365/Summary!$C$3*Summary!$C$2,0)</f>
        <v>89389</v>
      </c>
      <c r="O365" s="44">
        <f t="shared" si="33"/>
        <v>0.68760769230769225</v>
      </c>
      <c r="P365" s="78">
        <v>10</v>
      </c>
      <c r="Q365" s="34">
        <v>1</v>
      </c>
      <c r="R365" s="35">
        <f t="shared" si="34"/>
        <v>0.1</v>
      </c>
      <c r="S365" s="49">
        <f>ROUND(Q365/Summary!$C$3*Summary!$C$2,0)</f>
        <v>3</v>
      </c>
      <c r="T365" s="44">
        <f t="shared" si="35"/>
        <v>0.3</v>
      </c>
      <c r="U365" s="34">
        <v>0</v>
      </c>
      <c r="V365" s="34">
        <v>0</v>
      </c>
      <c r="W365" s="34">
        <v>0</v>
      </c>
      <c r="X365" s="34">
        <v>0</v>
      </c>
    </row>
    <row r="366" spans="1:24" hidden="1">
      <c r="A366" s="34" t="s">
        <v>1271</v>
      </c>
      <c r="B366" s="34" t="s">
        <v>1272</v>
      </c>
      <c r="C366" s="34" t="s">
        <v>207</v>
      </c>
      <c r="D366" s="34" t="s">
        <v>193</v>
      </c>
      <c r="E366" s="34" t="s">
        <v>7</v>
      </c>
      <c r="F366" s="34" t="s">
        <v>1273</v>
      </c>
      <c r="G366" s="54">
        <v>1737777745</v>
      </c>
      <c r="H366" s="54" t="s">
        <v>229</v>
      </c>
      <c r="I366" s="54" t="s">
        <v>3514</v>
      </c>
      <c r="J366" s="34" t="s">
        <v>3421</v>
      </c>
      <c r="K366" s="50">
        <v>130000</v>
      </c>
      <c r="L366" s="43">
        <v>4590</v>
      </c>
      <c r="M366" s="44">
        <f t="shared" si="32"/>
        <v>3.5307692307692311E-2</v>
      </c>
      <c r="N366" s="49">
        <f>ROUND(L366/Summary!$C$3*Summary!$C$2,0)</f>
        <v>14229</v>
      </c>
      <c r="O366" s="44">
        <f t="shared" si="33"/>
        <v>0.10945384615384615</v>
      </c>
      <c r="P366" s="78">
        <v>10</v>
      </c>
      <c r="Q366" s="34">
        <v>0</v>
      </c>
      <c r="R366" s="35">
        <f t="shared" si="34"/>
        <v>0</v>
      </c>
      <c r="S366" s="49">
        <f>ROUND(Q366/Summary!$C$3*Summary!$C$2,0)</f>
        <v>0</v>
      </c>
      <c r="T366" s="44">
        <f t="shared" si="35"/>
        <v>0</v>
      </c>
      <c r="U366" s="34">
        <v>0</v>
      </c>
      <c r="V366" s="34">
        <v>0</v>
      </c>
      <c r="W366" s="34">
        <v>0</v>
      </c>
      <c r="X366" s="34">
        <v>0</v>
      </c>
    </row>
    <row r="367" spans="1:24" hidden="1">
      <c r="A367" s="34" t="s">
        <v>1202</v>
      </c>
      <c r="B367" s="34" t="s">
        <v>1203</v>
      </c>
      <c r="C367" s="34" t="s">
        <v>207</v>
      </c>
      <c r="D367" s="34" t="s">
        <v>193</v>
      </c>
      <c r="E367" s="34" t="s">
        <v>7</v>
      </c>
      <c r="F367" s="34" t="s">
        <v>1204</v>
      </c>
      <c r="G367" s="54">
        <v>1914790581</v>
      </c>
      <c r="H367" s="54" t="s">
        <v>229</v>
      </c>
      <c r="I367" s="54" t="s">
        <v>3518</v>
      </c>
      <c r="J367" s="34" t="s">
        <v>3419</v>
      </c>
      <c r="K367" s="50">
        <v>327958</v>
      </c>
      <c r="L367" s="43">
        <v>84090</v>
      </c>
      <c r="M367" s="44">
        <f t="shared" si="32"/>
        <v>0.25640478353935564</v>
      </c>
      <c r="N367" s="49">
        <f>ROUND(L367/Summary!$C$3*Summary!$C$2,0)</f>
        <v>260679</v>
      </c>
      <c r="O367" s="44">
        <f t="shared" si="33"/>
        <v>0.79485482897200255</v>
      </c>
      <c r="P367" s="78">
        <v>10</v>
      </c>
      <c r="Q367" s="34">
        <v>2</v>
      </c>
      <c r="R367" s="35">
        <f t="shared" si="34"/>
        <v>0.2</v>
      </c>
      <c r="S367" s="49">
        <f>ROUND(Q367/Summary!$C$3*Summary!$C$2,0)</f>
        <v>6</v>
      </c>
      <c r="T367" s="44">
        <f t="shared" si="35"/>
        <v>0.6</v>
      </c>
      <c r="U367" s="34">
        <v>1</v>
      </c>
      <c r="V367" s="34">
        <v>1</v>
      </c>
      <c r="W367" s="34">
        <v>0</v>
      </c>
      <c r="X367" s="34">
        <v>0</v>
      </c>
    </row>
    <row r="368" spans="1:24" hidden="1">
      <c r="A368" s="34" t="s">
        <v>3151</v>
      </c>
      <c r="B368" s="34" t="s">
        <v>3152</v>
      </c>
      <c r="C368" s="34" t="s">
        <v>207</v>
      </c>
      <c r="D368" s="34" t="s">
        <v>193</v>
      </c>
      <c r="E368" s="34" t="s">
        <v>7</v>
      </c>
      <c r="F368" s="34" t="s">
        <v>3153</v>
      </c>
      <c r="G368" s="54">
        <v>1911006888</v>
      </c>
      <c r="H368" s="54" t="s">
        <v>229</v>
      </c>
      <c r="I368" s="54" t="s">
        <v>3514</v>
      </c>
      <c r="J368" s="34" t="s">
        <v>3419</v>
      </c>
      <c r="K368" s="50">
        <v>232816</v>
      </c>
      <c r="L368" s="43">
        <v>93145</v>
      </c>
      <c r="M368" s="44">
        <f t="shared" si="32"/>
        <v>0.40007989141639749</v>
      </c>
      <c r="N368" s="49">
        <f>ROUND(L368/Summary!$C$3*Summary!$C$2,0)</f>
        <v>288750</v>
      </c>
      <c r="O368" s="44">
        <f t="shared" si="33"/>
        <v>1.2402498110095526</v>
      </c>
      <c r="P368" s="78">
        <v>14</v>
      </c>
      <c r="Q368" s="34">
        <v>5</v>
      </c>
      <c r="R368" s="35">
        <f t="shared" si="34"/>
        <v>0.35714285714285715</v>
      </c>
      <c r="S368" s="49">
        <f>ROUND(Q368/Summary!$C$3*Summary!$C$2,0)</f>
        <v>16</v>
      </c>
      <c r="T368" s="44">
        <f t="shared" si="35"/>
        <v>1.1428571428571428</v>
      </c>
      <c r="U368" s="34">
        <v>0</v>
      </c>
      <c r="V368" s="34">
        <v>0</v>
      </c>
      <c r="W368" s="34">
        <v>0</v>
      </c>
      <c r="X368" s="34">
        <v>0</v>
      </c>
    </row>
    <row r="369" spans="1:24" hidden="1">
      <c r="A369" s="34" t="s">
        <v>3029</v>
      </c>
      <c r="B369" s="34" t="s">
        <v>3030</v>
      </c>
      <c r="C369" s="34" t="s">
        <v>199</v>
      </c>
      <c r="D369" s="34" t="s">
        <v>200</v>
      </c>
      <c r="E369" s="34" t="s">
        <v>7</v>
      </c>
      <c r="F369" s="34" t="s">
        <v>3031</v>
      </c>
      <c r="G369" s="54">
        <v>1716339440</v>
      </c>
      <c r="H369" s="54" t="s">
        <v>229</v>
      </c>
      <c r="I369" s="54" t="s">
        <v>3514</v>
      </c>
      <c r="J369" s="34" t="s">
        <v>3419</v>
      </c>
      <c r="K369" s="50">
        <v>224098</v>
      </c>
      <c r="L369" s="43">
        <v>74655</v>
      </c>
      <c r="M369" s="44">
        <f t="shared" si="32"/>
        <v>0.33313550321734242</v>
      </c>
      <c r="N369" s="49">
        <f>ROUND(L369/Summary!$C$3*Summary!$C$2,0)</f>
        <v>231431</v>
      </c>
      <c r="O369" s="44">
        <f t="shared" si="33"/>
        <v>1.0327222911404832</v>
      </c>
      <c r="P369" s="78">
        <v>16</v>
      </c>
      <c r="Q369" s="34">
        <v>4</v>
      </c>
      <c r="R369" s="35">
        <f t="shared" si="34"/>
        <v>0.25</v>
      </c>
      <c r="S369" s="49">
        <f>ROUND(Q369/Summary!$C$3*Summary!$C$2,0)</f>
        <v>12</v>
      </c>
      <c r="T369" s="44">
        <f t="shared" si="35"/>
        <v>0.75</v>
      </c>
      <c r="U369" s="34">
        <v>0</v>
      </c>
      <c r="V369" s="34">
        <v>1</v>
      </c>
      <c r="W369" s="34">
        <v>0</v>
      </c>
      <c r="X369" s="34">
        <v>0</v>
      </c>
    </row>
    <row r="370" spans="1:24" hidden="1">
      <c r="A370" s="34" t="s">
        <v>3042</v>
      </c>
      <c r="B370" s="34" t="s">
        <v>3043</v>
      </c>
      <c r="C370" s="34" t="s">
        <v>199</v>
      </c>
      <c r="D370" s="34" t="s">
        <v>200</v>
      </c>
      <c r="E370" s="34" t="s">
        <v>7</v>
      </c>
      <c r="F370" s="34" t="s">
        <v>3044</v>
      </c>
      <c r="G370" s="54">
        <v>1954217852</v>
      </c>
      <c r="H370" s="54" t="s">
        <v>229</v>
      </c>
      <c r="I370" s="54" t="s">
        <v>3514</v>
      </c>
      <c r="J370" s="34" t="s">
        <v>3515</v>
      </c>
      <c r="K370" s="50">
        <v>130000</v>
      </c>
      <c r="L370" s="43">
        <v>12670</v>
      </c>
      <c r="M370" s="44">
        <f t="shared" si="32"/>
        <v>9.7461538461538461E-2</v>
      </c>
      <c r="N370" s="49">
        <f>ROUND(L370/Summary!$C$3*Summary!$C$2,0)</f>
        <v>39277</v>
      </c>
      <c r="O370" s="44">
        <f t="shared" si="33"/>
        <v>0.30213076923076926</v>
      </c>
      <c r="P370" s="78">
        <v>10</v>
      </c>
      <c r="Q370" s="34">
        <v>0</v>
      </c>
      <c r="R370" s="35">
        <f t="shared" si="34"/>
        <v>0</v>
      </c>
      <c r="S370" s="49">
        <f>ROUND(Q370/Summary!$C$3*Summary!$C$2,0)</f>
        <v>0</v>
      </c>
      <c r="T370" s="44">
        <f t="shared" si="35"/>
        <v>0</v>
      </c>
      <c r="U370" s="34">
        <v>0</v>
      </c>
      <c r="V370" s="34">
        <v>0</v>
      </c>
      <c r="W370" s="34">
        <v>0</v>
      </c>
      <c r="X370" s="34">
        <v>0</v>
      </c>
    </row>
    <row r="371" spans="1:24" hidden="1">
      <c r="A371" s="34" t="s">
        <v>3034</v>
      </c>
      <c r="B371" s="34" t="s">
        <v>210</v>
      </c>
      <c r="C371" s="34" t="s">
        <v>199</v>
      </c>
      <c r="D371" s="34" t="s">
        <v>200</v>
      </c>
      <c r="E371" s="34" t="s">
        <v>7</v>
      </c>
      <c r="F371" s="34" t="s">
        <v>3035</v>
      </c>
      <c r="G371" s="54">
        <v>1722322093</v>
      </c>
      <c r="H371" s="54" t="s">
        <v>229</v>
      </c>
      <c r="I371" s="54" t="s">
        <v>3514</v>
      </c>
      <c r="J371" s="34" t="s">
        <v>3421</v>
      </c>
      <c r="K371" s="50">
        <v>130000</v>
      </c>
      <c r="L371" s="43">
        <v>5690</v>
      </c>
      <c r="M371" s="44">
        <f t="shared" si="32"/>
        <v>4.3769230769230769E-2</v>
      </c>
      <c r="N371" s="49">
        <f>ROUND(L371/Summary!$C$3*Summary!$C$2,0)</f>
        <v>17639</v>
      </c>
      <c r="O371" s="44">
        <f t="shared" si="33"/>
        <v>0.13568461538461538</v>
      </c>
      <c r="P371" s="78">
        <v>10</v>
      </c>
      <c r="Q371" s="34">
        <v>0</v>
      </c>
      <c r="R371" s="35">
        <f t="shared" si="34"/>
        <v>0</v>
      </c>
      <c r="S371" s="49">
        <f>ROUND(Q371/Summary!$C$3*Summary!$C$2,0)</f>
        <v>0</v>
      </c>
      <c r="T371" s="44">
        <f t="shared" si="35"/>
        <v>0</v>
      </c>
      <c r="U371" s="34">
        <v>0</v>
      </c>
      <c r="V371" s="34">
        <v>0</v>
      </c>
      <c r="W371" s="34">
        <v>0</v>
      </c>
      <c r="X371" s="34">
        <v>0</v>
      </c>
    </row>
    <row r="372" spans="1:24">
      <c r="A372" s="34" t="s">
        <v>1251</v>
      </c>
      <c r="B372" s="34" t="s">
        <v>1252</v>
      </c>
      <c r="C372" s="34" t="s">
        <v>199</v>
      </c>
      <c r="D372" s="34" t="s">
        <v>200</v>
      </c>
      <c r="E372" s="34" t="s">
        <v>7</v>
      </c>
      <c r="F372" s="34" t="s">
        <v>1253</v>
      </c>
      <c r="G372" s="54">
        <v>1817080839</v>
      </c>
      <c r="H372" s="54" t="s">
        <v>229</v>
      </c>
      <c r="I372" s="54" t="s">
        <v>3514</v>
      </c>
      <c r="J372" s="34" t="s">
        <v>3421</v>
      </c>
      <c r="K372" s="50">
        <v>130000</v>
      </c>
      <c r="L372" s="43">
        <v>0</v>
      </c>
      <c r="M372" s="44">
        <f t="shared" si="32"/>
        <v>0</v>
      </c>
      <c r="N372" s="49">
        <f>ROUND(L372/Summary!$C$3*Summary!$C$2,0)</f>
        <v>0</v>
      </c>
      <c r="O372" s="44">
        <f t="shared" si="33"/>
        <v>0</v>
      </c>
      <c r="P372" s="78">
        <v>10</v>
      </c>
      <c r="Q372" s="34">
        <v>0</v>
      </c>
      <c r="R372" s="35">
        <f t="shared" si="34"/>
        <v>0</v>
      </c>
      <c r="S372" s="49">
        <f>ROUND(Q372/Summary!$C$3*Summary!$C$2,0)</f>
        <v>0</v>
      </c>
      <c r="T372" s="44">
        <f t="shared" si="35"/>
        <v>0</v>
      </c>
      <c r="U372" s="34">
        <v>0</v>
      </c>
      <c r="V372" s="34">
        <v>0</v>
      </c>
      <c r="W372" s="34">
        <v>0</v>
      </c>
      <c r="X372" s="34">
        <v>0</v>
      </c>
    </row>
    <row r="373" spans="1:24" hidden="1">
      <c r="A373" s="75" t="s">
        <v>3559</v>
      </c>
      <c r="B373" s="75" t="s">
        <v>3560</v>
      </c>
      <c r="C373" s="75" t="s">
        <v>199</v>
      </c>
      <c r="D373" s="75" t="s">
        <v>200</v>
      </c>
      <c r="E373" s="75" t="s">
        <v>7</v>
      </c>
      <c r="F373" s="77" t="s">
        <v>3561</v>
      </c>
      <c r="G373" s="68">
        <v>1944600893</v>
      </c>
      <c r="H373" s="54" t="s">
        <v>229</v>
      </c>
      <c r="I373" s="54" t="s">
        <v>3514</v>
      </c>
      <c r="J373" s="34" t="s">
        <v>3419</v>
      </c>
      <c r="K373" s="50">
        <v>130000</v>
      </c>
      <c r="L373" s="43">
        <v>16764</v>
      </c>
      <c r="M373" s="44">
        <f t="shared" si="32"/>
        <v>0.12895384615384614</v>
      </c>
      <c r="N373" s="49">
        <f>ROUND(L373/Summary!$C$3*Summary!$C$2,0)</f>
        <v>51968</v>
      </c>
      <c r="O373" s="44">
        <f t="shared" si="33"/>
        <v>0.39975384615384613</v>
      </c>
      <c r="P373" s="78">
        <v>13</v>
      </c>
      <c r="Q373" s="34">
        <v>1</v>
      </c>
      <c r="R373" s="35">
        <f t="shared" si="34"/>
        <v>7.6923076923076927E-2</v>
      </c>
      <c r="S373" s="49">
        <f>ROUND(Q373/Summary!$C$3*Summary!$C$2,0)</f>
        <v>3</v>
      </c>
      <c r="T373" s="44">
        <f t="shared" si="35"/>
        <v>0.23076923076923078</v>
      </c>
      <c r="U373" s="34">
        <v>0</v>
      </c>
      <c r="V373" s="34">
        <v>0</v>
      </c>
      <c r="W373" s="34">
        <v>0</v>
      </c>
      <c r="X373" s="34">
        <v>0</v>
      </c>
    </row>
    <row r="374" spans="1:24" hidden="1">
      <c r="A374" s="34" t="s">
        <v>3032</v>
      </c>
      <c r="B374" s="34" t="s">
        <v>1055</v>
      </c>
      <c r="C374" s="34" t="s">
        <v>199</v>
      </c>
      <c r="D374" s="34" t="s">
        <v>200</v>
      </c>
      <c r="E374" s="34" t="s">
        <v>7</v>
      </c>
      <c r="F374" s="34" t="s">
        <v>3033</v>
      </c>
      <c r="G374" s="54">
        <v>1711173222</v>
      </c>
      <c r="H374" s="54" t="s">
        <v>229</v>
      </c>
      <c r="I374" s="54" t="s">
        <v>3514</v>
      </c>
      <c r="J374" s="34" t="s">
        <v>3421</v>
      </c>
      <c r="K374" s="50">
        <v>130000</v>
      </c>
      <c r="L374" s="43">
        <v>6190</v>
      </c>
      <c r="M374" s="44">
        <f t="shared" si="32"/>
        <v>4.7615384615384615E-2</v>
      </c>
      <c r="N374" s="49">
        <f>ROUND(L374/Summary!$C$3*Summary!$C$2,0)</f>
        <v>19189</v>
      </c>
      <c r="O374" s="44">
        <f t="shared" si="33"/>
        <v>0.1476076923076923</v>
      </c>
      <c r="P374" s="78">
        <v>10</v>
      </c>
      <c r="Q374" s="34">
        <v>1</v>
      </c>
      <c r="R374" s="35">
        <f t="shared" si="34"/>
        <v>0.1</v>
      </c>
      <c r="S374" s="49">
        <f>ROUND(Q374/Summary!$C$3*Summary!$C$2,0)</f>
        <v>3</v>
      </c>
      <c r="T374" s="44">
        <f t="shared" si="35"/>
        <v>0.3</v>
      </c>
      <c r="U374" s="34">
        <v>0</v>
      </c>
      <c r="V374" s="34">
        <v>0</v>
      </c>
      <c r="W374" s="34">
        <v>0</v>
      </c>
      <c r="X374" s="34">
        <v>0</v>
      </c>
    </row>
    <row r="375" spans="1:24" hidden="1">
      <c r="A375" s="34" t="s">
        <v>3036</v>
      </c>
      <c r="B375" s="34" t="s">
        <v>3037</v>
      </c>
      <c r="C375" s="34" t="s">
        <v>199</v>
      </c>
      <c r="D375" s="34" t="s">
        <v>200</v>
      </c>
      <c r="E375" s="34" t="s">
        <v>7</v>
      </c>
      <c r="F375" s="34" t="s">
        <v>3038</v>
      </c>
      <c r="G375" s="54">
        <v>1711445547</v>
      </c>
      <c r="H375" s="54" t="s">
        <v>229</v>
      </c>
      <c r="I375" s="54" t="s">
        <v>3514</v>
      </c>
      <c r="J375" s="34" t="s">
        <v>3421</v>
      </c>
      <c r="K375" s="50">
        <v>130000</v>
      </c>
      <c r="L375" s="43">
        <v>32140</v>
      </c>
      <c r="M375" s="44">
        <f t="shared" si="32"/>
        <v>0.24723076923076923</v>
      </c>
      <c r="N375" s="49">
        <f>ROUND(L375/Summary!$C$3*Summary!$C$2,0)</f>
        <v>99634</v>
      </c>
      <c r="O375" s="44">
        <f t="shared" si="33"/>
        <v>0.76641538461538461</v>
      </c>
      <c r="P375" s="78">
        <v>10</v>
      </c>
      <c r="Q375" s="34">
        <v>1</v>
      </c>
      <c r="R375" s="35">
        <f t="shared" si="34"/>
        <v>0.1</v>
      </c>
      <c r="S375" s="49">
        <f>ROUND(Q375/Summary!$C$3*Summary!$C$2,0)</f>
        <v>3</v>
      </c>
      <c r="T375" s="44">
        <f t="shared" si="35"/>
        <v>0.3</v>
      </c>
      <c r="U375" s="34">
        <v>0</v>
      </c>
      <c r="V375" s="34">
        <v>0</v>
      </c>
      <c r="W375" s="34">
        <v>1</v>
      </c>
      <c r="X375" s="34">
        <v>0</v>
      </c>
    </row>
    <row r="376" spans="1:24" hidden="1">
      <c r="A376" s="34" t="s">
        <v>3039</v>
      </c>
      <c r="B376" s="34" t="s">
        <v>3040</v>
      </c>
      <c r="C376" s="34" t="s">
        <v>199</v>
      </c>
      <c r="D376" s="34" t="s">
        <v>200</v>
      </c>
      <c r="E376" s="34" t="s">
        <v>7</v>
      </c>
      <c r="F376" s="34" t="s">
        <v>3041</v>
      </c>
      <c r="G376" s="54">
        <v>1911345014</v>
      </c>
      <c r="H376" s="54" t="s">
        <v>229</v>
      </c>
      <c r="I376" s="54" t="s">
        <v>3514</v>
      </c>
      <c r="J376" s="34" t="s">
        <v>3421</v>
      </c>
      <c r="K376" s="50">
        <v>130000</v>
      </c>
      <c r="L376" s="43">
        <v>7830</v>
      </c>
      <c r="M376" s="44">
        <f t="shared" si="32"/>
        <v>6.0230769230769234E-2</v>
      </c>
      <c r="N376" s="49">
        <f>ROUND(L376/Summary!$C$3*Summary!$C$2,0)</f>
        <v>24273</v>
      </c>
      <c r="O376" s="44">
        <f t="shared" si="33"/>
        <v>0.18671538461538462</v>
      </c>
      <c r="P376" s="78">
        <v>10</v>
      </c>
      <c r="Q376" s="34">
        <v>0</v>
      </c>
      <c r="R376" s="35">
        <f t="shared" si="34"/>
        <v>0</v>
      </c>
      <c r="S376" s="49">
        <f>ROUND(Q376/Summary!$C$3*Summary!$C$2,0)</f>
        <v>0</v>
      </c>
      <c r="T376" s="44">
        <f t="shared" si="35"/>
        <v>0</v>
      </c>
      <c r="U376" s="34">
        <v>0</v>
      </c>
      <c r="V376" s="34">
        <v>0</v>
      </c>
      <c r="W376" s="34">
        <v>0</v>
      </c>
      <c r="X376" s="34">
        <v>0</v>
      </c>
    </row>
    <row r="377" spans="1:24" hidden="1">
      <c r="A377" s="75" t="s">
        <v>3562</v>
      </c>
      <c r="B377" s="75" t="s">
        <v>3563</v>
      </c>
      <c r="C377" s="75" t="s">
        <v>91</v>
      </c>
      <c r="D377" s="75" t="s">
        <v>92</v>
      </c>
      <c r="E377" s="75" t="s">
        <v>8</v>
      </c>
      <c r="F377" s="75" t="s">
        <v>3564</v>
      </c>
      <c r="G377" s="67">
        <v>1931364247</v>
      </c>
      <c r="H377" s="54" t="s">
        <v>229</v>
      </c>
      <c r="I377" s="54" t="s">
        <v>3514</v>
      </c>
      <c r="J377" s="34" t="s">
        <v>3419</v>
      </c>
      <c r="K377" s="50">
        <v>224179</v>
      </c>
      <c r="L377" s="43">
        <v>63735</v>
      </c>
      <c r="M377" s="44">
        <f t="shared" si="32"/>
        <v>0.28430406059443569</v>
      </c>
      <c r="N377" s="49">
        <f>ROUND(L377/Summary!$C$3*Summary!$C$2,0)</f>
        <v>197579</v>
      </c>
      <c r="O377" s="44">
        <f t="shared" si="33"/>
        <v>0.88134481820331079</v>
      </c>
      <c r="P377" s="78">
        <v>10</v>
      </c>
      <c r="Q377" s="34">
        <v>3</v>
      </c>
      <c r="R377" s="35">
        <f t="shared" si="34"/>
        <v>0.3</v>
      </c>
      <c r="S377" s="49">
        <f>ROUND(Q377/Summary!$C$3*Summary!$C$2,0)</f>
        <v>9</v>
      </c>
      <c r="T377" s="44">
        <f t="shared" si="35"/>
        <v>0.9</v>
      </c>
      <c r="U377" s="34">
        <v>0</v>
      </c>
      <c r="V377" s="34">
        <v>0</v>
      </c>
      <c r="W377" s="34">
        <v>0</v>
      </c>
      <c r="X377" s="34">
        <v>0</v>
      </c>
    </row>
    <row r="378" spans="1:24" hidden="1">
      <c r="A378" s="34" t="s">
        <v>3232</v>
      </c>
      <c r="B378" s="34" t="s">
        <v>93</v>
      </c>
      <c r="C378" s="34" t="s">
        <v>91</v>
      </c>
      <c r="D378" s="34" t="s">
        <v>92</v>
      </c>
      <c r="E378" s="34" t="s">
        <v>8</v>
      </c>
      <c r="F378" s="34" t="s">
        <v>3233</v>
      </c>
      <c r="G378" s="54">
        <v>1812170999</v>
      </c>
      <c r="H378" s="54" t="s">
        <v>229</v>
      </c>
      <c r="I378" s="54" t="s">
        <v>3518</v>
      </c>
      <c r="J378" s="34" t="s">
        <v>3420</v>
      </c>
      <c r="K378" s="50">
        <v>338286</v>
      </c>
      <c r="L378" s="43">
        <v>118040</v>
      </c>
      <c r="M378" s="44">
        <f t="shared" si="32"/>
        <v>0.34893551610176005</v>
      </c>
      <c r="N378" s="49">
        <f>ROUND(L378/Summary!$C$3*Summary!$C$2,0)</f>
        <v>365924</v>
      </c>
      <c r="O378" s="44">
        <f t="shared" si="33"/>
        <v>1.0817000999154562</v>
      </c>
      <c r="P378" s="78">
        <v>19</v>
      </c>
      <c r="Q378" s="34">
        <v>6</v>
      </c>
      <c r="R378" s="35">
        <f t="shared" si="34"/>
        <v>0.31578947368421051</v>
      </c>
      <c r="S378" s="49">
        <f>ROUND(Q378/Summary!$C$3*Summary!$C$2,0)</f>
        <v>19</v>
      </c>
      <c r="T378" s="44">
        <f t="shared" si="35"/>
        <v>1</v>
      </c>
      <c r="U378" s="34">
        <v>0</v>
      </c>
      <c r="V378" s="34">
        <v>3</v>
      </c>
      <c r="W378" s="34">
        <v>0</v>
      </c>
      <c r="X378" s="34">
        <v>0</v>
      </c>
    </row>
    <row r="379" spans="1:24" hidden="1">
      <c r="A379" s="34" t="s">
        <v>3213</v>
      </c>
      <c r="B379" s="34" t="s">
        <v>3214</v>
      </c>
      <c r="C379" s="34" t="s">
        <v>91</v>
      </c>
      <c r="D379" s="34" t="s">
        <v>92</v>
      </c>
      <c r="E379" s="34" t="s">
        <v>8</v>
      </c>
      <c r="F379" s="34" t="s">
        <v>3215</v>
      </c>
      <c r="G379" s="54">
        <v>1936747836</v>
      </c>
      <c r="H379" s="54" t="s">
        <v>229</v>
      </c>
      <c r="I379" s="54" t="s">
        <v>3514</v>
      </c>
      <c r="J379" s="34" t="s">
        <v>3420</v>
      </c>
      <c r="K379" s="50">
        <v>282619</v>
      </c>
      <c r="L379" s="43">
        <v>154695</v>
      </c>
      <c r="M379" s="44">
        <f t="shared" si="32"/>
        <v>0.54736235001893008</v>
      </c>
      <c r="N379" s="49">
        <f>ROUND(L379/Summary!$C$3*Summary!$C$2,0)</f>
        <v>479555</v>
      </c>
      <c r="O379" s="44">
        <f t="shared" si="33"/>
        <v>1.6968250542249459</v>
      </c>
      <c r="P379" s="78">
        <v>18</v>
      </c>
      <c r="Q379" s="34">
        <v>9</v>
      </c>
      <c r="R379" s="35">
        <f t="shared" si="34"/>
        <v>0.5</v>
      </c>
      <c r="S379" s="49">
        <f>ROUND(Q379/Summary!$C$3*Summary!$C$2,0)</f>
        <v>28</v>
      </c>
      <c r="T379" s="44">
        <f t="shared" si="35"/>
        <v>1.5555555555555556</v>
      </c>
      <c r="U379" s="34">
        <v>0</v>
      </c>
      <c r="V379" s="34">
        <v>3</v>
      </c>
      <c r="W379" s="34">
        <v>0</v>
      </c>
      <c r="X379" s="34">
        <v>0</v>
      </c>
    </row>
    <row r="380" spans="1:24" hidden="1">
      <c r="A380" s="34" t="s">
        <v>3234</v>
      </c>
      <c r="B380" s="34" t="s">
        <v>3235</v>
      </c>
      <c r="C380" s="34" t="s">
        <v>91</v>
      </c>
      <c r="D380" s="34" t="s">
        <v>92</v>
      </c>
      <c r="E380" s="34" t="s">
        <v>8</v>
      </c>
      <c r="F380" s="34" t="s">
        <v>3236</v>
      </c>
      <c r="G380" s="54">
        <v>1720209944</v>
      </c>
      <c r="H380" s="54" t="s">
        <v>229</v>
      </c>
      <c r="I380" s="54" t="s">
        <v>3514</v>
      </c>
      <c r="J380" s="34" t="s">
        <v>3420</v>
      </c>
      <c r="K380" s="50">
        <v>297502</v>
      </c>
      <c r="L380" s="43">
        <v>124040</v>
      </c>
      <c r="M380" s="44">
        <f t="shared" si="32"/>
        <v>0.41693837352353935</v>
      </c>
      <c r="N380" s="49">
        <f>ROUND(L380/Summary!$C$3*Summary!$C$2,0)</f>
        <v>384524</v>
      </c>
      <c r="O380" s="44">
        <f t="shared" si="33"/>
        <v>1.292508957922972</v>
      </c>
      <c r="P380" s="78">
        <v>20</v>
      </c>
      <c r="Q380" s="34">
        <v>7</v>
      </c>
      <c r="R380" s="35">
        <f t="shared" si="34"/>
        <v>0.35</v>
      </c>
      <c r="S380" s="49">
        <f>ROUND(Q380/Summary!$C$3*Summary!$C$2,0)</f>
        <v>22</v>
      </c>
      <c r="T380" s="44">
        <f t="shared" si="35"/>
        <v>1.1000000000000001</v>
      </c>
      <c r="U380" s="34">
        <v>1</v>
      </c>
      <c r="V380" s="34">
        <v>0</v>
      </c>
      <c r="W380" s="34">
        <v>0</v>
      </c>
      <c r="X380" s="34">
        <v>1</v>
      </c>
    </row>
    <row r="381" spans="1:24" hidden="1">
      <c r="A381" s="75" t="s">
        <v>3565</v>
      </c>
      <c r="B381" s="75" t="s">
        <v>3566</v>
      </c>
      <c r="C381" s="75" t="s">
        <v>91</v>
      </c>
      <c r="D381" s="75" t="s">
        <v>92</v>
      </c>
      <c r="E381" s="75" t="s">
        <v>8</v>
      </c>
      <c r="F381" s="75" t="s">
        <v>3567</v>
      </c>
      <c r="G381" s="67">
        <v>1768497450</v>
      </c>
      <c r="H381" s="54" t="s">
        <v>229</v>
      </c>
      <c r="I381" s="54" t="s">
        <v>3514</v>
      </c>
      <c r="J381" s="34" t="s">
        <v>3515</v>
      </c>
      <c r="K381" s="50">
        <v>130000</v>
      </c>
      <c r="L381" s="43">
        <v>58700</v>
      </c>
      <c r="M381" s="44">
        <f t="shared" si="32"/>
        <v>0.45153846153846156</v>
      </c>
      <c r="N381" s="49">
        <f>ROUND(L381/Summary!$C$3*Summary!$C$2,0)</f>
        <v>181970</v>
      </c>
      <c r="O381" s="44">
        <f t="shared" si="33"/>
        <v>1.3997692307692309</v>
      </c>
      <c r="P381" s="78">
        <v>10</v>
      </c>
      <c r="Q381" s="34">
        <v>2</v>
      </c>
      <c r="R381" s="35">
        <f t="shared" si="34"/>
        <v>0.2</v>
      </c>
      <c r="S381" s="49">
        <f>ROUND(Q381/Summary!$C$3*Summary!$C$2,0)</f>
        <v>6</v>
      </c>
      <c r="T381" s="44">
        <f t="shared" si="35"/>
        <v>0.6</v>
      </c>
      <c r="U381" s="34">
        <v>0</v>
      </c>
      <c r="V381" s="34">
        <v>0</v>
      </c>
      <c r="W381" s="34">
        <v>0</v>
      </c>
      <c r="X381" s="34">
        <v>0</v>
      </c>
    </row>
    <row r="382" spans="1:24" hidden="1">
      <c r="A382" s="34" t="s">
        <v>1835</v>
      </c>
      <c r="B382" s="34" t="s">
        <v>1836</v>
      </c>
      <c r="C382" s="34" t="s">
        <v>91</v>
      </c>
      <c r="D382" s="34" t="s">
        <v>92</v>
      </c>
      <c r="E382" s="34" t="s">
        <v>8</v>
      </c>
      <c r="F382" s="34" t="s">
        <v>1837</v>
      </c>
      <c r="G382" s="54">
        <v>1914489457</v>
      </c>
      <c r="H382" s="54" t="s">
        <v>229</v>
      </c>
      <c r="I382" s="54" t="s">
        <v>3514</v>
      </c>
      <c r="J382" s="34" t="s">
        <v>3420</v>
      </c>
      <c r="K382" s="50">
        <v>164859</v>
      </c>
      <c r="L382" s="43">
        <v>30600</v>
      </c>
      <c r="M382" s="44">
        <f t="shared" si="32"/>
        <v>0.18561316033701528</v>
      </c>
      <c r="N382" s="49">
        <f>ROUND(L382/Summary!$C$3*Summary!$C$2,0)</f>
        <v>94860</v>
      </c>
      <c r="O382" s="44">
        <f t="shared" si="33"/>
        <v>0.57540079704474734</v>
      </c>
      <c r="P382" s="78">
        <v>10</v>
      </c>
      <c r="Q382" s="34">
        <v>2</v>
      </c>
      <c r="R382" s="35">
        <f t="shared" si="34"/>
        <v>0.2</v>
      </c>
      <c r="S382" s="49">
        <f>ROUND(Q382/Summary!$C$3*Summary!$C$2,0)</f>
        <v>6</v>
      </c>
      <c r="T382" s="44">
        <f t="shared" si="35"/>
        <v>0.6</v>
      </c>
      <c r="U382" s="34">
        <v>0</v>
      </c>
      <c r="V382" s="34">
        <v>0</v>
      </c>
      <c r="W382" s="34">
        <v>0</v>
      </c>
      <c r="X382" s="34">
        <v>0</v>
      </c>
    </row>
    <row r="383" spans="1:24" hidden="1">
      <c r="A383" s="34" t="s">
        <v>1820</v>
      </c>
      <c r="B383" s="34" t="s">
        <v>1821</v>
      </c>
      <c r="C383" s="34" t="s">
        <v>91</v>
      </c>
      <c r="D383" s="34" t="s">
        <v>92</v>
      </c>
      <c r="E383" s="34" t="s">
        <v>8</v>
      </c>
      <c r="F383" s="34" t="s">
        <v>1822</v>
      </c>
      <c r="G383" s="54">
        <v>1954110851</v>
      </c>
      <c r="H383" s="54" t="s">
        <v>229</v>
      </c>
      <c r="I383" s="54" t="s">
        <v>3514</v>
      </c>
      <c r="J383" s="34" t="s">
        <v>3419</v>
      </c>
      <c r="K383" s="50">
        <v>224179</v>
      </c>
      <c r="L383" s="43">
        <v>69769</v>
      </c>
      <c r="M383" s="44">
        <f t="shared" si="32"/>
        <v>0.31122005183357943</v>
      </c>
      <c r="N383" s="49">
        <f>ROUND(L383/Summary!$C$3*Summary!$C$2,0)</f>
        <v>216284</v>
      </c>
      <c r="O383" s="44">
        <f t="shared" si="33"/>
        <v>0.96478260675620819</v>
      </c>
      <c r="P383" s="78">
        <v>10</v>
      </c>
      <c r="Q383" s="34">
        <v>3</v>
      </c>
      <c r="R383" s="35">
        <f t="shared" si="34"/>
        <v>0.3</v>
      </c>
      <c r="S383" s="49">
        <f>ROUND(Q383/Summary!$C$3*Summary!$C$2,0)</f>
        <v>9</v>
      </c>
      <c r="T383" s="44">
        <f t="shared" si="35"/>
        <v>0.9</v>
      </c>
      <c r="U383" s="34">
        <v>0</v>
      </c>
      <c r="V383" s="34">
        <v>3</v>
      </c>
      <c r="W383" s="34">
        <v>0</v>
      </c>
      <c r="X383" s="34">
        <v>0</v>
      </c>
    </row>
    <row r="384" spans="1:24" hidden="1">
      <c r="A384" s="34" t="s">
        <v>1807</v>
      </c>
      <c r="B384" s="34" t="s">
        <v>1808</v>
      </c>
      <c r="C384" s="34" t="s">
        <v>91</v>
      </c>
      <c r="D384" s="34" t="s">
        <v>92</v>
      </c>
      <c r="E384" s="34" t="s">
        <v>8</v>
      </c>
      <c r="F384" s="34" t="s">
        <v>1809</v>
      </c>
      <c r="G384" s="54">
        <v>1913259079</v>
      </c>
      <c r="H384" s="54" t="s">
        <v>229</v>
      </c>
      <c r="I384" s="54" t="s">
        <v>3514</v>
      </c>
      <c r="J384" s="34" t="s">
        <v>3421</v>
      </c>
      <c r="K384" s="50">
        <v>130000</v>
      </c>
      <c r="L384" s="43">
        <v>40940</v>
      </c>
      <c r="M384" s="44">
        <f t="shared" si="32"/>
        <v>0.31492307692307692</v>
      </c>
      <c r="N384" s="49">
        <f>ROUND(L384/Summary!$C$3*Summary!$C$2,0)</f>
        <v>126914</v>
      </c>
      <c r="O384" s="44">
        <f t="shared" si="33"/>
        <v>0.97626153846153851</v>
      </c>
      <c r="P384" s="78">
        <v>10</v>
      </c>
      <c r="Q384" s="34">
        <v>4</v>
      </c>
      <c r="R384" s="35">
        <f t="shared" si="34"/>
        <v>0.4</v>
      </c>
      <c r="S384" s="49">
        <f>ROUND(Q384/Summary!$C$3*Summary!$C$2,0)</f>
        <v>12</v>
      </c>
      <c r="T384" s="44">
        <f t="shared" si="35"/>
        <v>1.2</v>
      </c>
      <c r="U384" s="34">
        <v>0</v>
      </c>
      <c r="V384" s="34">
        <v>2</v>
      </c>
      <c r="W384" s="34">
        <v>0</v>
      </c>
      <c r="X384" s="34">
        <v>0</v>
      </c>
    </row>
    <row r="385" spans="1:24" hidden="1">
      <c r="A385" s="34" t="s">
        <v>1844</v>
      </c>
      <c r="B385" s="34" t="s">
        <v>1802</v>
      </c>
      <c r="C385" s="34" t="s">
        <v>155</v>
      </c>
      <c r="D385" s="34" t="s">
        <v>92</v>
      </c>
      <c r="E385" s="34" t="s">
        <v>8</v>
      </c>
      <c r="F385" s="34" t="s">
        <v>1845</v>
      </c>
      <c r="G385" s="54">
        <v>1965303110</v>
      </c>
      <c r="H385" s="54" t="s">
        <v>229</v>
      </c>
      <c r="I385" s="54" t="s">
        <v>3514</v>
      </c>
      <c r="J385" s="34" t="s">
        <v>3419</v>
      </c>
      <c r="K385" s="50">
        <v>130000</v>
      </c>
      <c r="L385" s="43">
        <v>29800</v>
      </c>
      <c r="M385" s="44">
        <f t="shared" si="32"/>
        <v>0.22923076923076924</v>
      </c>
      <c r="N385" s="49">
        <f>ROUND(L385/Summary!$C$3*Summary!$C$2,0)</f>
        <v>92380</v>
      </c>
      <c r="O385" s="44">
        <f t="shared" si="33"/>
        <v>0.71061538461538465</v>
      </c>
      <c r="P385" s="78">
        <v>10</v>
      </c>
      <c r="Q385" s="34">
        <v>2</v>
      </c>
      <c r="R385" s="35">
        <f t="shared" si="34"/>
        <v>0.2</v>
      </c>
      <c r="S385" s="49">
        <f>ROUND(Q385/Summary!$C$3*Summary!$C$2,0)</f>
        <v>6</v>
      </c>
      <c r="T385" s="44">
        <f t="shared" si="35"/>
        <v>0.6</v>
      </c>
      <c r="U385" s="34">
        <v>0</v>
      </c>
      <c r="V385" s="34">
        <v>1</v>
      </c>
      <c r="W385" s="34">
        <v>0</v>
      </c>
      <c r="X385" s="34">
        <v>0</v>
      </c>
    </row>
    <row r="386" spans="1:24" hidden="1">
      <c r="A386" s="34" t="s">
        <v>1815</v>
      </c>
      <c r="B386" s="34" t="s">
        <v>1816</v>
      </c>
      <c r="C386" s="34" t="s">
        <v>155</v>
      </c>
      <c r="D386" s="34" t="s">
        <v>92</v>
      </c>
      <c r="E386" s="34" t="s">
        <v>8</v>
      </c>
      <c r="F386" s="34" t="s">
        <v>1817</v>
      </c>
      <c r="G386" s="54">
        <v>1914760498</v>
      </c>
      <c r="H386" s="54" t="s">
        <v>229</v>
      </c>
      <c r="I386" s="54" t="s">
        <v>3514</v>
      </c>
      <c r="J386" s="34" t="s">
        <v>3419</v>
      </c>
      <c r="K386" s="50">
        <v>180000</v>
      </c>
      <c r="L386" s="43">
        <v>15570</v>
      </c>
      <c r="M386" s="44">
        <f t="shared" si="32"/>
        <v>8.6499999999999994E-2</v>
      </c>
      <c r="N386" s="49">
        <f>ROUND(L386/Summary!$C$3*Summary!$C$2,0)</f>
        <v>48267</v>
      </c>
      <c r="O386" s="44">
        <f t="shared" si="33"/>
        <v>0.26815</v>
      </c>
      <c r="P386" s="78">
        <v>15</v>
      </c>
      <c r="Q386" s="34">
        <v>0</v>
      </c>
      <c r="R386" s="35">
        <f t="shared" si="34"/>
        <v>0</v>
      </c>
      <c r="S386" s="49">
        <f>ROUND(Q386/Summary!$C$3*Summary!$C$2,0)</f>
        <v>0</v>
      </c>
      <c r="T386" s="44">
        <f t="shared" si="35"/>
        <v>0</v>
      </c>
      <c r="U386" s="34">
        <v>1</v>
      </c>
      <c r="V386" s="34">
        <v>0</v>
      </c>
      <c r="W386" s="34">
        <v>0</v>
      </c>
      <c r="X386" s="34">
        <v>0</v>
      </c>
    </row>
    <row r="387" spans="1:24" hidden="1">
      <c r="A387" s="34" t="s">
        <v>1813</v>
      </c>
      <c r="B387" s="34" t="s">
        <v>843</v>
      </c>
      <c r="C387" s="34" t="s">
        <v>155</v>
      </c>
      <c r="D387" s="34" t="s">
        <v>92</v>
      </c>
      <c r="E387" s="34" t="s">
        <v>8</v>
      </c>
      <c r="F387" s="34" t="s">
        <v>1814</v>
      </c>
      <c r="G387" s="54">
        <v>1748052602</v>
      </c>
      <c r="H387" s="54" t="s">
        <v>229</v>
      </c>
      <c r="I387" s="54" t="s">
        <v>3518</v>
      </c>
      <c r="J387" s="34" t="s">
        <v>3419</v>
      </c>
      <c r="K387" s="50">
        <v>350000</v>
      </c>
      <c r="L387" s="43">
        <v>118320</v>
      </c>
      <c r="M387" s="44">
        <f t="shared" si="32"/>
        <v>0.33805714285714283</v>
      </c>
      <c r="N387" s="49">
        <f>ROUND(L387/Summary!$C$3*Summary!$C$2,0)</f>
        <v>366792</v>
      </c>
      <c r="O387" s="44">
        <f t="shared" si="33"/>
        <v>1.0479771428571429</v>
      </c>
      <c r="P387" s="78">
        <v>25</v>
      </c>
      <c r="Q387" s="34">
        <v>12</v>
      </c>
      <c r="R387" s="35">
        <f t="shared" si="34"/>
        <v>0.48</v>
      </c>
      <c r="S387" s="49">
        <f>ROUND(Q387/Summary!$C$3*Summary!$C$2,0)</f>
        <v>37</v>
      </c>
      <c r="T387" s="44">
        <f t="shared" si="35"/>
        <v>1.48</v>
      </c>
      <c r="U387" s="34">
        <v>1</v>
      </c>
      <c r="V387" s="34">
        <v>7</v>
      </c>
      <c r="W387" s="34">
        <v>0</v>
      </c>
      <c r="X387" s="34">
        <v>0</v>
      </c>
    </row>
    <row r="388" spans="1:24" hidden="1">
      <c r="A388" s="34" t="s">
        <v>1838</v>
      </c>
      <c r="B388" s="34" t="s">
        <v>1839</v>
      </c>
      <c r="C388" s="34" t="s">
        <v>155</v>
      </c>
      <c r="D388" s="34" t="s">
        <v>92</v>
      </c>
      <c r="E388" s="34" t="s">
        <v>8</v>
      </c>
      <c r="F388" s="34" t="s">
        <v>1840</v>
      </c>
      <c r="G388" s="54">
        <v>1715229931</v>
      </c>
      <c r="H388" s="54" t="s">
        <v>229</v>
      </c>
      <c r="I388" s="54" t="s">
        <v>3514</v>
      </c>
      <c r="J388" s="34" t="s">
        <v>3421</v>
      </c>
      <c r="K388" s="50">
        <v>130000</v>
      </c>
      <c r="L388" s="43">
        <v>13170</v>
      </c>
      <c r="M388" s="44">
        <f t="shared" si="32"/>
        <v>0.10130769230769231</v>
      </c>
      <c r="N388" s="49">
        <f>ROUND(L388/Summary!$C$3*Summary!$C$2,0)</f>
        <v>40827</v>
      </c>
      <c r="O388" s="44">
        <f t="shared" si="33"/>
        <v>0.31405384615384613</v>
      </c>
      <c r="P388" s="78">
        <v>10</v>
      </c>
      <c r="Q388" s="34">
        <v>1</v>
      </c>
      <c r="R388" s="35">
        <f t="shared" si="34"/>
        <v>0.1</v>
      </c>
      <c r="S388" s="49">
        <f>ROUND(Q388/Summary!$C$3*Summary!$C$2,0)</f>
        <v>3</v>
      </c>
      <c r="T388" s="44">
        <f t="shared" si="35"/>
        <v>0.3</v>
      </c>
      <c r="U388" s="34">
        <v>0</v>
      </c>
      <c r="V388" s="34">
        <v>0</v>
      </c>
      <c r="W388" s="34">
        <v>0</v>
      </c>
      <c r="X388" s="34">
        <v>0</v>
      </c>
    </row>
    <row r="389" spans="1:24" hidden="1">
      <c r="A389" s="34" t="s">
        <v>1826</v>
      </c>
      <c r="B389" s="34" t="s">
        <v>1827</v>
      </c>
      <c r="C389" s="34" t="s">
        <v>155</v>
      </c>
      <c r="D389" s="34" t="s">
        <v>92</v>
      </c>
      <c r="E389" s="34" t="s">
        <v>8</v>
      </c>
      <c r="F389" s="34" t="s">
        <v>1828</v>
      </c>
      <c r="G389" s="54">
        <v>1911271245</v>
      </c>
      <c r="H389" s="54" t="s">
        <v>229</v>
      </c>
      <c r="I389" s="54" t="s">
        <v>3514</v>
      </c>
      <c r="J389" s="34" t="s">
        <v>3419</v>
      </c>
      <c r="K389" s="50">
        <v>130000</v>
      </c>
      <c r="L389" s="43">
        <v>35690</v>
      </c>
      <c r="M389" s="44">
        <f t="shared" si="32"/>
        <v>0.27453846153846156</v>
      </c>
      <c r="N389" s="49">
        <f>ROUND(L389/Summary!$C$3*Summary!$C$2,0)</f>
        <v>110639</v>
      </c>
      <c r="O389" s="44">
        <f t="shared" si="33"/>
        <v>0.8510692307692308</v>
      </c>
      <c r="P389" s="78">
        <v>10</v>
      </c>
      <c r="Q389" s="34">
        <v>2</v>
      </c>
      <c r="R389" s="35">
        <f t="shared" si="34"/>
        <v>0.2</v>
      </c>
      <c r="S389" s="49">
        <f>ROUND(Q389/Summary!$C$3*Summary!$C$2,0)</f>
        <v>6</v>
      </c>
      <c r="T389" s="44">
        <f t="shared" si="35"/>
        <v>0.6</v>
      </c>
      <c r="U389" s="34">
        <v>0</v>
      </c>
      <c r="V389" s="34">
        <v>1</v>
      </c>
      <c r="W389" s="34">
        <v>1</v>
      </c>
      <c r="X389" s="34">
        <v>0</v>
      </c>
    </row>
    <row r="390" spans="1:24" hidden="1">
      <c r="A390" s="34" t="s">
        <v>1832</v>
      </c>
      <c r="B390" s="34" t="s">
        <v>1833</v>
      </c>
      <c r="C390" s="34" t="s">
        <v>155</v>
      </c>
      <c r="D390" s="34" t="s">
        <v>92</v>
      </c>
      <c r="E390" s="34" t="s">
        <v>8</v>
      </c>
      <c r="F390" s="34" t="s">
        <v>1834</v>
      </c>
      <c r="G390" s="54">
        <v>1763274126</v>
      </c>
      <c r="H390" s="54" t="s">
        <v>229</v>
      </c>
      <c r="I390" s="54" t="s">
        <v>3514</v>
      </c>
      <c r="J390" s="34" t="s">
        <v>3419</v>
      </c>
      <c r="K390" s="50">
        <v>200000</v>
      </c>
      <c r="L390" s="43">
        <v>72970</v>
      </c>
      <c r="M390" s="44">
        <f t="shared" si="32"/>
        <v>0.36485000000000001</v>
      </c>
      <c r="N390" s="49">
        <f>ROUND(L390/Summary!$C$3*Summary!$C$2,0)</f>
        <v>226207</v>
      </c>
      <c r="O390" s="44">
        <f t="shared" si="33"/>
        <v>1.131035</v>
      </c>
      <c r="P390" s="78">
        <v>16</v>
      </c>
      <c r="Q390" s="34">
        <v>3</v>
      </c>
      <c r="R390" s="35">
        <f t="shared" si="34"/>
        <v>0.1875</v>
      </c>
      <c r="S390" s="49">
        <f>ROUND(Q390/Summary!$C$3*Summary!$C$2,0)</f>
        <v>9</v>
      </c>
      <c r="T390" s="44">
        <f t="shared" si="35"/>
        <v>0.5625</v>
      </c>
      <c r="U390" s="34">
        <v>1</v>
      </c>
      <c r="V390" s="34">
        <v>0</v>
      </c>
      <c r="W390" s="34">
        <v>0</v>
      </c>
      <c r="X390" s="34">
        <v>0</v>
      </c>
    </row>
    <row r="391" spans="1:24" hidden="1">
      <c r="A391" s="34" t="s">
        <v>1846</v>
      </c>
      <c r="B391" s="34" t="s">
        <v>1847</v>
      </c>
      <c r="C391" s="34" t="s">
        <v>155</v>
      </c>
      <c r="D391" s="34" t="s">
        <v>92</v>
      </c>
      <c r="E391" s="34" t="s">
        <v>8</v>
      </c>
      <c r="F391" s="34" t="s">
        <v>1848</v>
      </c>
      <c r="G391" s="54">
        <v>1826515735</v>
      </c>
      <c r="H391" s="54" t="s">
        <v>229</v>
      </c>
      <c r="I391" s="54" t="s">
        <v>3514</v>
      </c>
      <c r="J391" s="34" t="s">
        <v>3419</v>
      </c>
      <c r="K391" s="50">
        <v>130000</v>
      </c>
      <c r="L391" s="43">
        <v>15120</v>
      </c>
      <c r="M391" s="44">
        <f t="shared" si="32"/>
        <v>0.11630769230769231</v>
      </c>
      <c r="N391" s="49">
        <f>ROUND(L391/Summary!$C$3*Summary!$C$2,0)</f>
        <v>46872</v>
      </c>
      <c r="O391" s="44">
        <f t="shared" si="33"/>
        <v>0.36055384615384617</v>
      </c>
      <c r="P391" s="78">
        <v>10</v>
      </c>
      <c r="Q391" s="34">
        <v>0</v>
      </c>
      <c r="R391" s="35">
        <f t="shared" si="34"/>
        <v>0</v>
      </c>
      <c r="S391" s="49">
        <f>ROUND(Q391/Summary!$C$3*Summary!$C$2,0)</f>
        <v>0</v>
      </c>
      <c r="T391" s="44">
        <f t="shared" si="35"/>
        <v>0</v>
      </c>
      <c r="U391" s="34">
        <v>0</v>
      </c>
      <c r="V391" s="34">
        <v>0</v>
      </c>
      <c r="W391" s="34">
        <v>0</v>
      </c>
      <c r="X391" s="34">
        <v>0</v>
      </c>
    </row>
    <row r="392" spans="1:24" hidden="1">
      <c r="A392" s="34" t="s">
        <v>3237</v>
      </c>
      <c r="B392" s="34" t="s">
        <v>3238</v>
      </c>
      <c r="C392" s="34" t="s">
        <v>155</v>
      </c>
      <c r="D392" s="34" t="s">
        <v>92</v>
      </c>
      <c r="E392" s="34" t="s">
        <v>8</v>
      </c>
      <c r="F392" s="34" t="s">
        <v>3239</v>
      </c>
      <c r="G392" s="54">
        <v>1835841436</v>
      </c>
      <c r="H392" s="54" t="s">
        <v>229</v>
      </c>
      <c r="I392" s="54" t="s">
        <v>3514</v>
      </c>
      <c r="J392" s="34" t="s">
        <v>3420</v>
      </c>
      <c r="K392" s="50">
        <v>220000</v>
      </c>
      <c r="L392" s="43">
        <v>47430</v>
      </c>
      <c r="M392" s="44">
        <f t="shared" si="32"/>
        <v>0.21559090909090908</v>
      </c>
      <c r="N392" s="49">
        <f>ROUND(L392/Summary!$C$3*Summary!$C$2,0)</f>
        <v>147033</v>
      </c>
      <c r="O392" s="44">
        <f t="shared" si="33"/>
        <v>0.66833181818181819</v>
      </c>
      <c r="P392" s="78">
        <v>12</v>
      </c>
      <c r="Q392" s="34">
        <v>4</v>
      </c>
      <c r="R392" s="35">
        <f t="shared" si="34"/>
        <v>0.33333333333333331</v>
      </c>
      <c r="S392" s="49">
        <f>ROUND(Q392/Summary!$C$3*Summary!$C$2,0)</f>
        <v>12</v>
      </c>
      <c r="T392" s="44">
        <f t="shared" si="35"/>
        <v>1</v>
      </c>
      <c r="U392" s="34">
        <v>0</v>
      </c>
      <c r="V392" s="34">
        <v>2</v>
      </c>
      <c r="W392" s="34">
        <v>0</v>
      </c>
      <c r="X392" s="34">
        <v>0</v>
      </c>
    </row>
    <row r="393" spans="1:24" hidden="1">
      <c r="A393" s="34" t="s">
        <v>3365</v>
      </c>
      <c r="B393" s="34" t="s">
        <v>3366</v>
      </c>
      <c r="C393" s="34" t="s">
        <v>155</v>
      </c>
      <c r="D393" s="34" t="s">
        <v>92</v>
      </c>
      <c r="E393" s="34" t="s">
        <v>8</v>
      </c>
      <c r="F393" s="34" t="s">
        <v>3364</v>
      </c>
      <c r="G393" s="54">
        <v>1914453534</v>
      </c>
      <c r="H393" s="54" t="s">
        <v>229</v>
      </c>
      <c r="I393" s="54" t="s">
        <v>3514</v>
      </c>
      <c r="J393" s="34" t="s">
        <v>3421</v>
      </c>
      <c r="K393" s="50">
        <v>130000</v>
      </c>
      <c r="L393" s="43">
        <v>26960</v>
      </c>
      <c r="M393" s="44">
        <f t="shared" ref="M393:M456" si="36">L393/K393</f>
        <v>0.20738461538461539</v>
      </c>
      <c r="N393" s="49">
        <f>ROUND(L393/Summary!$C$3*Summary!$C$2,0)</f>
        <v>83576</v>
      </c>
      <c r="O393" s="44">
        <f t="shared" ref="O393:O456" si="37">N393/K393</f>
        <v>0.64289230769230765</v>
      </c>
      <c r="P393" s="78">
        <v>10</v>
      </c>
      <c r="Q393" s="34">
        <v>1</v>
      </c>
      <c r="R393" s="35">
        <f t="shared" ref="R393:R456" si="38">Q393/P393</f>
        <v>0.1</v>
      </c>
      <c r="S393" s="49">
        <f>ROUND(Q393/Summary!$C$3*Summary!$C$2,0)</f>
        <v>3</v>
      </c>
      <c r="T393" s="44">
        <f t="shared" ref="T393:T456" si="39">S393/P393</f>
        <v>0.3</v>
      </c>
      <c r="U393" s="34">
        <v>0</v>
      </c>
      <c r="V393" s="34">
        <v>0</v>
      </c>
      <c r="W393" s="34">
        <v>0</v>
      </c>
      <c r="X393" s="34">
        <v>0</v>
      </c>
    </row>
    <row r="394" spans="1:24" hidden="1">
      <c r="A394" s="34" t="s">
        <v>3024</v>
      </c>
      <c r="B394" s="34" t="s">
        <v>156</v>
      </c>
      <c r="C394" s="34" t="s">
        <v>155</v>
      </c>
      <c r="D394" s="34" t="s">
        <v>92</v>
      </c>
      <c r="E394" s="34" t="s">
        <v>8</v>
      </c>
      <c r="F394" s="34" t="s">
        <v>3025</v>
      </c>
      <c r="G394" s="54">
        <v>1926081995</v>
      </c>
      <c r="H394" s="54" t="s">
        <v>229</v>
      </c>
      <c r="I394" s="54" t="s">
        <v>3514</v>
      </c>
      <c r="J394" s="34" t="s">
        <v>3420</v>
      </c>
      <c r="K394" s="50">
        <v>200000</v>
      </c>
      <c r="L394" s="43">
        <v>68885</v>
      </c>
      <c r="M394" s="44">
        <f t="shared" si="36"/>
        <v>0.34442499999999998</v>
      </c>
      <c r="N394" s="49">
        <f>ROUND(L394/Summary!$C$3*Summary!$C$2,0)</f>
        <v>213544</v>
      </c>
      <c r="O394" s="44">
        <f t="shared" si="37"/>
        <v>1.06772</v>
      </c>
      <c r="P394" s="78">
        <v>14</v>
      </c>
      <c r="Q394" s="34">
        <v>7</v>
      </c>
      <c r="R394" s="35">
        <f t="shared" si="38"/>
        <v>0.5</v>
      </c>
      <c r="S394" s="49">
        <f>ROUND(Q394/Summary!$C$3*Summary!$C$2,0)</f>
        <v>22</v>
      </c>
      <c r="T394" s="44">
        <f t="shared" si="39"/>
        <v>1.5714285714285714</v>
      </c>
      <c r="U394" s="34">
        <v>0</v>
      </c>
      <c r="V394" s="34">
        <v>3</v>
      </c>
      <c r="W394" s="34">
        <v>0</v>
      </c>
      <c r="X394" s="34">
        <v>1</v>
      </c>
    </row>
    <row r="395" spans="1:24" hidden="1">
      <c r="A395" s="34" t="s">
        <v>1810</v>
      </c>
      <c r="B395" s="34" t="s">
        <v>1811</v>
      </c>
      <c r="C395" s="34" t="s">
        <v>155</v>
      </c>
      <c r="D395" s="34" t="s">
        <v>92</v>
      </c>
      <c r="E395" s="34" t="s">
        <v>8</v>
      </c>
      <c r="F395" s="34" t="s">
        <v>1812</v>
      </c>
      <c r="G395" s="54">
        <v>1620230416</v>
      </c>
      <c r="H395" s="54" t="s">
        <v>229</v>
      </c>
      <c r="I395" s="54" t="s">
        <v>3518</v>
      </c>
      <c r="J395" s="34" t="s">
        <v>3419</v>
      </c>
      <c r="K395" s="50">
        <v>300000</v>
      </c>
      <c r="L395" s="43">
        <v>70010</v>
      </c>
      <c r="M395" s="44">
        <f t="shared" si="36"/>
        <v>0.23336666666666667</v>
      </c>
      <c r="N395" s="49">
        <f>ROUND(L395/Summary!$C$3*Summary!$C$2,0)</f>
        <v>217031</v>
      </c>
      <c r="O395" s="44">
        <f t="shared" si="37"/>
        <v>0.72343666666666662</v>
      </c>
      <c r="P395" s="78">
        <v>20</v>
      </c>
      <c r="Q395" s="34">
        <v>1</v>
      </c>
      <c r="R395" s="35">
        <f t="shared" si="38"/>
        <v>0.05</v>
      </c>
      <c r="S395" s="49">
        <f>ROUND(Q395/Summary!$C$3*Summary!$C$2,0)</f>
        <v>3</v>
      </c>
      <c r="T395" s="44">
        <f t="shared" si="39"/>
        <v>0.15</v>
      </c>
      <c r="U395" s="34">
        <v>0</v>
      </c>
      <c r="V395" s="34">
        <v>1</v>
      </c>
      <c r="W395" s="34">
        <v>0</v>
      </c>
      <c r="X395" s="34">
        <v>0</v>
      </c>
    </row>
    <row r="396" spans="1:24" hidden="1">
      <c r="A396" s="34" t="s">
        <v>1823</v>
      </c>
      <c r="B396" s="34" t="s">
        <v>1824</v>
      </c>
      <c r="C396" s="34" t="s">
        <v>155</v>
      </c>
      <c r="D396" s="34" t="s">
        <v>92</v>
      </c>
      <c r="E396" s="34" t="s">
        <v>8</v>
      </c>
      <c r="F396" s="34" t="s">
        <v>1825</v>
      </c>
      <c r="G396" s="54">
        <v>1673282261</v>
      </c>
      <c r="H396" s="54" t="s">
        <v>229</v>
      </c>
      <c r="I396" s="54" t="s">
        <v>3514</v>
      </c>
      <c r="J396" s="34" t="s">
        <v>3419</v>
      </c>
      <c r="K396" s="50">
        <v>250000</v>
      </c>
      <c r="L396" s="43">
        <v>87214</v>
      </c>
      <c r="M396" s="44">
        <f t="shared" si="36"/>
        <v>0.348856</v>
      </c>
      <c r="N396" s="49">
        <f>ROUND(L396/Summary!$C$3*Summary!$C$2,0)</f>
        <v>270363</v>
      </c>
      <c r="O396" s="44">
        <f t="shared" si="37"/>
        <v>1.0814520000000001</v>
      </c>
      <c r="P396" s="78">
        <v>16</v>
      </c>
      <c r="Q396" s="34">
        <v>6</v>
      </c>
      <c r="R396" s="35">
        <f t="shared" si="38"/>
        <v>0.375</v>
      </c>
      <c r="S396" s="49">
        <f>ROUND(Q396/Summary!$C$3*Summary!$C$2,0)</f>
        <v>19</v>
      </c>
      <c r="T396" s="44">
        <f t="shared" si="39"/>
        <v>1.1875</v>
      </c>
      <c r="U396" s="34">
        <v>1</v>
      </c>
      <c r="V396" s="34">
        <v>1</v>
      </c>
      <c r="W396" s="34">
        <v>0</v>
      </c>
      <c r="X396" s="34">
        <v>0</v>
      </c>
    </row>
    <row r="397" spans="1:24" hidden="1">
      <c r="A397" s="34" t="s">
        <v>1803</v>
      </c>
      <c r="B397" s="34" t="s">
        <v>118</v>
      </c>
      <c r="C397" s="34" t="s">
        <v>155</v>
      </c>
      <c r="D397" s="34" t="s">
        <v>92</v>
      </c>
      <c r="E397" s="34" t="s">
        <v>8</v>
      </c>
      <c r="F397" s="34" t="s">
        <v>849</v>
      </c>
      <c r="G397" s="54">
        <v>1704522272</v>
      </c>
      <c r="H397" s="54" t="s">
        <v>229</v>
      </c>
      <c r="I397" s="54" t="s">
        <v>3514</v>
      </c>
      <c r="J397" s="34" t="s">
        <v>3419</v>
      </c>
      <c r="K397" s="50">
        <v>200000</v>
      </c>
      <c r="L397" s="43">
        <v>65990</v>
      </c>
      <c r="M397" s="44">
        <f t="shared" si="36"/>
        <v>0.32995000000000002</v>
      </c>
      <c r="N397" s="49">
        <f>ROUND(L397/Summary!$C$3*Summary!$C$2,0)</f>
        <v>204569</v>
      </c>
      <c r="O397" s="44">
        <f t="shared" si="37"/>
        <v>1.022845</v>
      </c>
      <c r="P397" s="78">
        <v>14</v>
      </c>
      <c r="Q397" s="34">
        <v>5</v>
      </c>
      <c r="R397" s="35">
        <f t="shared" si="38"/>
        <v>0.35714285714285715</v>
      </c>
      <c r="S397" s="49">
        <f>ROUND(Q397/Summary!$C$3*Summary!$C$2,0)</f>
        <v>16</v>
      </c>
      <c r="T397" s="44">
        <f t="shared" si="39"/>
        <v>1.1428571428571428</v>
      </c>
      <c r="U397" s="34">
        <v>0</v>
      </c>
      <c r="V397" s="34">
        <v>2</v>
      </c>
      <c r="W397" s="34">
        <v>0</v>
      </c>
      <c r="X397" s="34">
        <v>0</v>
      </c>
    </row>
    <row r="398" spans="1:24" hidden="1">
      <c r="A398" s="34" t="s">
        <v>1818</v>
      </c>
      <c r="B398" s="34" t="s">
        <v>67</v>
      </c>
      <c r="C398" s="34" t="s">
        <v>155</v>
      </c>
      <c r="D398" s="34" t="s">
        <v>92</v>
      </c>
      <c r="E398" s="34" t="s">
        <v>8</v>
      </c>
      <c r="F398" s="34" t="s">
        <v>1063</v>
      </c>
      <c r="G398" s="54">
        <v>1687376241</v>
      </c>
      <c r="H398" s="54" t="s">
        <v>229</v>
      </c>
      <c r="I398" s="54" t="s">
        <v>3514</v>
      </c>
      <c r="J398" s="34" t="s">
        <v>3515</v>
      </c>
      <c r="K398" s="50">
        <v>130000</v>
      </c>
      <c r="L398" s="43">
        <v>14570</v>
      </c>
      <c r="M398" s="44">
        <f t="shared" si="36"/>
        <v>0.11207692307692307</v>
      </c>
      <c r="N398" s="49">
        <f>ROUND(L398/Summary!$C$3*Summary!$C$2,0)</f>
        <v>45167</v>
      </c>
      <c r="O398" s="44">
        <f t="shared" si="37"/>
        <v>0.34743846153846153</v>
      </c>
      <c r="P398" s="78">
        <v>10</v>
      </c>
      <c r="Q398" s="34">
        <v>0</v>
      </c>
      <c r="R398" s="35">
        <f t="shared" si="38"/>
        <v>0</v>
      </c>
      <c r="S398" s="49">
        <f>ROUND(Q398/Summary!$C$3*Summary!$C$2,0)</f>
        <v>0</v>
      </c>
      <c r="T398" s="44">
        <f t="shared" si="39"/>
        <v>0</v>
      </c>
      <c r="U398" s="34">
        <v>0</v>
      </c>
      <c r="V398" s="34">
        <v>0</v>
      </c>
      <c r="W398" s="34">
        <v>0</v>
      </c>
      <c r="X398" s="34">
        <v>0</v>
      </c>
    </row>
    <row r="399" spans="1:24" hidden="1">
      <c r="A399" s="34" t="s">
        <v>1804</v>
      </c>
      <c r="B399" s="34" t="s">
        <v>1805</v>
      </c>
      <c r="C399" s="34" t="s">
        <v>155</v>
      </c>
      <c r="D399" s="34" t="s">
        <v>92</v>
      </c>
      <c r="E399" s="34" t="s">
        <v>8</v>
      </c>
      <c r="F399" s="34" t="s">
        <v>1806</v>
      </c>
      <c r="G399" s="54">
        <v>1814218738</v>
      </c>
      <c r="H399" s="54" t="s">
        <v>229</v>
      </c>
      <c r="I399" s="54" t="s">
        <v>3514</v>
      </c>
      <c r="J399" s="34" t="s">
        <v>3419</v>
      </c>
      <c r="K399" s="50">
        <v>200000</v>
      </c>
      <c r="L399" s="43">
        <v>85370</v>
      </c>
      <c r="M399" s="44">
        <f t="shared" si="36"/>
        <v>0.42685000000000001</v>
      </c>
      <c r="N399" s="49">
        <f>ROUND(L399/Summary!$C$3*Summary!$C$2,0)</f>
        <v>264647</v>
      </c>
      <c r="O399" s="44">
        <f t="shared" si="37"/>
        <v>1.3232349999999999</v>
      </c>
      <c r="P399" s="78">
        <v>12</v>
      </c>
      <c r="Q399" s="34">
        <v>6</v>
      </c>
      <c r="R399" s="35">
        <f t="shared" si="38"/>
        <v>0.5</v>
      </c>
      <c r="S399" s="49">
        <f>ROUND(Q399/Summary!$C$3*Summary!$C$2,0)</f>
        <v>19</v>
      </c>
      <c r="T399" s="44">
        <f t="shared" si="39"/>
        <v>1.5833333333333333</v>
      </c>
      <c r="U399" s="34">
        <v>0</v>
      </c>
      <c r="V399" s="34">
        <v>1</v>
      </c>
      <c r="W399" s="34">
        <v>0</v>
      </c>
      <c r="X399" s="34">
        <v>1</v>
      </c>
    </row>
    <row r="400" spans="1:24" hidden="1">
      <c r="A400" s="34" t="s">
        <v>1829</v>
      </c>
      <c r="B400" s="34" t="s">
        <v>1830</v>
      </c>
      <c r="C400" s="34" t="s">
        <v>155</v>
      </c>
      <c r="D400" s="34" t="s">
        <v>92</v>
      </c>
      <c r="E400" s="34" t="s">
        <v>8</v>
      </c>
      <c r="F400" s="34" t="s">
        <v>1831</v>
      </c>
      <c r="G400" s="54">
        <v>1683380243</v>
      </c>
      <c r="H400" s="54" t="s">
        <v>229</v>
      </c>
      <c r="I400" s="54" t="s">
        <v>3514</v>
      </c>
      <c r="J400" s="34" t="s">
        <v>3421</v>
      </c>
      <c r="K400" s="50">
        <v>130000</v>
      </c>
      <c r="L400" s="43">
        <v>14680</v>
      </c>
      <c r="M400" s="44">
        <f t="shared" si="36"/>
        <v>0.11292307692307692</v>
      </c>
      <c r="N400" s="49">
        <f>ROUND(L400/Summary!$C$3*Summary!$C$2,0)</f>
        <v>45508</v>
      </c>
      <c r="O400" s="44">
        <f t="shared" si="37"/>
        <v>0.35006153846153848</v>
      </c>
      <c r="P400" s="78">
        <v>10</v>
      </c>
      <c r="Q400" s="34">
        <v>1</v>
      </c>
      <c r="R400" s="35">
        <f t="shared" si="38"/>
        <v>0.1</v>
      </c>
      <c r="S400" s="49">
        <f>ROUND(Q400/Summary!$C$3*Summary!$C$2,0)</f>
        <v>3</v>
      </c>
      <c r="T400" s="44">
        <f t="shared" si="39"/>
        <v>0.3</v>
      </c>
      <c r="U400" s="34">
        <v>0</v>
      </c>
      <c r="V400" s="34">
        <v>0</v>
      </c>
      <c r="W400" s="34">
        <v>0</v>
      </c>
      <c r="X400" s="34">
        <v>0</v>
      </c>
    </row>
    <row r="401" spans="1:24" hidden="1">
      <c r="A401" s="34" t="s">
        <v>1841</v>
      </c>
      <c r="B401" s="34" t="s">
        <v>1842</v>
      </c>
      <c r="C401" s="34" t="s">
        <v>155</v>
      </c>
      <c r="D401" s="34" t="s">
        <v>92</v>
      </c>
      <c r="E401" s="34" t="s">
        <v>8</v>
      </c>
      <c r="F401" s="34" t="s">
        <v>1843</v>
      </c>
      <c r="G401" s="54">
        <v>1811319005</v>
      </c>
      <c r="H401" s="54" t="s">
        <v>229</v>
      </c>
      <c r="I401" s="54" t="s">
        <v>3514</v>
      </c>
      <c r="J401" s="34" t="s">
        <v>3419</v>
      </c>
      <c r="K401" s="50">
        <v>130000</v>
      </c>
      <c r="L401" s="43">
        <v>40864</v>
      </c>
      <c r="M401" s="44">
        <f t="shared" si="36"/>
        <v>0.31433846153846151</v>
      </c>
      <c r="N401" s="49">
        <f>ROUND(L401/Summary!$C$3*Summary!$C$2,0)</f>
        <v>126678</v>
      </c>
      <c r="O401" s="44">
        <f t="shared" si="37"/>
        <v>0.97444615384615385</v>
      </c>
      <c r="P401" s="78">
        <v>10</v>
      </c>
      <c r="Q401" s="34">
        <v>1</v>
      </c>
      <c r="R401" s="35">
        <f t="shared" si="38"/>
        <v>0.1</v>
      </c>
      <c r="S401" s="49">
        <f>ROUND(Q401/Summary!$C$3*Summary!$C$2,0)</f>
        <v>3</v>
      </c>
      <c r="T401" s="44">
        <f t="shared" si="39"/>
        <v>0.3</v>
      </c>
      <c r="U401" s="34">
        <v>0</v>
      </c>
      <c r="V401" s="34">
        <v>0</v>
      </c>
      <c r="W401" s="34">
        <v>0</v>
      </c>
      <c r="X401" s="34">
        <v>0</v>
      </c>
    </row>
    <row r="402" spans="1:24" hidden="1">
      <c r="A402" s="34" t="s">
        <v>3156</v>
      </c>
      <c r="B402" s="34" t="s">
        <v>3157</v>
      </c>
      <c r="C402" s="34" t="s">
        <v>155</v>
      </c>
      <c r="D402" s="34" t="s">
        <v>92</v>
      </c>
      <c r="E402" s="34" t="s">
        <v>8</v>
      </c>
      <c r="F402" s="34" t="s">
        <v>3158</v>
      </c>
      <c r="G402" s="54">
        <v>1965121080</v>
      </c>
      <c r="H402" s="54" t="s">
        <v>229</v>
      </c>
      <c r="I402" s="54" t="s">
        <v>3514</v>
      </c>
      <c r="J402" s="34" t="s">
        <v>3419</v>
      </c>
      <c r="K402" s="50">
        <v>281491</v>
      </c>
      <c r="L402" s="43">
        <v>73065</v>
      </c>
      <c r="M402" s="44">
        <f t="shared" si="36"/>
        <v>0.25956424894579222</v>
      </c>
      <c r="N402" s="49">
        <f>ROUND(L402/Summary!$C$3*Summary!$C$2,0)</f>
        <v>226502</v>
      </c>
      <c r="O402" s="44">
        <f t="shared" si="37"/>
        <v>0.80465094798767989</v>
      </c>
      <c r="P402" s="78">
        <v>22</v>
      </c>
      <c r="Q402" s="34">
        <v>5</v>
      </c>
      <c r="R402" s="35">
        <f t="shared" si="38"/>
        <v>0.22727272727272727</v>
      </c>
      <c r="S402" s="49">
        <f>ROUND(Q402/Summary!$C$3*Summary!$C$2,0)</f>
        <v>16</v>
      </c>
      <c r="T402" s="44">
        <f t="shared" si="39"/>
        <v>0.72727272727272729</v>
      </c>
      <c r="U402" s="34">
        <v>0</v>
      </c>
      <c r="V402" s="34">
        <v>2</v>
      </c>
      <c r="W402" s="34">
        <v>0</v>
      </c>
      <c r="X402" s="34">
        <v>1</v>
      </c>
    </row>
    <row r="403" spans="1:24" hidden="1">
      <c r="A403" s="34" t="s">
        <v>1864</v>
      </c>
      <c r="B403" s="34" t="s">
        <v>1865</v>
      </c>
      <c r="C403" s="34" t="s">
        <v>51</v>
      </c>
      <c r="D403" s="34" t="s">
        <v>196</v>
      </c>
      <c r="E403" s="34" t="s">
        <v>8</v>
      </c>
      <c r="F403" s="34" t="s">
        <v>1866</v>
      </c>
      <c r="G403" s="54">
        <v>1924830083</v>
      </c>
      <c r="H403" s="54" t="s">
        <v>229</v>
      </c>
      <c r="I403" s="54" t="s">
        <v>3514</v>
      </c>
      <c r="J403" s="34" t="s">
        <v>3421</v>
      </c>
      <c r="K403" s="50">
        <v>130000</v>
      </c>
      <c r="L403" s="43">
        <v>28750</v>
      </c>
      <c r="M403" s="44">
        <f t="shared" si="36"/>
        <v>0.22115384615384615</v>
      </c>
      <c r="N403" s="49">
        <f>ROUND(L403/Summary!$C$3*Summary!$C$2,0)</f>
        <v>89125</v>
      </c>
      <c r="O403" s="44">
        <f t="shared" si="37"/>
        <v>0.68557692307692308</v>
      </c>
      <c r="P403" s="78">
        <v>10</v>
      </c>
      <c r="Q403" s="34">
        <v>1</v>
      </c>
      <c r="R403" s="35">
        <f t="shared" si="38"/>
        <v>0.1</v>
      </c>
      <c r="S403" s="49">
        <f>ROUND(Q403/Summary!$C$3*Summary!$C$2,0)</f>
        <v>3</v>
      </c>
      <c r="T403" s="44">
        <f t="shared" si="39"/>
        <v>0.3</v>
      </c>
      <c r="U403" s="34">
        <v>0</v>
      </c>
      <c r="V403" s="34">
        <v>0</v>
      </c>
      <c r="W403" s="34">
        <v>0</v>
      </c>
      <c r="X403" s="34">
        <v>0</v>
      </c>
    </row>
    <row r="404" spans="1:24" hidden="1">
      <c r="A404" s="34" t="s">
        <v>1849</v>
      </c>
      <c r="B404" s="34" t="s">
        <v>1850</v>
      </c>
      <c r="C404" s="34" t="s">
        <v>51</v>
      </c>
      <c r="D404" s="34" t="s">
        <v>196</v>
      </c>
      <c r="E404" s="34" t="s">
        <v>8</v>
      </c>
      <c r="F404" s="34" t="s">
        <v>1851</v>
      </c>
      <c r="G404" s="54">
        <v>1687224058</v>
      </c>
      <c r="H404" s="54" t="s">
        <v>229</v>
      </c>
      <c r="I404" s="54" t="s">
        <v>3514</v>
      </c>
      <c r="J404" s="34" t="s">
        <v>3419</v>
      </c>
      <c r="K404" s="50">
        <v>130000</v>
      </c>
      <c r="L404" s="43">
        <v>17220</v>
      </c>
      <c r="M404" s="44">
        <f t="shared" si="36"/>
        <v>0.13246153846153846</v>
      </c>
      <c r="N404" s="49">
        <f>ROUND(L404/Summary!$C$3*Summary!$C$2,0)</f>
        <v>53382</v>
      </c>
      <c r="O404" s="44">
        <f t="shared" si="37"/>
        <v>0.41063076923076924</v>
      </c>
      <c r="P404" s="78">
        <v>10</v>
      </c>
      <c r="Q404" s="34">
        <v>1</v>
      </c>
      <c r="R404" s="35">
        <f t="shared" si="38"/>
        <v>0.1</v>
      </c>
      <c r="S404" s="49">
        <f>ROUND(Q404/Summary!$C$3*Summary!$C$2,0)</f>
        <v>3</v>
      </c>
      <c r="T404" s="44">
        <f t="shared" si="39"/>
        <v>0.3</v>
      </c>
      <c r="U404" s="34">
        <v>0</v>
      </c>
      <c r="V404" s="34">
        <v>1</v>
      </c>
      <c r="W404" s="34">
        <v>0</v>
      </c>
      <c r="X404" s="34">
        <v>0</v>
      </c>
    </row>
    <row r="405" spans="1:24" hidden="1">
      <c r="A405" s="34" t="s">
        <v>1858</v>
      </c>
      <c r="B405" s="34" t="s">
        <v>1859</v>
      </c>
      <c r="C405" s="34" t="s">
        <v>51</v>
      </c>
      <c r="D405" s="34" t="s">
        <v>196</v>
      </c>
      <c r="E405" s="34" t="s">
        <v>8</v>
      </c>
      <c r="F405" s="34" t="s">
        <v>1860</v>
      </c>
      <c r="G405" s="54">
        <v>1819488568</v>
      </c>
      <c r="H405" s="54" t="s">
        <v>229</v>
      </c>
      <c r="I405" s="54" t="s">
        <v>3514</v>
      </c>
      <c r="J405" s="34" t="s">
        <v>3421</v>
      </c>
      <c r="K405" s="50">
        <v>130000</v>
      </c>
      <c r="L405" s="43">
        <v>4990</v>
      </c>
      <c r="M405" s="44">
        <f t="shared" si="36"/>
        <v>3.8384615384615385E-2</v>
      </c>
      <c r="N405" s="49">
        <f>ROUND(L405/Summary!$C$3*Summary!$C$2,0)</f>
        <v>15469</v>
      </c>
      <c r="O405" s="44">
        <f t="shared" si="37"/>
        <v>0.11899230769230769</v>
      </c>
      <c r="P405" s="78">
        <v>10</v>
      </c>
      <c r="Q405" s="34">
        <v>0</v>
      </c>
      <c r="R405" s="35">
        <f t="shared" si="38"/>
        <v>0</v>
      </c>
      <c r="S405" s="49">
        <f>ROUND(Q405/Summary!$C$3*Summary!$C$2,0)</f>
        <v>0</v>
      </c>
      <c r="T405" s="44">
        <f t="shared" si="39"/>
        <v>0</v>
      </c>
      <c r="U405" s="34">
        <v>0</v>
      </c>
      <c r="V405" s="34">
        <v>0</v>
      </c>
      <c r="W405" s="34">
        <v>0</v>
      </c>
      <c r="X405" s="34">
        <v>0</v>
      </c>
    </row>
    <row r="406" spans="1:24" hidden="1">
      <c r="A406" s="34" t="s">
        <v>2912</v>
      </c>
      <c r="B406" s="34" t="s">
        <v>2913</v>
      </c>
      <c r="C406" s="34" t="s">
        <v>195</v>
      </c>
      <c r="D406" s="34" t="s">
        <v>196</v>
      </c>
      <c r="E406" s="34" t="s">
        <v>8</v>
      </c>
      <c r="F406" s="34" t="s">
        <v>2914</v>
      </c>
      <c r="G406" s="54">
        <v>1912862379</v>
      </c>
      <c r="H406" s="54" t="s">
        <v>229</v>
      </c>
      <c r="I406" s="54" t="s">
        <v>3514</v>
      </c>
      <c r="J406" s="34" t="s">
        <v>3421</v>
      </c>
      <c r="K406" s="50">
        <v>173654</v>
      </c>
      <c r="L406" s="43">
        <v>84035</v>
      </c>
      <c r="M406" s="44">
        <f t="shared" si="36"/>
        <v>0.48392205189629955</v>
      </c>
      <c r="N406" s="49">
        <f>ROUND(L406/Summary!$C$3*Summary!$C$2,0)</f>
        <v>260509</v>
      </c>
      <c r="O406" s="44">
        <f t="shared" si="37"/>
        <v>1.5001612401672291</v>
      </c>
      <c r="P406" s="78">
        <v>10</v>
      </c>
      <c r="Q406" s="34">
        <v>7</v>
      </c>
      <c r="R406" s="35">
        <f t="shared" si="38"/>
        <v>0.7</v>
      </c>
      <c r="S406" s="49">
        <f>ROUND(Q406/Summary!$C$3*Summary!$C$2,0)</f>
        <v>22</v>
      </c>
      <c r="T406" s="44">
        <f t="shared" si="39"/>
        <v>2.2000000000000002</v>
      </c>
      <c r="U406" s="34">
        <v>0</v>
      </c>
      <c r="V406" s="34">
        <v>1</v>
      </c>
      <c r="W406" s="34">
        <v>0</v>
      </c>
      <c r="X406" s="34">
        <v>0</v>
      </c>
    </row>
    <row r="407" spans="1:24" hidden="1">
      <c r="A407" s="34" t="s">
        <v>1879</v>
      </c>
      <c r="B407" s="34" t="s">
        <v>1880</v>
      </c>
      <c r="C407" s="34" t="s">
        <v>195</v>
      </c>
      <c r="D407" s="34" t="s">
        <v>196</v>
      </c>
      <c r="E407" s="34" t="s">
        <v>8</v>
      </c>
      <c r="F407" s="34" t="s">
        <v>1881</v>
      </c>
      <c r="G407" s="54">
        <v>1726288834</v>
      </c>
      <c r="H407" s="54" t="s">
        <v>229</v>
      </c>
      <c r="I407" s="54" t="s">
        <v>3514</v>
      </c>
      <c r="J407" s="34" t="s">
        <v>3421</v>
      </c>
      <c r="K407" s="50">
        <v>130000</v>
      </c>
      <c r="L407" s="43">
        <v>11965</v>
      </c>
      <c r="M407" s="44">
        <f t="shared" si="36"/>
        <v>9.2038461538461541E-2</v>
      </c>
      <c r="N407" s="49">
        <f>ROUND(L407/Summary!$C$3*Summary!$C$2,0)</f>
        <v>37092</v>
      </c>
      <c r="O407" s="44">
        <f t="shared" si="37"/>
        <v>0.2853230769230769</v>
      </c>
      <c r="P407" s="78">
        <v>10</v>
      </c>
      <c r="Q407" s="34">
        <v>1</v>
      </c>
      <c r="R407" s="35">
        <f t="shared" si="38"/>
        <v>0.1</v>
      </c>
      <c r="S407" s="49">
        <f>ROUND(Q407/Summary!$C$3*Summary!$C$2,0)</f>
        <v>3</v>
      </c>
      <c r="T407" s="44">
        <f t="shared" si="39"/>
        <v>0.3</v>
      </c>
      <c r="U407" s="34">
        <v>0</v>
      </c>
      <c r="V407" s="34">
        <v>0</v>
      </c>
      <c r="W407" s="34">
        <v>0</v>
      </c>
      <c r="X407" s="34">
        <v>0</v>
      </c>
    </row>
    <row r="408" spans="1:24" hidden="1">
      <c r="A408" s="34" t="s">
        <v>1876</v>
      </c>
      <c r="B408" s="34" t="s">
        <v>1877</v>
      </c>
      <c r="C408" s="34" t="s">
        <v>195</v>
      </c>
      <c r="D408" s="34" t="s">
        <v>196</v>
      </c>
      <c r="E408" s="34" t="s">
        <v>8</v>
      </c>
      <c r="F408" s="34" t="s">
        <v>1878</v>
      </c>
      <c r="G408" s="54">
        <v>1715657868</v>
      </c>
      <c r="H408" s="54" t="s">
        <v>229</v>
      </c>
      <c r="I408" s="54" t="s">
        <v>3514</v>
      </c>
      <c r="J408" s="34" t="s">
        <v>3419</v>
      </c>
      <c r="K408" s="50">
        <v>243525</v>
      </c>
      <c r="L408" s="43">
        <v>29135</v>
      </c>
      <c r="M408" s="44">
        <f t="shared" si="36"/>
        <v>0.11963864079663279</v>
      </c>
      <c r="N408" s="49">
        <f>ROUND(L408/Summary!$C$3*Summary!$C$2,0)</f>
        <v>90319</v>
      </c>
      <c r="O408" s="44">
        <f t="shared" si="37"/>
        <v>0.37088183964685351</v>
      </c>
      <c r="P408" s="78">
        <v>13</v>
      </c>
      <c r="Q408" s="34">
        <v>2</v>
      </c>
      <c r="R408" s="35">
        <f t="shared" si="38"/>
        <v>0.15384615384615385</v>
      </c>
      <c r="S408" s="49">
        <f>ROUND(Q408/Summary!$C$3*Summary!$C$2,0)</f>
        <v>6</v>
      </c>
      <c r="T408" s="44">
        <f t="shared" si="39"/>
        <v>0.46153846153846156</v>
      </c>
      <c r="U408" s="34">
        <v>0</v>
      </c>
      <c r="V408" s="34">
        <v>0</v>
      </c>
      <c r="W408" s="34">
        <v>0</v>
      </c>
      <c r="X408" s="34">
        <v>1</v>
      </c>
    </row>
    <row r="409" spans="1:24" hidden="1">
      <c r="A409" s="34" t="s">
        <v>1867</v>
      </c>
      <c r="B409" s="34" t="s">
        <v>1868</v>
      </c>
      <c r="C409" s="34" t="s">
        <v>195</v>
      </c>
      <c r="D409" s="34" t="s">
        <v>196</v>
      </c>
      <c r="E409" s="34" t="s">
        <v>8</v>
      </c>
      <c r="F409" s="34" t="s">
        <v>1869</v>
      </c>
      <c r="G409" s="54">
        <v>1712335566</v>
      </c>
      <c r="H409" s="54" t="s">
        <v>229</v>
      </c>
      <c r="I409" s="54" t="s">
        <v>3514</v>
      </c>
      <c r="J409" s="34" t="s">
        <v>3421</v>
      </c>
      <c r="K409" s="50">
        <v>130000</v>
      </c>
      <c r="L409" s="43">
        <v>37030</v>
      </c>
      <c r="M409" s="44">
        <f t="shared" si="36"/>
        <v>0.28484615384615386</v>
      </c>
      <c r="N409" s="49">
        <f>ROUND(L409/Summary!$C$3*Summary!$C$2,0)</f>
        <v>114793</v>
      </c>
      <c r="O409" s="44">
        <f t="shared" si="37"/>
        <v>0.88302307692307691</v>
      </c>
      <c r="P409" s="78">
        <v>10</v>
      </c>
      <c r="Q409" s="34">
        <v>1</v>
      </c>
      <c r="R409" s="35">
        <f t="shared" si="38"/>
        <v>0.1</v>
      </c>
      <c r="S409" s="49">
        <f>ROUND(Q409/Summary!$C$3*Summary!$C$2,0)</f>
        <v>3</v>
      </c>
      <c r="T409" s="44">
        <f t="shared" si="39"/>
        <v>0.3</v>
      </c>
      <c r="U409" s="34">
        <v>0</v>
      </c>
      <c r="V409" s="34">
        <v>0</v>
      </c>
      <c r="W409" s="34">
        <v>0</v>
      </c>
      <c r="X409" s="34">
        <v>1</v>
      </c>
    </row>
    <row r="410" spans="1:24" hidden="1">
      <c r="A410" s="34" t="s">
        <v>1873</v>
      </c>
      <c r="B410" s="34" t="s">
        <v>1874</v>
      </c>
      <c r="C410" s="34" t="s">
        <v>195</v>
      </c>
      <c r="D410" s="34" t="s">
        <v>196</v>
      </c>
      <c r="E410" s="34" t="s">
        <v>8</v>
      </c>
      <c r="F410" s="34" t="s">
        <v>1875</v>
      </c>
      <c r="G410" s="54">
        <v>1937856429</v>
      </c>
      <c r="H410" s="54" t="s">
        <v>229</v>
      </c>
      <c r="I410" s="54" t="s">
        <v>3514</v>
      </c>
      <c r="J410" s="34" t="s">
        <v>3421</v>
      </c>
      <c r="K410" s="50">
        <v>130000</v>
      </c>
      <c r="L410" s="43">
        <v>35300</v>
      </c>
      <c r="M410" s="44">
        <f t="shared" si="36"/>
        <v>0.27153846153846156</v>
      </c>
      <c r="N410" s="49">
        <f>ROUND(L410/Summary!$C$3*Summary!$C$2,0)</f>
        <v>109430</v>
      </c>
      <c r="O410" s="44">
        <f t="shared" si="37"/>
        <v>0.84176923076923071</v>
      </c>
      <c r="P410" s="78">
        <v>10</v>
      </c>
      <c r="Q410" s="34">
        <v>3</v>
      </c>
      <c r="R410" s="35">
        <f t="shared" si="38"/>
        <v>0.3</v>
      </c>
      <c r="S410" s="49">
        <f>ROUND(Q410/Summary!$C$3*Summary!$C$2,0)</f>
        <v>9</v>
      </c>
      <c r="T410" s="44">
        <f t="shared" si="39"/>
        <v>0.9</v>
      </c>
      <c r="U410" s="34">
        <v>0</v>
      </c>
      <c r="V410" s="34">
        <v>0</v>
      </c>
      <c r="W410" s="34">
        <v>0</v>
      </c>
      <c r="X410" s="34">
        <v>0</v>
      </c>
    </row>
    <row r="411" spans="1:24" hidden="1">
      <c r="A411" s="34" t="s">
        <v>1870</v>
      </c>
      <c r="B411" s="34" t="s">
        <v>1871</v>
      </c>
      <c r="C411" s="34" t="s">
        <v>195</v>
      </c>
      <c r="D411" s="34" t="s">
        <v>196</v>
      </c>
      <c r="E411" s="34" t="s">
        <v>8</v>
      </c>
      <c r="F411" s="34" t="s">
        <v>1872</v>
      </c>
      <c r="G411" s="54">
        <v>1914859838</v>
      </c>
      <c r="H411" s="54" t="s">
        <v>229</v>
      </c>
      <c r="I411" s="54" t="s">
        <v>3514</v>
      </c>
      <c r="J411" s="34" t="s">
        <v>3421</v>
      </c>
      <c r="K411" s="50">
        <v>130000</v>
      </c>
      <c r="L411" s="43">
        <v>35090</v>
      </c>
      <c r="M411" s="44">
        <f t="shared" si="36"/>
        <v>0.26992307692307693</v>
      </c>
      <c r="N411" s="49">
        <f>ROUND(L411/Summary!$C$3*Summary!$C$2,0)</f>
        <v>108779</v>
      </c>
      <c r="O411" s="44">
        <f t="shared" si="37"/>
        <v>0.83676153846153845</v>
      </c>
      <c r="P411" s="78">
        <v>10</v>
      </c>
      <c r="Q411" s="34">
        <v>3</v>
      </c>
      <c r="R411" s="35">
        <f t="shared" si="38"/>
        <v>0.3</v>
      </c>
      <c r="S411" s="49">
        <f>ROUND(Q411/Summary!$C$3*Summary!$C$2,0)</f>
        <v>9</v>
      </c>
      <c r="T411" s="44">
        <f t="shared" si="39"/>
        <v>0.9</v>
      </c>
      <c r="U411" s="34">
        <v>0</v>
      </c>
      <c r="V411" s="34">
        <v>1</v>
      </c>
      <c r="W411" s="34">
        <v>1</v>
      </c>
      <c r="X411" s="34">
        <v>0</v>
      </c>
    </row>
    <row r="412" spans="1:24" hidden="1">
      <c r="A412" s="34" t="s">
        <v>1988</v>
      </c>
      <c r="B412" s="34" t="s">
        <v>1989</v>
      </c>
      <c r="C412" s="34" t="s">
        <v>63</v>
      </c>
      <c r="D412" s="34" t="s">
        <v>64</v>
      </c>
      <c r="E412" s="34" t="s">
        <v>8</v>
      </c>
      <c r="F412" s="34" t="s">
        <v>1990</v>
      </c>
      <c r="G412" s="54">
        <v>1827370374</v>
      </c>
      <c r="H412" s="54" t="s">
        <v>229</v>
      </c>
      <c r="I412" s="54" t="s">
        <v>3518</v>
      </c>
      <c r="J412" s="34" t="s">
        <v>3419</v>
      </c>
      <c r="K412" s="50">
        <v>300000</v>
      </c>
      <c r="L412" s="43">
        <v>40030</v>
      </c>
      <c r="M412" s="44">
        <f t="shared" si="36"/>
        <v>0.13343333333333332</v>
      </c>
      <c r="N412" s="49">
        <f>ROUND(L412/Summary!$C$3*Summary!$C$2,0)</f>
        <v>124093</v>
      </c>
      <c r="O412" s="44">
        <f t="shared" si="37"/>
        <v>0.41364333333333331</v>
      </c>
      <c r="P412" s="78">
        <v>17</v>
      </c>
      <c r="Q412" s="34">
        <v>1</v>
      </c>
      <c r="R412" s="35">
        <f t="shared" si="38"/>
        <v>5.8823529411764705E-2</v>
      </c>
      <c r="S412" s="49">
        <f>ROUND(Q412/Summary!$C$3*Summary!$C$2,0)</f>
        <v>3</v>
      </c>
      <c r="T412" s="44">
        <f t="shared" si="39"/>
        <v>0.17647058823529413</v>
      </c>
      <c r="U412" s="34">
        <v>0</v>
      </c>
      <c r="V412" s="34">
        <v>1</v>
      </c>
      <c r="W412" s="34">
        <v>0</v>
      </c>
      <c r="X412" s="34">
        <v>0</v>
      </c>
    </row>
    <row r="413" spans="1:24" hidden="1">
      <c r="A413" s="34" t="s">
        <v>1974</v>
      </c>
      <c r="B413" s="34" t="s">
        <v>1975</v>
      </c>
      <c r="C413" s="34" t="s">
        <v>63</v>
      </c>
      <c r="D413" s="34" t="s">
        <v>64</v>
      </c>
      <c r="E413" s="34" t="s">
        <v>8</v>
      </c>
      <c r="F413" s="34" t="s">
        <v>1976</v>
      </c>
      <c r="G413" s="54">
        <v>1915211111</v>
      </c>
      <c r="H413" s="54" t="s">
        <v>229</v>
      </c>
      <c r="I413" s="54" t="s">
        <v>3514</v>
      </c>
      <c r="J413" s="34" t="s">
        <v>3421</v>
      </c>
      <c r="K413" s="50">
        <v>177968</v>
      </c>
      <c r="L413" s="43">
        <v>83014</v>
      </c>
      <c r="M413" s="44">
        <f t="shared" si="36"/>
        <v>0.46645464353142135</v>
      </c>
      <c r="N413" s="49">
        <f>ROUND(L413/Summary!$C$3*Summary!$C$2,0)</f>
        <v>257343</v>
      </c>
      <c r="O413" s="44">
        <f t="shared" si="37"/>
        <v>1.446007147352333</v>
      </c>
      <c r="P413" s="78">
        <v>10</v>
      </c>
      <c r="Q413" s="34">
        <v>5</v>
      </c>
      <c r="R413" s="35">
        <f t="shared" si="38"/>
        <v>0.5</v>
      </c>
      <c r="S413" s="49">
        <f>ROUND(Q413/Summary!$C$3*Summary!$C$2,0)</f>
        <v>16</v>
      </c>
      <c r="T413" s="44">
        <f t="shared" si="39"/>
        <v>1.6</v>
      </c>
      <c r="U413" s="34">
        <v>0</v>
      </c>
      <c r="V413" s="34">
        <v>0</v>
      </c>
      <c r="W413" s="34">
        <v>0</v>
      </c>
      <c r="X413" s="34">
        <v>0</v>
      </c>
    </row>
    <row r="414" spans="1:24" hidden="1">
      <c r="A414" s="34" t="s">
        <v>1985</v>
      </c>
      <c r="B414" s="34" t="s">
        <v>1986</v>
      </c>
      <c r="C414" s="34" t="s">
        <v>63</v>
      </c>
      <c r="D414" s="34" t="s">
        <v>64</v>
      </c>
      <c r="E414" s="34" t="s">
        <v>8</v>
      </c>
      <c r="F414" s="34" t="s">
        <v>1987</v>
      </c>
      <c r="G414" s="54">
        <v>1717338844</v>
      </c>
      <c r="H414" s="54" t="s">
        <v>229</v>
      </c>
      <c r="I414" s="54" t="s">
        <v>3514</v>
      </c>
      <c r="J414" s="34" t="s">
        <v>3419</v>
      </c>
      <c r="K414" s="50">
        <v>138361</v>
      </c>
      <c r="L414" s="43">
        <v>29885</v>
      </c>
      <c r="M414" s="44">
        <f t="shared" si="36"/>
        <v>0.21599294598911542</v>
      </c>
      <c r="N414" s="49">
        <f>ROUND(L414/Summary!$C$3*Summary!$C$2,0)</f>
        <v>92644</v>
      </c>
      <c r="O414" s="44">
        <f t="shared" si="37"/>
        <v>0.66958174630134215</v>
      </c>
      <c r="P414" s="78">
        <v>10</v>
      </c>
      <c r="Q414" s="34">
        <v>0</v>
      </c>
      <c r="R414" s="35">
        <f t="shared" si="38"/>
        <v>0</v>
      </c>
      <c r="S414" s="49">
        <f>ROUND(Q414/Summary!$C$3*Summary!$C$2,0)</f>
        <v>0</v>
      </c>
      <c r="T414" s="44">
        <f t="shared" si="39"/>
        <v>0</v>
      </c>
      <c r="U414" s="34">
        <v>0</v>
      </c>
      <c r="V414" s="34">
        <v>0</v>
      </c>
      <c r="W414" s="34">
        <v>0</v>
      </c>
      <c r="X414" s="34">
        <v>0</v>
      </c>
    </row>
    <row r="415" spans="1:24" hidden="1">
      <c r="A415" s="34" t="s">
        <v>3240</v>
      </c>
      <c r="B415" s="34" t="s">
        <v>3241</v>
      </c>
      <c r="C415" s="34" t="s">
        <v>63</v>
      </c>
      <c r="D415" s="34" t="s">
        <v>64</v>
      </c>
      <c r="E415" s="34" t="s">
        <v>8</v>
      </c>
      <c r="F415" s="34" t="s">
        <v>3242</v>
      </c>
      <c r="G415" s="81">
        <v>1686645550</v>
      </c>
      <c r="H415" s="54" t="s">
        <v>229</v>
      </c>
      <c r="I415" s="54" t="s">
        <v>3514</v>
      </c>
      <c r="J415" s="34" t="s">
        <v>3419</v>
      </c>
      <c r="K415" s="50">
        <v>287719</v>
      </c>
      <c r="L415" s="43">
        <v>116357</v>
      </c>
      <c r="M415" s="44">
        <f t="shared" si="36"/>
        <v>0.4044119435977464</v>
      </c>
      <c r="N415" s="49">
        <f>ROUND(L415/Summary!$C$3*Summary!$C$2,0)</f>
        <v>360707</v>
      </c>
      <c r="O415" s="44">
        <f t="shared" si="37"/>
        <v>1.2536780678370216</v>
      </c>
      <c r="P415" s="78">
        <v>19</v>
      </c>
      <c r="Q415" s="34">
        <v>6</v>
      </c>
      <c r="R415" s="35">
        <f t="shared" si="38"/>
        <v>0.31578947368421051</v>
      </c>
      <c r="S415" s="49">
        <f>ROUND(Q415/Summary!$C$3*Summary!$C$2,0)</f>
        <v>19</v>
      </c>
      <c r="T415" s="44">
        <f t="shared" si="39"/>
        <v>1</v>
      </c>
      <c r="U415" s="34">
        <v>0</v>
      </c>
      <c r="V415" s="34">
        <v>4</v>
      </c>
      <c r="W415" s="34">
        <v>0</v>
      </c>
      <c r="X415" s="34">
        <v>0</v>
      </c>
    </row>
    <row r="416" spans="1:24" hidden="1">
      <c r="A416" s="75" t="s">
        <v>3568</v>
      </c>
      <c r="B416" s="75" t="s">
        <v>3569</v>
      </c>
      <c r="C416" s="75" t="s">
        <v>63</v>
      </c>
      <c r="D416" s="75" t="s">
        <v>64</v>
      </c>
      <c r="E416" s="75" t="s">
        <v>8</v>
      </c>
      <c r="F416" s="75" t="s">
        <v>3570</v>
      </c>
      <c r="G416" s="67">
        <v>1939365255</v>
      </c>
      <c r="H416" s="54" t="s">
        <v>229</v>
      </c>
      <c r="I416" s="54" t="s">
        <v>3514</v>
      </c>
      <c r="J416" s="34" t="s">
        <v>3421</v>
      </c>
      <c r="K416" s="50">
        <v>130000</v>
      </c>
      <c r="L416" s="43">
        <v>21710</v>
      </c>
      <c r="M416" s="44">
        <f t="shared" si="36"/>
        <v>0.16700000000000001</v>
      </c>
      <c r="N416" s="49">
        <f>ROUND(L416/Summary!$C$3*Summary!$C$2,0)</f>
        <v>67301</v>
      </c>
      <c r="O416" s="44">
        <f t="shared" si="37"/>
        <v>0.51770000000000005</v>
      </c>
      <c r="P416" s="78">
        <v>10</v>
      </c>
      <c r="Q416" s="34">
        <v>1</v>
      </c>
      <c r="R416" s="35">
        <f t="shared" si="38"/>
        <v>0.1</v>
      </c>
      <c r="S416" s="49">
        <f>ROUND(Q416/Summary!$C$3*Summary!$C$2,0)</f>
        <v>3</v>
      </c>
      <c r="T416" s="44">
        <f t="shared" si="39"/>
        <v>0.3</v>
      </c>
      <c r="U416" s="34">
        <v>0</v>
      </c>
      <c r="V416" s="34">
        <v>1</v>
      </c>
      <c r="W416" s="34">
        <v>0</v>
      </c>
      <c r="X416" s="34">
        <v>0</v>
      </c>
    </row>
    <row r="417" spans="1:24" hidden="1">
      <c r="A417" s="34" t="s">
        <v>3439</v>
      </c>
      <c r="B417" s="34" t="s">
        <v>3440</v>
      </c>
      <c r="C417" s="34" t="s">
        <v>63</v>
      </c>
      <c r="D417" s="34" t="s">
        <v>64</v>
      </c>
      <c r="E417" s="34" t="s">
        <v>8</v>
      </c>
      <c r="F417" s="34" t="s">
        <v>3441</v>
      </c>
      <c r="G417" s="54">
        <v>1922556646</v>
      </c>
      <c r="H417" s="54" t="s">
        <v>229</v>
      </c>
      <c r="I417" s="54" t="s">
        <v>3514</v>
      </c>
      <c r="J417" s="34" t="s">
        <v>3419</v>
      </c>
      <c r="K417" s="50">
        <v>240000</v>
      </c>
      <c r="L417" s="43">
        <v>99675</v>
      </c>
      <c r="M417" s="44">
        <f t="shared" si="36"/>
        <v>0.41531249999999997</v>
      </c>
      <c r="N417" s="49">
        <f>ROUND(L417/Summary!$C$3*Summary!$C$2,0)</f>
        <v>308993</v>
      </c>
      <c r="O417" s="44">
        <f t="shared" si="37"/>
        <v>1.2874708333333333</v>
      </c>
      <c r="P417" s="78">
        <v>13</v>
      </c>
      <c r="Q417" s="34">
        <v>6</v>
      </c>
      <c r="R417" s="35">
        <f t="shared" si="38"/>
        <v>0.46153846153846156</v>
      </c>
      <c r="S417" s="49">
        <f>ROUND(Q417/Summary!$C$3*Summary!$C$2,0)</f>
        <v>19</v>
      </c>
      <c r="T417" s="44">
        <f t="shared" si="39"/>
        <v>1.4615384615384615</v>
      </c>
      <c r="U417" s="34">
        <v>1</v>
      </c>
      <c r="V417" s="34">
        <v>0</v>
      </c>
      <c r="W417" s="34">
        <v>1</v>
      </c>
      <c r="X417" s="34">
        <v>0</v>
      </c>
    </row>
    <row r="418" spans="1:24" hidden="1">
      <c r="A418" s="34" t="s">
        <v>1983</v>
      </c>
      <c r="B418" s="34" t="s">
        <v>646</v>
      </c>
      <c r="C418" s="34" t="s">
        <v>63</v>
      </c>
      <c r="D418" s="34" t="s">
        <v>64</v>
      </c>
      <c r="E418" s="34" t="s">
        <v>8</v>
      </c>
      <c r="F418" s="34" t="s">
        <v>1984</v>
      </c>
      <c r="G418" s="54">
        <v>1813527287</v>
      </c>
      <c r="H418" s="54" t="s">
        <v>229</v>
      </c>
      <c r="I418" s="54" t="s">
        <v>3514</v>
      </c>
      <c r="J418" s="34" t="s">
        <v>3419</v>
      </c>
      <c r="K418" s="50">
        <v>138361</v>
      </c>
      <c r="L418" s="43">
        <v>55285</v>
      </c>
      <c r="M418" s="44">
        <f t="shared" si="36"/>
        <v>0.39957068827198416</v>
      </c>
      <c r="N418" s="49">
        <f>ROUND(L418/Summary!$C$3*Summary!$C$2,0)</f>
        <v>171384</v>
      </c>
      <c r="O418" s="44">
        <f t="shared" si="37"/>
        <v>1.2386727473782353</v>
      </c>
      <c r="P418" s="78">
        <v>10</v>
      </c>
      <c r="Q418" s="34">
        <v>2</v>
      </c>
      <c r="R418" s="35">
        <f t="shared" si="38"/>
        <v>0.2</v>
      </c>
      <c r="S418" s="49">
        <f>ROUND(Q418/Summary!$C$3*Summary!$C$2,0)</f>
        <v>6</v>
      </c>
      <c r="T418" s="44">
        <f t="shared" si="39"/>
        <v>0.6</v>
      </c>
      <c r="U418" s="34">
        <v>0</v>
      </c>
      <c r="V418" s="34">
        <v>0</v>
      </c>
      <c r="W418" s="34">
        <v>0</v>
      </c>
      <c r="X418" s="34">
        <v>0</v>
      </c>
    </row>
    <row r="419" spans="1:24" hidden="1">
      <c r="A419" s="34" t="s">
        <v>1971</v>
      </c>
      <c r="B419" s="34" t="s">
        <v>1972</v>
      </c>
      <c r="C419" s="34" t="s">
        <v>63</v>
      </c>
      <c r="D419" s="34" t="s">
        <v>64</v>
      </c>
      <c r="E419" s="34" t="s">
        <v>8</v>
      </c>
      <c r="F419" s="34" t="s">
        <v>1973</v>
      </c>
      <c r="G419" s="54">
        <v>1777347766</v>
      </c>
      <c r="H419" s="54" t="s">
        <v>229</v>
      </c>
      <c r="I419" s="54" t="s">
        <v>3518</v>
      </c>
      <c r="J419" s="34" t="s">
        <v>3420</v>
      </c>
      <c r="K419" s="50">
        <v>300000</v>
      </c>
      <c r="L419" s="43">
        <v>77060</v>
      </c>
      <c r="M419" s="44">
        <f t="shared" si="36"/>
        <v>0.25686666666666669</v>
      </c>
      <c r="N419" s="49">
        <f>ROUND(L419/Summary!$C$3*Summary!$C$2,0)</f>
        <v>238886</v>
      </c>
      <c r="O419" s="44">
        <f t="shared" si="37"/>
        <v>0.7962866666666667</v>
      </c>
      <c r="P419" s="78">
        <v>18</v>
      </c>
      <c r="Q419" s="34">
        <v>4</v>
      </c>
      <c r="R419" s="35">
        <f t="shared" si="38"/>
        <v>0.22222222222222221</v>
      </c>
      <c r="S419" s="49">
        <f>ROUND(Q419/Summary!$C$3*Summary!$C$2,0)</f>
        <v>12</v>
      </c>
      <c r="T419" s="44">
        <f t="shared" si="39"/>
        <v>0.66666666666666663</v>
      </c>
      <c r="U419" s="34">
        <v>0</v>
      </c>
      <c r="V419" s="34">
        <v>1</v>
      </c>
      <c r="W419" s="34">
        <v>0</v>
      </c>
      <c r="X419" s="34">
        <v>0</v>
      </c>
    </row>
    <row r="420" spans="1:24" hidden="1">
      <c r="A420" s="34" t="s">
        <v>1978</v>
      </c>
      <c r="B420" s="34" t="s">
        <v>1690</v>
      </c>
      <c r="C420" s="34" t="s">
        <v>157</v>
      </c>
      <c r="D420" s="34" t="s">
        <v>64</v>
      </c>
      <c r="E420" s="34" t="s">
        <v>8</v>
      </c>
      <c r="F420" s="34" t="s">
        <v>1979</v>
      </c>
      <c r="G420" s="54">
        <v>1979181919</v>
      </c>
      <c r="H420" s="54" t="s">
        <v>229</v>
      </c>
      <c r="I420" s="54" t="s">
        <v>3514</v>
      </c>
      <c r="J420" s="34" t="s">
        <v>3515</v>
      </c>
      <c r="K420" s="50">
        <v>160471</v>
      </c>
      <c r="L420" s="43">
        <v>22960</v>
      </c>
      <c r="M420" s="44">
        <f t="shared" si="36"/>
        <v>0.14307881174791706</v>
      </c>
      <c r="N420" s="49">
        <f>ROUND(L420/Summary!$C$3*Summary!$C$2,0)</f>
        <v>71176</v>
      </c>
      <c r="O420" s="44">
        <f t="shared" si="37"/>
        <v>0.44354431641854292</v>
      </c>
      <c r="P420" s="78">
        <v>10</v>
      </c>
      <c r="Q420" s="34">
        <v>1</v>
      </c>
      <c r="R420" s="35">
        <f t="shared" si="38"/>
        <v>0.1</v>
      </c>
      <c r="S420" s="49">
        <f>ROUND(Q420/Summary!$C$3*Summary!$C$2,0)</f>
        <v>3</v>
      </c>
      <c r="T420" s="44">
        <f t="shared" si="39"/>
        <v>0.3</v>
      </c>
      <c r="U420" s="34">
        <v>0</v>
      </c>
      <c r="V420" s="34">
        <v>0</v>
      </c>
      <c r="W420" s="34">
        <v>0</v>
      </c>
      <c r="X420" s="34">
        <v>0</v>
      </c>
    </row>
    <row r="421" spans="1:24" hidden="1">
      <c r="A421" s="34" t="s">
        <v>3368</v>
      </c>
      <c r="B421" s="34" t="s">
        <v>3369</v>
      </c>
      <c r="C421" s="34" t="s">
        <v>157</v>
      </c>
      <c r="D421" s="34" t="s">
        <v>64</v>
      </c>
      <c r="E421" s="34" t="s">
        <v>8</v>
      </c>
      <c r="F421" s="34" t="s">
        <v>3367</v>
      </c>
      <c r="G421" s="54">
        <v>1877681443</v>
      </c>
      <c r="H421" s="54" t="s">
        <v>229</v>
      </c>
      <c r="I421" s="54" t="s">
        <v>3514</v>
      </c>
      <c r="J421" s="34" t="s">
        <v>3419</v>
      </c>
      <c r="K421" s="50">
        <v>196385</v>
      </c>
      <c r="L421" s="43">
        <v>44080</v>
      </c>
      <c r="M421" s="44">
        <f t="shared" si="36"/>
        <v>0.22445706138452529</v>
      </c>
      <c r="N421" s="49">
        <f>ROUND(L421/Summary!$C$3*Summary!$C$2,0)</f>
        <v>136648</v>
      </c>
      <c r="O421" s="44">
        <f t="shared" si="37"/>
        <v>0.69581689029202842</v>
      </c>
      <c r="P421" s="78">
        <v>15</v>
      </c>
      <c r="Q421" s="34">
        <v>3</v>
      </c>
      <c r="R421" s="35">
        <f t="shared" si="38"/>
        <v>0.2</v>
      </c>
      <c r="S421" s="49">
        <f>ROUND(Q421/Summary!$C$3*Summary!$C$2,0)</f>
        <v>9</v>
      </c>
      <c r="T421" s="44">
        <f t="shared" si="39"/>
        <v>0.6</v>
      </c>
      <c r="U421" s="34">
        <v>0</v>
      </c>
      <c r="V421" s="34">
        <v>1</v>
      </c>
      <c r="W421" s="34">
        <v>0</v>
      </c>
      <c r="X421" s="34">
        <v>0</v>
      </c>
    </row>
    <row r="422" spans="1:24" hidden="1">
      <c r="A422" s="34" t="s">
        <v>1980</v>
      </c>
      <c r="B422" s="34" t="s">
        <v>1981</v>
      </c>
      <c r="C422" s="34" t="s">
        <v>157</v>
      </c>
      <c r="D422" s="34" t="s">
        <v>64</v>
      </c>
      <c r="E422" s="34" t="s">
        <v>8</v>
      </c>
      <c r="F422" s="34" t="s">
        <v>1982</v>
      </c>
      <c r="G422" s="54">
        <v>1911816666</v>
      </c>
      <c r="H422" s="54" t="s">
        <v>229</v>
      </c>
      <c r="I422" s="54" t="s">
        <v>3514</v>
      </c>
      <c r="J422" s="34" t="s">
        <v>3419</v>
      </c>
      <c r="K422" s="50">
        <v>146722</v>
      </c>
      <c r="L422" s="43">
        <v>61010</v>
      </c>
      <c r="M422" s="44">
        <f t="shared" si="36"/>
        <v>0.41582039503278306</v>
      </c>
      <c r="N422" s="49">
        <f>ROUND(L422/Summary!$C$3*Summary!$C$2,0)</f>
        <v>189131</v>
      </c>
      <c r="O422" s="44">
        <f t="shared" si="37"/>
        <v>1.2890432246016275</v>
      </c>
      <c r="P422" s="78">
        <v>10</v>
      </c>
      <c r="Q422" s="34">
        <v>4</v>
      </c>
      <c r="R422" s="35">
        <f t="shared" si="38"/>
        <v>0.4</v>
      </c>
      <c r="S422" s="49">
        <f>ROUND(Q422/Summary!$C$3*Summary!$C$2,0)</f>
        <v>12</v>
      </c>
      <c r="T422" s="44">
        <f t="shared" si="39"/>
        <v>1.2</v>
      </c>
      <c r="U422" s="34">
        <v>0</v>
      </c>
      <c r="V422" s="34">
        <v>2</v>
      </c>
      <c r="W422" s="34">
        <v>0</v>
      </c>
      <c r="X422" s="34">
        <v>0</v>
      </c>
    </row>
    <row r="423" spans="1:24" hidden="1">
      <c r="A423" s="34" t="s">
        <v>3243</v>
      </c>
      <c r="B423" s="34" t="s">
        <v>395</v>
      </c>
      <c r="C423" s="34" t="s">
        <v>157</v>
      </c>
      <c r="D423" s="34" t="s">
        <v>64</v>
      </c>
      <c r="E423" s="34" t="s">
        <v>8</v>
      </c>
      <c r="F423" s="34" t="s">
        <v>3244</v>
      </c>
      <c r="G423" s="54">
        <v>1718319440</v>
      </c>
      <c r="H423" s="54" t="s">
        <v>229</v>
      </c>
      <c r="I423" s="54" t="s">
        <v>3514</v>
      </c>
      <c r="J423" s="34" t="s">
        <v>3515</v>
      </c>
      <c r="K423" s="50">
        <v>138361</v>
      </c>
      <c r="L423" s="43">
        <v>41220</v>
      </c>
      <c r="M423" s="44">
        <f t="shared" si="36"/>
        <v>0.29791632035038773</v>
      </c>
      <c r="N423" s="49">
        <f>ROUND(L423/Summary!$C$3*Summary!$C$2,0)</f>
        <v>127782</v>
      </c>
      <c r="O423" s="44">
        <f t="shared" si="37"/>
        <v>0.92354059308620207</v>
      </c>
      <c r="P423" s="78">
        <v>10</v>
      </c>
      <c r="Q423" s="34">
        <v>1</v>
      </c>
      <c r="R423" s="35">
        <f t="shared" si="38"/>
        <v>0.1</v>
      </c>
      <c r="S423" s="49">
        <f>ROUND(Q423/Summary!$C$3*Summary!$C$2,0)</f>
        <v>3</v>
      </c>
      <c r="T423" s="44">
        <f t="shared" si="39"/>
        <v>0.3</v>
      </c>
      <c r="U423" s="34">
        <v>0</v>
      </c>
      <c r="V423" s="34">
        <v>1</v>
      </c>
      <c r="W423" s="34">
        <v>0</v>
      </c>
      <c r="X423" s="34">
        <v>0</v>
      </c>
    </row>
    <row r="424" spans="1:24" hidden="1">
      <c r="A424" s="34" t="s">
        <v>1994</v>
      </c>
      <c r="B424" s="34" t="s">
        <v>1995</v>
      </c>
      <c r="C424" s="34" t="s">
        <v>157</v>
      </c>
      <c r="D424" s="34" t="s">
        <v>64</v>
      </c>
      <c r="E424" s="34" t="s">
        <v>8</v>
      </c>
      <c r="F424" s="34" t="s">
        <v>1996</v>
      </c>
      <c r="G424" s="54">
        <v>1688301844</v>
      </c>
      <c r="H424" s="54" t="s">
        <v>229</v>
      </c>
      <c r="I424" s="54" t="s">
        <v>3514</v>
      </c>
      <c r="J424" s="34" t="s">
        <v>3515</v>
      </c>
      <c r="K424" s="50">
        <v>174826</v>
      </c>
      <c r="L424" s="43">
        <v>24850</v>
      </c>
      <c r="M424" s="44">
        <f t="shared" si="36"/>
        <v>0.14214132909292668</v>
      </c>
      <c r="N424" s="49">
        <f>ROUND(L424/Summary!$C$3*Summary!$C$2,0)</f>
        <v>77035</v>
      </c>
      <c r="O424" s="44">
        <f t="shared" si="37"/>
        <v>0.44063812018807269</v>
      </c>
      <c r="P424" s="78">
        <v>13</v>
      </c>
      <c r="Q424" s="34">
        <v>1</v>
      </c>
      <c r="R424" s="35">
        <f t="shared" si="38"/>
        <v>7.6923076923076927E-2</v>
      </c>
      <c r="S424" s="49">
        <f>ROUND(Q424/Summary!$C$3*Summary!$C$2,0)</f>
        <v>3</v>
      </c>
      <c r="T424" s="44">
        <f t="shared" si="39"/>
        <v>0.23076923076923078</v>
      </c>
      <c r="U424" s="34">
        <v>0</v>
      </c>
      <c r="V424" s="34">
        <v>1</v>
      </c>
      <c r="W424" s="34">
        <v>0</v>
      </c>
      <c r="X424" s="34">
        <v>0</v>
      </c>
    </row>
    <row r="425" spans="1:24" hidden="1">
      <c r="A425" s="34" t="s">
        <v>1991</v>
      </c>
      <c r="B425" s="34" t="s">
        <v>1992</v>
      </c>
      <c r="C425" s="34" t="s">
        <v>157</v>
      </c>
      <c r="D425" s="34" t="s">
        <v>64</v>
      </c>
      <c r="E425" s="34" t="s">
        <v>8</v>
      </c>
      <c r="F425" s="34" t="s">
        <v>1993</v>
      </c>
      <c r="G425" s="54">
        <v>1677226438</v>
      </c>
      <c r="H425" s="54" t="s">
        <v>229</v>
      </c>
      <c r="I425" s="54" t="s">
        <v>3514</v>
      </c>
      <c r="J425" s="34" t="s">
        <v>3419</v>
      </c>
      <c r="K425" s="50">
        <v>221364</v>
      </c>
      <c r="L425" s="43">
        <v>100790</v>
      </c>
      <c r="M425" s="44">
        <f t="shared" si="36"/>
        <v>0.45531342042969952</v>
      </c>
      <c r="N425" s="49">
        <f>ROUND(L425/Summary!$C$3*Summary!$C$2,0)</f>
        <v>312449</v>
      </c>
      <c r="O425" s="44">
        <f t="shared" si="37"/>
        <v>1.4114716033320684</v>
      </c>
      <c r="P425" s="78">
        <v>13</v>
      </c>
      <c r="Q425" s="34">
        <v>10</v>
      </c>
      <c r="R425" s="35">
        <f t="shared" si="38"/>
        <v>0.76923076923076927</v>
      </c>
      <c r="S425" s="49">
        <f>ROUND(Q425/Summary!$C$3*Summary!$C$2,0)</f>
        <v>31</v>
      </c>
      <c r="T425" s="44">
        <f t="shared" si="39"/>
        <v>2.3846153846153846</v>
      </c>
      <c r="U425" s="34">
        <v>0</v>
      </c>
      <c r="V425" s="34">
        <v>3</v>
      </c>
      <c r="W425" s="34">
        <v>0</v>
      </c>
      <c r="X425" s="34">
        <v>0</v>
      </c>
    </row>
    <row r="426" spans="1:24" hidden="1">
      <c r="A426" s="34" t="s">
        <v>2000</v>
      </c>
      <c r="B426" s="34" t="s">
        <v>2001</v>
      </c>
      <c r="C426" s="34" t="s">
        <v>125</v>
      </c>
      <c r="D426" s="34" t="s">
        <v>126</v>
      </c>
      <c r="E426" s="34" t="s">
        <v>8</v>
      </c>
      <c r="F426" s="34" t="s">
        <v>2002</v>
      </c>
      <c r="G426" s="54">
        <v>1849953588</v>
      </c>
      <c r="H426" s="54" t="s">
        <v>229</v>
      </c>
      <c r="I426" s="54" t="s">
        <v>3518</v>
      </c>
      <c r="J426" s="34" t="s">
        <v>3419</v>
      </c>
      <c r="K426" s="50">
        <v>310000</v>
      </c>
      <c r="L426" s="43">
        <v>86955</v>
      </c>
      <c r="M426" s="44">
        <f t="shared" si="36"/>
        <v>0.28050000000000003</v>
      </c>
      <c r="N426" s="49">
        <f>ROUND(L426/Summary!$C$3*Summary!$C$2,0)</f>
        <v>269561</v>
      </c>
      <c r="O426" s="44">
        <f t="shared" si="37"/>
        <v>0.8695516129032258</v>
      </c>
      <c r="P426" s="78">
        <v>29</v>
      </c>
      <c r="Q426" s="34">
        <v>7</v>
      </c>
      <c r="R426" s="35">
        <f t="shared" si="38"/>
        <v>0.2413793103448276</v>
      </c>
      <c r="S426" s="49">
        <f>ROUND(Q426/Summary!$C$3*Summary!$C$2,0)</f>
        <v>22</v>
      </c>
      <c r="T426" s="44">
        <f t="shared" si="39"/>
        <v>0.75862068965517238</v>
      </c>
      <c r="U426" s="34">
        <v>0</v>
      </c>
      <c r="V426" s="34">
        <v>1</v>
      </c>
      <c r="W426" s="34">
        <v>0</v>
      </c>
      <c r="X426" s="34">
        <v>0</v>
      </c>
    </row>
    <row r="427" spans="1:24" hidden="1">
      <c r="A427" s="34" t="s">
        <v>3154</v>
      </c>
      <c r="B427" s="34" t="s">
        <v>1402</v>
      </c>
      <c r="C427" s="34" t="s">
        <v>125</v>
      </c>
      <c r="D427" s="34" t="s">
        <v>126</v>
      </c>
      <c r="E427" s="34" t="s">
        <v>8</v>
      </c>
      <c r="F427" s="34" t="s">
        <v>3155</v>
      </c>
      <c r="G427" s="54">
        <v>1712011552</v>
      </c>
      <c r="H427" s="54" t="s">
        <v>229</v>
      </c>
      <c r="I427" s="54" t="s">
        <v>3514</v>
      </c>
      <c r="J427" s="34" t="s">
        <v>3515</v>
      </c>
      <c r="K427" s="50">
        <v>130000</v>
      </c>
      <c r="L427" s="43">
        <v>11680</v>
      </c>
      <c r="M427" s="44">
        <f t="shared" si="36"/>
        <v>8.9846153846153839E-2</v>
      </c>
      <c r="N427" s="49">
        <f>ROUND(L427/Summary!$C$3*Summary!$C$2,0)</f>
        <v>36208</v>
      </c>
      <c r="O427" s="44">
        <f t="shared" si="37"/>
        <v>0.27852307692307693</v>
      </c>
      <c r="P427" s="78">
        <v>10</v>
      </c>
      <c r="Q427" s="34">
        <v>1</v>
      </c>
      <c r="R427" s="35">
        <f t="shared" si="38"/>
        <v>0.1</v>
      </c>
      <c r="S427" s="49">
        <f>ROUND(Q427/Summary!$C$3*Summary!$C$2,0)</f>
        <v>3</v>
      </c>
      <c r="T427" s="44">
        <f t="shared" si="39"/>
        <v>0.3</v>
      </c>
      <c r="U427" s="34">
        <v>0</v>
      </c>
      <c r="V427" s="34">
        <v>1</v>
      </c>
      <c r="W427" s="34">
        <v>0</v>
      </c>
      <c r="X427" s="34">
        <v>0</v>
      </c>
    </row>
    <row r="428" spans="1:24" hidden="1">
      <c r="A428" s="34" t="s">
        <v>2003</v>
      </c>
      <c r="B428" s="34" t="s">
        <v>2004</v>
      </c>
      <c r="C428" s="34" t="s">
        <v>125</v>
      </c>
      <c r="D428" s="34" t="s">
        <v>126</v>
      </c>
      <c r="E428" s="34" t="s">
        <v>8</v>
      </c>
      <c r="F428" s="34" t="s">
        <v>2005</v>
      </c>
      <c r="G428" s="54">
        <v>1721185261</v>
      </c>
      <c r="H428" s="54" t="s">
        <v>229</v>
      </c>
      <c r="I428" s="54" t="s">
        <v>3514</v>
      </c>
      <c r="J428" s="34" t="s">
        <v>3419</v>
      </c>
      <c r="K428" s="50">
        <v>231296</v>
      </c>
      <c r="L428" s="43">
        <v>27000</v>
      </c>
      <c r="M428" s="44">
        <f t="shared" si="36"/>
        <v>0.11673353624792474</v>
      </c>
      <c r="N428" s="49">
        <f>ROUND(L428/Summary!$C$3*Summary!$C$2,0)</f>
        <v>83700</v>
      </c>
      <c r="O428" s="44">
        <f t="shared" si="37"/>
        <v>0.36187396236856667</v>
      </c>
      <c r="P428" s="78">
        <v>20</v>
      </c>
      <c r="Q428" s="34">
        <v>1</v>
      </c>
      <c r="R428" s="35">
        <f t="shared" si="38"/>
        <v>0.05</v>
      </c>
      <c r="S428" s="49">
        <f>ROUND(Q428/Summary!$C$3*Summary!$C$2,0)</f>
        <v>3</v>
      </c>
      <c r="T428" s="44">
        <f t="shared" si="39"/>
        <v>0.15</v>
      </c>
      <c r="U428" s="34">
        <v>0</v>
      </c>
      <c r="V428" s="34">
        <v>0</v>
      </c>
      <c r="W428" s="34">
        <v>1</v>
      </c>
      <c r="X428" s="34">
        <v>0</v>
      </c>
    </row>
    <row r="429" spans="1:24" hidden="1">
      <c r="A429" s="75" t="s">
        <v>3571</v>
      </c>
      <c r="B429" s="75" t="s">
        <v>3572</v>
      </c>
      <c r="C429" s="75" t="s">
        <v>125</v>
      </c>
      <c r="D429" s="75" t="s">
        <v>126</v>
      </c>
      <c r="E429" s="75" t="s">
        <v>8</v>
      </c>
      <c r="F429" s="75" t="s">
        <v>3573</v>
      </c>
      <c r="G429" s="67">
        <v>1611977444</v>
      </c>
      <c r="H429" s="54" t="s">
        <v>229</v>
      </c>
      <c r="I429" s="54" t="s">
        <v>3514</v>
      </c>
      <c r="J429" s="34" t="s">
        <v>3419</v>
      </c>
      <c r="K429" s="50">
        <v>130000</v>
      </c>
      <c r="L429" s="43">
        <v>60145</v>
      </c>
      <c r="M429" s="44">
        <f t="shared" si="36"/>
        <v>0.46265384615384614</v>
      </c>
      <c r="N429" s="49">
        <f>ROUND(L429/Summary!$C$3*Summary!$C$2,0)</f>
        <v>186450</v>
      </c>
      <c r="O429" s="44">
        <f t="shared" si="37"/>
        <v>1.4342307692307692</v>
      </c>
      <c r="P429" s="78">
        <v>10</v>
      </c>
      <c r="Q429" s="34">
        <v>6</v>
      </c>
      <c r="R429" s="35">
        <f t="shared" si="38"/>
        <v>0.6</v>
      </c>
      <c r="S429" s="49">
        <f>ROUND(Q429/Summary!$C$3*Summary!$C$2,0)</f>
        <v>19</v>
      </c>
      <c r="T429" s="44">
        <f t="shared" si="39"/>
        <v>1.9</v>
      </c>
      <c r="U429" s="34">
        <v>0</v>
      </c>
      <c r="V429" s="34">
        <v>0</v>
      </c>
      <c r="W429" s="34">
        <v>0</v>
      </c>
      <c r="X429" s="34">
        <v>0</v>
      </c>
    </row>
    <row r="430" spans="1:24" hidden="1">
      <c r="A430" s="34" t="s">
        <v>2006</v>
      </c>
      <c r="B430" s="34" t="s">
        <v>2007</v>
      </c>
      <c r="C430" s="34" t="s">
        <v>125</v>
      </c>
      <c r="D430" s="34" t="s">
        <v>126</v>
      </c>
      <c r="E430" s="34" t="s">
        <v>8</v>
      </c>
      <c r="F430" s="34" t="s">
        <v>2008</v>
      </c>
      <c r="G430" s="54">
        <v>1751408099</v>
      </c>
      <c r="H430" s="54" t="s">
        <v>229</v>
      </c>
      <c r="I430" s="54" t="s">
        <v>3514</v>
      </c>
      <c r="J430" s="34" t="s">
        <v>3421</v>
      </c>
      <c r="K430" s="50">
        <v>130000</v>
      </c>
      <c r="L430" s="43">
        <v>27259</v>
      </c>
      <c r="M430" s="44">
        <f t="shared" si="36"/>
        <v>0.20968461538461539</v>
      </c>
      <c r="N430" s="49">
        <f>ROUND(L430/Summary!$C$3*Summary!$C$2,0)</f>
        <v>84503</v>
      </c>
      <c r="O430" s="44">
        <f t="shared" si="37"/>
        <v>0.65002307692307693</v>
      </c>
      <c r="P430" s="78">
        <v>10</v>
      </c>
      <c r="Q430" s="34">
        <v>1</v>
      </c>
      <c r="R430" s="35">
        <f t="shared" si="38"/>
        <v>0.1</v>
      </c>
      <c r="S430" s="49">
        <f>ROUND(Q430/Summary!$C$3*Summary!$C$2,0)</f>
        <v>3</v>
      </c>
      <c r="T430" s="44">
        <f t="shared" si="39"/>
        <v>0.3</v>
      </c>
      <c r="U430" s="34">
        <v>0</v>
      </c>
      <c r="V430" s="34">
        <v>1</v>
      </c>
      <c r="W430" s="34">
        <v>0</v>
      </c>
      <c r="X430" s="34">
        <v>0</v>
      </c>
    </row>
    <row r="431" spans="1:24" hidden="1">
      <c r="A431" s="34" t="s">
        <v>1997</v>
      </c>
      <c r="B431" s="34" t="s">
        <v>1998</v>
      </c>
      <c r="C431" s="34" t="s">
        <v>125</v>
      </c>
      <c r="D431" s="34" t="s">
        <v>126</v>
      </c>
      <c r="E431" s="34" t="s">
        <v>8</v>
      </c>
      <c r="F431" s="34" t="s">
        <v>1999</v>
      </c>
      <c r="G431" s="54">
        <v>1712012696</v>
      </c>
      <c r="H431" s="54" t="s">
        <v>229</v>
      </c>
      <c r="I431" s="54" t="s">
        <v>3514</v>
      </c>
      <c r="J431" s="34" t="s">
        <v>3419</v>
      </c>
      <c r="K431" s="50">
        <v>130000</v>
      </c>
      <c r="L431" s="43">
        <v>41680</v>
      </c>
      <c r="M431" s="44">
        <f t="shared" si="36"/>
        <v>0.32061538461538464</v>
      </c>
      <c r="N431" s="49">
        <f>ROUND(L431/Summary!$C$3*Summary!$C$2,0)</f>
        <v>129208</v>
      </c>
      <c r="O431" s="44">
        <f t="shared" si="37"/>
        <v>0.99390769230769227</v>
      </c>
      <c r="P431" s="78">
        <v>10</v>
      </c>
      <c r="Q431" s="34">
        <v>2</v>
      </c>
      <c r="R431" s="35">
        <f t="shared" si="38"/>
        <v>0.2</v>
      </c>
      <c r="S431" s="49">
        <f>ROUND(Q431/Summary!$C$3*Summary!$C$2,0)</f>
        <v>6</v>
      </c>
      <c r="T431" s="44">
        <f t="shared" si="39"/>
        <v>0.6</v>
      </c>
      <c r="U431" s="34">
        <v>0</v>
      </c>
      <c r="V431" s="34">
        <v>0</v>
      </c>
      <c r="W431" s="34">
        <v>0</v>
      </c>
      <c r="X431" s="34">
        <v>0</v>
      </c>
    </row>
    <row r="432" spans="1:24">
      <c r="A432" s="34" t="s">
        <v>2041</v>
      </c>
      <c r="B432" s="34" t="s">
        <v>2042</v>
      </c>
      <c r="C432" s="34" t="s">
        <v>2015</v>
      </c>
      <c r="D432" s="34" t="s">
        <v>70</v>
      </c>
      <c r="E432" s="34" t="s">
        <v>8</v>
      </c>
      <c r="F432" s="34" t="s">
        <v>558</v>
      </c>
      <c r="G432" s="54">
        <v>1818411549</v>
      </c>
      <c r="H432" s="54" t="s">
        <v>229</v>
      </c>
      <c r="I432" s="54" t="s">
        <v>3514</v>
      </c>
      <c r="J432" s="34" t="s">
        <v>3421</v>
      </c>
      <c r="K432" s="50">
        <v>130000</v>
      </c>
      <c r="L432" s="43">
        <v>0</v>
      </c>
      <c r="M432" s="44">
        <f t="shared" si="36"/>
        <v>0</v>
      </c>
      <c r="N432" s="49">
        <f>ROUND(L432/Summary!$C$3*Summary!$C$2,0)</f>
        <v>0</v>
      </c>
      <c r="O432" s="44">
        <f t="shared" si="37"/>
        <v>0</v>
      </c>
      <c r="P432" s="78">
        <v>10</v>
      </c>
      <c r="Q432" s="34">
        <v>0</v>
      </c>
      <c r="R432" s="35">
        <f t="shared" si="38"/>
        <v>0</v>
      </c>
      <c r="S432" s="49">
        <f>ROUND(Q432/Summary!$C$3*Summary!$C$2,0)</f>
        <v>0</v>
      </c>
      <c r="T432" s="44">
        <f t="shared" si="39"/>
        <v>0</v>
      </c>
      <c r="U432" s="34">
        <v>0</v>
      </c>
      <c r="V432" s="34">
        <v>0</v>
      </c>
      <c r="W432" s="34">
        <v>0</v>
      </c>
      <c r="X432" s="34">
        <v>0</v>
      </c>
    </row>
    <row r="433" spans="1:24" hidden="1">
      <c r="A433" s="34" t="s">
        <v>2013</v>
      </c>
      <c r="B433" s="34" t="s">
        <v>2014</v>
      </c>
      <c r="C433" s="34" t="s">
        <v>2015</v>
      </c>
      <c r="D433" s="34" t="s">
        <v>70</v>
      </c>
      <c r="E433" s="34" t="s">
        <v>8</v>
      </c>
      <c r="F433" s="34" t="s">
        <v>2016</v>
      </c>
      <c r="G433" s="54">
        <v>1718953709</v>
      </c>
      <c r="H433" s="54" t="s">
        <v>229</v>
      </c>
      <c r="I433" s="54" t="s">
        <v>3514</v>
      </c>
      <c r="J433" s="34" t="s">
        <v>3419</v>
      </c>
      <c r="K433" s="50">
        <v>161094</v>
      </c>
      <c r="L433" s="43">
        <v>66390</v>
      </c>
      <c r="M433" s="44">
        <f t="shared" si="36"/>
        <v>0.41211963201608998</v>
      </c>
      <c r="N433" s="49">
        <f>ROUND(L433/Summary!$C$3*Summary!$C$2,0)</f>
        <v>205809</v>
      </c>
      <c r="O433" s="44">
        <f t="shared" si="37"/>
        <v>1.2775708592498789</v>
      </c>
      <c r="P433" s="78">
        <v>10</v>
      </c>
      <c r="Q433" s="34">
        <v>3</v>
      </c>
      <c r="R433" s="35">
        <f t="shared" si="38"/>
        <v>0.3</v>
      </c>
      <c r="S433" s="49">
        <f>ROUND(Q433/Summary!$C$3*Summary!$C$2,0)</f>
        <v>9</v>
      </c>
      <c r="T433" s="44">
        <f t="shared" si="39"/>
        <v>0.9</v>
      </c>
      <c r="U433" s="34">
        <v>0</v>
      </c>
      <c r="V433" s="34">
        <v>0</v>
      </c>
      <c r="W433" s="34">
        <v>0</v>
      </c>
      <c r="X433" s="34">
        <v>0</v>
      </c>
    </row>
    <row r="434" spans="1:24" hidden="1">
      <c r="A434" s="34" t="s">
        <v>2022</v>
      </c>
      <c r="B434" s="34" t="s">
        <v>2023</v>
      </c>
      <c r="C434" s="34" t="s">
        <v>2015</v>
      </c>
      <c r="D434" s="34" t="s">
        <v>70</v>
      </c>
      <c r="E434" s="34" t="s">
        <v>8</v>
      </c>
      <c r="F434" s="34" t="s">
        <v>2024</v>
      </c>
      <c r="G434" s="54">
        <v>1817065576</v>
      </c>
      <c r="H434" s="54" t="s">
        <v>229</v>
      </c>
      <c r="I434" s="54" t="s">
        <v>3514</v>
      </c>
      <c r="J434" s="34" t="s">
        <v>3419</v>
      </c>
      <c r="K434" s="50">
        <v>174829</v>
      </c>
      <c r="L434" s="43">
        <v>62298</v>
      </c>
      <c r="M434" s="44">
        <f t="shared" si="36"/>
        <v>0.35633676335161785</v>
      </c>
      <c r="N434" s="49">
        <f>ROUND(L434/Summary!$C$3*Summary!$C$2,0)</f>
        <v>193124</v>
      </c>
      <c r="O434" s="44">
        <f t="shared" si="37"/>
        <v>1.1046451103649852</v>
      </c>
      <c r="P434" s="78">
        <v>10</v>
      </c>
      <c r="Q434" s="34">
        <v>2</v>
      </c>
      <c r="R434" s="35">
        <f t="shared" si="38"/>
        <v>0.2</v>
      </c>
      <c r="S434" s="49">
        <f>ROUND(Q434/Summary!$C$3*Summary!$C$2,0)</f>
        <v>6</v>
      </c>
      <c r="T434" s="44">
        <f t="shared" si="39"/>
        <v>0.6</v>
      </c>
      <c r="U434" s="34">
        <v>0</v>
      </c>
      <c r="V434" s="34">
        <v>1</v>
      </c>
      <c r="W434" s="34">
        <v>0</v>
      </c>
      <c r="X434" s="34">
        <v>0</v>
      </c>
    </row>
    <row r="435" spans="1:24" hidden="1">
      <c r="A435" s="34" t="s">
        <v>2038</v>
      </c>
      <c r="B435" s="34" t="s">
        <v>2039</v>
      </c>
      <c r="C435" s="34" t="s">
        <v>2015</v>
      </c>
      <c r="D435" s="34" t="s">
        <v>70</v>
      </c>
      <c r="E435" s="34" t="s">
        <v>8</v>
      </c>
      <c r="F435" s="34" t="s">
        <v>2040</v>
      </c>
      <c r="G435" s="54">
        <v>1811110182</v>
      </c>
      <c r="H435" s="54" t="s">
        <v>229</v>
      </c>
      <c r="I435" s="54" t="s">
        <v>3514</v>
      </c>
      <c r="J435" s="34" t="s">
        <v>3419</v>
      </c>
      <c r="K435" s="50">
        <v>130000</v>
      </c>
      <c r="L435" s="43">
        <v>28285</v>
      </c>
      <c r="M435" s="44">
        <f t="shared" si="36"/>
        <v>0.21757692307692308</v>
      </c>
      <c r="N435" s="49">
        <f>ROUND(L435/Summary!$C$3*Summary!$C$2,0)</f>
        <v>87684</v>
      </c>
      <c r="O435" s="44">
        <f t="shared" si="37"/>
        <v>0.67449230769230772</v>
      </c>
      <c r="P435" s="78">
        <v>10</v>
      </c>
      <c r="Q435" s="34">
        <v>1</v>
      </c>
      <c r="R435" s="35">
        <f t="shared" si="38"/>
        <v>0.1</v>
      </c>
      <c r="S435" s="49">
        <f>ROUND(Q435/Summary!$C$3*Summary!$C$2,0)</f>
        <v>3</v>
      </c>
      <c r="T435" s="44">
        <f t="shared" si="39"/>
        <v>0.3</v>
      </c>
      <c r="U435" s="34">
        <v>0</v>
      </c>
      <c r="V435" s="34">
        <v>0</v>
      </c>
      <c r="W435" s="34">
        <v>0</v>
      </c>
      <c r="X435" s="34">
        <v>0</v>
      </c>
    </row>
    <row r="436" spans="1:24" hidden="1">
      <c r="A436" s="34" t="s">
        <v>2033</v>
      </c>
      <c r="B436" s="34" t="s">
        <v>217</v>
      </c>
      <c r="C436" s="34" t="s">
        <v>144</v>
      </c>
      <c r="D436" s="34" t="s">
        <v>70</v>
      </c>
      <c r="E436" s="34" t="s">
        <v>8</v>
      </c>
      <c r="F436" s="34" t="s">
        <v>2034</v>
      </c>
      <c r="G436" s="54">
        <v>1955245769</v>
      </c>
      <c r="H436" s="54" t="s">
        <v>229</v>
      </c>
      <c r="I436" s="54" t="s">
        <v>3518</v>
      </c>
      <c r="J436" s="34" t="s">
        <v>3419</v>
      </c>
      <c r="K436" s="50">
        <v>449122</v>
      </c>
      <c r="L436" s="43">
        <v>163875</v>
      </c>
      <c r="M436" s="44">
        <f t="shared" si="36"/>
        <v>0.36487858532870804</v>
      </c>
      <c r="N436" s="49">
        <f>ROUND(L436/Summary!$C$3*Summary!$C$2,0)</f>
        <v>508013</v>
      </c>
      <c r="O436" s="44">
        <f t="shared" si="37"/>
        <v>1.1311247278022454</v>
      </c>
      <c r="P436" s="78">
        <v>22</v>
      </c>
      <c r="Q436" s="34">
        <v>11</v>
      </c>
      <c r="R436" s="35">
        <f t="shared" si="38"/>
        <v>0.5</v>
      </c>
      <c r="S436" s="49">
        <f>ROUND(Q436/Summary!$C$3*Summary!$C$2,0)</f>
        <v>34</v>
      </c>
      <c r="T436" s="44">
        <f t="shared" si="39"/>
        <v>1.5454545454545454</v>
      </c>
      <c r="U436" s="34">
        <v>2</v>
      </c>
      <c r="V436" s="34">
        <v>0</v>
      </c>
      <c r="W436" s="34">
        <v>0</v>
      </c>
      <c r="X436" s="34">
        <v>1</v>
      </c>
    </row>
    <row r="437" spans="1:24" hidden="1">
      <c r="A437" s="34" t="s">
        <v>2020</v>
      </c>
      <c r="B437" s="34" t="s">
        <v>269</v>
      </c>
      <c r="C437" s="34" t="s">
        <v>144</v>
      </c>
      <c r="D437" s="34" t="s">
        <v>70</v>
      </c>
      <c r="E437" s="34" t="s">
        <v>8</v>
      </c>
      <c r="F437" s="34" t="s">
        <v>2021</v>
      </c>
      <c r="G437" s="54">
        <v>1817500416</v>
      </c>
      <c r="H437" s="54" t="s">
        <v>229</v>
      </c>
      <c r="I437" s="54" t="s">
        <v>3514</v>
      </c>
      <c r="J437" s="34" t="s">
        <v>3419</v>
      </c>
      <c r="K437" s="50">
        <v>130000</v>
      </c>
      <c r="L437" s="43">
        <v>18115</v>
      </c>
      <c r="M437" s="44">
        <f t="shared" si="36"/>
        <v>0.13934615384615384</v>
      </c>
      <c r="N437" s="49">
        <f>ROUND(L437/Summary!$C$3*Summary!$C$2,0)</f>
        <v>56157</v>
      </c>
      <c r="O437" s="44">
        <f t="shared" si="37"/>
        <v>0.43197692307692309</v>
      </c>
      <c r="P437" s="78">
        <v>10</v>
      </c>
      <c r="Q437" s="34">
        <v>0</v>
      </c>
      <c r="R437" s="35">
        <f t="shared" si="38"/>
        <v>0</v>
      </c>
      <c r="S437" s="49">
        <f>ROUND(Q437/Summary!$C$3*Summary!$C$2,0)</f>
        <v>0</v>
      </c>
      <c r="T437" s="44">
        <f t="shared" si="39"/>
        <v>0</v>
      </c>
      <c r="U437" s="34">
        <v>0</v>
      </c>
      <c r="V437" s="34">
        <v>0</v>
      </c>
      <c r="W437" s="34">
        <v>0</v>
      </c>
      <c r="X437" s="34">
        <v>0</v>
      </c>
    </row>
    <row r="438" spans="1:24" hidden="1">
      <c r="A438" s="34" t="s">
        <v>2035</v>
      </c>
      <c r="B438" s="34" t="s">
        <v>2036</v>
      </c>
      <c r="C438" s="34" t="s">
        <v>144</v>
      </c>
      <c r="D438" s="34" t="s">
        <v>70</v>
      </c>
      <c r="E438" s="34" t="s">
        <v>8</v>
      </c>
      <c r="F438" s="34" t="s">
        <v>2037</v>
      </c>
      <c r="G438" s="54">
        <v>1710688880</v>
      </c>
      <c r="H438" s="54" t="s">
        <v>229</v>
      </c>
      <c r="I438" s="54" t="s">
        <v>3514</v>
      </c>
      <c r="J438" s="34" t="s">
        <v>3419</v>
      </c>
      <c r="K438" s="50">
        <v>130000</v>
      </c>
      <c r="L438" s="43">
        <v>51959</v>
      </c>
      <c r="M438" s="44">
        <f t="shared" si="36"/>
        <v>0.39968461538461536</v>
      </c>
      <c r="N438" s="49">
        <f>ROUND(L438/Summary!$C$3*Summary!$C$2,0)</f>
        <v>161073</v>
      </c>
      <c r="O438" s="44">
        <f t="shared" si="37"/>
        <v>1.239023076923077</v>
      </c>
      <c r="P438" s="78">
        <v>10</v>
      </c>
      <c r="Q438" s="34">
        <v>3</v>
      </c>
      <c r="R438" s="35">
        <f t="shared" si="38"/>
        <v>0.3</v>
      </c>
      <c r="S438" s="49">
        <f>ROUND(Q438/Summary!$C$3*Summary!$C$2,0)</f>
        <v>9</v>
      </c>
      <c r="T438" s="44">
        <f t="shared" si="39"/>
        <v>0.9</v>
      </c>
      <c r="U438" s="34">
        <v>0</v>
      </c>
      <c r="V438" s="34">
        <v>2</v>
      </c>
      <c r="W438" s="34">
        <v>0</v>
      </c>
      <c r="X438" s="34">
        <v>0</v>
      </c>
    </row>
    <row r="439" spans="1:24" hidden="1">
      <c r="A439" s="34" t="s">
        <v>2010</v>
      </c>
      <c r="B439" s="34" t="s">
        <v>2011</v>
      </c>
      <c r="C439" s="34" t="s">
        <v>144</v>
      </c>
      <c r="D439" s="34" t="s">
        <v>70</v>
      </c>
      <c r="E439" s="34" t="s">
        <v>8</v>
      </c>
      <c r="F439" s="34" t="s">
        <v>2012</v>
      </c>
      <c r="G439" s="54">
        <v>1925994338</v>
      </c>
      <c r="H439" s="54" t="s">
        <v>229</v>
      </c>
      <c r="I439" s="54" t="s">
        <v>3518</v>
      </c>
      <c r="J439" s="34" t="s">
        <v>3420</v>
      </c>
      <c r="K439" s="50">
        <v>443583</v>
      </c>
      <c r="L439" s="43">
        <v>213325</v>
      </c>
      <c r="M439" s="44">
        <f t="shared" si="36"/>
        <v>0.48091338035948178</v>
      </c>
      <c r="N439" s="49">
        <f>ROUND(L439/Summary!$C$3*Summary!$C$2,0)</f>
        <v>661308</v>
      </c>
      <c r="O439" s="44">
        <f t="shared" si="37"/>
        <v>1.4908326062991593</v>
      </c>
      <c r="P439" s="78">
        <v>26</v>
      </c>
      <c r="Q439" s="34">
        <v>12</v>
      </c>
      <c r="R439" s="35">
        <f t="shared" si="38"/>
        <v>0.46153846153846156</v>
      </c>
      <c r="S439" s="49">
        <f>ROUND(Q439/Summary!$C$3*Summary!$C$2,0)</f>
        <v>37</v>
      </c>
      <c r="T439" s="44">
        <f t="shared" si="39"/>
        <v>1.4230769230769231</v>
      </c>
      <c r="U439" s="34">
        <v>1</v>
      </c>
      <c r="V439" s="34">
        <v>2</v>
      </c>
      <c r="W439" s="34">
        <v>0</v>
      </c>
      <c r="X439" s="34">
        <v>0</v>
      </c>
    </row>
    <row r="440" spans="1:24" hidden="1">
      <c r="A440" s="34" t="s">
        <v>2017</v>
      </c>
      <c r="B440" s="34" t="s">
        <v>2018</v>
      </c>
      <c r="C440" s="34" t="s">
        <v>144</v>
      </c>
      <c r="D440" s="34" t="s">
        <v>70</v>
      </c>
      <c r="E440" s="34" t="s">
        <v>8</v>
      </c>
      <c r="F440" s="34" t="s">
        <v>2019</v>
      </c>
      <c r="G440" s="54">
        <v>1864782194</v>
      </c>
      <c r="H440" s="54" t="s">
        <v>229</v>
      </c>
      <c r="I440" s="54" t="s">
        <v>3518</v>
      </c>
      <c r="J440" s="34" t="s">
        <v>3419</v>
      </c>
      <c r="K440" s="50">
        <v>300986</v>
      </c>
      <c r="L440" s="43">
        <v>61300</v>
      </c>
      <c r="M440" s="44">
        <f t="shared" si="36"/>
        <v>0.20366395779205676</v>
      </c>
      <c r="N440" s="49">
        <f>ROUND(L440/Summary!$C$3*Summary!$C$2,0)</f>
        <v>190030</v>
      </c>
      <c r="O440" s="44">
        <f t="shared" si="37"/>
        <v>0.63135826915537596</v>
      </c>
      <c r="P440" s="78">
        <v>12</v>
      </c>
      <c r="Q440" s="34">
        <v>3</v>
      </c>
      <c r="R440" s="35">
        <f t="shared" si="38"/>
        <v>0.25</v>
      </c>
      <c r="S440" s="49">
        <f>ROUND(Q440/Summary!$C$3*Summary!$C$2,0)</f>
        <v>9</v>
      </c>
      <c r="T440" s="44">
        <f t="shared" si="39"/>
        <v>0.75</v>
      </c>
      <c r="U440" s="34">
        <v>0</v>
      </c>
      <c r="V440" s="34">
        <v>0</v>
      </c>
      <c r="W440" s="34">
        <v>0</v>
      </c>
      <c r="X440" s="34">
        <v>0</v>
      </c>
    </row>
    <row r="441" spans="1:24" hidden="1">
      <c r="A441" s="34" t="s">
        <v>2030</v>
      </c>
      <c r="B441" s="34" t="s">
        <v>2031</v>
      </c>
      <c r="C441" s="34" t="s">
        <v>144</v>
      </c>
      <c r="D441" s="34" t="s">
        <v>70</v>
      </c>
      <c r="E441" s="34" t="s">
        <v>8</v>
      </c>
      <c r="F441" s="34" t="s">
        <v>2032</v>
      </c>
      <c r="G441" s="54">
        <v>1711119943</v>
      </c>
      <c r="H441" s="54" t="s">
        <v>229</v>
      </c>
      <c r="I441" s="54" t="s">
        <v>3514</v>
      </c>
      <c r="J441" s="34" t="s">
        <v>3419</v>
      </c>
      <c r="K441" s="50">
        <v>130000</v>
      </c>
      <c r="L441" s="43">
        <v>13620</v>
      </c>
      <c r="M441" s="44">
        <f t="shared" si="36"/>
        <v>0.10476923076923077</v>
      </c>
      <c r="N441" s="49">
        <f>ROUND(L441/Summary!$C$3*Summary!$C$2,0)</f>
        <v>42222</v>
      </c>
      <c r="O441" s="44">
        <f t="shared" si="37"/>
        <v>0.32478461538461539</v>
      </c>
      <c r="P441" s="78">
        <v>10</v>
      </c>
      <c r="Q441" s="34">
        <v>0</v>
      </c>
      <c r="R441" s="35">
        <f t="shared" si="38"/>
        <v>0</v>
      </c>
      <c r="S441" s="49">
        <f>ROUND(Q441/Summary!$C$3*Summary!$C$2,0)</f>
        <v>0</v>
      </c>
      <c r="T441" s="44">
        <f t="shared" si="39"/>
        <v>0</v>
      </c>
      <c r="U441" s="34">
        <v>0</v>
      </c>
      <c r="V441" s="34">
        <v>0</v>
      </c>
      <c r="W441" s="34">
        <v>0</v>
      </c>
      <c r="X441" s="34">
        <v>0</v>
      </c>
    </row>
    <row r="442" spans="1:24" hidden="1">
      <c r="A442" s="34" t="s">
        <v>2027</v>
      </c>
      <c r="B442" s="34" t="s">
        <v>2028</v>
      </c>
      <c r="C442" s="34" t="s">
        <v>144</v>
      </c>
      <c r="D442" s="34" t="s">
        <v>70</v>
      </c>
      <c r="E442" s="34" t="s">
        <v>8</v>
      </c>
      <c r="F442" s="34" t="s">
        <v>2029</v>
      </c>
      <c r="G442" s="54">
        <v>1718900800</v>
      </c>
      <c r="H442" s="54" t="s">
        <v>229</v>
      </c>
      <c r="I442" s="54" t="s">
        <v>3514</v>
      </c>
      <c r="J442" s="34" t="s">
        <v>3419</v>
      </c>
      <c r="K442" s="50">
        <v>130000</v>
      </c>
      <c r="L442" s="43">
        <v>16070</v>
      </c>
      <c r="M442" s="44">
        <f t="shared" si="36"/>
        <v>0.12361538461538461</v>
      </c>
      <c r="N442" s="49">
        <f>ROUND(L442/Summary!$C$3*Summary!$C$2,0)</f>
        <v>49817</v>
      </c>
      <c r="O442" s="44">
        <f t="shared" si="37"/>
        <v>0.3832076923076923</v>
      </c>
      <c r="P442" s="78">
        <v>10</v>
      </c>
      <c r="Q442" s="34">
        <v>1</v>
      </c>
      <c r="R442" s="35">
        <f t="shared" si="38"/>
        <v>0.1</v>
      </c>
      <c r="S442" s="49">
        <f>ROUND(Q442/Summary!$C$3*Summary!$C$2,0)</f>
        <v>3</v>
      </c>
      <c r="T442" s="44">
        <f t="shared" si="39"/>
        <v>0.3</v>
      </c>
      <c r="U442" s="34">
        <v>0</v>
      </c>
      <c r="V442" s="34">
        <v>0</v>
      </c>
      <c r="W442" s="34">
        <v>0</v>
      </c>
      <c r="X442" s="34">
        <v>0</v>
      </c>
    </row>
    <row r="443" spans="1:24" hidden="1">
      <c r="A443" s="34" t="s">
        <v>2025</v>
      </c>
      <c r="B443" s="34" t="s">
        <v>2026</v>
      </c>
      <c r="C443" s="34" t="s">
        <v>144</v>
      </c>
      <c r="D443" s="34" t="s">
        <v>70</v>
      </c>
      <c r="E443" s="34" t="s">
        <v>8</v>
      </c>
      <c r="F443" s="34" t="s">
        <v>1091</v>
      </c>
      <c r="G443" s="54">
        <v>1716666343</v>
      </c>
      <c r="H443" s="54" t="s">
        <v>229</v>
      </c>
      <c r="I443" s="54" t="s">
        <v>3514</v>
      </c>
      <c r="J443" s="34" t="s">
        <v>3421</v>
      </c>
      <c r="K443" s="50">
        <v>130000</v>
      </c>
      <c r="L443" s="43">
        <v>34160</v>
      </c>
      <c r="M443" s="44">
        <f t="shared" si="36"/>
        <v>0.26276923076923075</v>
      </c>
      <c r="N443" s="49">
        <f>ROUND(L443/Summary!$C$3*Summary!$C$2,0)</f>
        <v>105896</v>
      </c>
      <c r="O443" s="44">
        <f t="shared" si="37"/>
        <v>0.81458461538461535</v>
      </c>
      <c r="P443" s="78">
        <v>10</v>
      </c>
      <c r="Q443" s="34">
        <v>2</v>
      </c>
      <c r="R443" s="35">
        <f t="shared" si="38"/>
        <v>0.2</v>
      </c>
      <c r="S443" s="49">
        <f>ROUND(Q443/Summary!$C$3*Summary!$C$2,0)</f>
        <v>6</v>
      </c>
      <c r="T443" s="44">
        <f t="shared" si="39"/>
        <v>0.6</v>
      </c>
      <c r="U443" s="34">
        <v>0</v>
      </c>
      <c r="V443" s="34">
        <v>0</v>
      </c>
      <c r="W443" s="34">
        <v>0</v>
      </c>
      <c r="X443" s="34">
        <v>0</v>
      </c>
    </row>
    <row r="444" spans="1:24" hidden="1">
      <c r="A444" s="34" t="s">
        <v>1893</v>
      </c>
      <c r="B444" s="34" t="s">
        <v>1894</v>
      </c>
      <c r="C444" s="34" t="s">
        <v>159</v>
      </c>
      <c r="D444" s="34" t="s">
        <v>160</v>
      </c>
      <c r="E444" s="34" t="s">
        <v>8</v>
      </c>
      <c r="F444" s="34" t="s">
        <v>1895</v>
      </c>
      <c r="G444" s="82">
        <v>1821221216</v>
      </c>
      <c r="H444" s="54" t="s">
        <v>229</v>
      </c>
      <c r="I444" s="54" t="s">
        <v>3514</v>
      </c>
      <c r="J444" s="34" t="s">
        <v>3515</v>
      </c>
      <c r="K444" s="50">
        <v>130000</v>
      </c>
      <c r="L444" s="43">
        <v>9330</v>
      </c>
      <c r="M444" s="44">
        <f t="shared" si="36"/>
        <v>7.1769230769230766E-2</v>
      </c>
      <c r="N444" s="49">
        <f>ROUND(L444/Summary!$C$3*Summary!$C$2,0)</f>
        <v>28923</v>
      </c>
      <c r="O444" s="44">
        <f t="shared" si="37"/>
        <v>0.22248461538461539</v>
      </c>
      <c r="P444" s="78">
        <v>10</v>
      </c>
      <c r="Q444" s="34">
        <v>0</v>
      </c>
      <c r="R444" s="35">
        <f t="shared" si="38"/>
        <v>0</v>
      </c>
      <c r="S444" s="49">
        <f>ROUND(Q444/Summary!$C$3*Summary!$C$2,0)</f>
        <v>0</v>
      </c>
      <c r="T444" s="44">
        <f t="shared" si="39"/>
        <v>0</v>
      </c>
      <c r="U444" s="34">
        <v>0</v>
      </c>
      <c r="V444" s="34">
        <v>0</v>
      </c>
      <c r="W444" s="34">
        <v>0</v>
      </c>
      <c r="X444" s="34">
        <v>0</v>
      </c>
    </row>
    <row r="445" spans="1:24" hidden="1">
      <c r="A445" s="34" t="s">
        <v>1896</v>
      </c>
      <c r="B445" s="34" t="s">
        <v>1897</v>
      </c>
      <c r="C445" s="34" t="s">
        <v>159</v>
      </c>
      <c r="D445" s="34" t="s">
        <v>160</v>
      </c>
      <c r="E445" s="34" t="s">
        <v>8</v>
      </c>
      <c r="F445" s="34" t="s">
        <v>1898</v>
      </c>
      <c r="G445" s="82">
        <v>1839919133</v>
      </c>
      <c r="H445" s="54" t="s">
        <v>229</v>
      </c>
      <c r="I445" s="54" t="s">
        <v>3514</v>
      </c>
      <c r="J445" s="34" t="s">
        <v>3419</v>
      </c>
      <c r="K445" s="50">
        <v>130000</v>
      </c>
      <c r="L445" s="43">
        <v>16760</v>
      </c>
      <c r="M445" s="44">
        <f t="shared" si="36"/>
        <v>0.12892307692307692</v>
      </c>
      <c r="N445" s="49">
        <f>ROUND(L445/Summary!$C$3*Summary!$C$2,0)</f>
        <v>51956</v>
      </c>
      <c r="O445" s="44">
        <f t="shared" si="37"/>
        <v>0.39966153846153846</v>
      </c>
      <c r="P445" s="78">
        <v>10</v>
      </c>
      <c r="Q445" s="34">
        <v>0</v>
      </c>
      <c r="R445" s="35">
        <f t="shared" si="38"/>
        <v>0</v>
      </c>
      <c r="S445" s="49">
        <f>ROUND(Q445/Summary!$C$3*Summary!$C$2,0)</f>
        <v>0</v>
      </c>
      <c r="T445" s="44">
        <f t="shared" si="39"/>
        <v>0</v>
      </c>
      <c r="U445" s="34">
        <v>0</v>
      </c>
      <c r="V445" s="34">
        <v>0</v>
      </c>
      <c r="W445" s="34">
        <v>0</v>
      </c>
      <c r="X445" s="34">
        <v>0</v>
      </c>
    </row>
    <row r="446" spans="1:24" hidden="1">
      <c r="A446" s="34" t="s">
        <v>1925</v>
      </c>
      <c r="B446" s="34" t="s">
        <v>1926</v>
      </c>
      <c r="C446" s="34" t="s">
        <v>159</v>
      </c>
      <c r="D446" s="34" t="s">
        <v>160</v>
      </c>
      <c r="E446" s="34" t="s">
        <v>8</v>
      </c>
      <c r="F446" s="34" t="s">
        <v>1927</v>
      </c>
      <c r="G446" s="82">
        <v>1915331603</v>
      </c>
      <c r="H446" s="54" t="s">
        <v>229</v>
      </c>
      <c r="I446" s="54" t="s">
        <v>3514</v>
      </c>
      <c r="J446" s="34" t="s">
        <v>3419</v>
      </c>
      <c r="K446" s="50">
        <v>157505</v>
      </c>
      <c r="L446" s="43">
        <v>34449</v>
      </c>
      <c r="M446" s="44">
        <f t="shared" si="36"/>
        <v>0.21871686613123392</v>
      </c>
      <c r="N446" s="49">
        <f>ROUND(L446/Summary!$C$3*Summary!$C$2,0)</f>
        <v>106792</v>
      </c>
      <c r="O446" s="44">
        <f t="shared" si="37"/>
        <v>0.67802291990730457</v>
      </c>
      <c r="P446" s="78">
        <v>10</v>
      </c>
      <c r="Q446" s="34">
        <v>1</v>
      </c>
      <c r="R446" s="35">
        <f t="shared" si="38"/>
        <v>0.1</v>
      </c>
      <c r="S446" s="49">
        <f>ROUND(Q446/Summary!$C$3*Summary!$C$2,0)</f>
        <v>3</v>
      </c>
      <c r="T446" s="44">
        <f t="shared" si="39"/>
        <v>0.3</v>
      </c>
      <c r="U446" s="34">
        <v>2</v>
      </c>
      <c r="V446" s="34">
        <v>0</v>
      </c>
      <c r="W446" s="34">
        <v>0</v>
      </c>
      <c r="X446" s="34">
        <v>0</v>
      </c>
    </row>
    <row r="447" spans="1:24" hidden="1">
      <c r="A447" s="34" t="s">
        <v>1890</v>
      </c>
      <c r="B447" s="34" t="s">
        <v>1891</v>
      </c>
      <c r="C447" s="34" t="s">
        <v>159</v>
      </c>
      <c r="D447" s="34" t="s">
        <v>160</v>
      </c>
      <c r="E447" s="34" t="s">
        <v>8</v>
      </c>
      <c r="F447" s="34" t="s">
        <v>1892</v>
      </c>
      <c r="G447" s="82">
        <v>1977711127</v>
      </c>
      <c r="H447" s="54" t="s">
        <v>229</v>
      </c>
      <c r="I447" s="54" t="s">
        <v>3514</v>
      </c>
      <c r="J447" s="34" t="s">
        <v>3419</v>
      </c>
      <c r="K447" s="50">
        <v>215923</v>
      </c>
      <c r="L447" s="43">
        <v>30650</v>
      </c>
      <c r="M447" s="44">
        <f t="shared" si="36"/>
        <v>0.14194875024893133</v>
      </c>
      <c r="N447" s="49">
        <f>ROUND(L447/Summary!$C$3*Summary!$C$2,0)</f>
        <v>95015</v>
      </c>
      <c r="O447" s="44">
        <f t="shared" si="37"/>
        <v>0.44004112577168714</v>
      </c>
      <c r="P447" s="78">
        <v>15</v>
      </c>
      <c r="Q447" s="34">
        <v>2</v>
      </c>
      <c r="R447" s="35">
        <f t="shared" si="38"/>
        <v>0.13333333333333333</v>
      </c>
      <c r="S447" s="49">
        <f>ROUND(Q447/Summary!$C$3*Summary!$C$2,0)</f>
        <v>6</v>
      </c>
      <c r="T447" s="44">
        <f t="shared" si="39"/>
        <v>0.4</v>
      </c>
      <c r="U447" s="34">
        <v>0</v>
      </c>
      <c r="V447" s="34">
        <v>1</v>
      </c>
      <c r="W447" s="34">
        <v>0</v>
      </c>
      <c r="X447" s="34">
        <v>1</v>
      </c>
    </row>
    <row r="448" spans="1:24" hidden="1">
      <c r="A448" s="34" t="s">
        <v>1913</v>
      </c>
      <c r="B448" s="34" t="s">
        <v>1914</v>
      </c>
      <c r="C448" s="34" t="s">
        <v>159</v>
      </c>
      <c r="D448" s="34" t="s">
        <v>160</v>
      </c>
      <c r="E448" s="34" t="s">
        <v>8</v>
      </c>
      <c r="F448" s="34" t="s">
        <v>1915</v>
      </c>
      <c r="G448" s="82">
        <v>1643420650</v>
      </c>
      <c r="H448" s="54" t="s">
        <v>229</v>
      </c>
      <c r="I448" s="54" t="s">
        <v>3514</v>
      </c>
      <c r="J448" s="34" t="s">
        <v>3421</v>
      </c>
      <c r="K448" s="50">
        <v>172020</v>
      </c>
      <c r="L448" s="43">
        <v>71310</v>
      </c>
      <c r="M448" s="44">
        <f t="shared" si="36"/>
        <v>0.41454482036972445</v>
      </c>
      <c r="N448" s="49">
        <f>ROUND(L448/Summary!$C$3*Summary!$C$2,0)</f>
        <v>221061</v>
      </c>
      <c r="O448" s="44">
        <f t="shared" si="37"/>
        <v>1.2850889431461459</v>
      </c>
      <c r="P448" s="78">
        <v>12</v>
      </c>
      <c r="Q448" s="34">
        <v>7</v>
      </c>
      <c r="R448" s="35">
        <f t="shared" si="38"/>
        <v>0.58333333333333337</v>
      </c>
      <c r="S448" s="49">
        <f>ROUND(Q448/Summary!$C$3*Summary!$C$2,0)</f>
        <v>22</v>
      </c>
      <c r="T448" s="44">
        <f t="shared" si="39"/>
        <v>1.8333333333333333</v>
      </c>
      <c r="U448" s="34">
        <v>0</v>
      </c>
      <c r="V448" s="34">
        <v>5</v>
      </c>
      <c r="W448" s="34">
        <v>0</v>
      </c>
      <c r="X448" s="34">
        <v>0</v>
      </c>
    </row>
    <row r="449" spans="1:24" hidden="1">
      <c r="A449" s="34" t="s">
        <v>1910</v>
      </c>
      <c r="B449" s="34" t="s">
        <v>1911</v>
      </c>
      <c r="C449" s="34" t="s">
        <v>159</v>
      </c>
      <c r="D449" s="34" t="s">
        <v>160</v>
      </c>
      <c r="E449" s="34" t="s">
        <v>8</v>
      </c>
      <c r="F449" s="34" t="s">
        <v>1912</v>
      </c>
      <c r="G449" s="82">
        <v>1516139344</v>
      </c>
      <c r="H449" s="54" t="s">
        <v>229</v>
      </c>
      <c r="I449" s="54" t="s">
        <v>3514</v>
      </c>
      <c r="J449" s="34" t="s">
        <v>3421</v>
      </c>
      <c r="K449" s="50">
        <v>130000</v>
      </c>
      <c r="L449" s="43">
        <v>11670</v>
      </c>
      <c r="M449" s="44">
        <f t="shared" si="36"/>
        <v>8.9769230769230768E-2</v>
      </c>
      <c r="N449" s="49">
        <f>ROUND(L449/Summary!$C$3*Summary!$C$2,0)</f>
        <v>36177</v>
      </c>
      <c r="O449" s="44">
        <f t="shared" si="37"/>
        <v>0.27828461538461541</v>
      </c>
      <c r="P449" s="78">
        <v>10</v>
      </c>
      <c r="Q449" s="34">
        <v>0</v>
      </c>
      <c r="R449" s="35">
        <f t="shared" si="38"/>
        <v>0</v>
      </c>
      <c r="S449" s="49">
        <f>ROUND(Q449/Summary!$C$3*Summary!$C$2,0)</f>
        <v>0</v>
      </c>
      <c r="T449" s="44">
        <f t="shared" si="39"/>
        <v>0</v>
      </c>
      <c r="U449" s="34">
        <v>0</v>
      </c>
      <c r="V449" s="34">
        <v>0</v>
      </c>
      <c r="W449" s="34">
        <v>0</v>
      </c>
      <c r="X449" s="34">
        <v>0</v>
      </c>
    </row>
    <row r="450" spans="1:24" hidden="1">
      <c r="A450" s="34" t="s">
        <v>1902</v>
      </c>
      <c r="B450" s="34" t="s">
        <v>1903</v>
      </c>
      <c r="C450" s="34" t="s">
        <v>159</v>
      </c>
      <c r="D450" s="34" t="s">
        <v>160</v>
      </c>
      <c r="E450" s="34" t="s">
        <v>8</v>
      </c>
      <c r="F450" s="34" t="s">
        <v>1904</v>
      </c>
      <c r="G450" s="82">
        <v>1954771102</v>
      </c>
      <c r="H450" s="54" t="s">
        <v>229</v>
      </c>
      <c r="I450" s="54" t="s">
        <v>3514</v>
      </c>
      <c r="J450" s="34" t="s">
        <v>3421</v>
      </c>
      <c r="K450" s="50">
        <v>130000</v>
      </c>
      <c r="L450" s="43">
        <v>78155</v>
      </c>
      <c r="M450" s="44">
        <f t="shared" si="36"/>
        <v>0.60119230769230769</v>
      </c>
      <c r="N450" s="49">
        <f>ROUND(L450/Summary!$C$3*Summary!$C$2,0)</f>
        <v>242281</v>
      </c>
      <c r="O450" s="44">
        <f t="shared" si="37"/>
        <v>1.8636999999999999</v>
      </c>
      <c r="P450" s="78">
        <v>10</v>
      </c>
      <c r="Q450" s="34">
        <v>5</v>
      </c>
      <c r="R450" s="35">
        <f t="shared" si="38"/>
        <v>0.5</v>
      </c>
      <c r="S450" s="49">
        <f>ROUND(Q450/Summary!$C$3*Summary!$C$2,0)</f>
        <v>16</v>
      </c>
      <c r="T450" s="44">
        <f t="shared" si="39"/>
        <v>1.6</v>
      </c>
      <c r="U450" s="34">
        <v>0</v>
      </c>
      <c r="V450" s="34">
        <v>2</v>
      </c>
      <c r="W450" s="34">
        <v>0</v>
      </c>
      <c r="X450" s="34">
        <v>0</v>
      </c>
    </row>
    <row r="451" spans="1:24" hidden="1">
      <c r="A451" s="34" t="s">
        <v>1882</v>
      </c>
      <c r="B451" s="34" t="s">
        <v>210</v>
      </c>
      <c r="C451" s="34" t="s">
        <v>159</v>
      </c>
      <c r="D451" s="34" t="s">
        <v>160</v>
      </c>
      <c r="E451" s="34" t="s">
        <v>8</v>
      </c>
      <c r="F451" s="34" t="s">
        <v>876</v>
      </c>
      <c r="G451" s="82">
        <v>1755000769</v>
      </c>
      <c r="H451" s="54" t="s">
        <v>229</v>
      </c>
      <c r="I451" s="54" t="s">
        <v>3514</v>
      </c>
      <c r="J451" s="34" t="s">
        <v>3421</v>
      </c>
      <c r="K451" s="50">
        <v>173371</v>
      </c>
      <c r="L451" s="43">
        <v>41529</v>
      </c>
      <c r="M451" s="44">
        <f t="shared" si="36"/>
        <v>0.23953833109343547</v>
      </c>
      <c r="N451" s="49">
        <f>ROUND(L451/Summary!$C$3*Summary!$C$2,0)</f>
        <v>128740</v>
      </c>
      <c r="O451" s="44">
        <f t="shared" si="37"/>
        <v>0.74256940318738429</v>
      </c>
      <c r="P451" s="78">
        <v>10</v>
      </c>
      <c r="Q451" s="34">
        <v>2</v>
      </c>
      <c r="R451" s="35">
        <f t="shared" si="38"/>
        <v>0.2</v>
      </c>
      <c r="S451" s="49">
        <f>ROUND(Q451/Summary!$C$3*Summary!$C$2,0)</f>
        <v>6</v>
      </c>
      <c r="T451" s="44">
        <f t="shared" si="39"/>
        <v>0.6</v>
      </c>
      <c r="U451" s="34">
        <v>0</v>
      </c>
      <c r="V451" s="34">
        <v>1</v>
      </c>
      <c r="W451" s="34">
        <v>0</v>
      </c>
      <c r="X451" s="34">
        <v>0</v>
      </c>
    </row>
    <row r="452" spans="1:24" hidden="1">
      <c r="A452" s="34" t="s">
        <v>1928</v>
      </c>
      <c r="B452" s="34" t="s">
        <v>1929</v>
      </c>
      <c r="C452" s="34" t="s">
        <v>159</v>
      </c>
      <c r="D452" s="34" t="s">
        <v>160</v>
      </c>
      <c r="E452" s="34" t="s">
        <v>8</v>
      </c>
      <c r="F452" s="34" t="s">
        <v>1930</v>
      </c>
      <c r="G452" s="82">
        <v>1879965392</v>
      </c>
      <c r="H452" s="54" t="s">
        <v>229</v>
      </c>
      <c r="I452" s="54" t="s">
        <v>3514</v>
      </c>
      <c r="J452" s="34" t="s">
        <v>3421</v>
      </c>
      <c r="K452" s="50">
        <v>130000</v>
      </c>
      <c r="L452" s="43">
        <v>42969</v>
      </c>
      <c r="M452" s="44">
        <f t="shared" si="36"/>
        <v>0.33053076923076924</v>
      </c>
      <c r="N452" s="49">
        <f>ROUND(L452/Summary!$C$3*Summary!$C$2,0)</f>
        <v>133204</v>
      </c>
      <c r="O452" s="44">
        <f t="shared" si="37"/>
        <v>1.0246461538461538</v>
      </c>
      <c r="P452" s="78">
        <v>10</v>
      </c>
      <c r="Q452" s="34">
        <v>2</v>
      </c>
      <c r="R452" s="35">
        <f t="shared" si="38"/>
        <v>0.2</v>
      </c>
      <c r="S452" s="49">
        <f>ROUND(Q452/Summary!$C$3*Summary!$C$2,0)</f>
        <v>6</v>
      </c>
      <c r="T452" s="44">
        <f t="shared" si="39"/>
        <v>0.6</v>
      </c>
      <c r="U452" s="34">
        <v>0</v>
      </c>
      <c r="V452" s="34">
        <v>0</v>
      </c>
      <c r="W452" s="34">
        <v>0</v>
      </c>
      <c r="X452" s="34">
        <v>0</v>
      </c>
    </row>
    <row r="453" spans="1:24" hidden="1">
      <c r="A453" s="34" t="s">
        <v>1883</v>
      </c>
      <c r="B453" s="34" t="s">
        <v>1884</v>
      </c>
      <c r="C453" s="34" t="s">
        <v>159</v>
      </c>
      <c r="D453" s="34" t="s">
        <v>160</v>
      </c>
      <c r="E453" s="34" t="s">
        <v>8</v>
      </c>
      <c r="F453" s="34" t="s">
        <v>1885</v>
      </c>
      <c r="G453" s="82">
        <v>1715223232</v>
      </c>
      <c r="H453" s="54" t="s">
        <v>229</v>
      </c>
      <c r="I453" s="54" t="s">
        <v>3522</v>
      </c>
      <c r="J453" s="34" t="s">
        <v>3419</v>
      </c>
      <c r="K453" s="50">
        <v>582265</v>
      </c>
      <c r="L453" s="43">
        <v>242784</v>
      </c>
      <c r="M453" s="44">
        <f t="shared" si="36"/>
        <v>0.41696478407597914</v>
      </c>
      <c r="N453" s="49">
        <f>ROUND(L453/Summary!$C$3*Summary!$C$2,0)</f>
        <v>752630</v>
      </c>
      <c r="O453" s="44">
        <f t="shared" si="37"/>
        <v>1.2925901436631086</v>
      </c>
      <c r="P453" s="78">
        <v>35</v>
      </c>
      <c r="Q453" s="34">
        <v>15</v>
      </c>
      <c r="R453" s="35">
        <f t="shared" si="38"/>
        <v>0.42857142857142855</v>
      </c>
      <c r="S453" s="49">
        <f>ROUND(Q453/Summary!$C$3*Summary!$C$2,0)</f>
        <v>47</v>
      </c>
      <c r="T453" s="44">
        <f t="shared" si="39"/>
        <v>1.3428571428571427</v>
      </c>
      <c r="U453" s="34">
        <v>0</v>
      </c>
      <c r="V453" s="34">
        <v>8</v>
      </c>
      <c r="W453" s="34">
        <v>0</v>
      </c>
      <c r="X453" s="34">
        <v>1</v>
      </c>
    </row>
    <row r="454" spans="1:24" hidden="1">
      <c r="A454" s="34" t="s">
        <v>1886</v>
      </c>
      <c r="B454" s="34" t="s">
        <v>1887</v>
      </c>
      <c r="C454" s="34" t="s">
        <v>159</v>
      </c>
      <c r="D454" s="34" t="s">
        <v>160</v>
      </c>
      <c r="E454" s="34" t="s">
        <v>8</v>
      </c>
      <c r="F454" s="34" t="s">
        <v>1888</v>
      </c>
      <c r="G454" s="82" t="s">
        <v>1889</v>
      </c>
      <c r="H454" s="54" t="s">
        <v>229</v>
      </c>
      <c r="I454" s="54" t="s">
        <v>3514</v>
      </c>
      <c r="J454" s="34" t="s">
        <v>3421</v>
      </c>
      <c r="K454" s="50">
        <v>180000</v>
      </c>
      <c r="L454" s="43">
        <v>38450</v>
      </c>
      <c r="M454" s="44">
        <f t="shared" si="36"/>
        <v>0.21361111111111111</v>
      </c>
      <c r="N454" s="49">
        <f>ROUND(L454/Summary!$C$3*Summary!$C$2,0)</f>
        <v>119195</v>
      </c>
      <c r="O454" s="44">
        <f t="shared" si="37"/>
        <v>0.66219444444444442</v>
      </c>
      <c r="P454" s="78">
        <v>12</v>
      </c>
      <c r="Q454" s="34">
        <v>4</v>
      </c>
      <c r="R454" s="35">
        <f t="shared" si="38"/>
        <v>0.33333333333333331</v>
      </c>
      <c r="S454" s="49">
        <f>ROUND(Q454/Summary!$C$3*Summary!$C$2,0)</f>
        <v>12</v>
      </c>
      <c r="T454" s="44">
        <f t="shared" si="39"/>
        <v>1</v>
      </c>
      <c r="U454" s="34">
        <v>0</v>
      </c>
      <c r="V454" s="34">
        <v>1</v>
      </c>
      <c r="W454" s="34">
        <v>0</v>
      </c>
      <c r="X454" s="34">
        <v>1</v>
      </c>
    </row>
    <row r="455" spans="1:24" hidden="1">
      <c r="A455" s="34" t="s">
        <v>1899</v>
      </c>
      <c r="B455" s="34" t="s">
        <v>88</v>
      </c>
      <c r="C455" s="34" t="s">
        <v>159</v>
      </c>
      <c r="D455" s="34" t="s">
        <v>160</v>
      </c>
      <c r="E455" s="34" t="s">
        <v>8</v>
      </c>
      <c r="F455" s="34" t="s">
        <v>1900</v>
      </c>
      <c r="G455" s="82" t="s">
        <v>1901</v>
      </c>
      <c r="H455" s="54" t="s">
        <v>229</v>
      </c>
      <c r="I455" s="54" t="s">
        <v>3514</v>
      </c>
      <c r="J455" s="34" t="s">
        <v>3421</v>
      </c>
      <c r="K455" s="50">
        <v>263772</v>
      </c>
      <c r="L455" s="43">
        <v>54920</v>
      </c>
      <c r="M455" s="44">
        <f t="shared" si="36"/>
        <v>0.20821012086195653</v>
      </c>
      <c r="N455" s="49">
        <f>ROUND(L455/Summary!$C$3*Summary!$C$2,0)</f>
        <v>170252</v>
      </c>
      <c r="O455" s="44">
        <f t="shared" si="37"/>
        <v>0.64545137467206526</v>
      </c>
      <c r="P455" s="78">
        <v>20</v>
      </c>
      <c r="Q455" s="34">
        <v>5</v>
      </c>
      <c r="R455" s="35">
        <f t="shared" si="38"/>
        <v>0.25</v>
      </c>
      <c r="S455" s="49">
        <f>ROUND(Q455/Summary!$C$3*Summary!$C$2,0)</f>
        <v>16</v>
      </c>
      <c r="T455" s="44">
        <f t="shared" si="39"/>
        <v>0.8</v>
      </c>
      <c r="U455" s="34">
        <v>1</v>
      </c>
      <c r="V455" s="34">
        <v>1</v>
      </c>
      <c r="W455" s="34">
        <v>0</v>
      </c>
      <c r="X455" s="34">
        <v>1</v>
      </c>
    </row>
    <row r="456" spans="1:24" hidden="1">
      <c r="A456" s="34" t="s">
        <v>1908</v>
      </c>
      <c r="B456" s="34" t="s">
        <v>432</v>
      </c>
      <c r="C456" s="34" t="s">
        <v>159</v>
      </c>
      <c r="D456" s="34" t="s">
        <v>160</v>
      </c>
      <c r="E456" s="34" t="s">
        <v>8</v>
      </c>
      <c r="F456" s="34" t="s">
        <v>1909</v>
      </c>
      <c r="G456" s="82">
        <v>1916867700</v>
      </c>
      <c r="H456" s="54" t="s">
        <v>229</v>
      </c>
      <c r="I456" s="54" t="s">
        <v>3518</v>
      </c>
      <c r="J456" s="34" t="s">
        <v>3419</v>
      </c>
      <c r="K456" s="50">
        <v>301921</v>
      </c>
      <c r="L456" s="43">
        <v>68200</v>
      </c>
      <c r="M456" s="44">
        <f t="shared" si="36"/>
        <v>0.22588690419016896</v>
      </c>
      <c r="N456" s="49">
        <f>ROUND(L456/Summary!$C$3*Summary!$C$2,0)</f>
        <v>211420</v>
      </c>
      <c r="O456" s="44">
        <f t="shared" si="37"/>
        <v>0.70024940298952376</v>
      </c>
      <c r="P456" s="78">
        <v>24</v>
      </c>
      <c r="Q456" s="34">
        <v>5</v>
      </c>
      <c r="R456" s="35">
        <f t="shared" si="38"/>
        <v>0.20833333333333334</v>
      </c>
      <c r="S456" s="49">
        <f>ROUND(Q456/Summary!$C$3*Summary!$C$2,0)</f>
        <v>16</v>
      </c>
      <c r="T456" s="44">
        <f t="shared" si="39"/>
        <v>0.66666666666666663</v>
      </c>
      <c r="U456" s="34">
        <v>1</v>
      </c>
      <c r="V456" s="34">
        <v>2</v>
      </c>
      <c r="W456" s="34">
        <v>0</v>
      </c>
      <c r="X456" s="34">
        <v>0</v>
      </c>
    </row>
    <row r="457" spans="1:24" hidden="1">
      <c r="A457" s="34" t="s">
        <v>1919</v>
      </c>
      <c r="B457" s="34" t="s">
        <v>1920</v>
      </c>
      <c r="C457" s="34" t="s">
        <v>159</v>
      </c>
      <c r="D457" s="34" t="s">
        <v>160</v>
      </c>
      <c r="E457" s="34" t="s">
        <v>8</v>
      </c>
      <c r="F457" s="34" t="s">
        <v>1921</v>
      </c>
      <c r="G457" s="82">
        <v>1834178964</v>
      </c>
      <c r="H457" s="54" t="s">
        <v>229</v>
      </c>
      <c r="I457" s="54" t="s">
        <v>3514</v>
      </c>
      <c r="J457" s="34" t="s">
        <v>3421</v>
      </c>
      <c r="K457" s="50">
        <v>130000</v>
      </c>
      <c r="L457" s="43">
        <v>10530</v>
      </c>
      <c r="M457" s="44">
        <f t="shared" ref="M457:M520" si="40">L457/K457</f>
        <v>8.1000000000000003E-2</v>
      </c>
      <c r="N457" s="49">
        <f>ROUND(L457/Summary!$C$3*Summary!$C$2,0)</f>
        <v>32643</v>
      </c>
      <c r="O457" s="44">
        <f t="shared" ref="O457:O520" si="41">N457/K457</f>
        <v>0.25109999999999999</v>
      </c>
      <c r="P457" s="78">
        <v>10</v>
      </c>
      <c r="Q457" s="34">
        <v>0</v>
      </c>
      <c r="R457" s="35">
        <f t="shared" ref="R457:R520" si="42">Q457/P457</f>
        <v>0</v>
      </c>
      <c r="S457" s="49">
        <f>ROUND(Q457/Summary!$C$3*Summary!$C$2,0)</f>
        <v>0</v>
      </c>
      <c r="T457" s="44">
        <f t="shared" ref="T457:T520" si="43">S457/P457</f>
        <v>0</v>
      </c>
      <c r="U457" s="34">
        <v>1</v>
      </c>
      <c r="V457" s="34">
        <v>0</v>
      </c>
      <c r="W457" s="34">
        <v>0</v>
      </c>
      <c r="X457" s="34">
        <v>0</v>
      </c>
    </row>
    <row r="458" spans="1:24" hidden="1">
      <c r="A458" s="34" t="s">
        <v>1905</v>
      </c>
      <c r="B458" s="34" t="s">
        <v>1906</v>
      </c>
      <c r="C458" s="34" t="s">
        <v>159</v>
      </c>
      <c r="D458" s="34" t="s">
        <v>160</v>
      </c>
      <c r="E458" s="34" t="s">
        <v>8</v>
      </c>
      <c r="F458" s="34" t="s">
        <v>1907</v>
      </c>
      <c r="G458" s="82">
        <v>1671466916</v>
      </c>
      <c r="H458" s="54" t="s">
        <v>229</v>
      </c>
      <c r="I458" s="54" t="s">
        <v>3514</v>
      </c>
      <c r="J458" s="34" t="s">
        <v>3515</v>
      </c>
      <c r="K458" s="50">
        <v>243434</v>
      </c>
      <c r="L458" s="43">
        <v>19070</v>
      </c>
      <c r="M458" s="44">
        <f t="shared" si="40"/>
        <v>7.83374549159115E-2</v>
      </c>
      <c r="N458" s="49">
        <f>ROUND(L458/Summary!$C$3*Summary!$C$2,0)</f>
        <v>59117</v>
      </c>
      <c r="O458" s="44">
        <f t="shared" si="41"/>
        <v>0.24284611023932565</v>
      </c>
      <c r="P458" s="78">
        <v>19</v>
      </c>
      <c r="Q458" s="34">
        <v>2</v>
      </c>
      <c r="R458" s="35">
        <f t="shared" si="42"/>
        <v>0.10526315789473684</v>
      </c>
      <c r="S458" s="49">
        <f>ROUND(Q458/Summary!$C$3*Summary!$C$2,0)</f>
        <v>6</v>
      </c>
      <c r="T458" s="44">
        <f t="shared" si="43"/>
        <v>0.31578947368421051</v>
      </c>
      <c r="U458" s="34">
        <v>0</v>
      </c>
      <c r="V458" s="34">
        <v>2</v>
      </c>
      <c r="W458" s="34">
        <v>0</v>
      </c>
      <c r="X458" s="34">
        <v>0</v>
      </c>
    </row>
    <row r="459" spans="1:24" hidden="1">
      <c r="A459" s="34" t="s">
        <v>1916</v>
      </c>
      <c r="B459" s="34" t="s">
        <v>1917</v>
      </c>
      <c r="C459" s="34" t="s">
        <v>159</v>
      </c>
      <c r="D459" s="34" t="s">
        <v>160</v>
      </c>
      <c r="E459" s="34" t="s">
        <v>8</v>
      </c>
      <c r="F459" s="34" t="s">
        <v>1918</v>
      </c>
      <c r="G459" s="82">
        <v>1621977129</v>
      </c>
      <c r="H459" s="54" t="s">
        <v>229</v>
      </c>
      <c r="I459" s="54" t="s">
        <v>3514</v>
      </c>
      <c r="J459" s="34" t="s">
        <v>3421</v>
      </c>
      <c r="K459" s="50">
        <v>180000</v>
      </c>
      <c r="L459" s="43">
        <v>15470</v>
      </c>
      <c r="M459" s="44">
        <f t="shared" si="40"/>
        <v>8.5944444444444448E-2</v>
      </c>
      <c r="N459" s="49">
        <f>ROUND(L459/Summary!$C$3*Summary!$C$2,0)</f>
        <v>47957</v>
      </c>
      <c r="O459" s="44">
        <f t="shared" si="41"/>
        <v>0.26642777777777776</v>
      </c>
      <c r="P459" s="78">
        <v>15</v>
      </c>
      <c r="Q459" s="34">
        <v>1</v>
      </c>
      <c r="R459" s="35">
        <f t="shared" si="42"/>
        <v>6.6666666666666666E-2</v>
      </c>
      <c r="S459" s="49">
        <f>ROUND(Q459/Summary!$C$3*Summary!$C$2,0)</f>
        <v>3</v>
      </c>
      <c r="T459" s="44">
        <f t="shared" si="43"/>
        <v>0.2</v>
      </c>
      <c r="U459" s="34">
        <v>0</v>
      </c>
      <c r="V459" s="34">
        <v>1</v>
      </c>
      <c r="W459" s="34">
        <v>0</v>
      </c>
      <c r="X459" s="34">
        <v>0</v>
      </c>
    </row>
    <row r="460" spans="1:24" hidden="1">
      <c r="A460" s="34" t="s">
        <v>1922</v>
      </c>
      <c r="B460" s="34" t="s">
        <v>1923</v>
      </c>
      <c r="C460" s="34" t="s">
        <v>159</v>
      </c>
      <c r="D460" s="34" t="s">
        <v>160</v>
      </c>
      <c r="E460" s="34" t="s">
        <v>8</v>
      </c>
      <c r="F460" s="34" t="s">
        <v>1924</v>
      </c>
      <c r="G460" s="82">
        <v>1840181814</v>
      </c>
      <c r="H460" s="54" t="s">
        <v>229</v>
      </c>
      <c r="I460" s="54" t="s">
        <v>3514</v>
      </c>
      <c r="J460" s="34" t="s">
        <v>3419</v>
      </c>
      <c r="K460" s="50">
        <v>225310</v>
      </c>
      <c r="L460" s="43">
        <v>84729</v>
      </c>
      <c r="M460" s="44">
        <f t="shared" si="40"/>
        <v>0.37605521281789533</v>
      </c>
      <c r="N460" s="49">
        <f>ROUND(L460/Summary!$C$3*Summary!$C$2,0)</f>
        <v>262660</v>
      </c>
      <c r="O460" s="44">
        <f t="shared" si="41"/>
        <v>1.1657716035684169</v>
      </c>
      <c r="P460" s="78">
        <v>15</v>
      </c>
      <c r="Q460" s="34">
        <v>7</v>
      </c>
      <c r="R460" s="35">
        <f t="shared" si="42"/>
        <v>0.46666666666666667</v>
      </c>
      <c r="S460" s="49">
        <f>ROUND(Q460/Summary!$C$3*Summary!$C$2,0)</f>
        <v>22</v>
      </c>
      <c r="T460" s="44">
        <f t="shared" si="43"/>
        <v>1.4666666666666666</v>
      </c>
      <c r="U460" s="34">
        <v>0</v>
      </c>
      <c r="V460" s="34">
        <v>1</v>
      </c>
      <c r="W460" s="34">
        <v>0</v>
      </c>
      <c r="X460" s="34">
        <v>1</v>
      </c>
    </row>
    <row r="461" spans="1:24" hidden="1">
      <c r="A461" s="34" t="s">
        <v>1933</v>
      </c>
      <c r="B461" s="34" t="s">
        <v>1934</v>
      </c>
      <c r="C461" s="34" t="s">
        <v>2915</v>
      </c>
      <c r="D461" s="34" t="s">
        <v>160</v>
      </c>
      <c r="E461" s="34" t="s">
        <v>8</v>
      </c>
      <c r="F461" s="34" t="s">
        <v>1935</v>
      </c>
      <c r="G461" s="82" t="s">
        <v>1936</v>
      </c>
      <c r="H461" s="54" t="s">
        <v>229</v>
      </c>
      <c r="I461" s="54" t="s">
        <v>3514</v>
      </c>
      <c r="J461" s="34" t="s">
        <v>3421</v>
      </c>
      <c r="K461" s="50">
        <v>219946</v>
      </c>
      <c r="L461" s="43">
        <v>81520</v>
      </c>
      <c r="M461" s="44">
        <f t="shared" si="40"/>
        <v>0.37063642894164933</v>
      </c>
      <c r="N461" s="49">
        <f>ROUND(L461/Summary!$C$3*Summary!$C$2,0)</f>
        <v>252712</v>
      </c>
      <c r="O461" s="44">
        <f t="shared" si="41"/>
        <v>1.1489729297191129</v>
      </c>
      <c r="P461" s="78">
        <v>12</v>
      </c>
      <c r="Q461" s="34">
        <v>6</v>
      </c>
      <c r="R461" s="35">
        <f t="shared" si="42"/>
        <v>0.5</v>
      </c>
      <c r="S461" s="49">
        <f>ROUND(Q461/Summary!$C$3*Summary!$C$2,0)</f>
        <v>19</v>
      </c>
      <c r="T461" s="44">
        <f t="shared" si="43"/>
        <v>1.5833333333333333</v>
      </c>
      <c r="U461" s="34">
        <v>0</v>
      </c>
      <c r="V461" s="34">
        <v>2</v>
      </c>
      <c r="W461" s="34">
        <v>0</v>
      </c>
      <c r="X461" s="34">
        <v>0</v>
      </c>
    </row>
    <row r="462" spans="1:24" hidden="1">
      <c r="A462" s="34" t="s">
        <v>1931</v>
      </c>
      <c r="B462" s="34" t="s">
        <v>1932</v>
      </c>
      <c r="C462" s="34" t="s">
        <v>2915</v>
      </c>
      <c r="D462" s="34" t="s">
        <v>160</v>
      </c>
      <c r="E462" s="34" t="s">
        <v>8</v>
      </c>
      <c r="F462" s="34" t="s">
        <v>1881</v>
      </c>
      <c r="G462" s="82">
        <v>1774937614</v>
      </c>
      <c r="H462" s="54" t="s">
        <v>229</v>
      </c>
      <c r="I462" s="54" t="s">
        <v>3514</v>
      </c>
      <c r="J462" s="34" t="s">
        <v>3421</v>
      </c>
      <c r="K462" s="50">
        <v>130000</v>
      </c>
      <c r="L462" s="43">
        <v>13765</v>
      </c>
      <c r="M462" s="44">
        <f t="shared" si="40"/>
        <v>0.10588461538461538</v>
      </c>
      <c r="N462" s="49">
        <f>ROUND(L462/Summary!$C$3*Summary!$C$2,0)</f>
        <v>42672</v>
      </c>
      <c r="O462" s="44">
        <f t="shared" si="41"/>
        <v>0.32824615384615385</v>
      </c>
      <c r="P462" s="78">
        <v>10</v>
      </c>
      <c r="Q462" s="34">
        <v>2</v>
      </c>
      <c r="R462" s="35">
        <f t="shared" si="42"/>
        <v>0.2</v>
      </c>
      <c r="S462" s="49">
        <f>ROUND(Q462/Summary!$C$3*Summary!$C$2,0)</f>
        <v>6</v>
      </c>
      <c r="T462" s="44">
        <f t="shared" si="43"/>
        <v>0.6</v>
      </c>
      <c r="U462" s="34">
        <v>0</v>
      </c>
      <c r="V462" s="34">
        <v>0</v>
      </c>
      <c r="W462" s="34">
        <v>0</v>
      </c>
      <c r="X462" s="34">
        <v>0</v>
      </c>
    </row>
    <row r="463" spans="1:24" hidden="1">
      <c r="A463" s="34" t="s">
        <v>1953</v>
      </c>
      <c r="B463" s="34" t="s">
        <v>1954</v>
      </c>
      <c r="C463" s="34" t="s">
        <v>2915</v>
      </c>
      <c r="D463" s="34" t="s">
        <v>160</v>
      </c>
      <c r="E463" s="34" t="s">
        <v>8</v>
      </c>
      <c r="F463" s="34" t="s">
        <v>1955</v>
      </c>
      <c r="G463" s="82">
        <v>1742200226</v>
      </c>
      <c r="H463" s="54" t="s">
        <v>229</v>
      </c>
      <c r="I463" s="54" t="s">
        <v>3514</v>
      </c>
      <c r="J463" s="34" t="s">
        <v>3419</v>
      </c>
      <c r="K463" s="50">
        <v>281373</v>
      </c>
      <c r="L463" s="43">
        <v>110844</v>
      </c>
      <c r="M463" s="44">
        <f t="shared" si="40"/>
        <v>0.39393971703041869</v>
      </c>
      <c r="N463" s="49">
        <f>ROUND(L463/Summary!$C$3*Summary!$C$2,0)</f>
        <v>343616</v>
      </c>
      <c r="O463" s="44">
        <f t="shared" si="41"/>
        <v>1.2212117011937891</v>
      </c>
      <c r="P463" s="78">
        <v>15</v>
      </c>
      <c r="Q463" s="34">
        <v>5</v>
      </c>
      <c r="R463" s="35">
        <f t="shared" si="42"/>
        <v>0.33333333333333331</v>
      </c>
      <c r="S463" s="49">
        <f>ROUND(Q463/Summary!$C$3*Summary!$C$2,0)</f>
        <v>16</v>
      </c>
      <c r="T463" s="44">
        <f t="shared" si="43"/>
        <v>1.0666666666666667</v>
      </c>
      <c r="U463" s="34">
        <v>0</v>
      </c>
      <c r="V463" s="34">
        <v>1</v>
      </c>
      <c r="W463" s="34">
        <v>0</v>
      </c>
      <c r="X463" s="34">
        <v>0</v>
      </c>
    </row>
    <row r="464" spans="1:24" hidden="1">
      <c r="A464" s="34" t="s">
        <v>1938</v>
      </c>
      <c r="B464" s="34" t="s">
        <v>557</v>
      </c>
      <c r="C464" s="34" t="s">
        <v>2915</v>
      </c>
      <c r="D464" s="34" t="s">
        <v>160</v>
      </c>
      <c r="E464" s="34" t="s">
        <v>8</v>
      </c>
      <c r="F464" s="34" t="s">
        <v>1939</v>
      </c>
      <c r="G464" s="82">
        <v>1842808041</v>
      </c>
      <c r="H464" s="54" t="s">
        <v>229</v>
      </c>
      <c r="I464" s="54" t="s">
        <v>3514</v>
      </c>
      <c r="J464" s="34" t="s">
        <v>3419</v>
      </c>
      <c r="K464" s="50">
        <v>195666</v>
      </c>
      <c r="L464" s="43">
        <v>70449</v>
      </c>
      <c r="M464" s="44">
        <f t="shared" si="40"/>
        <v>0.36004722332955136</v>
      </c>
      <c r="N464" s="49">
        <f>ROUND(L464/Summary!$C$3*Summary!$C$2,0)</f>
        <v>218392</v>
      </c>
      <c r="O464" s="44">
        <f t="shared" si="41"/>
        <v>1.1161469033966045</v>
      </c>
      <c r="P464" s="78">
        <v>12</v>
      </c>
      <c r="Q464" s="34">
        <v>5</v>
      </c>
      <c r="R464" s="35">
        <f t="shared" si="42"/>
        <v>0.41666666666666669</v>
      </c>
      <c r="S464" s="49">
        <f>ROUND(Q464/Summary!$C$3*Summary!$C$2,0)</f>
        <v>16</v>
      </c>
      <c r="T464" s="44">
        <f t="shared" si="43"/>
        <v>1.3333333333333333</v>
      </c>
      <c r="U464" s="34">
        <v>0</v>
      </c>
      <c r="V464" s="34">
        <v>2</v>
      </c>
      <c r="W464" s="34">
        <v>0</v>
      </c>
      <c r="X464" s="34">
        <v>0</v>
      </c>
    </row>
    <row r="465" spans="1:24" hidden="1">
      <c r="A465" s="34" t="s">
        <v>1943</v>
      </c>
      <c r="B465" s="34" t="s">
        <v>1944</v>
      </c>
      <c r="C465" s="34" t="s">
        <v>2915</v>
      </c>
      <c r="D465" s="34" t="s">
        <v>160</v>
      </c>
      <c r="E465" s="34" t="s">
        <v>8</v>
      </c>
      <c r="F465" s="34" t="s">
        <v>1147</v>
      </c>
      <c r="G465" s="82">
        <v>1621381153</v>
      </c>
      <c r="H465" s="54" t="s">
        <v>229</v>
      </c>
      <c r="I465" s="54" t="s">
        <v>3514</v>
      </c>
      <c r="J465" s="34" t="s">
        <v>3421</v>
      </c>
      <c r="K465" s="50">
        <v>130000</v>
      </c>
      <c r="L465" s="43">
        <v>14180</v>
      </c>
      <c r="M465" s="44">
        <f t="shared" si="40"/>
        <v>0.10907692307692307</v>
      </c>
      <c r="N465" s="49">
        <f>ROUND(L465/Summary!$C$3*Summary!$C$2,0)</f>
        <v>43958</v>
      </c>
      <c r="O465" s="44">
        <f t="shared" si="41"/>
        <v>0.33813846153846155</v>
      </c>
      <c r="P465" s="78">
        <v>10</v>
      </c>
      <c r="Q465" s="34">
        <v>1</v>
      </c>
      <c r="R465" s="35">
        <f t="shared" si="42"/>
        <v>0.1</v>
      </c>
      <c r="S465" s="49">
        <f>ROUND(Q465/Summary!$C$3*Summary!$C$2,0)</f>
        <v>3</v>
      </c>
      <c r="T465" s="44">
        <f t="shared" si="43"/>
        <v>0.3</v>
      </c>
      <c r="U465" s="34">
        <v>0</v>
      </c>
      <c r="V465" s="34">
        <v>0</v>
      </c>
      <c r="W465" s="34">
        <v>0</v>
      </c>
      <c r="X465" s="34">
        <v>0</v>
      </c>
    </row>
    <row r="466" spans="1:24" hidden="1">
      <c r="A466" s="75" t="s">
        <v>3574</v>
      </c>
      <c r="B466" s="75" t="s">
        <v>476</v>
      </c>
      <c r="C466" s="75" t="s">
        <v>2915</v>
      </c>
      <c r="D466" s="75" t="s">
        <v>160</v>
      </c>
      <c r="E466" s="75" t="s">
        <v>8</v>
      </c>
      <c r="F466" s="75" t="s">
        <v>3575</v>
      </c>
      <c r="G466" s="67">
        <v>1777237773</v>
      </c>
      <c r="H466" s="54" t="s">
        <v>229</v>
      </c>
      <c r="I466" s="54" t="s">
        <v>3514</v>
      </c>
      <c r="J466" s="34" t="s">
        <v>3421</v>
      </c>
      <c r="K466" s="50">
        <v>130000</v>
      </c>
      <c r="L466" s="43">
        <v>115585</v>
      </c>
      <c r="M466" s="44">
        <f t="shared" si="40"/>
        <v>0.88911538461538464</v>
      </c>
      <c r="N466" s="49">
        <f>ROUND(L466/Summary!$C$3*Summary!$C$2,0)</f>
        <v>358314</v>
      </c>
      <c r="O466" s="44">
        <f t="shared" si="41"/>
        <v>2.7562615384615383</v>
      </c>
      <c r="P466" s="78">
        <v>10</v>
      </c>
      <c r="Q466" s="34">
        <v>12</v>
      </c>
      <c r="R466" s="35">
        <f t="shared" si="42"/>
        <v>1.2</v>
      </c>
      <c r="S466" s="49">
        <f>ROUND(Q466/Summary!$C$3*Summary!$C$2,0)</f>
        <v>37</v>
      </c>
      <c r="T466" s="44">
        <f t="shared" si="43"/>
        <v>3.7</v>
      </c>
      <c r="U466" s="34">
        <v>0</v>
      </c>
      <c r="V466" s="34">
        <v>0</v>
      </c>
      <c r="W466" s="34">
        <v>0</v>
      </c>
      <c r="X466" s="34">
        <v>1</v>
      </c>
    </row>
    <row r="467" spans="1:24" hidden="1">
      <c r="A467" s="34" t="s">
        <v>1945</v>
      </c>
      <c r="B467" s="34" t="s">
        <v>1946</v>
      </c>
      <c r="C467" s="34" t="s">
        <v>2915</v>
      </c>
      <c r="D467" s="34" t="s">
        <v>160</v>
      </c>
      <c r="E467" s="34" t="s">
        <v>8</v>
      </c>
      <c r="F467" s="34" t="s">
        <v>1947</v>
      </c>
      <c r="G467" s="82">
        <v>1816623551</v>
      </c>
      <c r="H467" s="54" t="s">
        <v>229</v>
      </c>
      <c r="I467" s="54" t="s">
        <v>3514</v>
      </c>
      <c r="J467" s="34" t="s">
        <v>3419</v>
      </c>
      <c r="K467" s="50">
        <v>130000</v>
      </c>
      <c r="L467" s="43">
        <v>63619</v>
      </c>
      <c r="M467" s="44">
        <f t="shared" si="40"/>
        <v>0.4893769230769231</v>
      </c>
      <c r="N467" s="49">
        <f>ROUND(L467/Summary!$C$3*Summary!$C$2,0)</f>
        <v>197219</v>
      </c>
      <c r="O467" s="44">
        <f t="shared" si="41"/>
        <v>1.5170692307692308</v>
      </c>
      <c r="P467" s="78">
        <v>10</v>
      </c>
      <c r="Q467" s="34">
        <v>5</v>
      </c>
      <c r="R467" s="35">
        <f t="shared" si="42"/>
        <v>0.5</v>
      </c>
      <c r="S467" s="49">
        <f>ROUND(Q467/Summary!$C$3*Summary!$C$2,0)</f>
        <v>16</v>
      </c>
      <c r="T467" s="44">
        <f t="shared" si="43"/>
        <v>1.6</v>
      </c>
      <c r="U467" s="34">
        <v>0</v>
      </c>
      <c r="V467" s="34">
        <v>1</v>
      </c>
      <c r="W467" s="34">
        <v>0</v>
      </c>
      <c r="X467" s="34">
        <v>1</v>
      </c>
    </row>
    <row r="468" spans="1:24" hidden="1">
      <c r="A468" s="34" t="s">
        <v>1948</v>
      </c>
      <c r="B468" s="34" t="s">
        <v>1949</v>
      </c>
      <c r="C468" s="34" t="s">
        <v>2915</v>
      </c>
      <c r="D468" s="34" t="s">
        <v>160</v>
      </c>
      <c r="E468" s="34" t="s">
        <v>8</v>
      </c>
      <c r="F468" s="34" t="s">
        <v>1204</v>
      </c>
      <c r="G468" s="82">
        <v>1955874420</v>
      </c>
      <c r="H468" s="54" t="s">
        <v>229</v>
      </c>
      <c r="I468" s="54" t="s">
        <v>3514</v>
      </c>
      <c r="J468" s="34" t="s">
        <v>3419</v>
      </c>
      <c r="K468" s="50">
        <v>151114</v>
      </c>
      <c r="L468" s="43">
        <v>23300</v>
      </c>
      <c r="M468" s="44">
        <f t="shared" si="40"/>
        <v>0.15418822875445029</v>
      </c>
      <c r="N468" s="49">
        <f>ROUND(L468/Summary!$C$3*Summary!$C$2,0)</f>
        <v>72230</v>
      </c>
      <c r="O468" s="44">
        <f t="shared" si="41"/>
        <v>0.47798350913879589</v>
      </c>
      <c r="P468" s="78">
        <v>10</v>
      </c>
      <c r="Q468" s="34">
        <v>0</v>
      </c>
      <c r="R468" s="35">
        <f t="shared" si="42"/>
        <v>0</v>
      </c>
      <c r="S468" s="49">
        <f>ROUND(Q468/Summary!$C$3*Summary!$C$2,0)</f>
        <v>0</v>
      </c>
      <c r="T468" s="44">
        <f t="shared" si="43"/>
        <v>0</v>
      </c>
      <c r="U468" s="34">
        <v>0</v>
      </c>
      <c r="V468" s="34">
        <v>0</v>
      </c>
      <c r="W468" s="34">
        <v>0</v>
      </c>
      <c r="X468" s="34">
        <v>0</v>
      </c>
    </row>
    <row r="469" spans="1:24" hidden="1">
      <c r="A469" s="34" t="s">
        <v>3370</v>
      </c>
      <c r="B469" s="34" t="s">
        <v>3245</v>
      </c>
      <c r="C469" s="34" t="s">
        <v>2915</v>
      </c>
      <c r="D469" s="34" t="s">
        <v>160</v>
      </c>
      <c r="E469" s="34" t="s">
        <v>8</v>
      </c>
      <c r="F469" s="34" t="s">
        <v>3246</v>
      </c>
      <c r="G469" s="82">
        <v>1749504090</v>
      </c>
      <c r="H469" s="54" t="s">
        <v>229</v>
      </c>
      <c r="I469" s="54" t="s">
        <v>3514</v>
      </c>
      <c r="J469" s="34" t="s">
        <v>3419</v>
      </c>
      <c r="K469" s="50">
        <v>130000</v>
      </c>
      <c r="L469" s="43">
        <v>121640</v>
      </c>
      <c r="M469" s="44">
        <f t="shared" si="40"/>
        <v>0.93569230769230771</v>
      </c>
      <c r="N469" s="49">
        <f>ROUND(L469/Summary!$C$3*Summary!$C$2,0)</f>
        <v>377084</v>
      </c>
      <c r="O469" s="44">
        <f t="shared" si="41"/>
        <v>2.9006461538461537</v>
      </c>
      <c r="P469" s="78">
        <v>10</v>
      </c>
      <c r="Q469" s="34">
        <v>5</v>
      </c>
      <c r="R469" s="35">
        <f t="shared" si="42"/>
        <v>0.5</v>
      </c>
      <c r="S469" s="49">
        <f>ROUND(Q469/Summary!$C$3*Summary!$C$2,0)</f>
        <v>16</v>
      </c>
      <c r="T469" s="44">
        <f t="shared" si="43"/>
        <v>1.6</v>
      </c>
      <c r="U469" s="34">
        <v>1</v>
      </c>
      <c r="V469" s="34">
        <v>2</v>
      </c>
      <c r="W469" s="34">
        <v>0</v>
      </c>
      <c r="X469" s="34">
        <v>0</v>
      </c>
    </row>
    <row r="470" spans="1:24" hidden="1">
      <c r="A470" s="75" t="s">
        <v>3576</v>
      </c>
      <c r="B470" s="75" t="s">
        <v>3577</v>
      </c>
      <c r="C470" s="75" t="s">
        <v>2915</v>
      </c>
      <c r="D470" s="75" t="s">
        <v>160</v>
      </c>
      <c r="E470" s="75" t="s">
        <v>8</v>
      </c>
      <c r="F470" s="75" t="s">
        <v>3578</v>
      </c>
      <c r="G470" s="67">
        <v>1757777769</v>
      </c>
      <c r="H470" s="54" t="s">
        <v>229</v>
      </c>
      <c r="I470" s="54" t="s">
        <v>3514</v>
      </c>
      <c r="J470" s="34" t="s">
        <v>3419</v>
      </c>
      <c r="K470" s="50">
        <v>130000</v>
      </c>
      <c r="L470" s="43">
        <v>8490</v>
      </c>
      <c r="M470" s="44">
        <f t="shared" si="40"/>
        <v>6.5307692307692303E-2</v>
      </c>
      <c r="N470" s="49">
        <f>ROUND(L470/Summary!$C$3*Summary!$C$2,0)</f>
        <v>26319</v>
      </c>
      <c r="O470" s="44">
        <f t="shared" si="41"/>
        <v>0.20245384615384615</v>
      </c>
      <c r="P470" s="78">
        <v>10</v>
      </c>
      <c r="Q470" s="34">
        <v>1</v>
      </c>
      <c r="R470" s="35">
        <f t="shared" si="42"/>
        <v>0.1</v>
      </c>
      <c r="S470" s="49">
        <f>ROUND(Q470/Summary!$C$3*Summary!$C$2,0)</f>
        <v>3</v>
      </c>
      <c r="T470" s="44">
        <f t="shared" si="43"/>
        <v>0.3</v>
      </c>
      <c r="U470" s="34">
        <v>0</v>
      </c>
      <c r="V470" s="34">
        <v>0</v>
      </c>
      <c r="W470" s="34">
        <v>0</v>
      </c>
      <c r="X470" s="34">
        <v>0</v>
      </c>
    </row>
    <row r="471" spans="1:24" hidden="1">
      <c r="A471" s="34" t="s">
        <v>1940</v>
      </c>
      <c r="B471" s="34" t="s">
        <v>1941</v>
      </c>
      <c r="C471" s="34" t="s">
        <v>2915</v>
      </c>
      <c r="D471" s="34" t="s">
        <v>160</v>
      </c>
      <c r="E471" s="34" t="s">
        <v>8</v>
      </c>
      <c r="F471" s="34" t="s">
        <v>1942</v>
      </c>
      <c r="G471" s="82">
        <v>1711662226</v>
      </c>
      <c r="H471" s="54" t="s">
        <v>229</v>
      </c>
      <c r="I471" s="54" t="s">
        <v>3514</v>
      </c>
      <c r="J471" s="34" t="s">
        <v>3421</v>
      </c>
      <c r="K471" s="50">
        <v>130000</v>
      </c>
      <c r="L471" s="43">
        <v>51370</v>
      </c>
      <c r="M471" s="44">
        <f t="shared" si="40"/>
        <v>0.39515384615384613</v>
      </c>
      <c r="N471" s="49">
        <f>ROUND(L471/Summary!$C$3*Summary!$C$2,0)</f>
        <v>159247</v>
      </c>
      <c r="O471" s="44">
        <f t="shared" si="41"/>
        <v>1.2249769230769232</v>
      </c>
      <c r="P471" s="78">
        <v>10</v>
      </c>
      <c r="Q471" s="34">
        <v>4</v>
      </c>
      <c r="R471" s="35">
        <f t="shared" si="42"/>
        <v>0.4</v>
      </c>
      <c r="S471" s="49">
        <f>ROUND(Q471/Summary!$C$3*Summary!$C$2,0)</f>
        <v>12</v>
      </c>
      <c r="T471" s="44">
        <f t="shared" si="43"/>
        <v>1.2</v>
      </c>
      <c r="U471" s="34">
        <v>0</v>
      </c>
      <c r="V471" s="34">
        <v>1</v>
      </c>
      <c r="W471" s="34">
        <v>0</v>
      </c>
      <c r="X471" s="34">
        <v>0</v>
      </c>
    </row>
    <row r="472" spans="1:24" hidden="1">
      <c r="A472" s="34" t="s">
        <v>1950</v>
      </c>
      <c r="B472" s="34" t="s">
        <v>1951</v>
      </c>
      <c r="C472" s="34" t="s">
        <v>2915</v>
      </c>
      <c r="D472" s="34" t="s">
        <v>160</v>
      </c>
      <c r="E472" s="34" t="s">
        <v>8</v>
      </c>
      <c r="F472" s="34" t="s">
        <v>1952</v>
      </c>
      <c r="G472" s="82">
        <v>1670868595</v>
      </c>
      <c r="H472" s="54" t="s">
        <v>229</v>
      </c>
      <c r="I472" s="54" t="s">
        <v>3514</v>
      </c>
      <c r="J472" s="34" t="s">
        <v>3419</v>
      </c>
      <c r="K472" s="50">
        <v>156504</v>
      </c>
      <c r="L472" s="43">
        <v>24750</v>
      </c>
      <c r="M472" s="44">
        <f t="shared" si="40"/>
        <v>0.15814292286459131</v>
      </c>
      <c r="N472" s="49">
        <f>ROUND(L472/Summary!$C$3*Summary!$C$2,0)</f>
        <v>76725</v>
      </c>
      <c r="O472" s="44">
        <f t="shared" si="41"/>
        <v>0.49024306088023312</v>
      </c>
      <c r="P472" s="78">
        <v>10</v>
      </c>
      <c r="Q472" s="34">
        <v>1</v>
      </c>
      <c r="R472" s="35">
        <f t="shared" si="42"/>
        <v>0.1</v>
      </c>
      <c r="S472" s="49">
        <f>ROUND(Q472/Summary!$C$3*Summary!$C$2,0)</f>
        <v>3</v>
      </c>
      <c r="T472" s="44">
        <f t="shared" si="43"/>
        <v>0.3</v>
      </c>
      <c r="U472" s="34">
        <v>0</v>
      </c>
      <c r="V472" s="34">
        <v>0</v>
      </c>
      <c r="W472" s="34">
        <v>0</v>
      </c>
      <c r="X472" s="34">
        <v>0</v>
      </c>
    </row>
    <row r="473" spans="1:24" hidden="1">
      <c r="A473" s="34" t="s">
        <v>1861</v>
      </c>
      <c r="B473" s="34" t="s">
        <v>1862</v>
      </c>
      <c r="C473" s="34" t="s">
        <v>151</v>
      </c>
      <c r="D473" s="34" t="s">
        <v>154</v>
      </c>
      <c r="E473" s="34" t="s">
        <v>8</v>
      </c>
      <c r="F473" s="34" t="s">
        <v>1863</v>
      </c>
      <c r="G473" s="54">
        <v>1920221696</v>
      </c>
      <c r="H473" s="54" t="s">
        <v>229</v>
      </c>
      <c r="I473" s="54" t="s">
        <v>3514</v>
      </c>
      <c r="J473" s="34" t="s">
        <v>3421</v>
      </c>
      <c r="K473" s="50">
        <v>130000</v>
      </c>
      <c r="L473" s="43">
        <v>8080</v>
      </c>
      <c r="M473" s="44">
        <f t="shared" si="40"/>
        <v>6.2153846153846157E-2</v>
      </c>
      <c r="N473" s="49">
        <f>ROUND(L473/Summary!$C$3*Summary!$C$2,0)</f>
        <v>25048</v>
      </c>
      <c r="O473" s="44">
        <f t="shared" si="41"/>
        <v>0.19267692307692308</v>
      </c>
      <c r="P473" s="78">
        <v>10</v>
      </c>
      <c r="Q473" s="34">
        <v>0</v>
      </c>
      <c r="R473" s="35">
        <f t="shared" si="42"/>
        <v>0</v>
      </c>
      <c r="S473" s="49">
        <f>ROUND(Q473/Summary!$C$3*Summary!$C$2,0)</f>
        <v>0</v>
      </c>
      <c r="T473" s="44">
        <f t="shared" si="43"/>
        <v>0</v>
      </c>
      <c r="U473" s="34">
        <v>0</v>
      </c>
      <c r="V473" s="34">
        <v>0</v>
      </c>
      <c r="W473" s="34">
        <v>0</v>
      </c>
      <c r="X473" s="34">
        <v>0</v>
      </c>
    </row>
    <row r="474" spans="1:24" hidden="1">
      <c r="A474" s="34" t="s">
        <v>1852</v>
      </c>
      <c r="B474" s="34" t="s">
        <v>1853</v>
      </c>
      <c r="C474" s="34" t="s">
        <v>151</v>
      </c>
      <c r="D474" s="34" t="s">
        <v>154</v>
      </c>
      <c r="E474" s="34" t="s">
        <v>8</v>
      </c>
      <c r="F474" s="34" t="s">
        <v>1854</v>
      </c>
      <c r="G474" s="54">
        <v>1686017139</v>
      </c>
      <c r="H474" s="54" t="s">
        <v>229</v>
      </c>
      <c r="I474" s="54" t="s">
        <v>3514</v>
      </c>
      <c r="J474" s="34" t="s">
        <v>3419</v>
      </c>
      <c r="K474" s="50">
        <v>200000</v>
      </c>
      <c r="L474" s="43">
        <v>94320</v>
      </c>
      <c r="M474" s="44">
        <f t="shared" si="40"/>
        <v>0.47160000000000002</v>
      </c>
      <c r="N474" s="49">
        <f>ROUND(L474/Summary!$C$3*Summary!$C$2,0)</f>
        <v>292392</v>
      </c>
      <c r="O474" s="44">
        <f t="shared" si="41"/>
        <v>1.4619599999999999</v>
      </c>
      <c r="P474" s="78">
        <v>13</v>
      </c>
      <c r="Q474" s="34">
        <v>5</v>
      </c>
      <c r="R474" s="35">
        <f t="shared" si="42"/>
        <v>0.38461538461538464</v>
      </c>
      <c r="S474" s="49">
        <f>ROUND(Q474/Summary!$C$3*Summary!$C$2,0)</f>
        <v>16</v>
      </c>
      <c r="T474" s="44">
        <f t="shared" si="43"/>
        <v>1.2307692307692308</v>
      </c>
      <c r="U474" s="34">
        <v>1</v>
      </c>
      <c r="V474" s="34">
        <v>3</v>
      </c>
      <c r="W474" s="34">
        <v>0</v>
      </c>
      <c r="X474" s="34">
        <v>0</v>
      </c>
    </row>
    <row r="475" spans="1:24" hidden="1">
      <c r="A475" s="34" t="s">
        <v>1855</v>
      </c>
      <c r="B475" s="34" t="s">
        <v>1856</v>
      </c>
      <c r="C475" s="34" t="s">
        <v>151</v>
      </c>
      <c r="D475" s="34" t="s">
        <v>154</v>
      </c>
      <c r="E475" s="34" t="s">
        <v>8</v>
      </c>
      <c r="F475" s="34" t="s">
        <v>1857</v>
      </c>
      <c r="G475" s="54">
        <v>1726664969</v>
      </c>
      <c r="H475" s="54" t="s">
        <v>229</v>
      </c>
      <c r="I475" s="54" t="s">
        <v>3514</v>
      </c>
      <c r="J475" s="34" t="s">
        <v>3419</v>
      </c>
      <c r="K475" s="50">
        <v>130000</v>
      </c>
      <c r="L475" s="43">
        <v>11580</v>
      </c>
      <c r="M475" s="44">
        <f t="shared" si="40"/>
        <v>8.9076923076923081E-2</v>
      </c>
      <c r="N475" s="49">
        <f>ROUND(L475/Summary!$C$3*Summary!$C$2,0)</f>
        <v>35898</v>
      </c>
      <c r="O475" s="44">
        <f t="shared" si="41"/>
        <v>0.27613846153846155</v>
      </c>
      <c r="P475" s="78">
        <v>10</v>
      </c>
      <c r="Q475" s="34">
        <v>1</v>
      </c>
      <c r="R475" s="35">
        <f t="shared" si="42"/>
        <v>0.1</v>
      </c>
      <c r="S475" s="49">
        <f>ROUND(Q475/Summary!$C$3*Summary!$C$2,0)</f>
        <v>3</v>
      </c>
      <c r="T475" s="44">
        <f t="shared" si="43"/>
        <v>0.3</v>
      </c>
      <c r="U475" s="34">
        <v>0</v>
      </c>
      <c r="V475" s="34">
        <v>0</v>
      </c>
      <c r="W475" s="34">
        <v>0</v>
      </c>
      <c r="X475" s="34">
        <v>0</v>
      </c>
    </row>
    <row r="476" spans="1:24">
      <c r="A476" s="75" t="s">
        <v>3579</v>
      </c>
      <c r="B476" s="75" t="s">
        <v>3580</v>
      </c>
      <c r="C476" s="75" t="s">
        <v>151</v>
      </c>
      <c r="D476" s="75" t="s">
        <v>154</v>
      </c>
      <c r="E476" s="75" t="s">
        <v>8</v>
      </c>
      <c r="F476" s="75" t="s">
        <v>3581</v>
      </c>
      <c r="G476" s="67">
        <v>1779577716</v>
      </c>
      <c r="H476" s="54" t="s">
        <v>229</v>
      </c>
      <c r="I476" s="54" t="s">
        <v>3514</v>
      </c>
      <c r="J476" s="34" t="s">
        <v>3421</v>
      </c>
      <c r="K476" s="50">
        <v>130000</v>
      </c>
      <c r="L476" s="43">
        <v>0</v>
      </c>
      <c r="M476" s="44">
        <f t="shared" si="40"/>
        <v>0</v>
      </c>
      <c r="N476" s="49">
        <f>ROUND(L476/Summary!$C$3*Summary!$C$2,0)</f>
        <v>0</v>
      </c>
      <c r="O476" s="44">
        <f t="shared" si="41"/>
        <v>0</v>
      </c>
      <c r="P476" s="78">
        <v>10</v>
      </c>
      <c r="Q476" s="34">
        <v>0</v>
      </c>
      <c r="R476" s="35">
        <f t="shared" si="42"/>
        <v>0</v>
      </c>
      <c r="S476" s="49">
        <f>ROUND(Q476/Summary!$C$3*Summary!$C$2,0)</f>
        <v>0</v>
      </c>
      <c r="T476" s="44">
        <f t="shared" si="43"/>
        <v>0</v>
      </c>
      <c r="U476" s="34">
        <v>0</v>
      </c>
      <c r="V476" s="34">
        <v>0</v>
      </c>
      <c r="W476" s="34">
        <v>0</v>
      </c>
      <c r="X476" s="34">
        <v>0</v>
      </c>
    </row>
    <row r="477" spans="1:24" hidden="1">
      <c r="A477" s="34" t="s">
        <v>1968</v>
      </c>
      <c r="B477" s="34" t="s">
        <v>1969</v>
      </c>
      <c r="C477" s="34" t="s">
        <v>90</v>
      </c>
      <c r="D477" s="34" t="s">
        <v>154</v>
      </c>
      <c r="E477" s="34" t="s">
        <v>8</v>
      </c>
      <c r="F477" s="34" t="s">
        <v>1970</v>
      </c>
      <c r="G477" s="54">
        <v>1934171456</v>
      </c>
      <c r="H477" s="54" t="s">
        <v>229</v>
      </c>
      <c r="I477" s="54" t="s">
        <v>3514</v>
      </c>
      <c r="J477" s="34" t="s">
        <v>3419</v>
      </c>
      <c r="K477" s="50">
        <v>130000</v>
      </c>
      <c r="L477" s="43">
        <v>16130</v>
      </c>
      <c r="M477" s="44">
        <f t="shared" si="40"/>
        <v>0.12407692307692307</v>
      </c>
      <c r="N477" s="49">
        <f>ROUND(L477/Summary!$C$3*Summary!$C$2,0)</f>
        <v>50003</v>
      </c>
      <c r="O477" s="44">
        <f t="shared" si="41"/>
        <v>0.38463846153846154</v>
      </c>
      <c r="P477" s="78">
        <v>10</v>
      </c>
      <c r="Q477" s="34">
        <v>1</v>
      </c>
      <c r="R477" s="35">
        <f t="shared" si="42"/>
        <v>0.1</v>
      </c>
      <c r="S477" s="49">
        <f>ROUND(Q477/Summary!$C$3*Summary!$C$2,0)</f>
        <v>3</v>
      </c>
      <c r="T477" s="44">
        <f t="shared" si="43"/>
        <v>0.3</v>
      </c>
      <c r="U477" s="34">
        <v>0</v>
      </c>
      <c r="V477" s="34">
        <v>0</v>
      </c>
      <c r="W477" s="34">
        <v>0</v>
      </c>
      <c r="X477" s="34">
        <v>0</v>
      </c>
    </row>
    <row r="478" spans="1:24" hidden="1">
      <c r="A478" s="34" t="s">
        <v>1956</v>
      </c>
      <c r="B478" s="34" t="s">
        <v>1957</v>
      </c>
      <c r="C478" s="34" t="s">
        <v>90</v>
      </c>
      <c r="D478" s="34" t="s">
        <v>154</v>
      </c>
      <c r="E478" s="34" t="s">
        <v>8</v>
      </c>
      <c r="F478" s="34" t="s">
        <v>1958</v>
      </c>
      <c r="G478" s="54">
        <v>1792223584</v>
      </c>
      <c r="H478" s="54" t="s">
        <v>229</v>
      </c>
      <c r="I478" s="54" t="s">
        <v>3514</v>
      </c>
      <c r="J478" s="34" t="s">
        <v>3515</v>
      </c>
      <c r="K478" s="50">
        <v>220000</v>
      </c>
      <c r="L478" s="43">
        <v>64380</v>
      </c>
      <c r="M478" s="44">
        <f t="shared" si="40"/>
        <v>0.29263636363636364</v>
      </c>
      <c r="N478" s="49">
        <f>ROUND(L478/Summary!$C$3*Summary!$C$2,0)</f>
        <v>199578</v>
      </c>
      <c r="O478" s="44">
        <f t="shared" si="41"/>
        <v>0.90717272727272724</v>
      </c>
      <c r="P478" s="78">
        <v>18</v>
      </c>
      <c r="Q478" s="34">
        <v>3</v>
      </c>
      <c r="R478" s="35">
        <f t="shared" si="42"/>
        <v>0.16666666666666666</v>
      </c>
      <c r="S478" s="49">
        <f>ROUND(Q478/Summary!$C$3*Summary!$C$2,0)</f>
        <v>9</v>
      </c>
      <c r="T478" s="44">
        <f t="shared" si="43"/>
        <v>0.5</v>
      </c>
      <c r="U478" s="34">
        <v>0</v>
      </c>
      <c r="V478" s="34">
        <v>1</v>
      </c>
      <c r="W478" s="34">
        <v>0</v>
      </c>
      <c r="X478" s="34">
        <v>0</v>
      </c>
    </row>
    <row r="479" spans="1:24" hidden="1">
      <c r="A479" s="34" t="s">
        <v>3159</v>
      </c>
      <c r="B479" s="34" t="s">
        <v>1749</v>
      </c>
      <c r="C479" s="34" t="s">
        <v>90</v>
      </c>
      <c r="D479" s="34" t="s">
        <v>154</v>
      </c>
      <c r="E479" s="34" t="s">
        <v>8</v>
      </c>
      <c r="F479" s="34" t="s">
        <v>3160</v>
      </c>
      <c r="G479" s="54">
        <v>1811144594</v>
      </c>
      <c r="H479" s="54" t="s">
        <v>229</v>
      </c>
      <c r="I479" s="54" t="s">
        <v>3514</v>
      </c>
      <c r="J479" s="34" t="s">
        <v>3421</v>
      </c>
      <c r="K479" s="50">
        <v>130000</v>
      </c>
      <c r="L479" s="43">
        <v>17980</v>
      </c>
      <c r="M479" s="44">
        <f t="shared" si="40"/>
        <v>0.1383076923076923</v>
      </c>
      <c r="N479" s="49">
        <f>ROUND(L479/Summary!$C$3*Summary!$C$2,0)</f>
        <v>55738</v>
      </c>
      <c r="O479" s="44">
        <f t="shared" si="41"/>
        <v>0.42875384615384615</v>
      </c>
      <c r="P479" s="78">
        <v>10</v>
      </c>
      <c r="Q479" s="34">
        <v>2</v>
      </c>
      <c r="R479" s="35">
        <f t="shared" si="42"/>
        <v>0.2</v>
      </c>
      <c r="S479" s="49">
        <f>ROUND(Q479/Summary!$C$3*Summary!$C$2,0)</f>
        <v>6</v>
      </c>
      <c r="T479" s="44">
        <f t="shared" si="43"/>
        <v>0.6</v>
      </c>
      <c r="U479" s="34">
        <v>0</v>
      </c>
      <c r="V479" s="34">
        <v>0</v>
      </c>
      <c r="W479" s="34">
        <v>0</v>
      </c>
      <c r="X479" s="34">
        <v>0</v>
      </c>
    </row>
    <row r="480" spans="1:24" hidden="1">
      <c r="A480" s="34" t="s">
        <v>1962</v>
      </c>
      <c r="B480" s="34" t="s">
        <v>1963</v>
      </c>
      <c r="C480" s="34" t="s">
        <v>90</v>
      </c>
      <c r="D480" s="34" t="s">
        <v>154</v>
      </c>
      <c r="E480" s="34" t="s">
        <v>8</v>
      </c>
      <c r="F480" s="34" t="s">
        <v>1964</v>
      </c>
      <c r="G480" s="54">
        <v>1914688389</v>
      </c>
      <c r="H480" s="54" t="s">
        <v>229</v>
      </c>
      <c r="I480" s="54" t="s">
        <v>3514</v>
      </c>
      <c r="J480" s="34" t="s">
        <v>3421</v>
      </c>
      <c r="K480" s="50">
        <v>130000</v>
      </c>
      <c r="L480" s="43">
        <v>4990</v>
      </c>
      <c r="M480" s="44">
        <f t="shared" si="40"/>
        <v>3.8384615384615385E-2</v>
      </c>
      <c r="N480" s="49">
        <f>ROUND(L480/Summary!$C$3*Summary!$C$2,0)</f>
        <v>15469</v>
      </c>
      <c r="O480" s="44">
        <f t="shared" si="41"/>
        <v>0.11899230769230769</v>
      </c>
      <c r="P480" s="78">
        <v>10</v>
      </c>
      <c r="Q480" s="34">
        <v>0</v>
      </c>
      <c r="R480" s="35">
        <f t="shared" si="42"/>
        <v>0</v>
      </c>
      <c r="S480" s="49">
        <f>ROUND(Q480/Summary!$C$3*Summary!$C$2,0)</f>
        <v>0</v>
      </c>
      <c r="T480" s="44">
        <f t="shared" si="43"/>
        <v>0</v>
      </c>
      <c r="U480" s="34">
        <v>0</v>
      </c>
      <c r="V480" s="34">
        <v>0</v>
      </c>
      <c r="W480" s="34">
        <v>0</v>
      </c>
      <c r="X480" s="34">
        <v>0</v>
      </c>
    </row>
    <row r="481" spans="1:24" hidden="1">
      <c r="A481" s="34" t="s">
        <v>1965</v>
      </c>
      <c r="B481" s="34" t="s">
        <v>1966</v>
      </c>
      <c r="C481" s="34" t="s">
        <v>90</v>
      </c>
      <c r="D481" s="34" t="s">
        <v>154</v>
      </c>
      <c r="E481" s="34" t="s">
        <v>8</v>
      </c>
      <c r="F481" s="34" t="s">
        <v>1967</v>
      </c>
      <c r="G481" s="54">
        <v>1923785511</v>
      </c>
      <c r="H481" s="54" t="s">
        <v>229</v>
      </c>
      <c r="I481" s="54" t="s">
        <v>3514</v>
      </c>
      <c r="J481" s="34" t="s">
        <v>3515</v>
      </c>
      <c r="K481" s="50">
        <v>130000</v>
      </c>
      <c r="L481" s="43">
        <v>18020</v>
      </c>
      <c r="M481" s="44">
        <f t="shared" si="40"/>
        <v>0.13861538461538461</v>
      </c>
      <c r="N481" s="49">
        <f>ROUND(L481/Summary!$C$3*Summary!$C$2,0)</f>
        <v>55862</v>
      </c>
      <c r="O481" s="44">
        <f t="shared" si="41"/>
        <v>0.42970769230769229</v>
      </c>
      <c r="P481" s="78">
        <v>10</v>
      </c>
      <c r="Q481" s="34">
        <v>1</v>
      </c>
      <c r="R481" s="35">
        <f t="shared" si="42"/>
        <v>0.1</v>
      </c>
      <c r="S481" s="49">
        <f>ROUND(Q481/Summary!$C$3*Summary!$C$2,0)</f>
        <v>3</v>
      </c>
      <c r="T481" s="44">
        <f t="shared" si="43"/>
        <v>0.3</v>
      </c>
      <c r="U481" s="34">
        <v>0</v>
      </c>
      <c r="V481" s="34">
        <v>0</v>
      </c>
      <c r="W481" s="34">
        <v>0</v>
      </c>
      <c r="X481" s="34">
        <v>0</v>
      </c>
    </row>
    <row r="482" spans="1:24" hidden="1">
      <c r="A482" s="34" t="s">
        <v>1959</v>
      </c>
      <c r="B482" s="34" t="s">
        <v>1960</v>
      </c>
      <c r="C482" s="34" t="s">
        <v>90</v>
      </c>
      <c r="D482" s="34" t="s">
        <v>154</v>
      </c>
      <c r="E482" s="34" t="s">
        <v>8</v>
      </c>
      <c r="F482" s="34" t="s">
        <v>1961</v>
      </c>
      <c r="G482" s="54">
        <v>1610704060</v>
      </c>
      <c r="H482" s="54" t="s">
        <v>229</v>
      </c>
      <c r="I482" s="54" t="s">
        <v>3514</v>
      </c>
      <c r="J482" s="34" t="s">
        <v>3419</v>
      </c>
      <c r="K482" s="50">
        <v>130000</v>
      </c>
      <c r="L482" s="43">
        <v>44010</v>
      </c>
      <c r="M482" s="44">
        <f t="shared" si="40"/>
        <v>0.33853846153846157</v>
      </c>
      <c r="N482" s="49">
        <f>ROUND(L482/Summary!$C$3*Summary!$C$2,0)</f>
        <v>136431</v>
      </c>
      <c r="O482" s="44">
        <f t="shared" si="41"/>
        <v>1.0494692307692308</v>
      </c>
      <c r="P482" s="78">
        <v>10</v>
      </c>
      <c r="Q482" s="34">
        <v>1</v>
      </c>
      <c r="R482" s="35">
        <f t="shared" si="42"/>
        <v>0.1</v>
      </c>
      <c r="S482" s="49">
        <f>ROUND(Q482/Summary!$C$3*Summary!$C$2,0)</f>
        <v>3</v>
      </c>
      <c r="T482" s="44">
        <f t="shared" si="43"/>
        <v>0.3</v>
      </c>
      <c r="U482" s="34">
        <v>2</v>
      </c>
      <c r="V482" s="34">
        <v>1</v>
      </c>
      <c r="W482" s="34">
        <v>0</v>
      </c>
      <c r="X482" s="34">
        <v>0</v>
      </c>
    </row>
    <row r="483" spans="1:24" hidden="1">
      <c r="A483" s="34" t="s">
        <v>2051</v>
      </c>
      <c r="B483" s="34" t="s">
        <v>62</v>
      </c>
      <c r="C483" s="34" t="s">
        <v>60</v>
      </c>
      <c r="D483" s="34" t="s">
        <v>61</v>
      </c>
      <c r="E483" s="34" t="s">
        <v>4</v>
      </c>
      <c r="F483" s="34" t="s">
        <v>2052</v>
      </c>
      <c r="G483" s="54">
        <v>1930459057</v>
      </c>
      <c r="H483" s="54" t="s">
        <v>229</v>
      </c>
      <c r="I483" s="54" t="s">
        <v>3514</v>
      </c>
      <c r="J483" s="34" t="s">
        <v>3419</v>
      </c>
      <c r="K483" s="50">
        <v>213773</v>
      </c>
      <c r="L483" s="43">
        <v>26160</v>
      </c>
      <c r="M483" s="44">
        <f t="shared" si="40"/>
        <v>0.12237279731303766</v>
      </c>
      <c r="N483" s="49">
        <f>ROUND(L483/Summary!$C$3*Summary!$C$2,0)</f>
        <v>81096</v>
      </c>
      <c r="O483" s="44">
        <f t="shared" si="41"/>
        <v>0.37935567167041673</v>
      </c>
      <c r="P483" s="78">
        <v>15</v>
      </c>
      <c r="Q483" s="34">
        <v>2</v>
      </c>
      <c r="R483" s="35">
        <f t="shared" si="42"/>
        <v>0.13333333333333333</v>
      </c>
      <c r="S483" s="49">
        <f>ROUND(Q483/Summary!$C$3*Summary!$C$2,0)</f>
        <v>6</v>
      </c>
      <c r="T483" s="44">
        <f t="shared" si="43"/>
        <v>0.4</v>
      </c>
      <c r="U483" s="34">
        <v>0</v>
      </c>
      <c r="V483" s="34">
        <v>0</v>
      </c>
      <c r="W483" s="34">
        <v>0</v>
      </c>
      <c r="X483" s="34">
        <v>0</v>
      </c>
    </row>
    <row r="484" spans="1:24" hidden="1">
      <c r="A484" s="34" t="s">
        <v>2043</v>
      </c>
      <c r="B484" s="34" t="s">
        <v>2044</v>
      </c>
      <c r="C484" s="34" t="s">
        <v>60</v>
      </c>
      <c r="D484" s="34" t="s">
        <v>61</v>
      </c>
      <c r="E484" s="34" t="s">
        <v>4</v>
      </c>
      <c r="F484" s="34" t="s">
        <v>2045</v>
      </c>
      <c r="G484" s="54">
        <v>1711218739</v>
      </c>
      <c r="H484" s="54" t="s">
        <v>229</v>
      </c>
      <c r="I484" s="54" t="s">
        <v>3518</v>
      </c>
      <c r="J484" s="34" t="s">
        <v>3419</v>
      </c>
      <c r="K484" s="50">
        <v>300278</v>
      </c>
      <c r="L484" s="43">
        <v>56050</v>
      </c>
      <c r="M484" s="44">
        <f t="shared" si="40"/>
        <v>0.18666036139843745</v>
      </c>
      <c r="N484" s="49">
        <f>ROUND(L484/Summary!$C$3*Summary!$C$2,0)</f>
        <v>173755</v>
      </c>
      <c r="O484" s="44">
        <f t="shared" si="41"/>
        <v>0.57864712033515608</v>
      </c>
      <c r="P484" s="78">
        <v>15</v>
      </c>
      <c r="Q484" s="34">
        <v>2</v>
      </c>
      <c r="R484" s="35">
        <f t="shared" si="42"/>
        <v>0.13333333333333333</v>
      </c>
      <c r="S484" s="49">
        <f>ROUND(Q484/Summary!$C$3*Summary!$C$2,0)</f>
        <v>6</v>
      </c>
      <c r="T484" s="44">
        <f t="shared" si="43"/>
        <v>0.4</v>
      </c>
      <c r="U484" s="34">
        <v>4</v>
      </c>
      <c r="V484" s="34">
        <v>2</v>
      </c>
      <c r="W484" s="34">
        <v>0</v>
      </c>
      <c r="X484" s="34">
        <v>0</v>
      </c>
    </row>
    <row r="485" spans="1:24" hidden="1">
      <c r="A485" s="34" t="s">
        <v>2046</v>
      </c>
      <c r="B485" s="34" t="s">
        <v>843</v>
      </c>
      <c r="C485" s="34" t="s">
        <v>60</v>
      </c>
      <c r="D485" s="34" t="s">
        <v>61</v>
      </c>
      <c r="E485" s="34" t="s">
        <v>4</v>
      </c>
      <c r="F485" s="34" t="s">
        <v>2047</v>
      </c>
      <c r="G485" s="54">
        <v>1715251525</v>
      </c>
      <c r="H485" s="54" t="s">
        <v>229</v>
      </c>
      <c r="I485" s="54" t="s">
        <v>3514</v>
      </c>
      <c r="J485" s="34" t="s">
        <v>3419</v>
      </c>
      <c r="K485" s="50">
        <v>130000</v>
      </c>
      <c r="L485" s="43">
        <v>30960</v>
      </c>
      <c r="M485" s="44">
        <f t="shared" si="40"/>
        <v>0.23815384615384616</v>
      </c>
      <c r="N485" s="49">
        <f>ROUND(L485/Summary!$C$3*Summary!$C$2,0)</f>
        <v>95976</v>
      </c>
      <c r="O485" s="44">
        <f t="shared" si="41"/>
        <v>0.73827692307692305</v>
      </c>
      <c r="P485" s="78">
        <v>10</v>
      </c>
      <c r="Q485" s="34">
        <v>3</v>
      </c>
      <c r="R485" s="35">
        <f t="shared" si="42"/>
        <v>0.3</v>
      </c>
      <c r="S485" s="49">
        <f>ROUND(Q485/Summary!$C$3*Summary!$C$2,0)</f>
        <v>9</v>
      </c>
      <c r="T485" s="44">
        <f t="shared" si="43"/>
        <v>0.9</v>
      </c>
      <c r="U485" s="34">
        <v>0</v>
      </c>
      <c r="V485" s="34">
        <v>1</v>
      </c>
      <c r="W485" s="34">
        <v>0</v>
      </c>
      <c r="X485" s="34">
        <v>0</v>
      </c>
    </row>
    <row r="486" spans="1:24" hidden="1">
      <c r="A486" s="34" t="s">
        <v>2048</v>
      </c>
      <c r="B486" s="34" t="s">
        <v>2049</v>
      </c>
      <c r="C486" s="34" t="s">
        <v>60</v>
      </c>
      <c r="D486" s="34" t="s">
        <v>61</v>
      </c>
      <c r="E486" s="34" t="s">
        <v>4</v>
      </c>
      <c r="F486" s="34" t="s">
        <v>2050</v>
      </c>
      <c r="G486" s="54">
        <v>1711137580</v>
      </c>
      <c r="H486" s="54" t="s">
        <v>229</v>
      </c>
      <c r="I486" s="54" t="s">
        <v>3514</v>
      </c>
      <c r="J486" s="34" t="s">
        <v>3419</v>
      </c>
      <c r="K486" s="50">
        <v>130000</v>
      </c>
      <c r="L486" s="43">
        <v>18260</v>
      </c>
      <c r="M486" s="44">
        <f t="shared" si="40"/>
        <v>0.14046153846153847</v>
      </c>
      <c r="N486" s="49">
        <f>ROUND(L486/Summary!$C$3*Summary!$C$2,0)</f>
        <v>56606</v>
      </c>
      <c r="O486" s="44">
        <f t="shared" si="41"/>
        <v>0.43543076923076923</v>
      </c>
      <c r="P486" s="78">
        <v>10</v>
      </c>
      <c r="Q486" s="34">
        <v>1</v>
      </c>
      <c r="R486" s="35">
        <f t="shared" si="42"/>
        <v>0.1</v>
      </c>
      <c r="S486" s="49">
        <f>ROUND(Q486/Summary!$C$3*Summary!$C$2,0)</f>
        <v>3</v>
      </c>
      <c r="T486" s="44">
        <f t="shared" si="43"/>
        <v>0.3</v>
      </c>
      <c r="U486" s="34">
        <v>0</v>
      </c>
      <c r="V486" s="34">
        <v>0</v>
      </c>
      <c r="W486" s="34">
        <v>0</v>
      </c>
      <c r="X486" s="34">
        <v>1</v>
      </c>
    </row>
    <row r="487" spans="1:24">
      <c r="A487" s="34" t="s">
        <v>2053</v>
      </c>
      <c r="B487" s="34" t="s">
        <v>2054</v>
      </c>
      <c r="C487" s="34" t="s">
        <v>60</v>
      </c>
      <c r="D487" s="34" t="s">
        <v>61</v>
      </c>
      <c r="E487" s="34" t="s">
        <v>4</v>
      </c>
      <c r="F487" s="34" t="s">
        <v>378</v>
      </c>
      <c r="G487" s="54">
        <v>1719456783</v>
      </c>
      <c r="H487" s="54" t="s">
        <v>229</v>
      </c>
      <c r="I487" s="54" t="s">
        <v>3514</v>
      </c>
      <c r="J487" s="34" t="s">
        <v>3421</v>
      </c>
      <c r="K487" s="50">
        <v>130000</v>
      </c>
      <c r="L487" s="43">
        <v>0</v>
      </c>
      <c r="M487" s="44">
        <f t="shared" si="40"/>
        <v>0</v>
      </c>
      <c r="N487" s="49">
        <f>ROUND(L487/Summary!$C$3*Summary!$C$2,0)</f>
        <v>0</v>
      </c>
      <c r="O487" s="44">
        <f t="shared" si="41"/>
        <v>0</v>
      </c>
      <c r="P487" s="78">
        <v>10</v>
      </c>
      <c r="Q487" s="34">
        <v>0</v>
      </c>
      <c r="R487" s="35">
        <f t="shared" si="42"/>
        <v>0</v>
      </c>
      <c r="S487" s="49">
        <f>ROUND(Q487/Summary!$C$3*Summary!$C$2,0)</f>
        <v>0</v>
      </c>
      <c r="T487" s="44">
        <f t="shared" si="43"/>
        <v>0</v>
      </c>
      <c r="U487" s="34">
        <v>0</v>
      </c>
      <c r="V487" s="34">
        <v>0</v>
      </c>
      <c r="W487" s="34">
        <v>0</v>
      </c>
      <c r="X487" s="34">
        <v>0</v>
      </c>
    </row>
    <row r="488" spans="1:24" hidden="1">
      <c r="A488" s="34" t="s">
        <v>3442</v>
      </c>
      <c r="B488" s="34" t="s">
        <v>3443</v>
      </c>
      <c r="C488" s="34" t="s">
        <v>60</v>
      </c>
      <c r="D488" s="34" t="s">
        <v>61</v>
      </c>
      <c r="E488" s="34" t="s">
        <v>4</v>
      </c>
      <c r="F488" s="34" t="s">
        <v>3444</v>
      </c>
      <c r="G488" s="54">
        <v>1717033906</v>
      </c>
      <c r="H488" s="54" t="s">
        <v>229</v>
      </c>
      <c r="I488" s="54" t="s">
        <v>3514</v>
      </c>
      <c r="J488" s="34" t="s">
        <v>3515</v>
      </c>
      <c r="K488" s="50">
        <v>207820</v>
      </c>
      <c r="L488" s="43">
        <v>66190</v>
      </c>
      <c r="M488" s="44">
        <f t="shared" si="40"/>
        <v>0.31849677605620247</v>
      </c>
      <c r="N488" s="49">
        <f>ROUND(L488/Summary!$C$3*Summary!$C$2,0)</f>
        <v>205189</v>
      </c>
      <c r="O488" s="44">
        <f t="shared" si="41"/>
        <v>0.98734000577422765</v>
      </c>
      <c r="P488" s="78">
        <v>10</v>
      </c>
      <c r="Q488" s="34">
        <v>3</v>
      </c>
      <c r="R488" s="35">
        <f t="shared" si="42"/>
        <v>0.3</v>
      </c>
      <c r="S488" s="49">
        <f>ROUND(Q488/Summary!$C$3*Summary!$C$2,0)</f>
        <v>9</v>
      </c>
      <c r="T488" s="44">
        <f t="shared" si="43"/>
        <v>0.9</v>
      </c>
      <c r="U488" s="34">
        <v>3</v>
      </c>
      <c r="V488" s="34">
        <v>0</v>
      </c>
      <c r="W488" s="34">
        <v>0</v>
      </c>
      <c r="X488" s="34">
        <v>0</v>
      </c>
    </row>
    <row r="489" spans="1:24" hidden="1">
      <c r="A489" s="34" t="s">
        <v>3247</v>
      </c>
      <c r="B489" s="34" t="s">
        <v>3248</v>
      </c>
      <c r="C489" s="34" t="s">
        <v>60</v>
      </c>
      <c r="D489" s="34" t="s">
        <v>61</v>
      </c>
      <c r="E489" s="34" t="s">
        <v>4</v>
      </c>
      <c r="F489" s="34" t="s">
        <v>3249</v>
      </c>
      <c r="G489" s="54">
        <v>1730972693</v>
      </c>
      <c r="H489" s="54" t="s">
        <v>229</v>
      </c>
      <c r="I489" s="54" t="s">
        <v>3518</v>
      </c>
      <c r="J489" s="34" t="s">
        <v>3419</v>
      </c>
      <c r="K489" s="50">
        <v>403009</v>
      </c>
      <c r="L489" s="43">
        <v>115040</v>
      </c>
      <c r="M489" s="44">
        <f t="shared" si="40"/>
        <v>0.28545268219816433</v>
      </c>
      <c r="N489" s="49">
        <f>ROUND(L489/Summary!$C$3*Summary!$C$2,0)</f>
        <v>356624</v>
      </c>
      <c r="O489" s="44">
        <f t="shared" si="41"/>
        <v>0.88490331481430939</v>
      </c>
      <c r="P489" s="78">
        <v>24</v>
      </c>
      <c r="Q489" s="34">
        <v>2</v>
      </c>
      <c r="R489" s="35">
        <f t="shared" si="42"/>
        <v>8.3333333333333329E-2</v>
      </c>
      <c r="S489" s="49">
        <f>ROUND(Q489/Summary!$C$3*Summary!$C$2,0)</f>
        <v>6</v>
      </c>
      <c r="T489" s="44">
        <f t="shared" si="43"/>
        <v>0.25</v>
      </c>
      <c r="U489" s="34">
        <v>5</v>
      </c>
      <c r="V489" s="34">
        <v>0</v>
      </c>
      <c r="W489" s="34">
        <v>0</v>
      </c>
      <c r="X489" s="34">
        <v>0</v>
      </c>
    </row>
    <row r="490" spans="1:24" hidden="1">
      <c r="A490" s="34" t="s">
        <v>3445</v>
      </c>
      <c r="B490" s="34" t="s">
        <v>3446</v>
      </c>
      <c r="C490" s="34" t="s">
        <v>60</v>
      </c>
      <c r="D490" s="34" t="s">
        <v>61</v>
      </c>
      <c r="E490" s="34" t="s">
        <v>4</v>
      </c>
      <c r="F490" s="34" t="s">
        <v>3447</v>
      </c>
      <c r="G490" s="54">
        <v>1930459057</v>
      </c>
      <c r="H490" s="54" t="s">
        <v>229</v>
      </c>
      <c r="I490" s="54" t="s">
        <v>3514</v>
      </c>
      <c r="J490" s="34" t="s">
        <v>3420</v>
      </c>
      <c r="K490" s="50">
        <v>277379</v>
      </c>
      <c r="L490" s="43">
        <v>78830</v>
      </c>
      <c r="M490" s="44">
        <f t="shared" si="40"/>
        <v>0.28419599176577898</v>
      </c>
      <c r="N490" s="49">
        <f>ROUND(L490/Summary!$C$3*Summary!$C$2,0)</f>
        <v>244373</v>
      </c>
      <c r="O490" s="44">
        <f t="shared" si="41"/>
        <v>0.88100757447391476</v>
      </c>
      <c r="P490" s="78">
        <v>19</v>
      </c>
      <c r="Q490" s="34">
        <v>6</v>
      </c>
      <c r="R490" s="35">
        <f t="shared" si="42"/>
        <v>0.31578947368421051</v>
      </c>
      <c r="S490" s="49">
        <f>ROUND(Q490/Summary!$C$3*Summary!$C$2,0)</f>
        <v>19</v>
      </c>
      <c r="T490" s="44">
        <f t="shared" si="43"/>
        <v>1</v>
      </c>
      <c r="U490" s="34">
        <v>2</v>
      </c>
      <c r="V490" s="34">
        <v>0</v>
      </c>
      <c r="W490" s="34">
        <v>1</v>
      </c>
      <c r="X490" s="34">
        <v>0</v>
      </c>
    </row>
    <row r="491" spans="1:24" hidden="1">
      <c r="A491" s="34" t="s">
        <v>2091</v>
      </c>
      <c r="B491" s="34" t="s">
        <v>2092</v>
      </c>
      <c r="C491" s="34" t="s">
        <v>56</v>
      </c>
      <c r="D491" s="34" t="s">
        <v>61</v>
      </c>
      <c r="E491" s="34" t="s">
        <v>4</v>
      </c>
      <c r="F491" s="34" t="s">
        <v>2093</v>
      </c>
      <c r="G491" s="54">
        <v>1748794012</v>
      </c>
      <c r="H491" s="54" t="s">
        <v>229</v>
      </c>
      <c r="I491" s="54" t="s">
        <v>3514</v>
      </c>
      <c r="J491" s="34" t="s">
        <v>3421</v>
      </c>
      <c r="K491" s="50">
        <v>130000</v>
      </c>
      <c r="L491" s="43">
        <v>28000</v>
      </c>
      <c r="M491" s="44">
        <f t="shared" si="40"/>
        <v>0.2153846153846154</v>
      </c>
      <c r="N491" s="49">
        <f>ROUND(L491/Summary!$C$3*Summary!$C$2,0)</f>
        <v>86800</v>
      </c>
      <c r="O491" s="44">
        <f t="shared" si="41"/>
        <v>0.6676923076923077</v>
      </c>
      <c r="P491" s="78">
        <v>10</v>
      </c>
      <c r="Q491" s="34">
        <v>2</v>
      </c>
      <c r="R491" s="35">
        <f t="shared" si="42"/>
        <v>0.2</v>
      </c>
      <c r="S491" s="49">
        <f>ROUND(Q491/Summary!$C$3*Summary!$C$2,0)</f>
        <v>6</v>
      </c>
      <c r="T491" s="44">
        <f t="shared" si="43"/>
        <v>0.6</v>
      </c>
      <c r="U491" s="34">
        <v>0</v>
      </c>
      <c r="V491" s="34">
        <v>1</v>
      </c>
      <c r="W491" s="34">
        <v>0</v>
      </c>
      <c r="X491" s="34">
        <v>0</v>
      </c>
    </row>
    <row r="492" spans="1:24" hidden="1">
      <c r="A492" s="34" t="s">
        <v>2082</v>
      </c>
      <c r="B492" s="34" t="s">
        <v>2083</v>
      </c>
      <c r="C492" s="34" t="s">
        <v>56</v>
      </c>
      <c r="D492" s="34" t="s">
        <v>61</v>
      </c>
      <c r="E492" s="34" t="s">
        <v>4</v>
      </c>
      <c r="F492" s="34" t="s">
        <v>2084</v>
      </c>
      <c r="G492" s="54">
        <v>1924573133</v>
      </c>
      <c r="H492" s="54" t="s">
        <v>229</v>
      </c>
      <c r="I492" s="54" t="s">
        <v>3514</v>
      </c>
      <c r="J492" s="34" t="s">
        <v>3421</v>
      </c>
      <c r="K492" s="50">
        <v>130000</v>
      </c>
      <c r="L492" s="43">
        <v>5790</v>
      </c>
      <c r="M492" s="44">
        <f t="shared" si="40"/>
        <v>4.4538461538461541E-2</v>
      </c>
      <c r="N492" s="49">
        <f>ROUND(L492/Summary!$C$3*Summary!$C$2,0)</f>
        <v>17949</v>
      </c>
      <c r="O492" s="44">
        <f t="shared" si="41"/>
        <v>0.13806923076923078</v>
      </c>
      <c r="P492" s="78">
        <v>10</v>
      </c>
      <c r="Q492" s="34">
        <v>0</v>
      </c>
      <c r="R492" s="35">
        <f t="shared" si="42"/>
        <v>0</v>
      </c>
      <c r="S492" s="49">
        <f>ROUND(Q492/Summary!$C$3*Summary!$C$2,0)</f>
        <v>0</v>
      </c>
      <c r="T492" s="44">
        <f t="shared" si="43"/>
        <v>0</v>
      </c>
      <c r="U492" s="34">
        <v>1</v>
      </c>
      <c r="V492" s="34">
        <v>0</v>
      </c>
      <c r="W492" s="34">
        <v>0</v>
      </c>
      <c r="X492" s="34">
        <v>0</v>
      </c>
    </row>
    <row r="493" spans="1:24" hidden="1">
      <c r="A493" s="34" t="s">
        <v>2060</v>
      </c>
      <c r="B493" s="34" t="s">
        <v>2061</v>
      </c>
      <c r="C493" s="34" t="s">
        <v>56</v>
      </c>
      <c r="D493" s="34" t="s">
        <v>61</v>
      </c>
      <c r="E493" s="34" t="s">
        <v>4</v>
      </c>
      <c r="F493" s="34" t="s">
        <v>2062</v>
      </c>
      <c r="G493" s="54">
        <v>1729376888</v>
      </c>
      <c r="H493" s="54" t="s">
        <v>229</v>
      </c>
      <c r="I493" s="54" t="s">
        <v>3514</v>
      </c>
      <c r="J493" s="34" t="s">
        <v>3515</v>
      </c>
      <c r="K493" s="50">
        <v>231933</v>
      </c>
      <c r="L493" s="43">
        <v>28140</v>
      </c>
      <c r="M493" s="44">
        <f t="shared" si="40"/>
        <v>0.12132814217899135</v>
      </c>
      <c r="N493" s="49">
        <f>ROUND(L493/Summary!$C$3*Summary!$C$2,0)</f>
        <v>87234</v>
      </c>
      <c r="O493" s="44">
        <f t="shared" si="41"/>
        <v>0.37611724075487318</v>
      </c>
      <c r="P493" s="78">
        <v>10</v>
      </c>
      <c r="Q493" s="34">
        <v>0</v>
      </c>
      <c r="R493" s="35">
        <f t="shared" si="42"/>
        <v>0</v>
      </c>
      <c r="S493" s="49">
        <f>ROUND(Q493/Summary!$C$3*Summary!$C$2,0)</f>
        <v>0</v>
      </c>
      <c r="T493" s="44">
        <f t="shared" si="43"/>
        <v>0</v>
      </c>
      <c r="U493" s="34">
        <v>1</v>
      </c>
      <c r="V493" s="34">
        <v>0</v>
      </c>
      <c r="W493" s="34">
        <v>0</v>
      </c>
      <c r="X493" s="34">
        <v>0</v>
      </c>
    </row>
    <row r="494" spans="1:24" hidden="1">
      <c r="A494" s="34" t="s">
        <v>2079</v>
      </c>
      <c r="B494" s="34" t="s">
        <v>2080</v>
      </c>
      <c r="C494" s="34" t="s">
        <v>56</v>
      </c>
      <c r="D494" s="34" t="s">
        <v>61</v>
      </c>
      <c r="E494" s="34" t="s">
        <v>4</v>
      </c>
      <c r="F494" s="34" t="s">
        <v>2081</v>
      </c>
      <c r="G494" s="54">
        <v>1937714778</v>
      </c>
      <c r="H494" s="54" t="s">
        <v>229</v>
      </c>
      <c r="I494" s="54" t="s">
        <v>3514</v>
      </c>
      <c r="J494" s="34" t="s">
        <v>3421</v>
      </c>
      <c r="K494" s="50">
        <v>130000</v>
      </c>
      <c r="L494" s="43">
        <v>30435</v>
      </c>
      <c r="M494" s="44">
        <f t="shared" si="40"/>
        <v>0.23411538461538461</v>
      </c>
      <c r="N494" s="49">
        <f>ROUND(L494/Summary!$C$3*Summary!$C$2,0)</f>
        <v>94349</v>
      </c>
      <c r="O494" s="44">
        <f t="shared" si="41"/>
        <v>0.72576153846153846</v>
      </c>
      <c r="P494" s="78">
        <v>10</v>
      </c>
      <c r="Q494" s="34">
        <v>2</v>
      </c>
      <c r="R494" s="35">
        <f t="shared" si="42"/>
        <v>0.2</v>
      </c>
      <c r="S494" s="49">
        <f>ROUND(Q494/Summary!$C$3*Summary!$C$2,0)</f>
        <v>6</v>
      </c>
      <c r="T494" s="44">
        <f t="shared" si="43"/>
        <v>0.6</v>
      </c>
      <c r="U494" s="34">
        <v>0</v>
      </c>
      <c r="V494" s="34">
        <v>0</v>
      </c>
      <c r="W494" s="34">
        <v>0</v>
      </c>
      <c r="X494" s="34">
        <v>0</v>
      </c>
    </row>
    <row r="495" spans="1:24" hidden="1">
      <c r="A495" s="34" t="s">
        <v>3448</v>
      </c>
      <c r="B495" s="34" t="s">
        <v>3449</v>
      </c>
      <c r="C495" s="34" t="s">
        <v>56</v>
      </c>
      <c r="D495" s="34" t="s">
        <v>61</v>
      </c>
      <c r="E495" s="34" t="s">
        <v>4</v>
      </c>
      <c r="F495" s="34" t="s">
        <v>3450</v>
      </c>
      <c r="G495" s="54">
        <v>1922919293</v>
      </c>
      <c r="H495" s="54" t="s">
        <v>229</v>
      </c>
      <c r="I495" s="54" t="s">
        <v>3514</v>
      </c>
      <c r="J495" s="34" t="s">
        <v>3421</v>
      </c>
      <c r="K495" s="50">
        <v>130000</v>
      </c>
      <c r="L495" s="43">
        <v>64400</v>
      </c>
      <c r="M495" s="44">
        <f t="shared" si="40"/>
        <v>0.49538461538461537</v>
      </c>
      <c r="N495" s="49">
        <f>ROUND(L495/Summary!$C$3*Summary!$C$2,0)</f>
        <v>199640</v>
      </c>
      <c r="O495" s="44">
        <f t="shared" si="41"/>
        <v>1.5356923076923077</v>
      </c>
      <c r="P495" s="78">
        <v>10</v>
      </c>
      <c r="Q495" s="34">
        <v>6</v>
      </c>
      <c r="R495" s="35">
        <f t="shared" si="42"/>
        <v>0.6</v>
      </c>
      <c r="S495" s="49">
        <f>ROUND(Q495/Summary!$C$3*Summary!$C$2,0)</f>
        <v>19</v>
      </c>
      <c r="T495" s="44">
        <f t="shared" si="43"/>
        <v>1.9</v>
      </c>
      <c r="U495" s="34">
        <v>0</v>
      </c>
      <c r="V495" s="34">
        <v>4</v>
      </c>
      <c r="W495" s="34">
        <v>0</v>
      </c>
      <c r="X495" s="34">
        <v>0</v>
      </c>
    </row>
    <row r="496" spans="1:24" hidden="1">
      <c r="A496" s="34" t="s">
        <v>2088</v>
      </c>
      <c r="B496" s="34" t="s">
        <v>2089</v>
      </c>
      <c r="C496" s="34" t="s">
        <v>56</v>
      </c>
      <c r="D496" s="34" t="s">
        <v>61</v>
      </c>
      <c r="E496" s="34" t="s">
        <v>4</v>
      </c>
      <c r="F496" s="34" t="s">
        <v>2090</v>
      </c>
      <c r="G496" s="54">
        <v>1722902429</v>
      </c>
      <c r="H496" s="54" t="s">
        <v>229</v>
      </c>
      <c r="I496" s="54" t="s">
        <v>3514</v>
      </c>
      <c r="J496" s="34" t="s">
        <v>3419</v>
      </c>
      <c r="K496" s="50">
        <v>171808</v>
      </c>
      <c r="L496" s="43">
        <v>10530</v>
      </c>
      <c r="M496" s="44">
        <f t="shared" si="40"/>
        <v>6.1289346246973367E-2</v>
      </c>
      <c r="N496" s="49">
        <f>ROUND(L496/Summary!$C$3*Summary!$C$2,0)</f>
        <v>32643</v>
      </c>
      <c r="O496" s="44">
        <f t="shared" si="41"/>
        <v>0.18999697336561744</v>
      </c>
      <c r="P496" s="78">
        <v>10</v>
      </c>
      <c r="Q496" s="34">
        <v>0</v>
      </c>
      <c r="R496" s="35">
        <f t="shared" si="42"/>
        <v>0</v>
      </c>
      <c r="S496" s="49">
        <f>ROUND(Q496/Summary!$C$3*Summary!$C$2,0)</f>
        <v>0</v>
      </c>
      <c r="T496" s="44">
        <f t="shared" si="43"/>
        <v>0</v>
      </c>
      <c r="U496" s="34">
        <v>1</v>
      </c>
      <c r="V496" s="34">
        <v>0</v>
      </c>
      <c r="W496" s="34">
        <v>0</v>
      </c>
      <c r="X496" s="34">
        <v>0</v>
      </c>
    </row>
    <row r="497" spans="1:24" hidden="1">
      <c r="A497" s="34" t="s">
        <v>2072</v>
      </c>
      <c r="B497" s="34" t="s">
        <v>2073</v>
      </c>
      <c r="C497" s="34" t="s">
        <v>56</v>
      </c>
      <c r="D497" s="34" t="s">
        <v>61</v>
      </c>
      <c r="E497" s="34" t="s">
        <v>4</v>
      </c>
      <c r="F497" s="34" t="s">
        <v>2074</v>
      </c>
      <c r="G497" s="54">
        <v>1929435911</v>
      </c>
      <c r="H497" s="54" t="s">
        <v>229</v>
      </c>
      <c r="I497" s="54" t="s">
        <v>3514</v>
      </c>
      <c r="J497" s="34" t="s">
        <v>3419</v>
      </c>
      <c r="K497" s="50">
        <v>290002</v>
      </c>
      <c r="L497" s="43">
        <v>58800</v>
      </c>
      <c r="M497" s="44">
        <f t="shared" si="40"/>
        <v>0.20275722236398369</v>
      </c>
      <c r="N497" s="49">
        <f>ROUND(L497/Summary!$C$3*Summary!$C$2,0)</f>
        <v>182280</v>
      </c>
      <c r="O497" s="44">
        <f t="shared" si="41"/>
        <v>0.62854738932834942</v>
      </c>
      <c r="P497" s="78">
        <v>19</v>
      </c>
      <c r="Q497" s="34">
        <v>3</v>
      </c>
      <c r="R497" s="35">
        <f t="shared" si="42"/>
        <v>0.15789473684210525</v>
      </c>
      <c r="S497" s="49">
        <f>ROUND(Q497/Summary!$C$3*Summary!$C$2,0)</f>
        <v>9</v>
      </c>
      <c r="T497" s="44">
        <f t="shared" si="43"/>
        <v>0.47368421052631576</v>
      </c>
      <c r="U497" s="34">
        <v>2</v>
      </c>
      <c r="V497" s="34">
        <v>1</v>
      </c>
      <c r="W497" s="34">
        <v>0</v>
      </c>
      <c r="X497" s="34">
        <v>0</v>
      </c>
    </row>
    <row r="498" spans="1:24" hidden="1">
      <c r="A498" s="34" t="s">
        <v>2069</v>
      </c>
      <c r="B498" s="34" t="s">
        <v>2070</v>
      </c>
      <c r="C498" s="34" t="s">
        <v>56</v>
      </c>
      <c r="D498" s="34" t="s">
        <v>61</v>
      </c>
      <c r="E498" s="34" t="s">
        <v>4</v>
      </c>
      <c r="F498" s="34" t="s">
        <v>2071</v>
      </c>
      <c r="G498" s="54">
        <v>1722636444</v>
      </c>
      <c r="H498" s="54" t="s">
        <v>229</v>
      </c>
      <c r="I498" s="54" t="s">
        <v>3514</v>
      </c>
      <c r="J498" s="34" t="s">
        <v>3515</v>
      </c>
      <c r="K498" s="50">
        <v>154696</v>
      </c>
      <c r="L498" s="43">
        <v>74605</v>
      </c>
      <c r="M498" s="44">
        <f t="shared" si="40"/>
        <v>0.48226844908724209</v>
      </c>
      <c r="N498" s="49">
        <f>ROUND(L498/Summary!$C$3*Summary!$C$2,0)</f>
        <v>231276</v>
      </c>
      <c r="O498" s="44">
        <f t="shared" si="41"/>
        <v>1.4950354243160779</v>
      </c>
      <c r="P498" s="78">
        <v>10</v>
      </c>
      <c r="Q498" s="34">
        <v>3</v>
      </c>
      <c r="R498" s="35">
        <f t="shared" si="42"/>
        <v>0.3</v>
      </c>
      <c r="S498" s="49">
        <f>ROUND(Q498/Summary!$C$3*Summary!$C$2,0)</f>
        <v>9</v>
      </c>
      <c r="T498" s="44">
        <f t="shared" si="43"/>
        <v>0.9</v>
      </c>
      <c r="U498" s="34">
        <v>2</v>
      </c>
      <c r="V498" s="34">
        <v>0</v>
      </c>
      <c r="W498" s="34">
        <v>0</v>
      </c>
      <c r="X498" s="34">
        <v>0</v>
      </c>
    </row>
    <row r="499" spans="1:24" hidden="1">
      <c r="A499" s="34" t="s">
        <v>2066</v>
      </c>
      <c r="B499" s="34" t="s">
        <v>2067</v>
      </c>
      <c r="C499" s="34" t="s">
        <v>56</v>
      </c>
      <c r="D499" s="34" t="s">
        <v>61</v>
      </c>
      <c r="E499" s="34" t="s">
        <v>4</v>
      </c>
      <c r="F499" s="34" t="s">
        <v>2068</v>
      </c>
      <c r="G499" s="54">
        <v>1876349649</v>
      </c>
      <c r="H499" s="54" t="s">
        <v>229</v>
      </c>
      <c r="I499" s="54" t="s">
        <v>3514</v>
      </c>
      <c r="J499" s="34" t="s">
        <v>3419</v>
      </c>
      <c r="K499" s="50">
        <v>248409</v>
      </c>
      <c r="L499" s="43">
        <v>84570</v>
      </c>
      <c r="M499" s="44">
        <f t="shared" si="40"/>
        <v>0.34044660217624967</v>
      </c>
      <c r="N499" s="49">
        <f>ROUND(L499/Summary!$C$3*Summary!$C$2,0)</f>
        <v>262167</v>
      </c>
      <c r="O499" s="44">
        <f t="shared" si="41"/>
        <v>1.0553844667463739</v>
      </c>
      <c r="P499" s="78">
        <v>17</v>
      </c>
      <c r="Q499" s="34">
        <v>7</v>
      </c>
      <c r="R499" s="35">
        <f t="shared" si="42"/>
        <v>0.41176470588235292</v>
      </c>
      <c r="S499" s="49">
        <f>ROUND(Q499/Summary!$C$3*Summary!$C$2,0)</f>
        <v>22</v>
      </c>
      <c r="T499" s="44">
        <f t="shared" si="43"/>
        <v>1.2941176470588236</v>
      </c>
      <c r="U499" s="34">
        <v>1</v>
      </c>
      <c r="V499" s="34">
        <v>2</v>
      </c>
      <c r="W499" s="34">
        <v>0</v>
      </c>
      <c r="X499" s="34">
        <v>0</v>
      </c>
    </row>
    <row r="500" spans="1:24" hidden="1">
      <c r="A500" s="34" t="s">
        <v>2057</v>
      </c>
      <c r="B500" s="34" t="s">
        <v>2058</v>
      </c>
      <c r="C500" s="34" t="s">
        <v>56</v>
      </c>
      <c r="D500" s="34" t="s">
        <v>61</v>
      </c>
      <c r="E500" s="34" t="s">
        <v>4</v>
      </c>
      <c r="F500" s="34" t="s">
        <v>2059</v>
      </c>
      <c r="G500" s="54">
        <v>1993484749</v>
      </c>
      <c r="H500" s="54" t="s">
        <v>229</v>
      </c>
      <c r="I500" s="54" t="s">
        <v>3514</v>
      </c>
      <c r="J500" s="34" t="s">
        <v>3421</v>
      </c>
      <c r="K500" s="50">
        <v>130000</v>
      </c>
      <c r="L500" s="43">
        <v>45770</v>
      </c>
      <c r="M500" s="44">
        <f t="shared" si="40"/>
        <v>0.35207692307692307</v>
      </c>
      <c r="N500" s="49">
        <f>ROUND(L500/Summary!$C$3*Summary!$C$2,0)</f>
        <v>141887</v>
      </c>
      <c r="O500" s="44">
        <f t="shared" si="41"/>
        <v>1.0914384615384616</v>
      </c>
      <c r="P500" s="78">
        <v>10</v>
      </c>
      <c r="Q500" s="34">
        <v>2</v>
      </c>
      <c r="R500" s="35">
        <f t="shared" si="42"/>
        <v>0.2</v>
      </c>
      <c r="S500" s="49">
        <f>ROUND(Q500/Summary!$C$3*Summary!$C$2,0)</f>
        <v>6</v>
      </c>
      <c r="T500" s="44">
        <f t="shared" si="43"/>
        <v>0.6</v>
      </c>
      <c r="U500" s="34">
        <v>0</v>
      </c>
      <c r="V500" s="34">
        <v>0</v>
      </c>
      <c r="W500" s="34">
        <v>0</v>
      </c>
      <c r="X500" s="34">
        <v>0</v>
      </c>
    </row>
    <row r="501" spans="1:24" hidden="1">
      <c r="A501" s="34" t="s">
        <v>2063</v>
      </c>
      <c r="B501" s="34" t="s">
        <v>2064</v>
      </c>
      <c r="C501" s="34" t="s">
        <v>56</v>
      </c>
      <c r="D501" s="34" t="s">
        <v>61</v>
      </c>
      <c r="E501" s="34" t="s">
        <v>4</v>
      </c>
      <c r="F501" s="34" t="s">
        <v>2065</v>
      </c>
      <c r="G501" s="54">
        <v>1744545248</v>
      </c>
      <c r="H501" s="54" t="s">
        <v>229</v>
      </c>
      <c r="I501" s="54" t="s">
        <v>3514</v>
      </c>
      <c r="J501" s="34" t="s">
        <v>3421</v>
      </c>
      <c r="K501" s="50">
        <v>201957</v>
      </c>
      <c r="L501" s="43">
        <v>72220</v>
      </c>
      <c r="M501" s="44">
        <f t="shared" si="40"/>
        <v>0.35760087543387947</v>
      </c>
      <c r="N501" s="49">
        <f>ROUND(L501/Summary!$C$3*Summary!$C$2,0)</f>
        <v>223882</v>
      </c>
      <c r="O501" s="44">
        <f t="shared" si="41"/>
        <v>1.1085627138450265</v>
      </c>
      <c r="P501" s="78">
        <v>13</v>
      </c>
      <c r="Q501" s="34">
        <v>4</v>
      </c>
      <c r="R501" s="35">
        <f t="shared" si="42"/>
        <v>0.30769230769230771</v>
      </c>
      <c r="S501" s="49">
        <f>ROUND(Q501/Summary!$C$3*Summary!$C$2,0)</f>
        <v>12</v>
      </c>
      <c r="T501" s="44">
        <f t="shared" si="43"/>
        <v>0.92307692307692313</v>
      </c>
      <c r="U501" s="34">
        <v>3</v>
      </c>
      <c r="V501" s="34">
        <v>4</v>
      </c>
      <c r="W501" s="34">
        <v>0</v>
      </c>
      <c r="X501" s="34">
        <v>0</v>
      </c>
    </row>
    <row r="502" spans="1:24" hidden="1">
      <c r="A502" s="34" t="s">
        <v>2085</v>
      </c>
      <c r="B502" s="34" t="s">
        <v>2086</v>
      </c>
      <c r="C502" s="34" t="s">
        <v>56</v>
      </c>
      <c r="D502" s="34" t="s">
        <v>61</v>
      </c>
      <c r="E502" s="34" t="s">
        <v>4</v>
      </c>
      <c r="F502" s="34" t="s">
        <v>2087</v>
      </c>
      <c r="G502" s="54">
        <v>1760663388</v>
      </c>
      <c r="H502" s="54" t="s">
        <v>229</v>
      </c>
      <c r="I502" s="54" t="s">
        <v>3514</v>
      </c>
      <c r="J502" s="34" t="s">
        <v>3419</v>
      </c>
      <c r="K502" s="50">
        <v>229288</v>
      </c>
      <c r="L502" s="43">
        <v>101250</v>
      </c>
      <c r="M502" s="44">
        <f t="shared" si="40"/>
        <v>0.44158438295942221</v>
      </c>
      <c r="N502" s="49">
        <f>ROUND(L502/Summary!$C$3*Summary!$C$2,0)</f>
        <v>313875</v>
      </c>
      <c r="O502" s="44">
        <f t="shared" si="41"/>
        <v>1.3689115871742088</v>
      </c>
      <c r="P502" s="78">
        <v>12</v>
      </c>
      <c r="Q502" s="34">
        <v>8</v>
      </c>
      <c r="R502" s="35">
        <f t="shared" si="42"/>
        <v>0.66666666666666663</v>
      </c>
      <c r="S502" s="49">
        <f>ROUND(Q502/Summary!$C$3*Summary!$C$2,0)</f>
        <v>25</v>
      </c>
      <c r="T502" s="44">
        <f t="shared" si="43"/>
        <v>2.0833333333333335</v>
      </c>
      <c r="U502" s="34">
        <v>3</v>
      </c>
      <c r="V502" s="34">
        <v>2</v>
      </c>
      <c r="W502" s="34">
        <v>1</v>
      </c>
      <c r="X502" s="34">
        <v>0</v>
      </c>
    </row>
    <row r="503" spans="1:24" hidden="1">
      <c r="A503" s="34" t="s">
        <v>2055</v>
      </c>
      <c r="B503" s="34" t="s">
        <v>1502</v>
      </c>
      <c r="C503" s="34" t="s">
        <v>56</v>
      </c>
      <c r="D503" s="34" t="s">
        <v>61</v>
      </c>
      <c r="E503" s="34" t="s">
        <v>4</v>
      </c>
      <c r="F503" s="34" t="s">
        <v>2056</v>
      </c>
      <c r="G503" s="54">
        <v>1917226577</v>
      </c>
      <c r="H503" s="54" t="s">
        <v>229</v>
      </c>
      <c r="I503" s="54" t="s">
        <v>3514</v>
      </c>
      <c r="J503" s="34" t="s">
        <v>3421</v>
      </c>
      <c r="K503" s="50">
        <v>163892</v>
      </c>
      <c r="L503" s="43">
        <v>33685</v>
      </c>
      <c r="M503" s="44">
        <f t="shared" si="40"/>
        <v>0.20553169160178655</v>
      </c>
      <c r="N503" s="49">
        <f>ROUND(L503/Summary!$C$3*Summary!$C$2,0)</f>
        <v>104424</v>
      </c>
      <c r="O503" s="44">
        <f t="shared" si="41"/>
        <v>0.63715129475508259</v>
      </c>
      <c r="P503" s="78">
        <v>10</v>
      </c>
      <c r="Q503" s="34">
        <v>3</v>
      </c>
      <c r="R503" s="35">
        <f t="shared" si="42"/>
        <v>0.3</v>
      </c>
      <c r="S503" s="49">
        <f>ROUND(Q503/Summary!$C$3*Summary!$C$2,0)</f>
        <v>9</v>
      </c>
      <c r="T503" s="44">
        <f t="shared" si="43"/>
        <v>0.9</v>
      </c>
      <c r="U503" s="34">
        <v>0</v>
      </c>
      <c r="V503" s="34">
        <v>1</v>
      </c>
      <c r="W503" s="34">
        <v>0</v>
      </c>
      <c r="X503" s="34">
        <v>0</v>
      </c>
    </row>
    <row r="504" spans="1:24" hidden="1">
      <c r="A504" s="34" t="s">
        <v>2075</v>
      </c>
      <c r="B504" s="34" t="s">
        <v>368</v>
      </c>
      <c r="C504" s="34" t="s">
        <v>56</v>
      </c>
      <c r="D504" s="34" t="s">
        <v>61</v>
      </c>
      <c r="E504" s="34" t="s">
        <v>4</v>
      </c>
      <c r="F504" s="34" t="s">
        <v>2076</v>
      </c>
      <c r="G504" s="54">
        <v>1777204039</v>
      </c>
      <c r="H504" s="54" t="s">
        <v>229</v>
      </c>
      <c r="I504" s="54" t="s">
        <v>3514</v>
      </c>
      <c r="J504" s="34" t="s">
        <v>3515</v>
      </c>
      <c r="K504" s="50">
        <v>176739</v>
      </c>
      <c r="L504" s="43">
        <v>16470</v>
      </c>
      <c r="M504" s="44">
        <f t="shared" si="40"/>
        <v>9.318826065554292E-2</v>
      </c>
      <c r="N504" s="49">
        <f>ROUND(L504/Summary!$C$3*Summary!$C$2,0)</f>
        <v>51057</v>
      </c>
      <c r="O504" s="44">
        <f t="shared" si="41"/>
        <v>0.28888360803218305</v>
      </c>
      <c r="P504" s="78">
        <v>10</v>
      </c>
      <c r="Q504" s="34">
        <v>0</v>
      </c>
      <c r="R504" s="35">
        <f t="shared" si="42"/>
        <v>0</v>
      </c>
      <c r="S504" s="49">
        <f>ROUND(Q504/Summary!$C$3*Summary!$C$2,0)</f>
        <v>0</v>
      </c>
      <c r="T504" s="44">
        <f t="shared" si="43"/>
        <v>0</v>
      </c>
      <c r="U504" s="34">
        <v>1</v>
      </c>
      <c r="V504" s="34">
        <v>0</v>
      </c>
      <c r="W504" s="34">
        <v>0</v>
      </c>
      <c r="X504" s="34">
        <v>0</v>
      </c>
    </row>
    <row r="505" spans="1:24" hidden="1">
      <c r="A505" s="34" t="s">
        <v>2077</v>
      </c>
      <c r="B505" s="34" t="s">
        <v>2078</v>
      </c>
      <c r="C505" s="34" t="s">
        <v>56</v>
      </c>
      <c r="D505" s="34" t="s">
        <v>61</v>
      </c>
      <c r="E505" s="34" t="s">
        <v>4</v>
      </c>
      <c r="F505" s="34" t="s">
        <v>829</v>
      </c>
      <c r="G505" s="54">
        <v>1918511818</v>
      </c>
      <c r="H505" s="54" t="s">
        <v>229</v>
      </c>
      <c r="I505" s="54" t="s">
        <v>3514</v>
      </c>
      <c r="J505" s="34" t="s">
        <v>3419</v>
      </c>
      <c r="K505" s="50">
        <v>219815</v>
      </c>
      <c r="L505" s="43">
        <v>52960</v>
      </c>
      <c r="M505" s="44">
        <f t="shared" si="40"/>
        <v>0.24092987284762185</v>
      </c>
      <c r="N505" s="49">
        <f>ROUND(L505/Summary!$C$3*Summary!$C$2,0)</f>
        <v>164176</v>
      </c>
      <c r="O505" s="44">
        <f t="shared" si="41"/>
        <v>0.74688260582762778</v>
      </c>
      <c r="P505" s="78">
        <v>12</v>
      </c>
      <c r="Q505" s="34">
        <v>4</v>
      </c>
      <c r="R505" s="35">
        <f t="shared" si="42"/>
        <v>0.33333333333333331</v>
      </c>
      <c r="S505" s="49">
        <f>ROUND(Q505/Summary!$C$3*Summary!$C$2,0)</f>
        <v>12</v>
      </c>
      <c r="T505" s="44">
        <f t="shared" si="43"/>
        <v>1</v>
      </c>
      <c r="U505" s="34">
        <v>0</v>
      </c>
      <c r="V505" s="34">
        <v>1</v>
      </c>
      <c r="W505" s="34">
        <v>0</v>
      </c>
      <c r="X505" s="34">
        <v>0</v>
      </c>
    </row>
    <row r="506" spans="1:24" hidden="1">
      <c r="A506" s="34" t="s">
        <v>3582</v>
      </c>
      <c r="B506" s="34" t="s">
        <v>3583</v>
      </c>
      <c r="C506" s="34" t="s">
        <v>3584</v>
      </c>
      <c r="D506" s="34" t="s">
        <v>80</v>
      </c>
      <c r="E506" s="34" t="s">
        <v>4</v>
      </c>
      <c r="F506" s="34" t="s">
        <v>3585</v>
      </c>
      <c r="G506" s="54">
        <v>1910328686</v>
      </c>
      <c r="H506" s="54" t="s">
        <v>229</v>
      </c>
      <c r="I506" s="54" t="s">
        <v>3514</v>
      </c>
      <c r="J506" s="34" t="s">
        <v>3515</v>
      </c>
      <c r="K506" s="50">
        <v>145000</v>
      </c>
      <c r="L506" s="43">
        <v>72170</v>
      </c>
      <c r="M506" s="44">
        <f t="shared" si="40"/>
        <v>0.49772413793103448</v>
      </c>
      <c r="N506" s="49">
        <f>ROUND(L506/Summary!$C$3*Summary!$C$2,0)</f>
        <v>223727</v>
      </c>
      <c r="O506" s="44">
        <f t="shared" si="41"/>
        <v>1.542944827586207</v>
      </c>
      <c r="P506" s="78">
        <v>10</v>
      </c>
      <c r="Q506" s="34">
        <v>2</v>
      </c>
      <c r="R506" s="35">
        <f t="shared" si="42"/>
        <v>0.2</v>
      </c>
      <c r="S506" s="49">
        <f>ROUND(Q506/Summary!$C$3*Summary!$C$2,0)</f>
        <v>6</v>
      </c>
      <c r="T506" s="44">
        <f t="shared" si="43"/>
        <v>0.6</v>
      </c>
      <c r="U506" s="34">
        <v>2</v>
      </c>
      <c r="V506" s="34">
        <v>0</v>
      </c>
      <c r="W506" s="34">
        <v>0</v>
      </c>
      <c r="X506" s="34">
        <v>0</v>
      </c>
    </row>
    <row r="507" spans="1:24" hidden="1">
      <c r="A507" s="34" t="s">
        <v>3586</v>
      </c>
      <c r="B507" s="34" t="s">
        <v>3587</v>
      </c>
      <c r="C507" s="34" t="s">
        <v>3584</v>
      </c>
      <c r="D507" s="34" t="s">
        <v>80</v>
      </c>
      <c r="E507" s="34" t="s">
        <v>4</v>
      </c>
      <c r="F507" s="34" t="s">
        <v>3588</v>
      </c>
      <c r="G507" s="54">
        <v>1724949494</v>
      </c>
      <c r="H507" s="54" t="s">
        <v>229</v>
      </c>
      <c r="I507" s="54" t="s">
        <v>3514</v>
      </c>
      <c r="J507" s="34" t="s">
        <v>3419</v>
      </c>
      <c r="K507" s="50">
        <v>201000</v>
      </c>
      <c r="L507" s="43">
        <v>59640</v>
      </c>
      <c r="M507" s="44">
        <f t="shared" si="40"/>
        <v>0.29671641791044778</v>
      </c>
      <c r="N507" s="49">
        <f>ROUND(L507/Summary!$C$3*Summary!$C$2,0)</f>
        <v>184884</v>
      </c>
      <c r="O507" s="44">
        <f t="shared" si="41"/>
        <v>0.9198208955223881</v>
      </c>
      <c r="P507" s="78">
        <v>10</v>
      </c>
      <c r="Q507" s="34">
        <v>0</v>
      </c>
      <c r="R507" s="35">
        <f t="shared" si="42"/>
        <v>0</v>
      </c>
      <c r="S507" s="49">
        <f>ROUND(Q507/Summary!$C$3*Summary!$C$2,0)</f>
        <v>0</v>
      </c>
      <c r="T507" s="44">
        <f t="shared" si="43"/>
        <v>0</v>
      </c>
      <c r="U507" s="34">
        <v>8</v>
      </c>
      <c r="V507" s="34">
        <v>0</v>
      </c>
      <c r="W507" s="34">
        <v>0</v>
      </c>
      <c r="X507" s="34">
        <v>0</v>
      </c>
    </row>
    <row r="508" spans="1:24" hidden="1">
      <c r="A508" s="34" t="s">
        <v>3589</v>
      </c>
      <c r="B508" s="34" t="s">
        <v>1696</v>
      </c>
      <c r="C508" s="34" t="s">
        <v>3584</v>
      </c>
      <c r="D508" s="34" t="s">
        <v>80</v>
      </c>
      <c r="E508" s="34" t="s">
        <v>4</v>
      </c>
      <c r="F508" s="34" t="s">
        <v>3590</v>
      </c>
      <c r="G508" s="54">
        <v>1811717469</v>
      </c>
      <c r="H508" s="54" t="s">
        <v>229</v>
      </c>
      <c r="I508" s="54" t="s">
        <v>3514</v>
      </c>
      <c r="J508" s="34" t="s">
        <v>3421</v>
      </c>
      <c r="K508" s="50">
        <v>130000</v>
      </c>
      <c r="L508" s="43">
        <v>23110</v>
      </c>
      <c r="M508" s="44">
        <f t="shared" si="40"/>
        <v>0.17776923076923076</v>
      </c>
      <c r="N508" s="49">
        <f>ROUND(L508/Summary!$C$3*Summary!$C$2,0)</f>
        <v>71641</v>
      </c>
      <c r="O508" s="44">
        <f t="shared" si="41"/>
        <v>0.55108461538461539</v>
      </c>
      <c r="P508" s="78">
        <v>10</v>
      </c>
      <c r="Q508" s="34">
        <v>1</v>
      </c>
      <c r="R508" s="35">
        <f t="shared" si="42"/>
        <v>0.1</v>
      </c>
      <c r="S508" s="49">
        <f>ROUND(Q508/Summary!$C$3*Summary!$C$2,0)</f>
        <v>3</v>
      </c>
      <c r="T508" s="44">
        <f t="shared" si="43"/>
        <v>0.3</v>
      </c>
      <c r="U508" s="34">
        <v>0</v>
      </c>
      <c r="V508" s="34">
        <v>0</v>
      </c>
      <c r="W508" s="34">
        <v>0</v>
      </c>
      <c r="X508" s="34">
        <v>0</v>
      </c>
    </row>
    <row r="509" spans="1:24" hidden="1">
      <c r="A509" s="34" t="s">
        <v>3591</v>
      </c>
      <c r="B509" s="34" t="s">
        <v>3592</v>
      </c>
      <c r="C509" s="34" t="s">
        <v>3584</v>
      </c>
      <c r="D509" s="34" t="s">
        <v>80</v>
      </c>
      <c r="E509" s="34" t="s">
        <v>4</v>
      </c>
      <c r="F509" s="34" t="s">
        <v>3593</v>
      </c>
      <c r="G509" s="54">
        <v>1719915153</v>
      </c>
      <c r="H509" s="54" t="s">
        <v>229</v>
      </c>
      <c r="I509" s="54" t="s">
        <v>3514</v>
      </c>
      <c r="J509" s="34" t="s">
        <v>3421</v>
      </c>
      <c r="K509" s="50">
        <v>130000</v>
      </c>
      <c r="L509" s="43">
        <v>15020</v>
      </c>
      <c r="M509" s="44">
        <f t="shared" si="40"/>
        <v>0.11553846153846153</v>
      </c>
      <c r="N509" s="49">
        <f>ROUND(L509/Summary!$C$3*Summary!$C$2,0)</f>
        <v>46562</v>
      </c>
      <c r="O509" s="44">
        <f t="shared" si="41"/>
        <v>0.3581692307692308</v>
      </c>
      <c r="P509" s="78">
        <v>10</v>
      </c>
      <c r="Q509" s="34">
        <v>0</v>
      </c>
      <c r="R509" s="35">
        <f t="shared" si="42"/>
        <v>0</v>
      </c>
      <c r="S509" s="49">
        <f>ROUND(Q509/Summary!$C$3*Summary!$C$2,0)</f>
        <v>0</v>
      </c>
      <c r="T509" s="44">
        <f t="shared" si="43"/>
        <v>0</v>
      </c>
      <c r="U509" s="34">
        <v>0</v>
      </c>
      <c r="V509" s="34">
        <v>0</v>
      </c>
      <c r="W509" s="34">
        <v>0</v>
      </c>
      <c r="X509" s="34">
        <v>0</v>
      </c>
    </row>
    <row r="510" spans="1:24" hidden="1">
      <c r="A510" s="34" t="s">
        <v>3594</v>
      </c>
      <c r="B510" s="34" t="s">
        <v>2018</v>
      </c>
      <c r="C510" s="34" t="s">
        <v>3584</v>
      </c>
      <c r="D510" s="34" t="s">
        <v>80</v>
      </c>
      <c r="E510" s="34" t="s">
        <v>4</v>
      </c>
      <c r="F510" s="34" t="s">
        <v>3595</v>
      </c>
      <c r="G510" s="54">
        <v>1768991147</v>
      </c>
      <c r="H510" s="54" t="s">
        <v>229</v>
      </c>
      <c r="I510" s="54" t="s">
        <v>3514</v>
      </c>
      <c r="J510" s="34" t="s">
        <v>3419</v>
      </c>
      <c r="K510" s="50">
        <v>130000</v>
      </c>
      <c r="L510" s="43">
        <v>26095</v>
      </c>
      <c r="M510" s="44">
        <f t="shared" si="40"/>
        <v>0.20073076923076924</v>
      </c>
      <c r="N510" s="49">
        <f>ROUND(L510/Summary!$C$3*Summary!$C$2,0)</f>
        <v>80895</v>
      </c>
      <c r="O510" s="44">
        <f t="shared" si="41"/>
        <v>0.6222692307692308</v>
      </c>
      <c r="P510" s="78">
        <v>10</v>
      </c>
      <c r="Q510" s="34">
        <v>2</v>
      </c>
      <c r="R510" s="35">
        <f t="shared" si="42"/>
        <v>0.2</v>
      </c>
      <c r="S510" s="49">
        <f>ROUND(Q510/Summary!$C$3*Summary!$C$2,0)</f>
        <v>6</v>
      </c>
      <c r="T510" s="44">
        <f t="shared" si="43"/>
        <v>0.6</v>
      </c>
      <c r="U510" s="34">
        <v>0</v>
      </c>
      <c r="V510" s="34">
        <v>0</v>
      </c>
      <c r="W510" s="34">
        <v>0</v>
      </c>
      <c r="X510" s="34">
        <v>0</v>
      </c>
    </row>
    <row r="511" spans="1:24" hidden="1">
      <c r="A511" s="34" t="s">
        <v>3250</v>
      </c>
      <c r="B511" s="34" t="s">
        <v>3251</v>
      </c>
      <c r="C511" s="34" t="s">
        <v>84</v>
      </c>
      <c r="D511" s="34" t="s">
        <v>80</v>
      </c>
      <c r="E511" s="34" t="s">
        <v>4</v>
      </c>
      <c r="F511" s="34" t="s">
        <v>3252</v>
      </c>
      <c r="G511" s="54">
        <v>1723199177</v>
      </c>
      <c r="H511" s="54" t="s">
        <v>229</v>
      </c>
      <c r="I511" s="54" t="s">
        <v>3514</v>
      </c>
      <c r="J511" s="34" t="s">
        <v>3421</v>
      </c>
      <c r="K511" s="50">
        <v>130000</v>
      </c>
      <c r="L511" s="43">
        <v>27300</v>
      </c>
      <c r="M511" s="44">
        <f t="shared" si="40"/>
        <v>0.21</v>
      </c>
      <c r="N511" s="49">
        <f>ROUND(L511/Summary!$C$3*Summary!$C$2,0)</f>
        <v>84630</v>
      </c>
      <c r="O511" s="44">
        <f t="shared" si="41"/>
        <v>0.65100000000000002</v>
      </c>
      <c r="P511" s="78">
        <v>10</v>
      </c>
      <c r="Q511" s="34">
        <v>0</v>
      </c>
      <c r="R511" s="35">
        <f t="shared" si="42"/>
        <v>0</v>
      </c>
      <c r="S511" s="49">
        <f>ROUND(Q511/Summary!$C$3*Summary!$C$2,0)</f>
        <v>0</v>
      </c>
      <c r="T511" s="44">
        <f t="shared" si="43"/>
        <v>0</v>
      </c>
      <c r="U511" s="34">
        <v>2</v>
      </c>
      <c r="V511" s="34">
        <v>0</v>
      </c>
      <c r="W511" s="34">
        <v>0</v>
      </c>
      <c r="X511" s="34">
        <v>0</v>
      </c>
    </row>
    <row r="512" spans="1:24" hidden="1">
      <c r="A512" s="34" t="s">
        <v>2111</v>
      </c>
      <c r="B512" s="34" t="s">
        <v>2112</v>
      </c>
      <c r="C512" s="34" t="s">
        <v>84</v>
      </c>
      <c r="D512" s="34" t="s">
        <v>80</v>
      </c>
      <c r="E512" s="34" t="s">
        <v>4</v>
      </c>
      <c r="F512" s="34" t="s">
        <v>2113</v>
      </c>
      <c r="G512" s="54">
        <v>1767489191</v>
      </c>
      <c r="H512" s="54" t="s">
        <v>229</v>
      </c>
      <c r="I512" s="54" t="s">
        <v>3514</v>
      </c>
      <c r="J512" s="34" t="s">
        <v>3419</v>
      </c>
      <c r="K512" s="50">
        <v>150000</v>
      </c>
      <c r="L512" s="43">
        <v>39180</v>
      </c>
      <c r="M512" s="44">
        <f t="shared" si="40"/>
        <v>0.26119999999999999</v>
      </c>
      <c r="N512" s="49">
        <f>ROUND(L512/Summary!$C$3*Summary!$C$2,0)</f>
        <v>121458</v>
      </c>
      <c r="O512" s="44">
        <f t="shared" si="41"/>
        <v>0.80972</v>
      </c>
      <c r="P512" s="78">
        <v>12</v>
      </c>
      <c r="Q512" s="34">
        <v>1</v>
      </c>
      <c r="R512" s="35">
        <f t="shared" si="42"/>
        <v>8.3333333333333329E-2</v>
      </c>
      <c r="S512" s="49">
        <f>ROUND(Q512/Summary!$C$3*Summary!$C$2,0)</f>
        <v>3</v>
      </c>
      <c r="T512" s="44">
        <f t="shared" si="43"/>
        <v>0.25</v>
      </c>
      <c r="U512" s="34">
        <v>1</v>
      </c>
      <c r="V512" s="34">
        <v>0</v>
      </c>
      <c r="W512" s="34">
        <v>0</v>
      </c>
      <c r="X512" s="34">
        <v>0</v>
      </c>
    </row>
    <row r="513" spans="1:24" hidden="1">
      <c r="A513" s="34" t="s">
        <v>2106</v>
      </c>
      <c r="B513" s="34" t="s">
        <v>2107</v>
      </c>
      <c r="C513" s="34" t="s">
        <v>84</v>
      </c>
      <c r="D513" s="34" t="s">
        <v>80</v>
      </c>
      <c r="E513" s="34" t="s">
        <v>4</v>
      </c>
      <c r="F513" s="34" t="s">
        <v>2108</v>
      </c>
      <c r="G513" s="54">
        <v>1711198118</v>
      </c>
      <c r="H513" s="54" t="s">
        <v>229</v>
      </c>
      <c r="I513" s="54" t="s">
        <v>3518</v>
      </c>
      <c r="J513" s="34" t="s">
        <v>3419</v>
      </c>
      <c r="K513" s="50">
        <v>301000</v>
      </c>
      <c r="L513" s="43">
        <v>27550</v>
      </c>
      <c r="M513" s="44">
        <f t="shared" si="40"/>
        <v>9.1528239202657805E-2</v>
      </c>
      <c r="N513" s="49">
        <f>ROUND(L513/Summary!$C$3*Summary!$C$2,0)</f>
        <v>85405</v>
      </c>
      <c r="O513" s="44">
        <f t="shared" si="41"/>
        <v>0.28373754152823921</v>
      </c>
      <c r="P513" s="78">
        <v>14</v>
      </c>
      <c r="Q513" s="34">
        <v>1</v>
      </c>
      <c r="R513" s="35">
        <f t="shared" si="42"/>
        <v>7.1428571428571425E-2</v>
      </c>
      <c r="S513" s="49">
        <f>ROUND(Q513/Summary!$C$3*Summary!$C$2,0)</f>
        <v>3</v>
      </c>
      <c r="T513" s="44">
        <f t="shared" si="43"/>
        <v>0.21428571428571427</v>
      </c>
      <c r="U513" s="34">
        <v>2</v>
      </c>
      <c r="V513" s="34">
        <v>1</v>
      </c>
      <c r="W513" s="34">
        <v>0</v>
      </c>
      <c r="X513" s="34">
        <v>0</v>
      </c>
    </row>
    <row r="514" spans="1:24" hidden="1">
      <c r="A514" s="34" t="s">
        <v>3253</v>
      </c>
      <c r="B514" s="34" t="s">
        <v>3254</v>
      </c>
      <c r="C514" s="34" t="s">
        <v>84</v>
      </c>
      <c r="D514" s="34" t="s">
        <v>80</v>
      </c>
      <c r="E514" s="34" t="s">
        <v>4</v>
      </c>
      <c r="F514" s="34" t="s">
        <v>3255</v>
      </c>
      <c r="G514" s="54">
        <v>1722898573</v>
      </c>
      <c r="H514" s="54" t="s">
        <v>229</v>
      </c>
      <c r="I514" s="54" t="s">
        <v>3514</v>
      </c>
      <c r="J514" s="34" t="s">
        <v>3515</v>
      </c>
      <c r="K514" s="50">
        <v>130000</v>
      </c>
      <c r="L514" s="43">
        <v>60830</v>
      </c>
      <c r="M514" s="44">
        <f t="shared" si="40"/>
        <v>0.46792307692307694</v>
      </c>
      <c r="N514" s="49">
        <f>ROUND(L514/Summary!$C$3*Summary!$C$2,0)</f>
        <v>188573</v>
      </c>
      <c r="O514" s="44">
        <f t="shared" si="41"/>
        <v>1.4505615384615385</v>
      </c>
      <c r="P514" s="78">
        <v>10</v>
      </c>
      <c r="Q514" s="34">
        <v>2</v>
      </c>
      <c r="R514" s="35">
        <f t="shared" si="42"/>
        <v>0.2</v>
      </c>
      <c r="S514" s="49">
        <f>ROUND(Q514/Summary!$C$3*Summary!$C$2,0)</f>
        <v>6</v>
      </c>
      <c r="T514" s="44">
        <f t="shared" si="43"/>
        <v>0.6</v>
      </c>
      <c r="U514" s="34">
        <v>1</v>
      </c>
      <c r="V514" s="34">
        <v>0</v>
      </c>
      <c r="W514" s="34">
        <v>0</v>
      </c>
      <c r="X514" s="34">
        <v>0</v>
      </c>
    </row>
    <row r="515" spans="1:24" hidden="1">
      <c r="A515" s="34" t="s">
        <v>2131</v>
      </c>
      <c r="B515" s="34" t="s">
        <v>2132</v>
      </c>
      <c r="C515" s="34" t="s">
        <v>84</v>
      </c>
      <c r="D515" s="34" t="s">
        <v>80</v>
      </c>
      <c r="E515" s="34" t="s">
        <v>4</v>
      </c>
      <c r="F515" s="34" t="s">
        <v>2133</v>
      </c>
      <c r="G515" s="54">
        <v>1711229268</v>
      </c>
      <c r="H515" s="54" t="s">
        <v>229</v>
      </c>
      <c r="I515" s="54" t="s">
        <v>3514</v>
      </c>
      <c r="J515" s="34" t="s">
        <v>3421</v>
      </c>
      <c r="K515" s="50">
        <v>180000</v>
      </c>
      <c r="L515" s="43">
        <v>27510</v>
      </c>
      <c r="M515" s="44">
        <f t="shared" si="40"/>
        <v>0.15283333333333332</v>
      </c>
      <c r="N515" s="49">
        <f>ROUND(L515/Summary!$C$3*Summary!$C$2,0)</f>
        <v>85281</v>
      </c>
      <c r="O515" s="44">
        <f t="shared" si="41"/>
        <v>0.47378333333333333</v>
      </c>
      <c r="P515" s="78">
        <v>17</v>
      </c>
      <c r="Q515" s="34">
        <v>2</v>
      </c>
      <c r="R515" s="35">
        <f t="shared" si="42"/>
        <v>0.11764705882352941</v>
      </c>
      <c r="S515" s="49">
        <f>ROUND(Q515/Summary!$C$3*Summary!$C$2,0)</f>
        <v>6</v>
      </c>
      <c r="T515" s="44">
        <f t="shared" si="43"/>
        <v>0.35294117647058826</v>
      </c>
      <c r="U515" s="34">
        <v>0</v>
      </c>
      <c r="V515" s="34">
        <v>1</v>
      </c>
      <c r="W515" s="34">
        <v>0</v>
      </c>
      <c r="X515" s="34">
        <v>1</v>
      </c>
    </row>
    <row r="516" spans="1:24" hidden="1">
      <c r="A516" s="34" t="s">
        <v>2125</v>
      </c>
      <c r="B516" s="34" t="s">
        <v>2126</v>
      </c>
      <c r="C516" s="34" t="s">
        <v>84</v>
      </c>
      <c r="D516" s="34" t="s">
        <v>80</v>
      </c>
      <c r="E516" s="34" t="s">
        <v>4</v>
      </c>
      <c r="F516" s="34" t="s">
        <v>2127</v>
      </c>
      <c r="G516" s="54">
        <v>1773868433</v>
      </c>
      <c r="H516" s="54" t="s">
        <v>229</v>
      </c>
      <c r="I516" s="54" t="s">
        <v>3514</v>
      </c>
      <c r="J516" s="34" t="s">
        <v>3515</v>
      </c>
      <c r="K516" s="50">
        <v>130000</v>
      </c>
      <c r="L516" s="43">
        <v>43480</v>
      </c>
      <c r="M516" s="44">
        <f t="shared" si="40"/>
        <v>0.33446153846153848</v>
      </c>
      <c r="N516" s="49">
        <f>ROUND(L516/Summary!$C$3*Summary!$C$2,0)</f>
        <v>134788</v>
      </c>
      <c r="O516" s="44">
        <f t="shared" si="41"/>
        <v>1.0368307692307692</v>
      </c>
      <c r="P516" s="78">
        <v>10</v>
      </c>
      <c r="Q516" s="34">
        <v>1</v>
      </c>
      <c r="R516" s="35">
        <f t="shared" si="42"/>
        <v>0.1</v>
      </c>
      <c r="S516" s="49">
        <f>ROUND(Q516/Summary!$C$3*Summary!$C$2,0)</f>
        <v>3</v>
      </c>
      <c r="T516" s="44">
        <f t="shared" si="43"/>
        <v>0.3</v>
      </c>
      <c r="U516" s="34">
        <v>1</v>
      </c>
      <c r="V516" s="34">
        <v>0</v>
      </c>
      <c r="W516" s="34">
        <v>0</v>
      </c>
      <c r="X516" s="34">
        <v>0</v>
      </c>
    </row>
    <row r="517" spans="1:24" hidden="1">
      <c r="A517" s="34" t="s">
        <v>3164</v>
      </c>
      <c r="B517" s="34" t="s">
        <v>3165</v>
      </c>
      <c r="C517" s="34" t="s">
        <v>84</v>
      </c>
      <c r="D517" s="34" t="s">
        <v>80</v>
      </c>
      <c r="E517" s="34" t="s">
        <v>4</v>
      </c>
      <c r="F517" s="34" t="s">
        <v>3166</v>
      </c>
      <c r="G517" s="54">
        <v>1819698107</v>
      </c>
      <c r="H517" s="54" t="s">
        <v>229</v>
      </c>
      <c r="I517" s="54" t="s">
        <v>3514</v>
      </c>
      <c r="J517" s="34" t="s">
        <v>3419</v>
      </c>
      <c r="K517" s="50">
        <v>151904</v>
      </c>
      <c r="L517" s="43">
        <v>64800</v>
      </c>
      <c r="M517" s="44">
        <f t="shared" si="40"/>
        <v>0.42658521171266062</v>
      </c>
      <c r="N517" s="49">
        <f>ROUND(L517/Summary!$C$3*Summary!$C$2,0)</f>
        <v>200880</v>
      </c>
      <c r="O517" s="44">
        <f t="shared" si="41"/>
        <v>1.322414156309248</v>
      </c>
      <c r="P517" s="78">
        <v>10</v>
      </c>
      <c r="Q517" s="34">
        <v>4</v>
      </c>
      <c r="R517" s="35">
        <f t="shared" si="42"/>
        <v>0.4</v>
      </c>
      <c r="S517" s="49">
        <f>ROUND(Q517/Summary!$C$3*Summary!$C$2,0)</f>
        <v>12</v>
      </c>
      <c r="T517" s="44">
        <f t="shared" si="43"/>
        <v>1.2</v>
      </c>
      <c r="U517" s="34">
        <v>0</v>
      </c>
      <c r="V517" s="34">
        <v>0</v>
      </c>
      <c r="W517" s="34">
        <v>0</v>
      </c>
      <c r="X517" s="34">
        <v>0</v>
      </c>
    </row>
    <row r="518" spans="1:24" hidden="1">
      <c r="A518" s="34" t="s">
        <v>2120</v>
      </c>
      <c r="B518" s="34" t="s">
        <v>2121</v>
      </c>
      <c r="C518" s="34" t="s">
        <v>84</v>
      </c>
      <c r="D518" s="34" t="s">
        <v>80</v>
      </c>
      <c r="E518" s="34" t="s">
        <v>4</v>
      </c>
      <c r="F518" s="34" t="s">
        <v>2122</v>
      </c>
      <c r="G518" s="54">
        <v>1946587040</v>
      </c>
      <c r="H518" s="54" t="s">
        <v>229</v>
      </c>
      <c r="I518" s="54" t="s">
        <v>3514</v>
      </c>
      <c r="J518" s="34" t="s">
        <v>3419</v>
      </c>
      <c r="K518" s="50">
        <v>130000</v>
      </c>
      <c r="L518" s="43">
        <v>47850</v>
      </c>
      <c r="M518" s="44">
        <f t="shared" si="40"/>
        <v>0.36807692307692308</v>
      </c>
      <c r="N518" s="49">
        <f>ROUND(L518/Summary!$C$3*Summary!$C$2,0)</f>
        <v>148335</v>
      </c>
      <c r="O518" s="44">
        <f t="shared" si="41"/>
        <v>1.1410384615384614</v>
      </c>
      <c r="P518" s="78">
        <v>10</v>
      </c>
      <c r="Q518" s="34">
        <v>0</v>
      </c>
      <c r="R518" s="35">
        <f t="shared" si="42"/>
        <v>0</v>
      </c>
      <c r="S518" s="49">
        <f>ROUND(Q518/Summary!$C$3*Summary!$C$2,0)</f>
        <v>0</v>
      </c>
      <c r="T518" s="44">
        <f t="shared" si="43"/>
        <v>0</v>
      </c>
      <c r="U518" s="34">
        <v>0</v>
      </c>
      <c r="V518" s="34">
        <v>0</v>
      </c>
      <c r="W518" s="34">
        <v>0</v>
      </c>
      <c r="X518" s="34">
        <v>0</v>
      </c>
    </row>
    <row r="519" spans="1:24" hidden="1">
      <c r="A519" s="34" t="s">
        <v>2103</v>
      </c>
      <c r="B519" s="34" t="s">
        <v>2104</v>
      </c>
      <c r="C519" s="34" t="s">
        <v>84</v>
      </c>
      <c r="D519" s="34" t="s">
        <v>80</v>
      </c>
      <c r="E519" s="34" t="s">
        <v>4</v>
      </c>
      <c r="F519" s="34" t="s">
        <v>2105</v>
      </c>
      <c r="G519" s="54">
        <v>1934728834</v>
      </c>
      <c r="H519" s="54" t="s">
        <v>229</v>
      </c>
      <c r="I519" s="54" t="s">
        <v>3514</v>
      </c>
      <c r="J519" s="34" t="s">
        <v>3419</v>
      </c>
      <c r="K519" s="50">
        <v>202098</v>
      </c>
      <c r="L519" s="43">
        <v>29450</v>
      </c>
      <c r="M519" s="44">
        <f t="shared" si="40"/>
        <v>0.14572138269552395</v>
      </c>
      <c r="N519" s="49">
        <f>ROUND(L519/Summary!$C$3*Summary!$C$2,0)</f>
        <v>91295</v>
      </c>
      <c r="O519" s="44">
        <f t="shared" si="41"/>
        <v>0.45173628635612428</v>
      </c>
      <c r="P519" s="78">
        <v>10</v>
      </c>
      <c r="Q519" s="34">
        <v>1</v>
      </c>
      <c r="R519" s="35">
        <f t="shared" si="42"/>
        <v>0.1</v>
      </c>
      <c r="S519" s="49">
        <f>ROUND(Q519/Summary!$C$3*Summary!$C$2,0)</f>
        <v>3</v>
      </c>
      <c r="T519" s="44">
        <f t="shared" si="43"/>
        <v>0.3</v>
      </c>
      <c r="U519" s="34">
        <v>1</v>
      </c>
      <c r="V519" s="34">
        <v>0</v>
      </c>
      <c r="W519" s="34">
        <v>0</v>
      </c>
      <c r="X519" s="34">
        <v>0</v>
      </c>
    </row>
    <row r="520" spans="1:24" hidden="1">
      <c r="A520" s="34" t="s">
        <v>2094</v>
      </c>
      <c r="B520" s="34" t="s">
        <v>2095</v>
      </c>
      <c r="C520" s="34" t="s">
        <v>84</v>
      </c>
      <c r="D520" s="34" t="s">
        <v>80</v>
      </c>
      <c r="E520" s="34" t="s">
        <v>4</v>
      </c>
      <c r="F520" s="34" t="s">
        <v>2096</v>
      </c>
      <c r="G520" s="54">
        <v>1777289999</v>
      </c>
      <c r="H520" s="54" t="s">
        <v>229</v>
      </c>
      <c r="I520" s="54" t="s">
        <v>3518</v>
      </c>
      <c r="J520" s="34" t="s">
        <v>3419</v>
      </c>
      <c r="K520" s="50">
        <v>301000</v>
      </c>
      <c r="L520" s="43">
        <v>80190</v>
      </c>
      <c r="M520" s="44">
        <f t="shared" si="40"/>
        <v>0.26641196013289037</v>
      </c>
      <c r="N520" s="49">
        <f>ROUND(L520/Summary!$C$3*Summary!$C$2,0)</f>
        <v>248589</v>
      </c>
      <c r="O520" s="44">
        <f t="shared" si="41"/>
        <v>0.82587707641196018</v>
      </c>
      <c r="P520" s="78">
        <v>20</v>
      </c>
      <c r="Q520" s="34">
        <v>8</v>
      </c>
      <c r="R520" s="35">
        <f t="shared" si="42"/>
        <v>0.4</v>
      </c>
      <c r="S520" s="49">
        <f>ROUND(Q520/Summary!$C$3*Summary!$C$2,0)</f>
        <v>25</v>
      </c>
      <c r="T520" s="44">
        <f t="shared" si="43"/>
        <v>1.25</v>
      </c>
      <c r="U520" s="34">
        <v>0</v>
      </c>
      <c r="V520" s="34">
        <v>2</v>
      </c>
      <c r="W520" s="34">
        <v>0</v>
      </c>
      <c r="X520" s="34">
        <v>2</v>
      </c>
    </row>
    <row r="521" spans="1:24" hidden="1">
      <c r="A521" s="34" t="s">
        <v>2114</v>
      </c>
      <c r="B521" s="34" t="s">
        <v>2115</v>
      </c>
      <c r="C521" s="34" t="s">
        <v>84</v>
      </c>
      <c r="D521" s="34" t="s">
        <v>80</v>
      </c>
      <c r="E521" s="34" t="s">
        <v>4</v>
      </c>
      <c r="F521" s="34" t="s">
        <v>2116</v>
      </c>
      <c r="G521" s="54">
        <v>1939685964</v>
      </c>
      <c r="H521" s="54" t="s">
        <v>229</v>
      </c>
      <c r="I521" s="54" t="s">
        <v>3514</v>
      </c>
      <c r="J521" s="34" t="s">
        <v>3419</v>
      </c>
      <c r="K521" s="50">
        <v>150000</v>
      </c>
      <c r="L521" s="43">
        <v>65070</v>
      </c>
      <c r="M521" s="44">
        <f t="shared" ref="M521:M584" si="44">L521/K521</f>
        <v>0.43380000000000002</v>
      </c>
      <c r="N521" s="49">
        <f>ROUND(L521/Summary!$C$3*Summary!$C$2,0)</f>
        <v>201717</v>
      </c>
      <c r="O521" s="44">
        <f t="shared" ref="O521:O584" si="45">N521/K521</f>
        <v>1.3447800000000001</v>
      </c>
      <c r="P521" s="78">
        <v>10</v>
      </c>
      <c r="Q521" s="34">
        <v>4</v>
      </c>
      <c r="R521" s="35">
        <f t="shared" ref="R521:R584" si="46">Q521/P521</f>
        <v>0.4</v>
      </c>
      <c r="S521" s="49">
        <f>ROUND(Q521/Summary!$C$3*Summary!$C$2,0)</f>
        <v>12</v>
      </c>
      <c r="T521" s="44">
        <f t="shared" ref="T521:T584" si="47">S521/P521</f>
        <v>1.2</v>
      </c>
      <c r="U521" s="34">
        <v>0</v>
      </c>
      <c r="V521" s="34">
        <v>0</v>
      </c>
      <c r="W521" s="34">
        <v>0</v>
      </c>
      <c r="X521" s="34">
        <v>1</v>
      </c>
    </row>
    <row r="522" spans="1:24" hidden="1">
      <c r="A522" s="34" t="s">
        <v>2134</v>
      </c>
      <c r="B522" s="34" t="s">
        <v>2135</v>
      </c>
      <c r="C522" s="34" t="s">
        <v>84</v>
      </c>
      <c r="D522" s="34" t="s">
        <v>80</v>
      </c>
      <c r="E522" s="34" t="s">
        <v>4</v>
      </c>
      <c r="F522" s="34" t="s">
        <v>2136</v>
      </c>
      <c r="G522" s="54">
        <v>1711470279</v>
      </c>
      <c r="H522" s="54" t="s">
        <v>229</v>
      </c>
      <c r="I522" s="54" t="s">
        <v>3514</v>
      </c>
      <c r="J522" s="34" t="s">
        <v>3421</v>
      </c>
      <c r="K522" s="50">
        <v>130000</v>
      </c>
      <c r="L522" s="43">
        <v>30000</v>
      </c>
      <c r="M522" s="44">
        <f t="shared" si="44"/>
        <v>0.23076923076923078</v>
      </c>
      <c r="N522" s="49">
        <f>ROUND(L522/Summary!$C$3*Summary!$C$2,0)</f>
        <v>93000</v>
      </c>
      <c r="O522" s="44">
        <f t="shared" si="45"/>
        <v>0.7153846153846154</v>
      </c>
      <c r="P522" s="78">
        <v>10</v>
      </c>
      <c r="Q522" s="34">
        <v>1</v>
      </c>
      <c r="R522" s="35">
        <f t="shared" si="46"/>
        <v>0.1</v>
      </c>
      <c r="S522" s="49">
        <f>ROUND(Q522/Summary!$C$3*Summary!$C$2,0)</f>
        <v>3</v>
      </c>
      <c r="T522" s="44">
        <f t="shared" si="47"/>
        <v>0.3</v>
      </c>
      <c r="U522" s="34">
        <v>2</v>
      </c>
      <c r="V522" s="34">
        <v>0</v>
      </c>
      <c r="W522" s="34">
        <v>0</v>
      </c>
      <c r="X522" s="34">
        <v>0</v>
      </c>
    </row>
    <row r="523" spans="1:24" hidden="1">
      <c r="A523" s="34" t="s">
        <v>3372</v>
      </c>
      <c r="B523" s="34" t="s">
        <v>3373</v>
      </c>
      <c r="C523" s="34" t="s">
        <v>84</v>
      </c>
      <c r="D523" s="34" t="s">
        <v>80</v>
      </c>
      <c r="E523" s="34" t="s">
        <v>4</v>
      </c>
      <c r="F523" s="34" t="s">
        <v>3371</v>
      </c>
      <c r="G523" s="54">
        <v>1767899433</v>
      </c>
      <c r="H523" s="54" t="s">
        <v>229</v>
      </c>
      <c r="I523" s="54" t="s">
        <v>3514</v>
      </c>
      <c r="J523" s="34" t="s">
        <v>3421</v>
      </c>
      <c r="K523" s="50">
        <v>130000</v>
      </c>
      <c r="L523" s="43">
        <v>54129</v>
      </c>
      <c r="M523" s="44">
        <f t="shared" si="44"/>
        <v>0.41637692307692309</v>
      </c>
      <c r="N523" s="49">
        <f>ROUND(L523/Summary!$C$3*Summary!$C$2,0)</f>
        <v>167800</v>
      </c>
      <c r="O523" s="44">
        <f t="shared" si="45"/>
        <v>1.2907692307692307</v>
      </c>
      <c r="P523" s="78">
        <v>10</v>
      </c>
      <c r="Q523" s="34">
        <v>3</v>
      </c>
      <c r="R523" s="35">
        <f t="shared" si="46"/>
        <v>0.3</v>
      </c>
      <c r="S523" s="49">
        <f>ROUND(Q523/Summary!$C$3*Summary!$C$2,0)</f>
        <v>9</v>
      </c>
      <c r="T523" s="44">
        <f t="shared" si="47"/>
        <v>0.9</v>
      </c>
      <c r="U523" s="34">
        <v>2</v>
      </c>
      <c r="V523" s="34">
        <v>0</v>
      </c>
      <c r="W523" s="34">
        <v>0</v>
      </c>
      <c r="X523" s="34">
        <v>1</v>
      </c>
    </row>
    <row r="524" spans="1:24" hidden="1">
      <c r="A524" s="34" t="s">
        <v>3256</v>
      </c>
      <c r="B524" s="34" t="s">
        <v>1305</v>
      </c>
      <c r="C524" s="34" t="s">
        <v>84</v>
      </c>
      <c r="D524" s="34" t="s">
        <v>80</v>
      </c>
      <c r="E524" s="34" t="s">
        <v>4</v>
      </c>
      <c r="F524" s="34" t="s">
        <v>3257</v>
      </c>
      <c r="G524" s="54">
        <v>1786633933</v>
      </c>
      <c r="H524" s="54" t="s">
        <v>229</v>
      </c>
      <c r="I524" s="54" t="s">
        <v>3514</v>
      </c>
      <c r="J524" s="34" t="s">
        <v>3421</v>
      </c>
      <c r="K524" s="50">
        <v>130000</v>
      </c>
      <c r="L524" s="43">
        <v>29260</v>
      </c>
      <c r="M524" s="44">
        <f t="shared" si="44"/>
        <v>0.22507692307692306</v>
      </c>
      <c r="N524" s="49">
        <f>ROUND(L524/Summary!$C$3*Summary!$C$2,0)</f>
        <v>90706</v>
      </c>
      <c r="O524" s="44">
        <f t="shared" si="45"/>
        <v>0.69773846153846153</v>
      </c>
      <c r="P524" s="78">
        <v>10</v>
      </c>
      <c r="Q524" s="34">
        <v>2</v>
      </c>
      <c r="R524" s="35">
        <f t="shared" si="46"/>
        <v>0.2</v>
      </c>
      <c r="S524" s="49">
        <f>ROUND(Q524/Summary!$C$3*Summary!$C$2,0)</f>
        <v>6</v>
      </c>
      <c r="T524" s="44">
        <f t="shared" si="47"/>
        <v>0.6</v>
      </c>
      <c r="U524" s="34">
        <v>0</v>
      </c>
      <c r="V524" s="34">
        <v>0</v>
      </c>
      <c r="W524" s="34">
        <v>0</v>
      </c>
      <c r="X524" s="34">
        <v>0</v>
      </c>
    </row>
    <row r="525" spans="1:24" hidden="1">
      <c r="A525" s="34" t="s">
        <v>2117</v>
      </c>
      <c r="B525" s="34" t="s">
        <v>2118</v>
      </c>
      <c r="C525" s="34" t="s">
        <v>84</v>
      </c>
      <c r="D525" s="34" t="s">
        <v>80</v>
      </c>
      <c r="E525" s="34" t="s">
        <v>4</v>
      </c>
      <c r="F525" s="34" t="s">
        <v>2119</v>
      </c>
      <c r="G525" s="54">
        <v>1735072209</v>
      </c>
      <c r="H525" s="54" t="s">
        <v>229</v>
      </c>
      <c r="I525" s="54" t="s">
        <v>3514</v>
      </c>
      <c r="J525" s="34" t="s">
        <v>3515</v>
      </c>
      <c r="K525" s="50">
        <v>130000</v>
      </c>
      <c r="L525" s="43">
        <v>37230</v>
      </c>
      <c r="M525" s="44">
        <f t="shared" si="44"/>
        <v>0.2863846153846154</v>
      </c>
      <c r="N525" s="49">
        <f>ROUND(L525/Summary!$C$3*Summary!$C$2,0)</f>
        <v>115413</v>
      </c>
      <c r="O525" s="44">
        <f t="shared" si="45"/>
        <v>0.88779230769230766</v>
      </c>
      <c r="P525" s="78">
        <v>10</v>
      </c>
      <c r="Q525" s="34">
        <v>3</v>
      </c>
      <c r="R525" s="35">
        <f t="shared" si="46"/>
        <v>0.3</v>
      </c>
      <c r="S525" s="49">
        <f>ROUND(Q525/Summary!$C$3*Summary!$C$2,0)</f>
        <v>9</v>
      </c>
      <c r="T525" s="44">
        <f t="shared" si="47"/>
        <v>0.9</v>
      </c>
      <c r="U525" s="34">
        <v>0</v>
      </c>
      <c r="V525" s="34">
        <v>2</v>
      </c>
      <c r="W525" s="34">
        <v>0</v>
      </c>
      <c r="X525" s="34">
        <v>0</v>
      </c>
    </row>
    <row r="526" spans="1:24" hidden="1">
      <c r="A526" s="34" t="s">
        <v>2123</v>
      </c>
      <c r="B526" s="34" t="s">
        <v>118</v>
      </c>
      <c r="C526" s="34" t="s">
        <v>84</v>
      </c>
      <c r="D526" s="34" t="s">
        <v>80</v>
      </c>
      <c r="E526" s="34" t="s">
        <v>4</v>
      </c>
      <c r="F526" s="34" t="s">
        <v>2124</v>
      </c>
      <c r="G526" s="54">
        <v>1981006880</v>
      </c>
      <c r="H526" s="54" t="s">
        <v>229</v>
      </c>
      <c r="I526" s="54" t="s">
        <v>3514</v>
      </c>
      <c r="J526" s="34" t="s">
        <v>3421</v>
      </c>
      <c r="K526" s="50">
        <v>130000</v>
      </c>
      <c r="L526" s="43">
        <v>19860</v>
      </c>
      <c r="M526" s="44">
        <f t="shared" si="44"/>
        <v>0.15276923076923077</v>
      </c>
      <c r="N526" s="49">
        <f>ROUND(L526/Summary!$C$3*Summary!$C$2,0)</f>
        <v>61566</v>
      </c>
      <c r="O526" s="44">
        <f t="shared" si="45"/>
        <v>0.47358461538461538</v>
      </c>
      <c r="P526" s="78">
        <v>10</v>
      </c>
      <c r="Q526" s="34">
        <v>0</v>
      </c>
      <c r="R526" s="35">
        <f t="shared" si="46"/>
        <v>0</v>
      </c>
      <c r="S526" s="49">
        <f>ROUND(Q526/Summary!$C$3*Summary!$C$2,0)</f>
        <v>0</v>
      </c>
      <c r="T526" s="44">
        <f t="shared" si="47"/>
        <v>0</v>
      </c>
      <c r="U526" s="34">
        <v>2</v>
      </c>
      <c r="V526" s="34">
        <v>0</v>
      </c>
      <c r="W526" s="34">
        <v>0</v>
      </c>
      <c r="X526" s="34">
        <v>0</v>
      </c>
    </row>
    <row r="527" spans="1:24" hidden="1">
      <c r="A527" s="34" t="s">
        <v>2109</v>
      </c>
      <c r="B527" s="34" t="s">
        <v>85</v>
      </c>
      <c r="C527" s="34" t="s">
        <v>84</v>
      </c>
      <c r="D527" s="34" t="s">
        <v>80</v>
      </c>
      <c r="E527" s="34" t="s">
        <v>4</v>
      </c>
      <c r="F527" s="34" t="s">
        <v>2110</v>
      </c>
      <c r="G527" s="54">
        <v>1814251013</v>
      </c>
      <c r="H527" s="54" t="s">
        <v>229</v>
      </c>
      <c r="I527" s="54" t="s">
        <v>3514</v>
      </c>
      <c r="J527" s="34" t="s">
        <v>3515</v>
      </c>
      <c r="K527" s="50">
        <v>170817</v>
      </c>
      <c r="L527" s="43">
        <v>65980</v>
      </c>
      <c r="M527" s="44">
        <f t="shared" si="44"/>
        <v>0.38626132059455442</v>
      </c>
      <c r="N527" s="49">
        <f>ROUND(L527/Summary!$C$3*Summary!$C$2,0)</f>
        <v>204538</v>
      </c>
      <c r="O527" s="44">
        <f t="shared" si="45"/>
        <v>1.1974100938431187</v>
      </c>
      <c r="P527" s="78">
        <v>10</v>
      </c>
      <c r="Q527" s="34">
        <v>2</v>
      </c>
      <c r="R527" s="35">
        <f t="shared" si="46"/>
        <v>0.2</v>
      </c>
      <c r="S527" s="49">
        <f>ROUND(Q527/Summary!$C$3*Summary!$C$2,0)</f>
        <v>6</v>
      </c>
      <c r="T527" s="44">
        <f t="shared" si="47"/>
        <v>0.6</v>
      </c>
      <c r="U527" s="34">
        <v>0</v>
      </c>
      <c r="V527" s="34">
        <v>0</v>
      </c>
      <c r="W527" s="34">
        <v>0</v>
      </c>
      <c r="X527" s="34">
        <v>0</v>
      </c>
    </row>
    <row r="528" spans="1:24" hidden="1">
      <c r="A528" s="34" t="s">
        <v>3161</v>
      </c>
      <c r="B528" s="34" t="s">
        <v>3162</v>
      </c>
      <c r="C528" s="34" t="s">
        <v>84</v>
      </c>
      <c r="D528" s="34" t="s">
        <v>80</v>
      </c>
      <c r="E528" s="34" t="s">
        <v>4</v>
      </c>
      <c r="F528" s="34" t="s">
        <v>3163</v>
      </c>
      <c r="G528" s="54">
        <v>1718182218</v>
      </c>
      <c r="H528" s="54" t="s">
        <v>229</v>
      </c>
      <c r="I528" s="54" t="s">
        <v>3514</v>
      </c>
      <c r="J528" s="34" t="s">
        <v>3421</v>
      </c>
      <c r="K528" s="50">
        <v>155000</v>
      </c>
      <c r="L528" s="43">
        <v>48030</v>
      </c>
      <c r="M528" s="44">
        <f t="shared" si="44"/>
        <v>0.30987096774193551</v>
      </c>
      <c r="N528" s="49">
        <f>ROUND(L528/Summary!$C$3*Summary!$C$2,0)</f>
        <v>148893</v>
      </c>
      <c r="O528" s="44">
        <f t="shared" si="45"/>
        <v>0.96060000000000001</v>
      </c>
      <c r="P528" s="78">
        <v>10</v>
      </c>
      <c r="Q528" s="34">
        <v>4</v>
      </c>
      <c r="R528" s="35">
        <f t="shared" si="46"/>
        <v>0.4</v>
      </c>
      <c r="S528" s="49">
        <f>ROUND(Q528/Summary!$C$3*Summary!$C$2,0)</f>
        <v>12</v>
      </c>
      <c r="T528" s="44">
        <f t="shared" si="47"/>
        <v>1.2</v>
      </c>
      <c r="U528" s="34">
        <v>1</v>
      </c>
      <c r="V528" s="34">
        <v>1</v>
      </c>
      <c r="W528" s="34">
        <v>0</v>
      </c>
      <c r="X528" s="34">
        <v>0</v>
      </c>
    </row>
    <row r="529" spans="1:24" hidden="1">
      <c r="A529" s="34" t="s">
        <v>2916</v>
      </c>
      <c r="B529" s="34" t="s">
        <v>136</v>
      </c>
      <c r="C529" s="34" t="s">
        <v>84</v>
      </c>
      <c r="D529" s="34" t="s">
        <v>80</v>
      </c>
      <c r="E529" s="34" t="s">
        <v>4</v>
      </c>
      <c r="F529" s="34" t="s">
        <v>2917</v>
      </c>
      <c r="G529" s="54">
        <v>1921156615</v>
      </c>
      <c r="H529" s="54" t="s">
        <v>229</v>
      </c>
      <c r="I529" s="54" t="s">
        <v>3514</v>
      </c>
      <c r="J529" s="34" t="s">
        <v>3421</v>
      </c>
      <c r="K529" s="50">
        <v>130000</v>
      </c>
      <c r="L529" s="43">
        <v>43160</v>
      </c>
      <c r="M529" s="44">
        <f t="shared" si="44"/>
        <v>0.33200000000000002</v>
      </c>
      <c r="N529" s="49">
        <f>ROUND(L529/Summary!$C$3*Summary!$C$2,0)</f>
        <v>133796</v>
      </c>
      <c r="O529" s="44">
        <f t="shared" si="45"/>
        <v>1.0291999999999999</v>
      </c>
      <c r="P529" s="78">
        <v>10</v>
      </c>
      <c r="Q529" s="34">
        <v>3</v>
      </c>
      <c r="R529" s="35">
        <f t="shared" si="46"/>
        <v>0.3</v>
      </c>
      <c r="S529" s="49">
        <f>ROUND(Q529/Summary!$C$3*Summary!$C$2,0)</f>
        <v>9</v>
      </c>
      <c r="T529" s="44">
        <f t="shared" si="47"/>
        <v>0.9</v>
      </c>
      <c r="U529" s="34">
        <v>0</v>
      </c>
      <c r="V529" s="34">
        <v>0</v>
      </c>
      <c r="W529" s="34">
        <v>0</v>
      </c>
      <c r="X529" s="34">
        <v>0</v>
      </c>
    </row>
    <row r="530" spans="1:24" hidden="1">
      <c r="A530" s="34" t="s">
        <v>3045</v>
      </c>
      <c r="B530" s="34" t="s">
        <v>3046</v>
      </c>
      <c r="C530" s="34" t="s">
        <v>84</v>
      </c>
      <c r="D530" s="34" t="s">
        <v>80</v>
      </c>
      <c r="E530" s="34" t="s">
        <v>4</v>
      </c>
      <c r="F530" s="34" t="s">
        <v>3047</v>
      </c>
      <c r="G530" s="54">
        <v>1911176847</v>
      </c>
      <c r="H530" s="54" t="s">
        <v>229</v>
      </c>
      <c r="I530" s="54" t="s">
        <v>3514</v>
      </c>
      <c r="J530" s="34" t="s">
        <v>3515</v>
      </c>
      <c r="K530" s="50">
        <v>150000</v>
      </c>
      <c r="L530" s="43">
        <v>42539</v>
      </c>
      <c r="M530" s="44">
        <f t="shared" si="44"/>
        <v>0.28359333333333331</v>
      </c>
      <c r="N530" s="49">
        <f>ROUND(L530/Summary!$C$3*Summary!$C$2,0)</f>
        <v>131871</v>
      </c>
      <c r="O530" s="44">
        <f t="shared" si="45"/>
        <v>0.87914000000000003</v>
      </c>
      <c r="P530" s="78">
        <v>10</v>
      </c>
      <c r="Q530" s="34">
        <v>4</v>
      </c>
      <c r="R530" s="35">
        <f t="shared" si="46"/>
        <v>0.4</v>
      </c>
      <c r="S530" s="49">
        <f>ROUND(Q530/Summary!$C$3*Summary!$C$2,0)</f>
        <v>12</v>
      </c>
      <c r="T530" s="44">
        <f t="shared" si="47"/>
        <v>1.2</v>
      </c>
      <c r="U530" s="34">
        <v>0</v>
      </c>
      <c r="V530" s="34">
        <v>2</v>
      </c>
      <c r="W530" s="34">
        <v>0</v>
      </c>
      <c r="X530" s="34">
        <v>0</v>
      </c>
    </row>
    <row r="531" spans="1:24" hidden="1">
      <c r="A531" s="34" t="s">
        <v>3451</v>
      </c>
      <c r="B531" s="34" t="s">
        <v>3452</v>
      </c>
      <c r="C531" s="34" t="s">
        <v>84</v>
      </c>
      <c r="D531" s="34" t="s">
        <v>80</v>
      </c>
      <c r="E531" s="34" t="s">
        <v>4</v>
      </c>
      <c r="F531" s="34" t="s">
        <v>3453</v>
      </c>
      <c r="G531" s="54">
        <v>1948139140</v>
      </c>
      <c r="H531" s="54" t="s">
        <v>229</v>
      </c>
      <c r="I531" s="54" t="s">
        <v>3514</v>
      </c>
      <c r="J531" s="34" t="s">
        <v>3421</v>
      </c>
      <c r="K531" s="50">
        <v>130000</v>
      </c>
      <c r="L531" s="43">
        <v>10780</v>
      </c>
      <c r="M531" s="44">
        <f t="shared" si="44"/>
        <v>8.2923076923076919E-2</v>
      </c>
      <c r="N531" s="49">
        <f>ROUND(L531/Summary!$C$3*Summary!$C$2,0)</f>
        <v>33418</v>
      </c>
      <c r="O531" s="44">
        <f t="shared" si="45"/>
        <v>0.25706153846153845</v>
      </c>
      <c r="P531" s="78">
        <v>10</v>
      </c>
      <c r="Q531" s="34">
        <v>0</v>
      </c>
      <c r="R531" s="35">
        <f t="shared" si="46"/>
        <v>0</v>
      </c>
      <c r="S531" s="49">
        <f>ROUND(Q531/Summary!$C$3*Summary!$C$2,0)</f>
        <v>0</v>
      </c>
      <c r="T531" s="44">
        <f t="shared" si="47"/>
        <v>0</v>
      </c>
      <c r="U531" s="34">
        <v>0</v>
      </c>
      <c r="V531" s="34">
        <v>0</v>
      </c>
      <c r="W531" s="34">
        <v>0</v>
      </c>
      <c r="X531" s="34">
        <v>0</v>
      </c>
    </row>
    <row r="532" spans="1:24" hidden="1">
      <c r="A532" s="34" t="s">
        <v>2128</v>
      </c>
      <c r="B532" s="34" t="s">
        <v>2129</v>
      </c>
      <c r="C532" s="34" t="s">
        <v>84</v>
      </c>
      <c r="D532" s="34" t="s">
        <v>80</v>
      </c>
      <c r="E532" s="34" t="s">
        <v>4</v>
      </c>
      <c r="F532" s="34" t="s">
        <v>2130</v>
      </c>
      <c r="G532" s="54">
        <v>1738321560</v>
      </c>
      <c r="H532" s="54" t="s">
        <v>229</v>
      </c>
      <c r="I532" s="54" t="s">
        <v>3514</v>
      </c>
      <c r="J532" s="34" t="s">
        <v>3419</v>
      </c>
      <c r="K532" s="50">
        <v>224448</v>
      </c>
      <c r="L532" s="43">
        <v>62135</v>
      </c>
      <c r="M532" s="44">
        <f t="shared" si="44"/>
        <v>0.27683472341032223</v>
      </c>
      <c r="N532" s="49">
        <f>ROUND(L532/Summary!$C$3*Summary!$C$2,0)</f>
        <v>192619</v>
      </c>
      <c r="O532" s="44">
        <f t="shared" si="45"/>
        <v>0.85818987025948101</v>
      </c>
      <c r="P532" s="78">
        <v>14</v>
      </c>
      <c r="Q532" s="34">
        <v>3</v>
      </c>
      <c r="R532" s="35">
        <f t="shared" si="46"/>
        <v>0.21428571428571427</v>
      </c>
      <c r="S532" s="49">
        <f>ROUND(Q532/Summary!$C$3*Summary!$C$2,0)</f>
        <v>9</v>
      </c>
      <c r="T532" s="44">
        <f t="shared" si="47"/>
        <v>0.6428571428571429</v>
      </c>
      <c r="U532" s="34">
        <v>2</v>
      </c>
      <c r="V532" s="34">
        <v>0</v>
      </c>
      <c r="W532" s="34">
        <v>0</v>
      </c>
      <c r="X532" s="34">
        <v>0</v>
      </c>
    </row>
    <row r="533" spans="1:24" hidden="1">
      <c r="A533" s="34" t="s">
        <v>2918</v>
      </c>
      <c r="B533" s="34" t="s">
        <v>2919</v>
      </c>
      <c r="C533" s="34" t="s">
        <v>84</v>
      </c>
      <c r="D533" s="34" t="s">
        <v>80</v>
      </c>
      <c r="E533" s="34" t="s">
        <v>4</v>
      </c>
      <c r="F533" s="34" t="s">
        <v>851</v>
      </c>
      <c r="G533" s="54">
        <v>1918014242</v>
      </c>
      <c r="H533" s="54" t="s">
        <v>229</v>
      </c>
      <c r="I533" s="54" t="s">
        <v>3514</v>
      </c>
      <c r="J533" s="34" t="s">
        <v>3421</v>
      </c>
      <c r="K533" s="50">
        <v>155000</v>
      </c>
      <c r="L533" s="43">
        <v>43970</v>
      </c>
      <c r="M533" s="44">
        <f t="shared" si="44"/>
        <v>0.2836774193548387</v>
      </c>
      <c r="N533" s="49">
        <f>ROUND(L533/Summary!$C$3*Summary!$C$2,0)</f>
        <v>136307</v>
      </c>
      <c r="O533" s="44">
        <f t="shared" si="45"/>
        <v>0.87939999999999996</v>
      </c>
      <c r="P533" s="78">
        <v>10</v>
      </c>
      <c r="Q533" s="34">
        <v>2</v>
      </c>
      <c r="R533" s="35">
        <f t="shared" si="46"/>
        <v>0.2</v>
      </c>
      <c r="S533" s="49">
        <f>ROUND(Q533/Summary!$C$3*Summary!$C$2,0)</f>
        <v>6</v>
      </c>
      <c r="T533" s="44">
        <f t="shared" si="47"/>
        <v>0.6</v>
      </c>
      <c r="U533" s="34">
        <v>1</v>
      </c>
      <c r="V533" s="34">
        <v>1</v>
      </c>
      <c r="W533" s="34">
        <v>0</v>
      </c>
      <c r="X533" s="34">
        <v>0</v>
      </c>
    </row>
    <row r="534" spans="1:24" hidden="1">
      <c r="A534" s="34" t="s">
        <v>2097</v>
      </c>
      <c r="B534" s="34" t="s">
        <v>2098</v>
      </c>
      <c r="C534" s="34" t="s">
        <v>84</v>
      </c>
      <c r="D534" s="34" t="s">
        <v>80</v>
      </c>
      <c r="E534" s="34" t="s">
        <v>4</v>
      </c>
      <c r="F534" s="34" t="s">
        <v>2099</v>
      </c>
      <c r="G534" s="54">
        <v>1725663485</v>
      </c>
      <c r="H534" s="54" t="s">
        <v>229</v>
      </c>
      <c r="I534" s="54" t="s">
        <v>3514</v>
      </c>
      <c r="J534" s="34" t="s">
        <v>3419</v>
      </c>
      <c r="K534" s="50">
        <v>130000</v>
      </c>
      <c r="L534" s="43">
        <v>33910</v>
      </c>
      <c r="M534" s="44">
        <f t="shared" si="44"/>
        <v>0.26084615384615384</v>
      </c>
      <c r="N534" s="49">
        <f>ROUND(L534/Summary!$C$3*Summary!$C$2,0)</f>
        <v>105121</v>
      </c>
      <c r="O534" s="44">
        <f t="shared" si="45"/>
        <v>0.80862307692307689</v>
      </c>
      <c r="P534" s="78">
        <v>10</v>
      </c>
      <c r="Q534" s="34">
        <v>3</v>
      </c>
      <c r="R534" s="35">
        <f t="shared" si="46"/>
        <v>0.3</v>
      </c>
      <c r="S534" s="49">
        <f>ROUND(Q534/Summary!$C$3*Summary!$C$2,0)</f>
        <v>9</v>
      </c>
      <c r="T534" s="44">
        <f t="shared" si="47"/>
        <v>0.9</v>
      </c>
      <c r="U534" s="34">
        <v>1</v>
      </c>
      <c r="V534" s="34">
        <v>0</v>
      </c>
      <c r="W534" s="34">
        <v>0</v>
      </c>
      <c r="X534" s="34">
        <v>0</v>
      </c>
    </row>
    <row r="535" spans="1:24" hidden="1">
      <c r="A535" s="34" t="s">
        <v>3048</v>
      </c>
      <c r="B535" s="34" t="s">
        <v>2756</v>
      </c>
      <c r="C535" s="34" t="s">
        <v>84</v>
      </c>
      <c r="D535" s="34" t="s">
        <v>80</v>
      </c>
      <c r="E535" s="34" t="s">
        <v>4</v>
      </c>
      <c r="F535" s="34" t="s">
        <v>3049</v>
      </c>
      <c r="G535" s="54">
        <v>1915420585</v>
      </c>
      <c r="H535" s="54" t="s">
        <v>229</v>
      </c>
      <c r="I535" s="54" t="s">
        <v>3514</v>
      </c>
      <c r="J535" s="34" t="s">
        <v>3421</v>
      </c>
      <c r="K535" s="50">
        <v>130000</v>
      </c>
      <c r="L535" s="43">
        <v>40840</v>
      </c>
      <c r="M535" s="44">
        <f t="shared" si="44"/>
        <v>0.31415384615384617</v>
      </c>
      <c r="N535" s="49">
        <f>ROUND(L535/Summary!$C$3*Summary!$C$2,0)</f>
        <v>126604</v>
      </c>
      <c r="O535" s="44">
        <f t="shared" si="45"/>
        <v>0.97387692307692308</v>
      </c>
      <c r="P535" s="78">
        <v>10</v>
      </c>
      <c r="Q535" s="34">
        <v>4</v>
      </c>
      <c r="R535" s="35">
        <f t="shared" si="46"/>
        <v>0.4</v>
      </c>
      <c r="S535" s="49">
        <f>ROUND(Q535/Summary!$C$3*Summary!$C$2,0)</f>
        <v>12</v>
      </c>
      <c r="T535" s="44">
        <f t="shared" si="47"/>
        <v>1.2</v>
      </c>
      <c r="U535" s="34">
        <v>1</v>
      </c>
      <c r="V535" s="34">
        <v>0</v>
      </c>
      <c r="W535" s="34">
        <v>0</v>
      </c>
      <c r="X535" s="34">
        <v>0</v>
      </c>
    </row>
    <row r="536" spans="1:24" hidden="1">
      <c r="A536" s="75" t="s">
        <v>3596</v>
      </c>
      <c r="B536" s="75" t="s">
        <v>3597</v>
      </c>
      <c r="C536" s="75" t="s">
        <v>84</v>
      </c>
      <c r="D536" s="75" t="s">
        <v>80</v>
      </c>
      <c r="E536" s="75" t="s">
        <v>4</v>
      </c>
      <c r="F536" s="75" t="s">
        <v>3598</v>
      </c>
      <c r="G536" s="67">
        <v>1725664950</v>
      </c>
      <c r="H536" s="54" t="s">
        <v>229</v>
      </c>
      <c r="I536" s="54" t="s">
        <v>3514</v>
      </c>
      <c r="J536" s="34" t="s">
        <v>3421</v>
      </c>
      <c r="K536" s="50">
        <v>130000</v>
      </c>
      <c r="L536" s="43">
        <v>22970</v>
      </c>
      <c r="M536" s="44">
        <f t="shared" si="44"/>
        <v>0.1766923076923077</v>
      </c>
      <c r="N536" s="49">
        <f>ROUND(L536/Summary!$C$3*Summary!$C$2,0)</f>
        <v>71207</v>
      </c>
      <c r="O536" s="44">
        <f t="shared" si="45"/>
        <v>0.54774615384615388</v>
      </c>
      <c r="P536" s="78">
        <v>10</v>
      </c>
      <c r="Q536" s="34">
        <v>3</v>
      </c>
      <c r="R536" s="35">
        <f t="shared" si="46"/>
        <v>0.3</v>
      </c>
      <c r="S536" s="49">
        <f>ROUND(Q536/Summary!$C$3*Summary!$C$2,0)</f>
        <v>9</v>
      </c>
      <c r="T536" s="44">
        <f t="shared" si="47"/>
        <v>0.9</v>
      </c>
      <c r="U536" s="34">
        <v>0</v>
      </c>
      <c r="V536" s="34">
        <v>0</v>
      </c>
      <c r="W536" s="34">
        <v>0</v>
      </c>
      <c r="X536" s="34">
        <v>0</v>
      </c>
    </row>
    <row r="537" spans="1:24" hidden="1">
      <c r="A537" s="34" t="s">
        <v>2100</v>
      </c>
      <c r="B537" s="34" t="s">
        <v>2101</v>
      </c>
      <c r="C537" s="34" t="s">
        <v>84</v>
      </c>
      <c r="D537" s="34" t="s">
        <v>80</v>
      </c>
      <c r="E537" s="34" t="s">
        <v>4</v>
      </c>
      <c r="F537" s="34" t="s">
        <v>2102</v>
      </c>
      <c r="G537" s="54">
        <v>1710875939</v>
      </c>
      <c r="H537" s="54" t="s">
        <v>229</v>
      </c>
      <c r="I537" s="54" t="s">
        <v>3514</v>
      </c>
      <c r="J537" s="34" t="s">
        <v>3419</v>
      </c>
      <c r="K537" s="50">
        <v>130000</v>
      </c>
      <c r="L537" s="43">
        <v>33800</v>
      </c>
      <c r="M537" s="44">
        <f t="shared" si="44"/>
        <v>0.26</v>
      </c>
      <c r="N537" s="49">
        <f>ROUND(L537/Summary!$C$3*Summary!$C$2,0)</f>
        <v>104780</v>
      </c>
      <c r="O537" s="44">
        <f t="shared" si="45"/>
        <v>0.80600000000000005</v>
      </c>
      <c r="P537" s="78">
        <v>10</v>
      </c>
      <c r="Q537" s="34">
        <v>2</v>
      </c>
      <c r="R537" s="35">
        <f t="shared" si="46"/>
        <v>0.2</v>
      </c>
      <c r="S537" s="49">
        <f>ROUND(Q537/Summary!$C$3*Summary!$C$2,0)</f>
        <v>6</v>
      </c>
      <c r="T537" s="44">
        <f t="shared" si="47"/>
        <v>0.6</v>
      </c>
      <c r="U537" s="34">
        <v>0</v>
      </c>
      <c r="V537" s="34">
        <v>0</v>
      </c>
      <c r="W537" s="34">
        <v>0</v>
      </c>
      <c r="X537" s="34">
        <v>0</v>
      </c>
    </row>
    <row r="538" spans="1:24" hidden="1">
      <c r="A538" s="34" t="s">
        <v>3454</v>
      </c>
      <c r="B538" s="34" t="s">
        <v>3455</v>
      </c>
      <c r="C538" s="34" t="s">
        <v>84</v>
      </c>
      <c r="D538" s="34" t="s">
        <v>80</v>
      </c>
      <c r="E538" s="34" t="s">
        <v>4</v>
      </c>
      <c r="F538" s="34" t="s">
        <v>1063</v>
      </c>
      <c r="G538" s="54">
        <v>1920509303</v>
      </c>
      <c r="H538" s="54" t="s">
        <v>229</v>
      </c>
      <c r="I538" s="54" t="s">
        <v>3514</v>
      </c>
      <c r="J538" s="34" t="s">
        <v>3421</v>
      </c>
      <c r="K538" s="50">
        <v>130000</v>
      </c>
      <c r="L538" s="43">
        <v>27250</v>
      </c>
      <c r="M538" s="44">
        <f t="shared" si="44"/>
        <v>0.20961538461538462</v>
      </c>
      <c r="N538" s="49">
        <f>ROUND(L538/Summary!$C$3*Summary!$C$2,0)</f>
        <v>84475</v>
      </c>
      <c r="O538" s="44">
        <f t="shared" si="45"/>
        <v>0.64980769230769231</v>
      </c>
      <c r="P538" s="78">
        <v>10</v>
      </c>
      <c r="Q538" s="34">
        <v>2</v>
      </c>
      <c r="R538" s="35">
        <f t="shared" si="46"/>
        <v>0.2</v>
      </c>
      <c r="S538" s="49">
        <f>ROUND(Q538/Summary!$C$3*Summary!$C$2,0)</f>
        <v>6</v>
      </c>
      <c r="T538" s="44">
        <f t="shared" si="47"/>
        <v>0.6</v>
      </c>
      <c r="U538" s="34">
        <v>0</v>
      </c>
      <c r="V538" s="34">
        <v>1</v>
      </c>
      <c r="W538" s="34">
        <v>0</v>
      </c>
      <c r="X538" s="34">
        <v>0</v>
      </c>
    </row>
    <row r="539" spans="1:24" hidden="1">
      <c r="A539" s="34" t="s">
        <v>3167</v>
      </c>
      <c r="B539" s="34" t="s">
        <v>3168</v>
      </c>
      <c r="C539" s="34" t="s">
        <v>84</v>
      </c>
      <c r="D539" s="34" t="s">
        <v>80</v>
      </c>
      <c r="E539" s="34" t="s">
        <v>4</v>
      </c>
      <c r="F539" s="34" t="s">
        <v>3169</v>
      </c>
      <c r="G539" s="54">
        <v>1763611180</v>
      </c>
      <c r="H539" s="54" t="s">
        <v>229</v>
      </c>
      <c r="I539" s="54" t="s">
        <v>3514</v>
      </c>
      <c r="J539" s="34" t="s">
        <v>3421</v>
      </c>
      <c r="K539" s="50">
        <v>150000</v>
      </c>
      <c r="L539" s="43">
        <v>68700</v>
      </c>
      <c r="M539" s="44">
        <f t="shared" si="44"/>
        <v>0.45800000000000002</v>
      </c>
      <c r="N539" s="49">
        <f>ROUND(L539/Summary!$C$3*Summary!$C$2,0)</f>
        <v>212970</v>
      </c>
      <c r="O539" s="44">
        <f t="shared" si="45"/>
        <v>1.4198</v>
      </c>
      <c r="P539" s="78">
        <v>10</v>
      </c>
      <c r="Q539" s="34">
        <v>7</v>
      </c>
      <c r="R539" s="35">
        <f t="shared" si="46"/>
        <v>0.7</v>
      </c>
      <c r="S539" s="49">
        <f>ROUND(Q539/Summary!$C$3*Summary!$C$2,0)</f>
        <v>22</v>
      </c>
      <c r="T539" s="44">
        <f t="shared" si="47"/>
        <v>2.2000000000000002</v>
      </c>
      <c r="U539" s="34">
        <v>1</v>
      </c>
      <c r="V539" s="34">
        <v>1</v>
      </c>
      <c r="W539" s="34">
        <v>0</v>
      </c>
      <c r="X539" s="34">
        <v>0</v>
      </c>
    </row>
    <row r="540" spans="1:24" hidden="1">
      <c r="A540" s="34" t="s">
        <v>2920</v>
      </c>
      <c r="B540" s="34" t="s">
        <v>2921</v>
      </c>
      <c r="C540" s="34" t="s">
        <v>84</v>
      </c>
      <c r="D540" s="34" t="s">
        <v>80</v>
      </c>
      <c r="E540" s="34" t="s">
        <v>4</v>
      </c>
      <c r="F540" s="34" t="s">
        <v>2922</v>
      </c>
      <c r="G540" s="54">
        <v>1714502323</v>
      </c>
      <c r="H540" s="54" t="s">
        <v>229</v>
      </c>
      <c r="I540" s="54" t="s">
        <v>3514</v>
      </c>
      <c r="J540" s="34" t="s">
        <v>3421</v>
      </c>
      <c r="K540" s="50">
        <v>135000</v>
      </c>
      <c r="L540" s="43">
        <v>23360</v>
      </c>
      <c r="M540" s="44">
        <f t="shared" si="44"/>
        <v>0.17303703703703704</v>
      </c>
      <c r="N540" s="49">
        <f>ROUND(L540/Summary!$C$3*Summary!$C$2,0)</f>
        <v>72416</v>
      </c>
      <c r="O540" s="44">
        <f t="shared" si="45"/>
        <v>0.53641481481481479</v>
      </c>
      <c r="P540" s="78">
        <v>10</v>
      </c>
      <c r="Q540" s="34">
        <v>1</v>
      </c>
      <c r="R540" s="35">
        <f t="shared" si="46"/>
        <v>0.1</v>
      </c>
      <c r="S540" s="49">
        <f>ROUND(Q540/Summary!$C$3*Summary!$C$2,0)</f>
        <v>3</v>
      </c>
      <c r="T540" s="44">
        <f t="shared" si="47"/>
        <v>0.3</v>
      </c>
      <c r="U540" s="34">
        <v>1</v>
      </c>
      <c r="V540" s="34">
        <v>0</v>
      </c>
      <c r="W540" s="34">
        <v>0</v>
      </c>
      <c r="X540" s="34">
        <v>0</v>
      </c>
    </row>
    <row r="541" spans="1:24" hidden="1">
      <c r="A541" s="34" t="s">
        <v>2173</v>
      </c>
      <c r="B541" s="34" t="s">
        <v>2174</v>
      </c>
      <c r="C541" s="34" t="s">
        <v>86</v>
      </c>
      <c r="D541" s="34" t="s">
        <v>87</v>
      </c>
      <c r="E541" s="34" t="s">
        <v>4</v>
      </c>
      <c r="F541" s="34" t="s">
        <v>2175</v>
      </c>
      <c r="G541" s="54">
        <v>1713904754</v>
      </c>
      <c r="H541" s="54" t="s">
        <v>229</v>
      </c>
      <c r="I541" s="54" t="s">
        <v>3514</v>
      </c>
      <c r="J541" s="34" t="s">
        <v>3419</v>
      </c>
      <c r="K541" s="50">
        <v>169833</v>
      </c>
      <c r="L541" s="43">
        <v>27560</v>
      </c>
      <c r="M541" s="44">
        <f t="shared" si="44"/>
        <v>0.16227706040639922</v>
      </c>
      <c r="N541" s="49">
        <f>ROUND(L541/Summary!$C$3*Summary!$C$2,0)</f>
        <v>85436</v>
      </c>
      <c r="O541" s="44">
        <f t="shared" si="45"/>
        <v>0.50305888725983761</v>
      </c>
      <c r="P541" s="78">
        <v>10</v>
      </c>
      <c r="Q541" s="34">
        <v>2</v>
      </c>
      <c r="R541" s="35">
        <f t="shared" si="46"/>
        <v>0.2</v>
      </c>
      <c r="S541" s="49">
        <f>ROUND(Q541/Summary!$C$3*Summary!$C$2,0)</f>
        <v>6</v>
      </c>
      <c r="T541" s="44">
        <f t="shared" si="47"/>
        <v>0.6</v>
      </c>
      <c r="U541" s="34">
        <v>1</v>
      </c>
      <c r="V541" s="34">
        <v>0</v>
      </c>
      <c r="W541" s="34">
        <v>0</v>
      </c>
      <c r="X541" s="34">
        <v>0</v>
      </c>
    </row>
    <row r="542" spans="1:24" hidden="1">
      <c r="A542" s="34" t="s">
        <v>3070</v>
      </c>
      <c r="B542" s="34" t="s">
        <v>3071</v>
      </c>
      <c r="C542" s="34" t="s">
        <v>86</v>
      </c>
      <c r="D542" s="34" t="s">
        <v>87</v>
      </c>
      <c r="E542" s="34" t="s">
        <v>4</v>
      </c>
      <c r="F542" s="34" t="s">
        <v>1100</v>
      </c>
      <c r="G542" s="54">
        <v>1766755245</v>
      </c>
      <c r="H542" s="54" t="s">
        <v>229</v>
      </c>
      <c r="I542" s="54" t="s">
        <v>3514</v>
      </c>
      <c r="J542" s="34" t="s">
        <v>3421</v>
      </c>
      <c r="K542" s="50">
        <v>182513</v>
      </c>
      <c r="L542" s="43">
        <v>77520</v>
      </c>
      <c r="M542" s="44">
        <f t="shared" si="44"/>
        <v>0.42473686805871363</v>
      </c>
      <c r="N542" s="49">
        <f>ROUND(L542/Summary!$C$3*Summary!$C$2,0)</f>
        <v>240312</v>
      </c>
      <c r="O542" s="44">
        <f t="shared" si="45"/>
        <v>1.3166842909820122</v>
      </c>
      <c r="P542" s="78">
        <v>13</v>
      </c>
      <c r="Q542" s="34">
        <v>6</v>
      </c>
      <c r="R542" s="35">
        <f t="shared" si="46"/>
        <v>0.46153846153846156</v>
      </c>
      <c r="S542" s="49">
        <f>ROUND(Q542/Summary!$C$3*Summary!$C$2,0)</f>
        <v>19</v>
      </c>
      <c r="T542" s="44">
        <f t="shared" si="47"/>
        <v>1.4615384615384615</v>
      </c>
      <c r="U542" s="34">
        <v>1</v>
      </c>
      <c r="V542" s="34">
        <v>4</v>
      </c>
      <c r="W542" s="34">
        <v>0</v>
      </c>
      <c r="X542" s="34">
        <v>0</v>
      </c>
    </row>
    <row r="543" spans="1:24" hidden="1">
      <c r="A543" s="34" t="s">
        <v>2155</v>
      </c>
      <c r="B543" s="34" t="s">
        <v>2156</v>
      </c>
      <c r="C543" s="34" t="s">
        <v>86</v>
      </c>
      <c r="D543" s="34" t="s">
        <v>87</v>
      </c>
      <c r="E543" s="34" t="s">
        <v>4</v>
      </c>
      <c r="F543" s="34" t="s">
        <v>2157</v>
      </c>
      <c r="G543" s="54">
        <v>1710060060</v>
      </c>
      <c r="H543" s="54" t="s">
        <v>229</v>
      </c>
      <c r="I543" s="54" t="s">
        <v>3514</v>
      </c>
      <c r="J543" s="34" t="s">
        <v>3419</v>
      </c>
      <c r="K543" s="50">
        <v>163587</v>
      </c>
      <c r="L543" s="43">
        <v>58950</v>
      </c>
      <c r="M543" s="44">
        <f t="shared" si="44"/>
        <v>0.36035870821031013</v>
      </c>
      <c r="N543" s="49">
        <f>ROUND(L543/Summary!$C$3*Summary!$C$2,0)</f>
        <v>182745</v>
      </c>
      <c r="O543" s="44">
        <f t="shared" si="45"/>
        <v>1.1171119954519613</v>
      </c>
      <c r="P543" s="78">
        <v>10</v>
      </c>
      <c r="Q543" s="34">
        <v>3</v>
      </c>
      <c r="R543" s="35">
        <f t="shared" si="46"/>
        <v>0.3</v>
      </c>
      <c r="S543" s="49">
        <f>ROUND(Q543/Summary!$C$3*Summary!$C$2,0)</f>
        <v>9</v>
      </c>
      <c r="T543" s="44">
        <f t="shared" si="47"/>
        <v>0.9</v>
      </c>
      <c r="U543" s="34">
        <v>1</v>
      </c>
      <c r="V543" s="34">
        <v>0</v>
      </c>
      <c r="W543" s="34">
        <v>0</v>
      </c>
      <c r="X543" s="34">
        <v>0</v>
      </c>
    </row>
    <row r="544" spans="1:24" hidden="1">
      <c r="A544" s="34" t="s">
        <v>3063</v>
      </c>
      <c r="B544" s="34" t="s">
        <v>2222</v>
      </c>
      <c r="C544" s="34" t="s">
        <v>86</v>
      </c>
      <c r="D544" s="34" t="s">
        <v>87</v>
      </c>
      <c r="E544" s="34" t="s">
        <v>4</v>
      </c>
      <c r="F544" s="34" t="s">
        <v>702</v>
      </c>
      <c r="G544" s="54">
        <v>1914424202</v>
      </c>
      <c r="H544" s="54" t="s">
        <v>229</v>
      </c>
      <c r="I544" s="54" t="s">
        <v>3514</v>
      </c>
      <c r="J544" s="34" t="s">
        <v>3421</v>
      </c>
      <c r="K544" s="50">
        <v>130000</v>
      </c>
      <c r="L544" s="43">
        <v>27800</v>
      </c>
      <c r="M544" s="44">
        <f t="shared" si="44"/>
        <v>0.21384615384615385</v>
      </c>
      <c r="N544" s="49">
        <f>ROUND(L544/Summary!$C$3*Summary!$C$2,0)</f>
        <v>86180</v>
      </c>
      <c r="O544" s="44">
        <f t="shared" si="45"/>
        <v>0.66292307692307695</v>
      </c>
      <c r="P544" s="78">
        <v>10</v>
      </c>
      <c r="Q544" s="34">
        <v>1</v>
      </c>
      <c r="R544" s="35">
        <f t="shared" si="46"/>
        <v>0.1</v>
      </c>
      <c r="S544" s="49">
        <f>ROUND(Q544/Summary!$C$3*Summary!$C$2,0)</f>
        <v>3</v>
      </c>
      <c r="T544" s="44">
        <f t="shared" si="47"/>
        <v>0.3</v>
      </c>
      <c r="U544" s="34">
        <v>1</v>
      </c>
      <c r="V544" s="34">
        <v>0</v>
      </c>
      <c r="W544" s="34">
        <v>0</v>
      </c>
      <c r="X544" s="34">
        <v>0</v>
      </c>
    </row>
    <row r="545" spans="1:24" hidden="1">
      <c r="A545" s="34" t="s">
        <v>2137</v>
      </c>
      <c r="B545" s="34" t="s">
        <v>2138</v>
      </c>
      <c r="C545" s="34" t="s">
        <v>86</v>
      </c>
      <c r="D545" s="34" t="s">
        <v>87</v>
      </c>
      <c r="E545" s="34" t="s">
        <v>4</v>
      </c>
      <c r="F545" s="34" t="s">
        <v>2139</v>
      </c>
      <c r="G545" s="54">
        <v>1913246623</v>
      </c>
      <c r="H545" s="54" t="s">
        <v>229</v>
      </c>
      <c r="I545" s="54" t="s">
        <v>3518</v>
      </c>
      <c r="J545" s="34" t="s">
        <v>3419</v>
      </c>
      <c r="K545" s="50">
        <v>398710</v>
      </c>
      <c r="L545" s="43">
        <v>160499</v>
      </c>
      <c r="M545" s="44">
        <f t="shared" si="44"/>
        <v>0.40254570991447419</v>
      </c>
      <c r="N545" s="49">
        <f>ROUND(L545/Summary!$C$3*Summary!$C$2,0)</f>
        <v>497547</v>
      </c>
      <c r="O545" s="44">
        <f t="shared" si="45"/>
        <v>1.2478919515437286</v>
      </c>
      <c r="P545" s="78">
        <v>28</v>
      </c>
      <c r="Q545" s="34">
        <v>12</v>
      </c>
      <c r="R545" s="35">
        <f t="shared" si="46"/>
        <v>0.42857142857142855</v>
      </c>
      <c r="S545" s="49">
        <f>ROUND(Q545/Summary!$C$3*Summary!$C$2,0)</f>
        <v>37</v>
      </c>
      <c r="T545" s="44">
        <f t="shared" si="47"/>
        <v>1.3214285714285714</v>
      </c>
      <c r="U545" s="34">
        <v>2</v>
      </c>
      <c r="V545" s="34">
        <v>6</v>
      </c>
      <c r="W545" s="34">
        <v>0</v>
      </c>
      <c r="X545" s="34">
        <v>0</v>
      </c>
    </row>
    <row r="546" spans="1:24" hidden="1">
      <c r="A546" s="34" t="s">
        <v>3064</v>
      </c>
      <c r="B546" s="34" t="s">
        <v>3065</v>
      </c>
      <c r="C546" s="34" t="s">
        <v>86</v>
      </c>
      <c r="D546" s="34" t="s">
        <v>87</v>
      </c>
      <c r="E546" s="34" t="s">
        <v>4</v>
      </c>
      <c r="F546" s="34" t="s">
        <v>3066</v>
      </c>
      <c r="G546" s="54">
        <v>1911952056</v>
      </c>
      <c r="H546" s="54" t="s">
        <v>229</v>
      </c>
      <c r="I546" s="54" t="s">
        <v>3514</v>
      </c>
      <c r="J546" s="34" t="s">
        <v>3421</v>
      </c>
      <c r="K546" s="50">
        <v>130000</v>
      </c>
      <c r="L546" s="43">
        <v>19770</v>
      </c>
      <c r="M546" s="44">
        <f t="shared" si="44"/>
        <v>0.15207692307692308</v>
      </c>
      <c r="N546" s="49">
        <f>ROUND(L546/Summary!$C$3*Summary!$C$2,0)</f>
        <v>61287</v>
      </c>
      <c r="O546" s="44">
        <f t="shared" si="45"/>
        <v>0.47143846153846153</v>
      </c>
      <c r="P546" s="78">
        <v>10</v>
      </c>
      <c r="Q546" s="34">
        <v>1</v>
      </c>
      <c r="R546" s="35">
        <f t="shared" si="46"/>
        <v>0.1</v>
      </c>
      <c r="S546" s="49">
        <f>ROUND(Q546/Summary!$C$3*Summary!$C$2,0)</f>
        <v>3</v>
      </c>
      <c r="T546" s="44">
        <f t="shared" si="47"/>
        <v>0.3</v>
      </c>
      <c r="U546" s="34">
        <v>1</v>
      </c>
      <c r="V546" s="34">
        <v>0</v>
      </c>
      <c r="W546" s="34">
        <v>0</v>
      </c>
      <c r="X546" s="34">
        <v>0</v>
      </c>
    </row>
    <row r="547" spans="1:24" hidden="1">
      <c r="A547" s="34" t="s">
        <v>2164</v>
      </c>
      <c r="B547" s="34" t="s">
        <v>2165</v>
      </c>
      <c r="C547" s="34" t="s">
        <v>86</v>
      </c>
      <c r="D547" s="34" t="s">
        <v>87</v>
      </c>
      <c r="E547" s="34" t="s">
        <v>4</v>
      </c>
      <c r="F547" s="34" t="s">
        <v>2166</v>
      </c>
      <c r="G547" s="54">
        <v>1711588244</v>
      </c>
      <c r="H547" s="54" t="s">
        <v>229</v>
      </c>
      <c r="I547" s="54" t="s">
        <v>3514</v>
      </c>
      <c r="J547" s="34" t="s">
        <v>3419</v>
      </c>
      <c r="K547" s="50">
        <v>130000</v>
      </c>
      <c r="L547" s="43">
        <v>75280</v>
      </c>
      <c r="M547" s="44">
        <f t="shared" si="44"/>
        <v>0.57907692307692304</v>
      </c>
      <c r="N547" s="49">
        <f>ROUND(L547/Summary!$C$3*Summary!$C$2,0)</f>
        <v>233368</v>
      </c>
      <c r="O547" s="44">
        <f t="shared" si="45"/>
        <v>1.7951384615384616</v>
      </c>
      <c r="P547" s="78">
        <v>10</v>
      </c>
      <c r="Q547" s="34">
        <v>4</v>
      </c>
      <c r="R547" s="35">
        <f t="shared" si="46"/>
        <v>0.4</v>
      </c>
      <c r="S547" s="49">
        <f>ROUND(Q547/Summary!$C$3*Summary!$C$2,0)</f>
        <v>12</v>
      </c>
      <c r="T547" s="44">
        <f t="shared" si="47"/>
        <v>1.2</v>
      </c>
      <c r="U547" s="34">
        <v>2</v>
      </c>
      <c r="V547" s="34">
        <v>0</v>
      </c>
      <c r="W547" s="34">
        <v>0</v>
      </c>
      <c r="X547" s="34">
        <v>0</v>
      </c>
    </row>
    <row r="548" spans="1:24" hidden="1">
      <c r="A548" s="34" t="s">
        <v>2149</v>
      </c>
      <c r="B548" s="34" t="s">
        <v>2150</v>
      </c>
      <c r="C548" s="34" t="s">
        <v>86</v>
      </c>
      <c r="D548" s="34" t="s">
        <v>87</v>
      </c>
      <c r="E548" s="34" t="s">
        <v>4</v>
      </c>
      <c r="F548" s="34" t="s">
        <v>2151</v>
      </c>
      <c r="G548" s="54">
        <v>1993077966</v>
      </c>
      <c r="H548" s="54" t="s">
        <v>229</v>
      </c>
      <c r="I548" s="54" t="s">
        <v>3518</v>
      </c>
      <c r="J548" s="34" t="s">
        <v>3421</v>
      </c>
      <c r="K548" s="50">
        <v>333597</v>
      </c>
      <c r="L548" s="43">
        <v>63869</v>
      </c>
      <c r="M548" s="44">
        <f t="shared" si="44"/>
        <v>0.1914555586531054</v>
      </c>
      <c r="N548" s="49">
        <f>ROUND(L548/Summary!$C$3*Summary!$C$2,0)</f>
        <v>197994</v>
      </c>
      <c r="O548" s="44">
        <f t="shared" si="45"/>
        <v>0.59351253158751427</v>
      </c>
      <c r="P548" s="78">
        <v>26</v>
      </c>
      <c r="Q548" s="34">
        <v>5</v>
      </c>
      <c r="R548" s="35">
        <f t="shared" si="46"/>
        <v>0.19230769230769232</v>
      </c>
      <c r="S548" s="49">
        <f>ROUND(Q548/Summary!$C$3*Summary!$C$2,0)</f>
        <v>16</v>
      </c>
      <c r="T548" s="44">
        <f t="shared" si="47"/>
        <v>0.61538461538461542</v>
      </c>
      <c r="U548" s="34">
        <v>0</v>
      </c>
      <c r="V548" s="34">
        <v>1</v>
      </c>
      <c r="W548" s="34">
        <v>0</v>
      </c>
      <c r="X548" s="34">
        <v>2</v>
      </c>
    </row>
    <row r="549" spans="1:24" hidden="1">
      <c r="A549" s="34" t="s">
        <v>2140</v>
      </c>
      <c r="B549" s="34" t="s">
        <v>2141</v>
      </c>
      <c r="C549" s="34" t="s">
        <v>86</v>
      </c>
      <c r="D549" s="34" t="s">
        <v>87</v>
      </c>
      <c r="E549" s="34" t="s">
        <v>4</v>
      </c>
      <c r="F549" s="34" t="s">
        <v>2142</v>
      </c>
      <c r="G549" s="54">
        <v>1933920720</v>
      </c>
      <c r="H549" s="54" t="s">
        <v>229</v>
      </c>
      <c r="I549" s="54" t="s">
        <v>3514</v>
      </c>
      <c r="J549" s="34" t="s">
        <v>3419</v>
      </c>
      <c r="K549" s="50">
        <v>180788</v>
      </c>
      <c r="L549" s="43">
        <v>48520</v>
      </c>
      <c r="M549" s="44">
        <f t="shared" si="44"/>
        <v>0.26838064473305751</v>
      </c>
      <c r="N549" s="49">
        <f>ROUND(L549/Summary!$C$3*Summary!$C$2,0)</f>
        <v>150412</v>
      </c>
      <c r="O549" s="44">
        <f t="shared" si="45"/>
        <v>0.83197999867247829</v>
      </c>
      <c r="P549" s="78">
        <v>10</v>
      </c>
      <c r="Q549" s="34">
        <v>2</v>
      </c>
      <c r="R549" s="35">
        <f t="shared" si="46"/>
        <v>0.2</v>
      </c>
      <c r="S549" s="49">
        <f>ROUND(Q549/Summary!$C$3*Summary!$C$2,0)</f>
        <v>6</v>
      </c>
      <c r="T549" s="44">
        <f t="shared" si="47"/>
        <v>0.6</v>
      </c>
      <c r="U549" s="34">
        <v>3</v>
      </c>
      <c r="V549" s="34">
        <v>0</v>
      </c>
      <c r="W549" s="34">
        <v>0</v>
      </c>
      <c r="X549" s="34">
        <v>0</v>
      </c>
    </row>
    <row r="550" spans="1:24" hidden="1">
      <c r="A550" s="34" t="s">
        <v>3456</v>
      </c>
      <c r="B550" s="34" t="s">
        <v>3457</v>
      </c>
      <c r="C550" s="34" t="s">
        <v>86</v>
      </c>
      <c r="D550" s="34" t="s">
        <v>87</v>
      </c>
      <c r="E550" s="34" t="s">
        <v>4</v>
      </c>
      <c r="F550" s="34" t="s">
        <v>3458</v>
      </c>
      <c r="G550" s="54">
        <v>1713902586</v>
      </c>
      <c r="H550" s="54" t="s">
        <v>229</v>
      </c>
      <c r="I550" s="54" t="s">
        <v>3514</v>
      </c>
      <c r="J550" s="34" t="s">
        <v>3421</v>
      </c>
      <c r="K550" s="50">
        <v>130000</v>
      </c>
      <c r="L550" s="43">
        <v>41380</v>
      </c>
      <c r="M550" s="44">
        <f t="shared" si="44"/>
        <v>0.31830769230769229</v>
      </c>
      <c r="N550" s="49">
        <f>ROUND(L550/Summary!$C$3*Summary!$C$2,0)</f>
        <v>128278</v>
      </c>
      <c r="O550" s="44">
        <f t="shared" si="45"/>
        <v>0.9867538461538462</v>
      </c>
      <c r="P550" s="78">
        <v>10</v>
      </c>
      <c r="Q550" s="34">
        <v>3</v>
      </c>
      <c r="R550" s="35">
        <f t="shared" si="46"/>
        <v>0.3</v>
      </c>
      <c r="S550" s="49">
        <f>ROUND(Q550/Summary!$C$3*Summary!$C$2,0)</f>
        <v>9</v>
      </c>
      <c r="T550" s="44">
        <f t="shared" si="47"/>
        <v>0.9</v>
      </c>
      <c r="U550" s="34">
        <v>0</v>
      </c>
      <c r="V550" s="34">
        <v>0</v>
      </c>
      <c r="W550" s="34">
        <v>0</v>
      </c>
      <c r="X550" s="34">
        <v>0</v>
      </c>
    </row>
    <row r="551" spans="1:24" hidden="1">
      <c r="A551" s="34" t="s">
        <v>3072</v>
      </c>
      <c r="B551" s="34" t="s">
        <v>3073</v>
      </c>
      <c r="C551" s="34" t="s">
        <v>86</v>
      </c>
      <c r="D551" s="34" t="s">
        <v>87</v>
      </c>
      <c r="E551" s="34" t="s">
        <v>4</v>
      </c>
      <c r="F551" s="34" t="s">
        <v>3074</v>
      </c>
      <c r="G551" s="54">
        <v>1733001868</v>
      </c>
      <c r="H551" s="54" t="s">
        <v>229</v>
      </c>
      <c r="I551" s="54" t="s">
        <v>3514</v>
      </c>
      <c r="J551" s="34" t="s">
        <v>3421</v>
      </c>
      <c r="K551" s="50">
        <v>130000</v>
      </c>
      <c r="L551" s="43">
        <v>33135</v>
      </c>
      <c r="M551" s="44">
        <f t="shared" si="44"/>
        <v>0.25488461538461538</v>
      </c>
      <c r="N551" s="49">
        <f>ROUND(L551/Summary!$C$3*Summary!$C$2,0)</f>
        <v>102719</v>
      </c>
      <c r="O551" s="44">
        <f t="shared" si="45"/>
        <v>0.79014615384615383</v>
      </c>
      <c r="P551" s="78">
        <v>10</v>
      </c>
      <c r="Q551" s="34">
        <v>3</v>
      </c>
      <c r="R551" s="35">
        <f t="shared" si="46"/>
        <v>0.3</v>
      </c>
      <c r="S551" s="49">
        <f>ROUND(Q551/Summary!$C$3*Summary!$C$2,0)</f>
        <v>9</v>
      </c>
      <c r="T551" s="44">
        <f t="shared" si="47"/>
        <v>0.9</v>
      </c>
      <c r="U551" s="34">
        <v>1</v>
      </c>
      <c r="V551" s="34">
        <v>0</v>
      </c>
      <c r="W551" s="34">
        <v>0</v>
      </c>
      <c r="X551" s="34">
        <v>0</v>
      </c>
    </row>
    <row r="552" spans="1:24" hidden="1">
      <c r="A552" s="34" t="s">
        <v>2158</v>
      </c>
      <c r="B552" s="34" t="s">
        <v>2159</v>
      </c>
      <c r="C552" s="34" t="s">
        <v>86</v>
      </c>
      <c r="D552" s="34" t="s">
        <v>87</v>
      </c>
      <c r="E552" s="34" t="s">
        <v>4</v>
      </c>
      <c r="F552" s="34" t="s">
        <v>2160</v>
      </c>
      <c r="G552" s="54">
        <v>1711399320</v>
      </c>
      <c r="H552" s="54" t="s">
        <v>229</v>
      </c>
      <c r="I552" s="54" t="s">
        <v>3514</v>
      </c>
      <c r="J552" s="34" t="s">
        <v>3419</v>
      </c>
      <c r="K552" s="50">
        <v>190967</v>
      </c>
      <c r="L552" s="43">
        <v>24180</v>
      </c>
      <c r="M552" s="44">
        <f t="shared" si="44"/>
        <v>0.12661873517414005</v>
      </c>
      <c r="N552" s="49">
        <f>ROUND(L552/Summary!$C$3*Summary!$C$2,0)</f>
        <v>74958</v>
      </c>
      <c r="O552" s="44">
        <f t="shared" si="45"/>
        <v>0.3925180790398341</v>
      </c>
      <c r="P552" s="78">
        <v>10</v>
      </c>
      <c r="Q552" s="34">
        <v>2</v>
      </c>
      <c r="R552" s="35">
        <f t="shared" si="46"/>
        <v>0.2</v>
      </c>
      <c r="S552" s="49">
        <f>ROUND(Q552/Summary!$C$3*Summary!$C$2,0)</f>
        <v>6</v>
      </c>
      <c r="T552" s="44">
        <f t="shared" si="47"/>
        <v>0.6</v>
      </c>
      <c r="U552" s="34">
        <v>0</v>
      </c>
      <c r="V552" s="34">
        <v>0</v>
      </c>
      <c r="W552" s="34">
        <v>0</v>
      </c>
      <c r="X552" s="34">
        <v>0</v>
      </c>
    </row>
    <row r="553" spans="1:24" hidden="1">
      <c r="A553" s="34" t="s">
        <v>2170</v>
      </c>
      <c r="B553" s="34" t="s">
        <v>2171</v>
      </c>
      <c r="C553" s="34" t="s">
        <v>86</v>
      </c>
      <c r="D553" s="34" t="s">
        <v>87</v>
      </c>
      <c r="E553" s="34" t="s">
        <v>4</v>
      </c>
      <c r="F553" s="34" t="s">
        <v>2172</v>
      </c>
      <c r="G553" s="54">
        <v>1728239999</v>
      </c>
      <c r="H553" s="54" t="s">
        <v>229</v>
      </c>
      <c r="I553" s="54" t="s">
        <v>3518</v>
      </c>
      <c r="J553" s="34" t="s">
        <v>3419</v>
      </c>
      <c r="K553" s="50">
        <v>385121</v>
      </c>
      <c r="L553" s="43">
        <v>80650</v>
      </c>
      <c r="M553" s="44">
        <f t="shared" si="44"/>
        <v>0.20941470343086979</v>
      </c>
      <c r="N553" s="49">
        <f>ROUND(L553/Summary!$C$3*Summary!$C$2,0)</f>
        <v>250015</v>
      </c>
      <c r="O553" s="44">
        <f t="shared" si="45"/>
        <v>0.64918558063569631</v>
      </c>
      <c r="P553" s="78">
        <v>24</v>
      </c>
      <c r="Q553" s="34">
        <v>5</v>
      </c>
      <c r="R553" s="35">
        <f t="shared" si="46"/>
        <v>0.20833333333333334</v>
      </c>
      <c r="S553" s="49">
        <f>ROUND(Q553/Summary!$C$3*Summary!$C$2,0)</f>
        <v>16</v>
      </c>
      <c r="T553" s="44">
        <f t="shared" si="47"/>
        <v>0.66666666666666663</v>
      </c>
      <c r="U553" s="34">
        <v>1</v>
      </c>
      <c r="V553" s="34">
        <v>1</v>
      </c>
      <c r="W553" s="34">
        <v>0</v>
      </c>
      <c r="X553" s="34">
        <v>0</v>
      </c>
    </row>
    <row r="554" spans="1:24" hidden="1">
      <c r="A554" s="34" t="s">
        <v>2146</v>
      </c>
      <c r="B554" s="34" t="s">
        <v>2147</v>
      </c>
      <c r="C554" s="34" t="s">
        <v>86</v>
      </c>
      <c r="D554" s="34" t="s">
        <v>87</v>
      </c>
      <c r="E554" s="34" t="s">
        <v>4</v>
      </c>
      <c r="F554" s="34" t="s">
        <v>2148</v>
      </c>
      <c r="G554" s="54">
        <v>1918895516</v>
      </c>
      <c r="H554" s="54" t="s">
        <v>229</v>
      </c>
      <c r="I554" s="54" t="s">
        <v>3514</v>
      </c>
      <c r="J554" s="34" t="s">
        <v>3421</v>
      </c>
      <c r="K554" s="50">
        <v>158365</v>
      </c>
      <c r="L554" s="43">
        <v>38720</v>
      </c>
      <c r="M554" s="44">
        <f t="shared" si="44"/>
        <v>0.24449846872730718</v>
      </c>
      <c r="N554" s="49">
        <f>ROUND(L554/Summary!$C$3*Summary!$C$2,0)</f>
        <v>120032</v>
      </c>
      <c r="O554" s="44">
        <f t="shared" si="45"/>
        <v>0.75794525305465221</v>
      </c>
      <c r="P554" s="78">
        <v>13</v>
      </c>
      <c r="Q554" s="34">
        <v>1</v>
      </c>
      <c r="R554" s="35">
        <f t="shared" si="46"/>
        <v>7.6923076923076927E-2</v>
      </c>
      <c r="S554" s="49">
        <f>ROUND(Q554/Summary!$C$3*Summary!$C$2,0)</f>
        <v>3</v>
      </c>
      <c r="T554" s="44">
        <f t="shared" si="47"/>
        <v>0.23076923076923078</v>
      </c>
      <c r="U554" s="34">
        <v>2</v>
      </c>
      <c r="V554" s="34">
        <v>1</v>
      </c>
      <c r="W554" s="34">
        <v>0</v>
      </c>
      <c r="X554" s="34">
        <v>0</v>
      </c>
    </row>
    <row r="555" spans="1:24" hidden="1">
      <c r="A555" s="34" t="s">
        <v>3053</v>
      </c>
      <c r="B555" s="34" t="s">
        <v>1420</v>
      </c>
      <c r="C555" s="34" t="s">
        <v>86</v>
      </c>
      <c r="D555" s="34" t="s">
        <v>87</v>
      </c>
      <c r="E555" s="34" t="s">
        <v>4</v>
      </c>
      <c r="F555" s="34" t="s">
        <v>3054</v>
      </c>
      <c r="G555" s="54">
        <v>1724784353</v>
      </c>
      <c r="H555" s="54" t="s">
        <v>229</v>
      </c>
      <c r="I555" s="54" t="s">
        <v>3514</v>
      </c>
      <c r="J555" s="34" t="s">
        <v>3421</v>
      </c>
      <c r="K555" s="50">
        <v>178701</v>
      </c>
      <c r="L555" s="43">
        <v>35540</v>
      </c>
      <c r="M555" s="44">
        <f t="shared" si="44"/>
        <v>0.19887969289483551</v>
      </c>
      <c r="N555" s="49">
        <f>ROUND(L555/Summary!$C$3*Summary!$C$2,0)</f>
        <v>110174</v>
      </c>
      <c r="O555" s="44">
        <f t="shared" si="45"/>
        <v>0.61652704797399005</v>
      </c>
      <c r="P555" s="78">
        <v>10</v>
      </c>
      <c r="Q555" s="34">
        <v>2</v>
      </c>
      <c r="R555" s="35">
        <f t="shared" si="46"/>
        <v>0.2</v>
      </c>
      <c r="S555" s="49">
        <f>ROUND(Q555/Summary!$C$3*Summary!$C$2,0)</f>
        <v>6</v>
      </c>
      <c r="T555" s="44">
        <f t="shared" si="47"/>
        <v>0.6</v>
      </c>
      <c r="U555" s="34">
        <v>2</v>
      </c>
      <c r="V555" s="34">
        <v>0</v>
      </c>
      <c r="W555" s="34">
        <v>0</v>
      </c>
      <c r="X555" s="34">
        <v>0</v>
      </c>
    </row>
    <row r="556" spans="1:24" hidden="1">
      <c r="A556" s="34" t="s">
        <v>3020</v>
      </c>
      <c r="B556" s="34" t="s">
        <v>3021</v>
      </c>
      <c r="C556" s="34" t="s">
        <v>86</v>
      </c>
      <c r="D556" s="34" t="s">
        <v>87</v>
      </c>
      <c r="E556" s="34" t="s">
        <v>4</v>
      </c>
      <c r="F556" s="34" t="s">
        <v>3022</v>
      </c>
      <c r="G556" s="54">
        <v>1739000700</v>
      </c>
      <c r="H556" s="54" t="s">
        <v>229</v>
      </c>
      <c r="I556" s="54" t="s">
        <v>3514</v>
      </c>
      <c r="J556" s="34" t="s">
        <v>3421</v>
      </c>
      <c r="K556" s="50">
        <v>176230</v>
      </c>
      <c r="L556" s="43">
        <v>20369</v>
      </c>
      <c r="M556" s="44">
        <f t="shared" si="44"/>
        <v>0.11558191000397208</v>
      </c>
      <c r="N556" s="49">
        <f>ROUND(L556/Summary!$C$3*Summary!$C$2,0)</f>
        <v>63144</v>
      </c>
      <c r="O556" s="44">
        <f t="shared" si="45"/>
        <v>0.35830448845259039</v>
      </c>
      <c r="P556" s="78">
        <v>10</v>
      </c>
      <c r="Q556" s="34">
        <v>1</v>
      </c>
      <c r="R556" s="35">
        <f t="shared" si="46"/>
        <v>0.1</v>
      </c>
      <c r="S556" s="49">
        <f>ROUND(Q556/Summary!$C$3*Summary!$C$2,0)</f>
        <v>3</v>
      </c>
      <c r="T556" s="44">
        <f t="shared" si="47"/>
        <v>0.3</v>
      </c>
      <c r="U556" s="34">
        <v>0</v>
      </c>
      <c r="V556" s="34">
        <v>1</v>
      </c>
      <c r="W556" s="34">
        <v>0</v>
      </c>
      <c r="X556" s="34">
        <v>0</v>
      </c>
    </row>
    <row r="557" spans="1:24" hidden="1">
      <c r="A557" s="34" t="s">
        <v>2143</v>
      </c>
      <c r="B557" s="34" t="s">
        <v>2144</v>
      </c>
      <c r="C557" s="34" t="s">
        <v>86</v>
      </c>
      <c r="D557" s="34" t="s">
        <v>87</v>
      </c>
      <c r="E557" s="34" t="s">
        <v>4</v>
      </c>
      <c r="F557" s="34" t="s">
        <v>2145</v>
      </c>
      <c r="G557" s="54">
        <v>1911200235</v>
      </c>
      <c r="H557" s="54" t="s">
        <v>229</v>
      </c>
      <c r="I557" s="54" t="s">
        <v>3514</v>
      </c>
      <c r="J557" s="34" t="s">
        <v>3419</v>
      </c>
      <c r="K557" s="50">
        <v>222749</v>
      </c>
      <c r="L557" s="43">
        <v>59840</v>
      </c>
      <c r="M557" s="44">
        <f t="shared" si="44"/>
        <v>0.26864318133863674</v>
      </c>
      <c r="N557" s="49">
        <f>ROUND(L557/Summary!$C$3*Summary!$C$2,0)</f>
        <v>185504</v>
      </c>
      <c r="O557" s="44">
        <f t="shared" si="45"/>
        <v>0.83279386214977391</v>
      </c>
      <c r="P557" s="78">
        <v>14</v>
      </c>
      <c r="Q557" s="34">
        <v>2</v>
      </c>
      <c r="R557" s="35">
        <f t="shared" si="46"/>
        <v>0.14285714285714285</v>
      </c>
      <c r="S557" s="49">
        <f>ROUND(Q557/Summary!$C$3*Summary!$C$2,0)</f>
        <v>6</v>
      </c>
      <c r="T557" s="44">
        <f t="shared" si="47"/>
        <v>0.42857142857142855</v>
      </c>
      <c r="U557" s="34">
        <v>1</v>
      </c>
      <c r="V557" s="34">
        <v>1</v>
      </c>
      <c r="W557" s="34">
        <v>0</v>
      </c>
      <c r="X557" s="34">
        <v>0</v>
      </c>
    </row>
    <row r="558" spans="1:24" hidden="1">
      <c r="A558" s="34" t="s">
        <v>2161</v>
      </c>
      <c r="B558" s="34" t="s">
        <v>2162</v>
      </c>
      <c r="C558" s="34" t="s">
        <v>86</v>
      </c>
      <c r="D558" s="34" t="s">
        <v>87</v>
      </c>
      <c r="E558" s="34" t="s">
        <v>4</v>
      </c>
      <c r="F558" s="34" t="s">
        <v>2163</v>
      </c>
      <c r="G558" s="54">
        <v>1972480869</v>
      </c>
      <c r="H558" s="54" t="s">
        <v>229</v>
      </c>
      <c r="I558" s="54" t="s">
        <v>3514</v>
      </c>
      <c r="J558" s="34" t="s">
        <v>3419</v>
      </c>
      <c r="K558" s="50">
        <v>204722</v>
      </c>
      <c r="L558" s="43">
        <v>91489</v>
      </c>
      <c r="M558" s="44">
        <f t="shared" si="44"/>
        <v>0.44689383651976827</v>
      </c>
      <c r="N558" s="49">
        <f>ROUND(L558/Summary!$C$3*Summary!$C$2,0)</f>
        <v>283616</v>
      </c>
      <c r="O558" s="44">
        <f t="shared" si="45"/>
        <v>1.3853713816785689</v>
      </c>
      <c r="P558" s="78">
        <v>13</v>
      </c>
      <c r="Q558" s="34">
        <v>4</v>
      </c>
      <c r="R558" s="35">
        <f t="shared" si="46"/>
        <v>0.30769230769230771</v>
      </c>
      <c r="S558" s="49">
        <f>ROUND(Q558/Summary!$C$3*Summary!$C$2,0)</f>
        <v>12</v>
      </c>
      <c r="T558" s="44">
        <f t="shared" si="47"/>
        <v>0.92307692307692313</v>
      </c>
      <c r="U558" s="34">
        <v>3</v>
      </c>
      <c r="V558" s="34">
        <v>2</v>
      </c>
      <c r="W558" s="34">
        <v>0</v>
      </c>
      <c r="X558" s="34">
        <v>0</v>
      </c>
    </row>
    <row r="559" spans="1:24" hidden="1">
      <c r="A559" s="34" t="s">
        <v>3459</v>
      </c>
      <c r="B559" s="34" t="s">
        <v>3460</v>
      </c>
      <c r="C559" s="34" t="s">
        <v>86</v>
      </c>
      <c r="D559" s="34" t="s">
        <v>87</v>
      </c>
      <c r="E559" s="34" t="s">
        <v>4</v>
      </c>
      <c r="F559" s="34" t="s">
        <v>3461</v>
      </c>
      <c r="G559" s="54">
        <v>1729953548</v>
      </c>
      <c r="H559" s="54" t="s">
        <v>229</v>
      </c>
      <c r="I559" s="54" t="s">
        <v>3514</v>
      </c>
      <c r="J559" s="34" t="s">
        <v>3421</v>
      </c>
      <c r="K559" s="50">
        <v>130000</v>
      </c>
      <c r="L559" s="43">
        <v>23355</v>
      </c>
      <c r="M559" s="44">
        <f t="shared" si="44"/>
        <v>0.17965384615384616</v>
      </c>
      <c r="N559" s="49">
        <f>ROUND(L559/Summary!$C$3*Summary!$C$2,0)</f>
        <v>72401</v>
      </c>
      <c r="O559" s="44">
        <f t="shared" si="45"/>
        <v>0.55693076923076923</v>
      </c>
      <c r="P559" s="78">
        <v>10</v>
      </c>
      <c r="Q559" s="34">
        <v>2</v>
      </c>
      <c r="R559" s="35">
        <f t="shared" si="46"/>
        <v>0.2</v>
      </c>
      <c r="S559" s="49">
        <f>ROUND(Q559/Summary!$C$3*Summary!$C$2,0)</f>
        <v>6</v>
      </c>
      <c r="T559" s="44">
        <f t="shared" si="47"/>
        <v>0.6</v>
      </c>
      <c r="U559" s="34">
        <v>1</v>
      </c>
      <c r="V559" s="34">
        <v>0</v>
      </c>
      <c r="W559" s="34">
        <v>0</v>
      </c>
      <c r="X559" s="34">
        <v>1</v>
      </c>
    </row>
    <row r="560" spans="1:24" hidden="1">
      <c r="A560" s="34" t="s">
        <v>2152</v>
      </c>
      <c r="B560" s="34" t="s">
        <v>2153</v>
      </c>
      <c r="C560" s="34" t="s">
        <v>86</v>
      </c>
      <c r="D560" s="34" t="s">
        <v>87</v>
      </c>
      <c r="E560" s="34" t="s">
        <v>4</v>
      </c>
      <c r="F560" s="34" t="s">
        <v>2154</v>
      </c>
      <c r="G560" s="54">
        <v>1724844865</v>
      </c>
      <c r="H560" s="54" t="s">
        <v>229</v>
      </c>
      <c r="I560" s="54" t="s">
        <v>3518</v>
      </c>
      <c r="J560" s="34" t="s">
        <v>3419</v>
      </c>
      <c r="K560" s="50">
        <v>366574</v>
      </c>
      <c r="L560" s="43">
        <v>127330</v>
      </c>
      <c r="M560" s="44">
        <f t="shared" si="44"/>
        <v>0.3473514215410804</v>
      </c>
      <c r="N560" s="49">
        <f>ROUND(L560/Summary!$C$3*Summary!$C$2,0)</f>
        <v>394723</v>
      </c>
      <c r="O560" s="44">
        <f t="shared" si="45"/>
        <v>1.0767894067773491</v>
      </c>
      <c r="P560" s="78">
        <v>23</v>
      </c>
      <c r="Q560" s="34">
        <v>10</v>
      </c>
      <c r="R560" s="35">
        <f t="shared" si="46"/>
        <v>0.43478260869565216</v>
      </c>
      <c r="S560" s="49">
        <f>ROUND(Q560/Summary!$C$3*Summary!$C$2,0)</f>
        <v>31</v>
      </c>
      <c r="T560" s="44">
        <f t="shared" si="47"/>
        <v>1.3478260869565217</v>
      </c>
      <c r="U560" s="34">
        <v>5</v>
      </c>
      <c r="V560" s="34">
        <v>0</v>
      </c>
      <c r="W560" s="34">
        <v>0</v>
      </c>
      <c r="X560" s="34">
        <v>1</v>
      </c>
    </row>
    <row r="561" spans="1:24" hidden="1">
      <c r="A561" s="34" t="s">
        <v>3055</v>
      </c>
      <c r="B561" s="34" t="s">
        <v>3056</v>
      </c>
      <c r="C561" s="34" t="s">
        <v>86</v>
      </c>
      <c r="D561" s="34" t="s">
        <v>87</v>
      </c>
      <c r="E561" s="34" t="s">
        <v>4</v>
      </c>
      <c r="F561" s="34" t="s">
        <v>3057</v>
      </c>
      <c r="G561" s="54">
        <v>1711588372</v>
      </c>
      <c r="H561" s="54" t="s">
        <v>229</v>
      </c>
      <c r="I561" s="54" t="s">
        <v>3514</v>
      </c>
      <c r="J561" s="34" t="s">
        <v>3419</v>
      </c>
      <c r="K561" s="50">
        <v>226026</v>
      </c>
      <c r="L561" s="43">
        <v>44460</v>
      </c>
      <c r="M561" s="44">
        <f t="shared" si="44"/>
        <v>0.1967030341642112</v>
      </c>
      <c r="N561" s="49">
        <f>ROUND(L561/Summary!$C$3*Summary!$C$2,0)</f>
        <v>137826</v>
      </c>
      <c r="O561" s="44">
        <f t="shared" si="45"/>
        <v>0.60977940590905466</v>
      </c>
      <c r="P561" s="78">
        <v>15</v>
      </c>
      <c r="Q561" s="34">
        <v>1</v>
      </c>
      <c r="R561" s="35">
        <f t="shared" si="46"/>
        <v>6.6666666666666666E-2</v>
      </c>
      <c r="S561" s="49">
        <f>ROUND(Q561/Summary!$C$3*Summary!$C$2,0)</f>
        <v>3</v>
      </c>
      <c r="T561" s="44">
        <f t="shared" si="47"/>
        <v>0.2</v>
      </c>
      <c r="U561" s="34">
        <v>1</v>
      </c>
      <c r="V561" s="34">
        <v>0</v>
      </c>
      <c r="W561" s="34">
        <v>0</v>
      </c>
      <c r="X561" s="34">
        <v>0</v>
      </c>
    </row>
    <row r="562" spans="1:24" hidden="1">
      <c r="A562" s="34" t="s">
        <v>3462</v>
      </c>
      <c r="B562" s="34" t="s">
        <v>3463</v>
      </c>
      <c r="C562" s="34" t="s">
        <v>86</v>
      </c>
      <c r="D562" s="34" t="s">
        <v>87</v>
      </c>
      <c r="E562" s="34" t="s">
        <v>4</v>
      </c>
      <c r="F562" s="34" t="s">
        <v>835</v>
      </c>
      <c r="G562" s="54">
        <v>1911534410</v>
      </c>
      <c r="H562" s="54" t="s">
        <v>229</v>
      </c>
      <c r="I562" s="54" t="s">
        <v>3514</v>
      </c>
      <c r="J562" s="34" t="s">
        <v>3421</v>
      </c>
      <c r="K562" s="50">
        <v>158987</v>
      </c>
      <c r="L562" s="43">
        <v>41540</v>
      </c>
      <c r="M562" s="44">
        <f t="shared" si="44"/>
        <v>0.26127922408750404</v>
      </c>
      <c r="N562" s="49">
        <f>ROUND(L562/Summary!$C$3*Summary!$C$2,0)</f>
        <v>128774</v>
      </c>
      <c r="O562" s="44">
        <f t="shared" si="45"/>
        <v>0.80996559467126239</v>
      </c>
      <c r="P562" s="78">
        <v>10</v>
      </c>
      <c r="Q562" s="34">
        <v>3</v>
      </c>
      <c r="R562" s="35">
        <f t="shared" si="46"/>
        <v>0.3</v>
      </c>
      <c r="S562" s="49">
        <f>ROUND(Q562/Summary!$C$3*Summary!$C$2,0)</f>
        <v>9</v>
      </c>
      <c r="T562" s="44">
        <f t="shared" si="47"/>
        <v>0.9</v>
      </c>
      <c r="U562" s="34">
        <v>2</v>
      </c>
      <c r="V562" s="34">
        <v>0</v>
      </c>
      <c r="W562" s="34">
        <v>0</v>
      </c>
      <c r="X562" s="34">
        <v>1</v>
      </c>
    </row>
    <row r="563" spans="1:24" hidden="1">
      <c r="A563" s="34" t="s">
        <v>2167</v>
      </c>
      <c r="B563" s="34" t="s">
        <v>2168</v>
      </c>
      <c r="C563" s="34" t="s">
        <v>86</v>
      </c>
      <c r="D563" s="34" t="s">
        <v>87</v>
      </c>
      <c r="E563" s="34" t="s">
        <v>4</v>
      </c>
      <c r="F563" s="34" t="s">
        <v>2169</v>
      </c>
      <c r="G563" s="54">
        <v>1949131415</v>
      </c>
      <c r="H563" s="54" t="s">
        <v>229</v>
      </c>
      <c r="I563" s="54" t="s">
        <v>3514</v>
      </c>
      <c r="J563" s="34" t="s">
        <v>3419</v>
      </c>
      <c r="K563" s="50">
        <v>130000</v>
      </c>
      <c r="L563" s="43">
        <v>39880</v>
      </c>
      <c r="M563" s="44">
        <f t="shared" si="44"/>
        <v>0.30676923076923079</v>
      </c>
      <c r="N563" s="49">
        <f>ROUND(L563/Summary!$C$3*Summary!$C$2,0)</f>
        <v>123628</v>
      </c>
      <c r="O563" s="44">
        <f t="shared" si="45"/>
        <v>0.95098461538461543</v>
      </c>
      <c r="P563" s="78">
        <v>10</v>
      </c>
      <c r="Q563" s="34">
        <v>1</v>
      </c>
      <c r="R563" s="35">
        <f t="shared" si="46"/>
        <v>0.1</v>
      </c>
      <c r="S563" s="49">
        <f>ROUND(Q563/Summary!$C$3*Summary!$C$2,0)</f>
        <v>3</v>
      </c>
      <c r="T563" s="44">
        <f t="shared" si="47"/>
        <v>0.3</v>
      </c>
      <c r="U563" s="34">
        <v>0</v>
      </c>
      <c r="V563" s="34">
        <v>0</v>
      </c>
      <c r="W563" s="34">
        <v>0</v>
      </c>
      <c r="X563" s="34">
        <v>0</v>
      </c>
    </row>
    <row r="564" spans="1:24" hidden="1">
      <c r="A564" s="34" t="s">
        <v>3464</v>
      </c>
      <c r="B564" s="34" t="s">
        <v>3465</v>
      </c>
      <c r="C564" s="34" t="s">
        <v>86</v>
      </c>
      <c r="D564" s="34" t="s">
        <v>87</v>
      </c>
      <c r="E564" s="34" t="s">
        <v>4</v>
      </c>
      <c r="F564" s="34" t="s">
        <v>3466</v>
      </c>
      <c r="G564" s="54">
        <v>1713911156</v>
      </c>
      <c r="H564" s="54" t="s">
        <v>229</v>
      </c>
      <c r="I564" s="54" t="s">
        <v>3514</v>
      </c>
      <c r="J564" s="34" t="s">
        <v>3421</v>
      </c>
      <c r="K564" s="50">
        <v>130000</v>
      </c>
      <c r="L564" s="43">
        <v>27760</v>
      </c>
      <c r="M564" s="44">
        <f t="shared" si="44"/>
        <v>0.21353846153846154</v>
      </c>
      <c r="N564" s="49">
        <f>ROUND(L564/Summary!$C$3*Summary!$C$2,0)</f>
        <v>86056</v>
      </c>
      <c r="O564" s="44">
        <f t="shared" si="45"/>
        <v>0.66196923076923075</v>
      </c>
      <c r="P564" s="78">
        <v>10</v>
      </c>
      <c r="Q564" s="34">
        <v>2</v>
      </c>
      <c r="R564" s="35">
        <f t="shared" si="46"/>
        <v>0.2</v>
      </c>
      <c r="S564" s="49">
        <f>ROUND(Q564/Summary!$C$3*Summary!$C$2,0)</f>
        <v>6</v>
      </c>
      <c r="T564" s="44">
        <f t="shared" si="47"/>
        <v>0.6</v>
      </c>
      <c r="U564" s="34">
        <v>1</v>
      </c>
      <c r="V564" s="34">
        <v>0</v>
      </c>
      <c r="W564" s="34">
        <v>0</v>
      </c>
      <c r="X564" s="34">
        <v>0</v>
      </c>
    </row>
    <row r="565" spans="1:24" hidden="1">
      <c r="A565" s="34" t="s">
        <v>3060</v>
      </c>
      <c r="B565" s="34" t="s">
        <v>3061</v>
      </c>
      <c r="C565" s="34" t="s">
        <v>170</v>
      </c>
      <c r="D565" s="34" t="s">
        <v>87</v>
      </c>
      <c r="E565" s="34" t="s">
        <v>4</v>
      </c>
      <c r="F565" s="34" t="s">
        <v>3062</v>
      </c>
      <c r="G565" s="54">
        <v>1736167046</v>
      </c>
      <c r="H565" s="54" t="s">
        <v>229</v>
      </c>
      <c r="I565" s="54" t="s">
        <v>3514</v>
      </c>
      <c r="J565" s="34" t="s">
        <v>3421</v>
      </c>
      <c r="K565" s="50">
        <v>163711</v>
      </c>
      <c r="L565" s="43">
        <v>48170</v>
      </c>
      <c r="M565" s="44">
        <f t="shared" si="44"/>
        <v>0.29423801699336027</v>
      </c>
      <c r="N565" s="49">
        <f>ROUND(L565/Summary!$C$3*Summary!$C$2,0)</f>
        <v>149327</v>
      </c>
      <c r="O565" s="44">
        <f t="shared" si="45"/>
        <v>0.91213785267941683</v>
      </c>
      <c r="P565" s="78">
        <v>10</v>
      </c>
      <c r="Q565" s="34">
        <v>2</v>
      </c>
      <c r="R565" s="35">
        <f t="shared" si="46"/>
        <v>0.2</v>
      </c>
      <c r="S565" s="49">
        <f>ROUND(Q565/Summary!$C$3*Summary!$C$2,0)</f>
        <v>6</v>
      </c>
      <c r="T565" s="44">
        <f t="shared" si="47"/>
        <v>0.6</v>
      </c>
      <c r="U565" s="34">
        <v>0</v>
      </c>
      <c r="V565" s="34">
        <v>1</v>
      </c>
      <c r="W565" s="34">
        <v>0</v>
      </c>
      <c r="X565" s="34">
        <v>0</v>
      </c>
    </row>
    <row r="566" spans="1:24" hidden="1">
      <c r="A566" s="34" t="s">
        <v>2176</v>
      </c>
      <c r="B566" s="34" t="s">
        <v>2177</v>
      </c>
      <c r="C566" s="34" t="s">
        <v>170</v>
      </c>
      <c r="D566" s="34" t="s">
        <v>87</v>
      </c>
      <c r="E566" s="34" t="s">
        <v>4</v>
      </c>
      <c r="F566" s="34" t="s">
        <v>2178</v>
      </c>
      <c r="G566" s="54">
        <v>1727470976</v>
      </c>
      <c r="H566" s="54" t="s">
        <v>229</v>
      </c>
      <c r="I566" s="54" t="s">
        <v>3514</v>
      </c>
      <c r="J566" s="34" t="s">
        <v>3515</v>
      </c>
      <c r="K566" s="50">
        <v>217785</v>
      </c>
      <c r="L566" s="43">
        <v>71079</v>
      </c>
      <c r="M566" s="44">
        <f t="shared" si="44"/>
        <v>0.32637233969281632</v>
      </c>
      <c r="N566" s="49">
        <f>ROUND(L566/Summary!$C$3*Summary!$C$2,0)</f>
        <v>220345</v>
      </c>
      <c r="O566" s="44">
        <f t="shared" si="45"/>
        <v>1.0117547122161765</v>
      </c>
      <c r="P566" s="78">
        <v>19</v>
      </c>
      <c r="Q566" s="34">
        <v>3</v>
      </c>
      <c r="R566" s="35">
        <f t="shared" si="46"/>
        <v>0.15789473684210525</v>
      </c>
      <c r="S566" s="49">
        <f>ROUND(Q566/Summary!$C$3*Summary!$C$2,0)</f>
        <v>9</v>
      </c>
      <c r="T566" s="44">
        <f t="shared" si="47"/>
        <v>0.47368421052631576</v>
      </c>
      <c r="U566" s="34">
        <v>1</v>
      </c>
      <c r="V566" s="34">
        <v>1</v>
      </c>
      <c r="W566" s="34">
        <v>0</v>
      </c>
      <c r="X566" s="34">
        <v>0</v>
      </c>
    </row>
    <row r="567" spans="1:24" hidden="1">
      <c r="A567" s="34" t="s">
        <v>2188</v>
      </c>
      <c r="B567" s="34" t="s">
        <v>2189</v>
      </c>
      <c r="C567" s="34" t="s">
        <v>170</v>
      </c>
      <c r="D567" s="34" t="s">
        <v>87</v>
      </c>
      <c r="E567" s="34" t="s">
        <v>4</v>
      </c>
      <c r="F567" s="34" t="s">
        <v>2190</v>
      </c>
      <c r="G567" s="54">
        <v>1839110337</v>
      </c>
      <c r="H567" s="54" t="s">
        <v>229</v>
      </c>
      <c r="I567" s="54" t="s">
        <v>3514</v>
      </c>
      <c r="J567" s="34" t="s">
        <v>3421</v>
      </c>
      <c r="K567" s="50">
        <v>130000</v>
      </c>
      <c r="L567" s="43">
        <v>81195</v>
      </c>
      <c r="M567" s="44">
        <f t="shared" si="44"/>
        <v>0.62457692307692303</v>
      </c>
      <c r="N567" s="49">
        <f>ROUND(L567/Summary!$C$3*Summary!$C$2,0)</f>
        <v>251705</v>
      </c>
      <c r="O567" s="44">
        <f t="shared" si="45"/>
        <v>1.9361923076923078</v>
      </c>
      <c r="P567" s="78">
        <v>10</v>
      </c>
      <c r="Q567" s="34">
        <v>4</v>
      </c>
      <c r="R567" s="35">
        <f t="shared" si="46"/>
        <v>0.4</v>
      </c>
      <c r="S567" s="49">
        <f>ROUND(Q567/Summary!$C$3*Summary!$C$2,0)</f>
        <v>12</v>
      </c>
      <c r="T567" s="44">
        <f t="shared" si="47"/>
        <v>1.2</v>
      </c>
      <c r="U567" s="34">
        <v>3</v>
      </c>
      <c r="V567" s="34">
        <v>0</v>
      </c>
      <c r="W567" s="34">
        <v>0</v>
      </c>
      <c r="X567" s="34">
        <v>0</v>
      </c>
    </row>
    <row r="568" spans="1:24" hidden="1">
      <c r="A568" s="34" t="s">
        <v>2179</v>
      </c>
      <c r="B568" s="34" t="s">
        <v>2180</v>
      </c>
      <c r="C568" s="34" t="s">
        <v>170</v>
      </c>
      <c r="D568" s="34" t="s">
        <v>87</v>
      </c>
      <c r="E568" s="34" t="s">
        <v>4</v>
      </c>
      <c r="F568" s="34" t="s">
        <v>2181</v>
      </c>
      <c r="G568" s="54">
        <v>1715268970</v>
      </c>
      <c r="H568" s="54" t="s">
        <v>229</v>
      </c>
      <c r="I568" s="54" t="s">
        <v>3514</v>
      </c>
      <c r="J568" s="34" t="s">
        <v>3421</v>
      </c>
      <c r="K568" s="50">
        <v>214663</v>
      </c>
      <c r="L568" s="43">
        <v>30490</v>
      </c>
      <c r="M568" s="44">
        <f t="shared" si="44"/>
        <v>0.1420365875814649</v>
      </c>
      <c r="N568" s="49">
        <f>ROUND(L568/Summary!$C$3*Summary!$C$2,0)</f>
        <v>94519</v>
      </c>
      <c r="O568" s="44">
        <f t="shared" si="45"/>
        <v>0.44031342150254121</v>
      </c>
      <c r="P568" s="78">
        <v>14</v>
      </c>
      <c r="Q568" s="34">
        <v>0</v>
      </c>
      <c r="R568" s="35">
        <f t="shared" si="46"/>
        <v>0</v>
      </c>
      <c r="S568" s="49">
        <f>ROUND(Q568/Summary!$C$3*Summary!$C$2,0)</f>
        <v>0</v>
      </c>
      <c r="T568" s="44">
        <f t="shared" si="47"/>
        <v>0</v>
      </c>
      <c r="U568" s="34">
        <v>0</v>
      </c>
      <c r="V568" s="34">
        <v>0</v>
      </c>
      <c r="W568" s="34">
        <v>0</v>
      </c>
      <c r="X568" s="34">
        <v>0</v>
      </c>
    </row>
    <row r="569" spans="1:24" hidden="1">
      <c r="A569" s="34" t="s">
        <v>3058</v>
      </c>
      <c r="B569" s="34" t="s">
        <v>3059</v>
      </c>
      <c r="C569" s="34" t="s">
        <v>170</v>
      </c>
      <c r="D569" s="34" t="s">
        <v>87</v>
      </c>
      <c r="E569" s="34" t="s">
        <v>4</v>
      </c>
      <c r="F569" s="34" t="s">
        <v>2071</v>
      </c>
      <c r="G569" s="54">
        <v>1923713027</v>
      </c>
      <c r="H569" s="54" t="s">
        <v>229</v>
      </c>
      <c r="I569" s="54" t="s">
        <v>3514</v>
      </c>
      <c r="J569" s="34" t="s">
        <v>3421</v>
      </c>
      <c r="K569" s="50">
        <v>130000</v>
      </c>
      <c r="L569" s="43">
        <v>47610</v>
      </c>
      <c r="M569" s="44">
        <f t="shared" si="44"/>
        <v>0.36623076923076925</v>
      </c>
      <c r="N569" s="49">
        <f>ROUND(L569/Summary!$C$3*Summary!$C$2,0)</f>
        <v>147591</v>
      </c>
      <c r="O569" s="44">
        <f t="shared" si="45"/>
        <v>1.1353153846153847</v>
      </c>
      <c r="P569" s="78">
        <v>10</v>
      </c>
      <c r="Q569" s="34">
        <v>1</v>
      </c>
      <c r="R569" s="35">
        <f t="shared" si="46"/>
        <v>0.1</v>
      </c>
      <c r="S569" s="49">
        <f>ROUND(Q569/Summary!$C$3*Summary!$C$2,0)</f>
        <v>3</v>
      </c>
      <c r="T569" s="44">
        <f t="shared" si="47"/>
        <v>0.3</v>
      </c>
      <c r="U569" s="34">
        <v>0</v>
      </c>
      <c r="V569" s="34">
        <v>1</v>
      </c>
      <c r="W569" s="34">
        <v>0</v>
      </c>
      <c r="X569" s="34">
        <v>0</v>
      </c>
    </row>
    <row r="570" spans="1:24" hidden="1">
      <c r="A570" s="34" t="s">
        <v>2191</v>
      </c>
      <c r="B570" s="34" t="s">
        <v>395</v>
      </c>
      <c r="C570" s="34" t="s">
        <v>170</v>
      </c>
      <c r="D570" s="34" t="s">
        <v>87</v>
      </c>
      <c r="E570" s="34" t="s">
        <v>4</v>
      </c>
      <c r="F570" s="34" t="s">
        <v>2192</v>
      </c>
      <c r="G570" s="54">
        <v>1941797955</v>
      </c>
      <c r="H570" s="54" t="s">
        <v>229</v>
      </c>
      <c r="I570" s="54" t="s">
        <v>3514</v>
      </c>
      <c r="J570" s="34" t="s">
        <v>3421</v>
      </c>
      <c r="K570" s="50">
        <v>130000</v>
      </c>
      <c r="L570" s="43">
        <v>18420</v>
      </c>
      <c r="M570" s="44">
        <f t="shared" si="44"/>
        <v>0.1416923076923077</v>
      </c>
      <c r="N570" s="49">
        <f>ROUND(L570/Summary!$C$3*Summary!$C$2,0)</f>
        <v>57102</v>
      </c>
      <c r="O570" s="44">
        <f t="shared" si="45"/>
        <v>0.43924615384615384</v>
      </c>
      <c r="P570" s="78">
        <v>10</v>
      </c>
      <c r="Q570" s="34">
        <v>1</v>
      </c>
      <c r="R570" s="35">
        <f t="shared" si="46"/>
        <v>0.1</v>
      </c>
      <c r="S570" s="49">
        <f>ROUND(Q570/Summary!$C$3*Summary!$C$2,0)</f>
        <v>3</v>
      </c>
      <c r="T570" s="44">
        <f t="shared" si="47"/>
        <v>0.3</v>
      </c>
      <c r="U570" s="34">
        <v>0</v>
      </c>
      <c r="V570" s="34">
        <v>0</v>
      </c>
      <c r="W570" s="34">
        <v>0</v>
      </c>
      <c r="X570" s="34">
        <v>0</v>
      </c>
    </row>
    <row r="571" spans="1:24" hidden="1">
      <c r="A571" s="34" t="s">
        <v>3258</v>
      </c>
      <c r="B571" s="34" t="s">
        <v>3259</v>
      </c>
      <c r="C571" s="34" t="s">
        <v>170</v>
      </c>
      <c r="D571" s="34" t="s">
        <v>87</v>
      </c>
      <c r="E571" s="34" t="s">
        <v>4</v>
      </c>
      <c r="F571" s="34" t="s">
        <v>3260</v>
      </c>
      <c r="G571" s="54">
        <v>1753647374</v>
      </c>
      <c r="H571" s="54" t="s">
        <v>229</v>
      </c>
      <c r="I571" s="54" t="s">
        <v>3514</v>
      </c>
      <c r="J571" s="34" t="s">
        <v>3419</v>
      </c>
      <c r="K571" s="50">
        <v>194937</v>
      </c>
      <c r="L571" s="43">
        <v>80769</v>
      </c>
      <c r="M571" s="44">
        <f t="shared" si="44"/>
        <v>0.41433386170916758</v>
      </c>
      <c r="N571" s="49">
        <f>ROUND(L571/Summary!$C$3*Summary!$C$2,0)</f>
        <v>250384</v>
      </c>
      <c r="O571" s="44">
        <f t="shared" si="45"/>
        <v>1.2844354842846664</v>
      </c>
      <c r="P571" s="78">
        <v>10</v>
      </c>
      <c r="Q571" s="34">
        <v>5</v>
      </c>
      <c r="R571" s="35">
        <f t="shared" si="46"/>
        <v>0.5</v>
      </c>
      <c r="S571" s="49">
        <f>ROUND(Q571/Summary!$C$3*Summary!$C$2,0)</f>
        <v>16</v>
      </c>
      <c r="T571" s="44">
        <f t="shared" si="47"/>
        <v>1.6</v>
      </c>
      <c r="U571" s="34">
        <v>2</v>
      </c>
      <c r="V571" s="34">
        <v>0</v>
      </c>
      <c r="W571" s="34">
        <v>0</v>
      </c>
      <c r="X571" s="34">
        <v>0</v>
      </c>
    </row>
    <row r="572" spans="1:24" hidden="1">
      <c r="A572" s="34" t="s">
        <v>3067</v>
      </c>
      <c r="B572" s="34" t="s">
        <v>3068</v>
      </c>
      <c r="C572" s="34" t="s">
        <v>170</v>
      </c>
      <c r="D572" s="34" t="s">
        <v>87</v>
      </c>
      <c r="E572" s="34" t="s">
        <v>4</v>
      </c>
      <c r="F572" s="34" t="s">
        <v>3069</v>
      </c>
      <c r="G572" s="54">
        <v>1733948964</v>
      </c>
      <c r="H572" s="54" t="s">
        <v>229</v>
      </c>
      <c r="I572" s="54" t="s">
        <v>3514</v>
      </c>
      <c r="J572" s="34" t="s">
        <v>3421</v>
      </c>
      <c r="K572" s="50">
        <v>130000</v>
      </c>
      <c r="L572" s="43">
        <v>6690</v>
      </c>
      <c r="M572" s="44">
        <f t="shared" si="44"/>
        <v>5.1461538461538461E-2</v>
      </c>
      <c r="N572" s="49">
        <f>ROUND(L572/Summary!$C$3*Summary!$C$2,0)</f>
        <v>20739</v>
      </c>
      <c r="O572" s="44">
        <f t="shared" si="45"/>
        <v>0.15953076923076923</v>
      </c>
      <c r="P572" s="78">
        <v>10</v>
      </c>
      <c r="Q572" s="34">
        <v>1</v>
      </c>
      <c r="R572" s="35">
        <f t="shared" si="46"/>
        <v>0.1</v>
      </c>
      <c r="S572" s="49">
        <f>ROUND(Q572/Summary!$C$3*Summary!$C$2,0)</f>
        <v>3</v>
      </c>
      <c r="T572" s="44">
        <f t="shared" si="47"/>
        <v>0.3</v>
      </c>
      <c r="U572" s="34">
        <v>0</v>
      </c>
      <c r="V572" s="34">
        <v>1</v>
      </c>
      <c r="W572" s="34">
        <v>0</v>
      </c>
      <c r="X572" s="34">
        <v>0</v>
      </c>
    </row>
    <row r="573" spans="1:24" hidden="1">
      <c r="A573" s="34" t="s">
        <v>2185</v>
      </c>
      <c r="B573" s="34" t="s">
        <v>2186</v>
      </c>
      <c r="C573" s="34" t="s">
        <v>170</v>
      </c>
      <c r="D573" s="34" t="s">
        <v>87</v>
      </c>
      <c r="E573" s="34" t="s">
        <v>4</v>
      </c>
      <c r="F573" s="34" t="s">
        <v>2187</v>
      </c>
      <c r="G573" s="54">
        <v>1724249943</v>
      </c>
      <c r="H573" s="54" t="s">
        <v>229</v>
      </c>
      <c r="I573" s="54" t="s">
        <v>3514</v>
      </c>
      <c r="J573" s="34" t="s">
        <v>3421</v>
      </c>
      <c r="K573" s="50">
        <v>130000</v>
      </c>
      <c r="L573" s="43">
        <v>32390</v>
      </c>
      <c r="M573" s="44">
        <f t="shared" si="44"/>
        <v>0.24915384615384614</v>
      </c>
      <c r="N573" s="49">
        <f>ROUND(L573/Summary!$C$3*Summary!$C$2,0)</f>
        <v>100409</v>
      </c>
      <c r="O573" s="44">
        <f t="shared" si="45"/>
        <v>0.77237692307692307</v>
      </c>
      <c r="P573" s="78">
        <v>10</v>
      </c>
      <c r="Q573" s="34">
        <v>1</v>
      </c>
      <c r="R573" s="35">
        <f t="shared" si="46"/>
        <v>0.1</v>
      </c>
      <c r="S573" s="49">
        <f>ROUND(Q573/Summary!$C$3*Summary!$C$2,0)</f>
        <v>3</v>
      </c>
      <c r="T573" s="44">
        <f t="shared" si="47"/>
        <v>0.3</v>
      </c>
      <c r="U573" s="34">
        <v>1</v>
      </c>
      <c r="V573" s="34">
        <v>0</v>
      </c>
      <c r="W573" s="34">
        <v>0</v>
      </c>
      <c r="X573" s="34">
        <v>0</v>
      </c>
    </row>
    <row r="574" spans="1:24" hidden="1">
      <c r="A574" s="34" t="s">
        <v>2182</v>
      </c>
      <c r="B574" s="34" t="s">
        <v>2183</v>
      </c>
      <c r="C574" s="34" t="s">
        <v>170</v>
      </c>
      <c r="D574" s="34" t="s">
        <v>87</v>
      </c>
      <c r="E574" s="34" t="s">
        <v>4</v>
      </c>
      <c r="F574" s="34" t="s">
        <v>2184</v>
      </c>
      <c r="G574" s="54">
        <v>1795760436</v>
      </c>
      <c r="H574" s="54" t="s">
        <v>229</v>
      </c>
      <c r="I574" s="54" t="s">
        <v>3514</v>
      </c>
      <c r="J574" s="34" t="s">
        <v>3419</v>
      </c>
      <c r="K574" s="50">
        <v>279563</v>
      </c>
      <c r="L574" s="43">
        <v>56369</v>
      </c>
      <c r="M574" s="44">
        <f t="shared" si="44"/>
        <v>0.20163254794089347</v>
      </c>
      <c r="N574" s="49">
        <f>ROUND(L574/Summary!$C$3*Summary!$C$2,0)</f>
        <v>174744</v>
      </c>
      <c r="O574" s="44">
        <f t="shared" si="45"/>
        <v>0.62506125631789611</v>
      </c>
      <c r="P574" s="78">
        <v>18</v>
      </c>
      <c r="Q574" s="34">
        <v>5</v>
      </c>
      <c r="R574" s="35">
        <f t="shared" si="46"/>
        <v>0.27777777777777779</v>
      </c>
      <c r="S574" s="49">
        <f>ROUND(Q574/Summary!$C$3*Summary!$C$2,0)</f>
        <v>16</v>
      </c>
      <c r="T574" s="44">
        <f t="shared" si="47"/>
        <v>0.88888888888888884</v>
      </c>
      <c r="U574" s="34">
        <v>0</v>
      </c>
      <c r="V574" s="34">
        <v>1</v>
      </c>
      <c r="W574" s="34">
        <v>0</v>
      </c>
      <c r="X574" s="34">
        <v>0</v>
      </c>
    </row>
    <row r="575" spans="1:24" hidden="1">
      <c r="A575" s="34" t="s">
        <v>3261</v>
      </c>
      <c r="B575" s="34" t="s">
        <v>3262</v>
      </c>
      <c r="C575" s="34" t="s">
        <v>124</v>
      </c>
      <c r="D575" s="34" t="s">
        <v>4</v>
      </c>
      <c r="E575" s="34" t="s">
        <v>4</v>
      </c>
      <c r="F575" s="34" t="s">
        <v>3263</v>
      </c>
      <c r="G575" s="54">
        <v>1953831386</v>
      </c>
      <c r="H575" s="54" t="s">
        <v>229</v>
      </c>
      <c r="I575" s="54" t="s">
        <v>3514</v>
      </c>
      <c r="J575" s="34" t="s">
        <v>3419</v>
      </c>
      <c r="K575" s="50">
        <v>130000</v>
      </c>
      <c r="L575" s="43">
        <v>72139</v>
      </c>
      <c r="M575" s="44">
        <f t="shared" si="44"/>
        <v>0.55491538461538459</v>
      </c>
      <c r="N575" s="49">
        <f>ROUND(L575/Summary!$C$3*Summary!$C$2,0)</f>
        <v>223631</v>
      </c>
      <c r="O575" s="44">
        <f t="shared" si="45"/>
        <v>1.7202384615384616</v>
      </c>
      <c r="P575" s="78">
        <v>10</v>
      </c>
      <c r="Q575" s="34">
        <v>5</v>
      </c>
      <c r="R575" s="35">
        <f t="shared" si="46"/>
        <v>0.5</v>
      </c>
      <c r="S575" s="49">
        <f>ROUND(Q575/Summary!$C$3*Summary!$C$2,0)</f>
        <v>16</v>
      </c>
      <c r="T575" s="44">
        <f t="shared" si="47"/>
        <v>1.6</v>
      </c>
      <c r="U575" s="34">
        <v>0</v>
      </c>
      <c r="V575" s="34">
        <v>4</v>
      </c>
      <c r="W575" s="34">
        <v>0</v>
      </c>
      <c r="X575" s="34">
        <v>1</v>
      </c>
    </row>
    <row r="576" spans="1:24" hidden="1">
      <c r="A576" s="34" t="s">
        <v>2212</v>
      </c>
      <c r="B576" s="34" t="s">
        <v>818</v>
      </c>
      <c r="C576" s="34" t="s">
        <v>124</v>
      </c>
      <c r="D576" s="34" t="s">
        <v>4</v>
      </c>
      <c r="E576" s="34" t="s">
        <v>4</v>
      </c>
      <c r="F576" s="34" t="s">
        <v>2213</v>
      </c>
      <c r="G576" s="54">
        <v>1946604413</v>
      </c>
      <c r="H576" s="54" t="s">
        <v>229</v>
      </c>
      <c r="I576" s="54" t="s">
        <v>3514</v>
      </c>
      <c r="J576" s="34" t="s">
        <v>3421</v>
      </c>
      <c r="K576" s="50">
        <v>130000</v>
      </c>
      <c r="L576" s="43">
        <v>15670</v>
      </c>
      <c r="M576" s="44">
        <f t="shared" si="44"/>
        <v>0.12053846153846154</v>
      </c>
      <c r="N576" s="49">
        <f>ROUND(L576/Summary!$C$3*Summary!$C$2,0)</f>
        <v>48577</v>
      </c>
      <c r="O576" s="44">
        <f t="shared" si="45"/>
        <v>0.37366923076923075</v>
      </c>
      <c r="P576" s="78">
        <v>10</v>
      </c>
      <c r="Q576" s="34">
        <v>0</v>
      </c>
      <c r="R576" s="35">
        <f t="shared" si="46"/>
        <v>0</v>
      </c>
      <c r="S576" s="49">
        <f>ROUND(Q576/Summary!$C$3*Summary!$C$2,0)</f>
        <v>0</v>
      </c>
      <c r="T576" s="44">
        <f t="shared" si="47"/>
        <v>0</v>
      </c>
      <c r="U576" s="34">
        <v>0</v>
      </c>
      <c r="V576" s="34">
        <v>0</v>
      </c>
      <c r="W576" s="34">
        <v>0</v>
      </c>
      <c r="X576" s="34">
        <v>0</v>
      </c>
    </row>
    <row r="577" spans="1:24" hidden="1">
      <c r="A577" s="34" t="s">
        <v>2220</v>
      </c>
      <c r="B577" s="34" t="s">
        <v>2221</v>
      </c>
      <c r="C577" s="34" t="s">
        <v>124</v>
      </c>
      <c r="D577" s="34" t="s">
        <v>4</v>
      </c>
      <c r="E577" s="34" t="s">
        <v>4</v>
      </c>
      <c r="F577" s="34" t="s">
        <v>1113</v>
      </c>
      <c r="G577" s="54">
        <v>1922295981</v>
      </c>
      <c r="H577" s="54" t="s">
        <v>229</v>
      </c>
      <c r="I577" s="54" t="s">
        <v>3514</v>
      </c>
      <c r="J577" s="34" t="s">
        <v>3419</v>
      </c>
      <c r="K577" s="50">
        <v>163609</v>
      </c>
      <c r="L577" s="43">
        <v>57860</v>
      </c>
      <c r="M577" s="44">
        <f t="shared" si="44"/>
        <v>0.35364802669779782</v>
      </c>
      <c r="N577" s="49">
        <f>ROUND(L577/Summary!$C$3*Summary!$C$2,0)</f>
        <v>179366</v>
      </c>
      <c r="O577" s="44">
        <f t="shared" si="45"/>
        <v>1.0963088827631731</v>
      </c>
      <c r="P577" s="78">
        <v>10</v>
      </c>
      <c r="Q577" s="34">
        <v>5</v>
      </c>
      <c r="R577" s="35">
        <f t="shared" si="46"/>
        <v>0.5</v>
      </c>
      <c r="S577" s="49">
        <f>ROUND(Q577/Summary!$C$3*Summary!$C$2,0)</f>
        <v>16</v>
      </c>
      <c r="T577" s="44">
        <f t="shared" si="47"/>
        <v>1.6</v>
      </c>
      <c r="U577" s="34">
        <v>1</v>
      </c>
      <c r="V577" s="34">
        <v>1</v>
      </c>
      <c r="W577" s="34">
        <v>0</v>
      </c>
      <c r="X577" s="34">
        <v>0</v>
      </c>
    </row>
    <row r="578" spans="1:24" hidden="1">
      <c r="A578" s="34" t="s">
        <v>3374</v>
      </c>
      <c r="B578" s="34" t="s">
        <v>3375</v>
      </c>
      <c r="C578" s="34" t="s">
        <v>124</v>
      </c>
      <c r="D578" s="34" t="s">
        <v>4</v>
      </c>
      <c r="E578" s="34" t="s">
        <v>4</v>
      </c>
      <c r="F578" s="34" t="s">
        <v>558</v>
      </c>
      <c r="G578" s="54">
        <v>1916407031</v>
      </c>
      <c r="H578" s="54" t="s">
        <v>229</v>
      </c>
      <c r="I578" s="54" t="s">
        <v>3514</v>
      </c>
      <c r="J578" s="34" t="s">
        <v>3421</v>
      </c>
      <c r="K578" s="50">
        <v>130000</v>
      </c>
      <c r="L578" s="43">
        <v>26150</v>
      </c>
      <c r="M578" s="44">
        <f t="shared" si="44"/>
        <v>0.20115384615384616</v>
      </c>
      <c r="N578" s="49">
        <f>ROUND(L578/Summary!$C$3*Summary!$C$2,0)</f>
        <v>81065</v>
      </c>
      <c r="O578" s="44">
        <f t="shared" si="45"/>
        <v>0.62357692307692303</v>
      </c>
      <c r="P578" s="78">
        <v>10</v>
      </c>
      <c r="Q578" s="34">
        <v>2</v>
      </c>
      <c r="R578" s="35">
        <f t="shared" si="46"/>
        <v>0.2</v>
      </c>
      <c r="S578" s="49">
        <f>ROUND(Q578/Summary!$C$3*Summary!$C$2,0)</f>
        <v>6</v>
      </c>
      <c r="T578" s="44">
        <f t="shared" si="47"/>
        <v>0.6</v>
      </c>
      <c r="U578" s="34">
        <v>0</v>
      </c>
      <c r="V578" s="34">
        <v>0</v>
      </c>
      <c r="W578" s="34">
        <v>0</v>
      </c>
      <c r="X578" s="34">
        <v>0</v>
      </c>
    </row>
    <row r="579" spans="1:24" hidden="1">
      <c r="A579" s="34" t="s">
        <v>2217</v>
      </c>
      <c r="B579" s="34" t="s">
        <v>2218</v>
      </c>
      <c r="C579" s="34" t="s">
        <v>124</v>
      </c>
      <c r="D579" s="34" t="s">
        <v>4</v>
      </c>
      <c r="E579" s="34" t="s">
        <v>4</v>
      </c>
      <c r="F579" s="34" t="s">
        <v>2219</v>
      </c>
      <c r="G579" s="54">
        <v>1968682010</v>
      </c>
      <c r="H579" s="54" t="s">
        <v>229</v>
      </c>
      <c r="I579" s="54" t="s">
        <v>3514</v>
      </c>
      <c r="J579" s="34" t="s">
        <v>3515</v>
      </c>
      <c r="K579" s="50">
        <v>130000</v>
      </c>
      <c r="L579" s="43">
        <v>11780</v>
      </c>
      <c r="M579" s="44">
        <f t="shared" si="44"/>
        <v>9.0615384615384612E-2</v>
      </c>
      <c r="N579" s="49">
        <f>ROUND(L579/Summary!$C$3*Summary!$C$2,0)</f>
        <v>36518</v>
      </c>
      <c r="O579" s="44">
        <f t="shared" si="45"/>
        <v>0.2809076923076923</v>
      </c>
      <c r="P579" s="78">
        <v>10</v>
      </c>
      <c r="Q579" s="34">
        <v>0</v>
      </c>
      <c r="R579" s="35">
        <f t="shared" si="46"/>
        <v>0</v>
      </c>
      <c r="S579" s="49">
        <f>ROUND(Q579/Summary!$C$3*Summary!$C$2,0)</f>
        <v>0</v>
      </c>
      <c r="T579" s="44">
        <f t="shared" si="47"/>
        <v>0</v>
      </c>
      <c r="U579" s="34">
        <v>1</v>
      </c>
      <c r="V579" s="34">
        <v>0</v>
      </c>
      <c r="W579" s="34">
        <v>0</v>
      </c>
      <c r="X579" s="34">
        <v>0</v>
      </c>
    </row>
    <row r="580" spans="1:24" hidden="1">
      <c r="A580" s="34" t="s">
        <v>2209</v>
      </c>
      <c r="B580" s="34" t="s">
        <v>2210</v>
      </c>
      <c r="C580" s="34" t="s">
        <v>124</v>
      </c>
      <c r="D580" s="34" t="s">
        <v>4</v>
      </c>
      <c r="E580" s="34" t="s">
        <v>4</v>
      </c>
      <c r="F580" s="34" t="s">
        <v>2211</v>
      </c>
      <c r="G580" s="54">
        <v>1911648961</v>
      </c>
      <c r="H580" s="54" t="s">
        <v>229</v>
      </c>
      <c r="I580" s="54" t="s">
        <v>3514</v>
      </c>
      <c r="J580" s="34" t="s">
        <v>3419</v>
      </c>
      <c r="K580" s="50">
        <v>190000</v>
      </c>
      <c r="L580" s="43">
        <v>43579</v>
      </c>
      <c r="M580" s="44">
        <f t="shared" si="44"/>
        <v>0.22936315789473685</v>
      </c>
      <c r="N580" s="49">
        <f>ROUND(L580/Summary!$C$3*Summary!$C$2,0)</f>
        <v>135095</v>
      </c>
      <c r="O580" s="44">
        <f t="shared" si="45"/>
        <v>0.71102631578947373</v>
      </c>
      <c r="P580" s="78">
        <v>13</v>
      </c>
      <c r="Q580" s="34">
        <v>2</v>
      </c>
      <c r="R580" s="35">
        <f t="shared" si="46"/>
        <v>0.15384615384615385</v>
      </c>
      <c r="S580" s="49">
        <f>ROUND(Q580/Summary!$C$3*Summary!$C$2,0)</f>
        <v>6</v>
      </c>
      <c r="T580" s="44">
        <f t="shared" si="47"/>
        <v>0.46153846153846156</v>
      </c>
      <c r="U580" s="34">
        <v>0</v>
      </c>
      <c r="V580" s="34">
        <v>0</v>
      </c>
      <c r="W580" s="34">
        <v>0</v>
      </c>
      <c r="X580" s="34">
        <v>0</v>
      </c>
    </row>
    <row r="581" spans="1:24" hidden="1">
      <c r="A581" s="34" t="s">
        <v>2197</v>
      </c>
      <c r="B581" s="34" t="s">
        <v>2198</v>
      </c>
      <c r="C581" s="34" t="s">
        <v>124</v>
      </c>
      <c r="D581" s="34" t="s">
        <v>4</v>
      </c>
      <c r="E581" s="34" t="s">
        <v>4</v>
      </c>
      <c r="F581" s="34" t="s">
        <v>2199</v>
      </c>
      <c r="G581" s="54">
        <v>1794325613</v>
      </c>
      <c r="H581" s="54" t="s">
        <v>229</v>
      </c>
      <c r="I581" s="54" t="s">
        <v>3514</v>
      </c>
      <c r="J581" s="34" t="s">
        <v>3515</v>
      </c>
      <c r="K581" s="50">
        <v>190000</v>
      </c>
      <c r="L581" s="43">
        <v>16079</v>
      </c>
      <c r="M581" s="44">
        <f t="shared" si="44"/>
        <v>8.4626315789473688E-2</v>
      </c>
      <c r="N581" s="49">
        <f>ROUND(L581/Summary!$C$3*Summary!$C$2,0)</f>
        <v>49845</v>
      </c>
      <c r="O581" s="44">
        <f t="shared" si="45"/>
        <v>0.26234210526315788</v>
      </c>
      <c r="P581" s="78">
        <v>15</v>
      </c>
      <c r="Q581" s="34">
        <v>1</v>
      </c>
      <c r="R581" s="35">
        <f t="shared" si="46"/>
        <v>6.6666666666666666E-2</v>
      </c>
      <c r="S581" s="49">
        <f>ROUND(Q581/Summary!$C$3*Summary!$C$2,0)</f>
        <v>3</v>
      </c>
      <c r="T581" s="44">
        <f t="shared" si="47"/>
        <v>0.2</v>
      </c>
      <c r="U581" s="34">
        <v>0</v>
      </c>
      <c r="V581" s="34">
        <v>0</v>
      </c>
      <c r="W581" s="34">
        <v>0</v>
      </c>
      <c r="X581" s="34">
        <v>0</v>
      </c>
    </row>
    <row r="582" spans="1:24" hidden="1">
      <c r="A582" s="34" t="s">
        <v>2214</v>
      </c>
      <c r="B582" s="34" t="s">
        <v>2215</v>
      </c>
      <c r="C582" s="34" t="s">
        <v>124</v>
      </c>
      <c r="D582" s="34" t="s">
        <v>4</v>
      </c>
      <c r="E582" s="34" t="s">
        <v>4</v>
      </c>
      <c r="F582" s="34" t="s">
        <v>2216</v>
      </c>
      <c r="G582" s="54">
        <v>1717322055</v>
      </c>
      <c r="H582" s="54" t="s">
        <v>229</v>
      </c>
      <c r="I582" s="54" t="s">
        <v>3514</v>
      </c>
      <c r="J582" s="34" t="s">
        <v>3515</v>
      </c>
      <c r="K582" s="50">
        <v>165911</v>
      </c>
      <c r="L582" s="43">
        <v>55020</v>
      </c>
      <c r="M582" s="44">
        <f t="shared" si="44"/>
        <v>0.33162358131769443</v>
      </c>
      <c r="N582" s="49">
        <f>ROUND(L582/Summary!$C$3*Summary!$C$2,0)</f>
        <v>170562</v>
      </c>
      <c r="O582" s="44">
        <f t="shared" si="45"/>
        <v>1.0280331020848528</v>
      </c>
      <c r="P582" s="78">
        <v>11</v>
      </c>
      <c r="Q582" s="34">
        <v>5</v>
      </c>
      <c r="R582" s="35">
        <f t="shared" si="46"/>
        <v>0.45454545454545453</v>
      </c>
      <c r="S582" s="49">
        <f>ROUND(Q582/Summary!$C$3*Summary!$C$2,0)</f>
        <v>16</v>
      </c>
      <c r="T582" s="44">
        <f t="shared" si="47"/>
        <v>1.4545454545454546</v>
      </c>
      <c r="U582" s="34">
        <v>0</v>
      </c>
      <c r="V582" s="34">
        <v>2</v>
      </c>
      <c r="W582" s="34">
        <v>0</v>
      </c>
      <c r="X582" s="34">
        <v>0</v>
      </c>
    </row>
    <row r="583" spans="1:24">
      <c r="A583" s="34" t="s">
        <v>2206</v>
      </c>
      <c r="B583" s="34" t="s">
        <v>2207</v>
      </c>
      <c r="C583" s="34" t="s">
        <v>124</v>
      </c>
      <c r="D583" s="34" t="s">
        <v>4</v>
      </c>
      <c r="E583" s="34" t="s">
        <v>4</v>
      </c>
      <c r="F583" s="34" t="s">
        <v>2208</v>
      </c>
      <c r="G583" s="54">
        <v>1771177717</v>
      </c>
      <c r="H583" s="54" t="s">
        <v>229</v>
      </c>
      <c r="I583" s="54" t="s">
        <v>3514</v>
      </c>
      <c r="J583" s="34" t="s">
        <v>3419</v>
      </c>
      <c r="K583" s="50">
        <v>130000</v>
      </c>
      <c r="L583" s="43">
        <v>0</v>
      </c>
      <c r="M583" s="44">
        <f t="shared" si="44"/>
        <v>0</v>
      </c>
      <c r="N583" s="49">
        <f>ROUND(L583/Summary!$C$3*Summary!$C$2,0)</f>
        <v>0</v>
      </c>
      <c r="O583" s="44">
        <f t="shared" si="45"/>
        <v>0</v>
      </c>
      <c r="P583" s="78">
        <v>10</v>
      </c>
      <c r="Q583" s="34">
        <v>0</v>
      </c>
      <c r="R583" s="35">
        <f t="shared" si="46"/>
        <v>0</v>
      </c>
      <c r="S583" s="49">
        <f>ROUND(Q583/Summary!$C$3*Summary!$C$2,0)</f>
        <v>0</v>
      </c>
      <c r="T583" s="44">
        <f t="shared" si="47"/>
        <v>0</v>
      </c>
      <c r="U583" s="34">
        <v>0</v>
      </c>
      <c r="V583" s="34">
        <v>0</v>
      </c>
      <c r="W583" s="34">
        <v>0</v>
      </c>
      <c r="X583" s="34">
        <v>0</v>
      </c>
    </row>
    <row r="584" spans="1:24" hidden="1">
      <c r="A584" s="34" t="s">
        <v>2194</v>
      </c>
      <c r="B584" s="34" t="s">
        <v>2195</v>
      </c>
      <c r="C584" s="34" t="s">
        <v>124</v>
      </c>
      <c r="D584" s="34" t="s">
        <v>4</v>
      </c>
      <c r="E584" s="34" t="s">
        <v>4</v>
      </c>
      <c r="F584" s="34" t="s">
        <v>2196</v>
      </c>
      <c r="G584" s="54">
        <v>1822012877</v>
      </c>
      <c r="H584" s="54" t="s">
        <v>229</v>
      </c>
      <c r="I584" s="54" t="s">
        <v>3514</v>
      </c>
      <c r="J584" s="34" t="s">
        <v>3421</v>
      </c>
      <c r="K584" s="50">
        <v>130000</v>
      </c>
      <c r="L584" s="43">
        <v>30450</v>
      </c>
      <c r="M584" s="44">
        <f t="shared" si="44"/>
        <v>0.23423076923076924</v>
      </c>
      <c r="N584" s="49">
        <f>ROUND(L584/Summary!$C$3*Summary!$C$2,0)</f>
        <v>94395</v>
      </c>
      <c r="O584" s="44">
        <f t="shared" si="45"/>
        <v>0.72611538461538461</v>
      </c>
      <c r="P584" s="78">
        <v>10</v>
      </c>
      <c r="Q584" s="34">
        <v>2</v>
      </c>
      <c r="R584" s="35">
        <f t="shared" si="46"/>
        <v>0.2</v>
      </c>
      <c r="S584" s="49">
        <f>ROUND(Q584/Summary!$C$3*Summary!$C$2,0)</f>
        <v>6</v>
      </c>
      <c r="T584" s="44">
        <f t="shared" si="47"/>
        <v>0.6</v>
      </c>
      <c r="U584" s="34">
        <v>1</v>
      </c>
      <c r="V584" s="34">
        <v>1</v>
      </c>
      <c r="W584" s="34">
        <v>0</v>
      </c>
      <c r="X584" s="34">
        <v>0</v>
      </c>
    </row>
    <row r="585" spans="1:24" hidden="1">
      <c r="A585" s="34" t="s">
        <v>2200</v>
      </c>
      <c r="B585" s="34" t="s">
        <v>2201</v>
      </c>
      <c r="C585" s="34" t="s">
        <v>124</v>
      </c>
      <c r="D585" s="34" t="s">
        <v>4</v>
      </c>
      <c r="E585" s="34" t="s">
        <v>4</v>
      </c>
      <c r="F585" s="34" t="s">
        <v>2202</v>
      </c>
      <c r="G585" s="54">
        <v>1706140857</v>
      </c>
      <c r="H585" s="54" t="s">
        <v>229</v>
      </c>
      <c r="I585" s="54" t="s">
        <v>3514</v>
      </c>
      <c r="J585" s="34" t="s">
        <v>3421</v>
      </c>
      <c r="K585" s="50">
        <v>130000</v>
      </c>
      <c r="L585" s="43">
        <v>41180</v>
      </c>
      <c r="M585" s="44">
        <f t="shared" ref="M585:M648" si="48">L585/K585</f>
        <v>0.31676923076923075</v>
      </c>
      <c r="N585" s="49">
        <f>ROUND(L585/Summary!$C$3*Summary!$C$2,0)</f>
        <v>127658</v>
      </c>
      <c r="O585" s="44">
        <f t="shared" ref="O585:O648" si="49">N585/K585</f>
        <v>0.98198461538461534</v>
      </c>
      <c r="P585" s="78">
        <v>10</v>
      </c>
      <c r="Q585" s="34">
        <v>2</v>
      </c>
      <c r="R585" s="35">
        <f t="shared" ref="R585:R648" si="50">Q585/P585</f>
        <v>0.2</v>
      </c>
      <c r="S585" s="49">
        <f>ROUND(Q585/Summary!$C$3*Summary!$C$2,0)</f>
        <v>6</v>
      </c>
      <c r="T585" s="44">
        <f t="shared" ref="T585:T648" si="51">S585/P585</f>
        <v>0.6</v>
      </c>
      <c r="U585" s="34">
        <v>1</v>
      </c>
      <c r="V585" s="34">
        <v>1</v>
      </c>
      <c r="W585" s="34">
        <v>0</v>
      </c>
      <c r="X585" s="34">
        <v>0</v>
      </c>
    </row>
    <row r="586" spans="1:24" hidden="1">
      <c r="A586" s="34" t="s">
        <v>2193</v>
      </c>
      <c r="B586" s="34" t="s">
        <v>128</v>
      </c>
      <c r="C586" s="34" t="s">
        <v>124</v>
      </c>
      <c r="D586" s="34" t="s">
        <v>4</v>
      </c>
      <c r="E586" s="34" t="s">
        <v>4</v>
      </c>
      <c r="F586" s="34" t="s">
        <v>851</v>
      </c>
      <c r="G586" s="54">
        <v>1919731270</v>
      </c>
      <c r="H586" s="54" t="s">
        <v>229</v>
      </c>
      <c r="I586" s="54" t="s">
        <v>3514</v>
      </c>
      <c r="J586" s="34" t="s">
        <v>3515</v>
      </c>
      <c r="K586" s="50">
        <v>250000</v>
      </c>
      <c r="L586" s="43">
        <v>84960</v>
      </c>
      <c r="M586" s="44">
        <f t="shared" si="48"/>
        <v>0.33983999999999998</v>
      </c>
      <c r="N586" s="49">
        <f>ROUND(L586/Summary!$C$3*Summary!$C$2,0)</f>
        <v>263376</v>
      </c>
      <c r="O586" s="44">
        <f t="shared" si="49"/>
        <v>1.053504</v>
      </c>
      <c r="P586" s="78">
        <v>14</v>
      </c>
      <c r="Q586" s="34">
        <v>7</v>
      </c>
      <c r="R586" s="35">
        <f t="shared" si="50"/>
        <v>0.5</v>
      </c>
      <c r="S586" s="49">
        <f>ROUND(Q586/Summary!$C$3*Summary!$C$2,0)</f>
        <v>22</v>
      </c>
      <c r="T586" s="44">
        <f t="shared" si="51"/>
        <v>1.5714285714285714</v>
      </c>
      <c r="U586" s="34">
        <v>0</v>
      </c>
      <c r="V586" s="34">
        <v>3</v>
      </c>
      <c r="W586" s="34">
        <v>0</v>
      </c>
      <c r="X586" s="34">
        <v>2</v>
      </c>
    </row>
    <row r="587" spans="1:24" hidden="1">
      <c r="A587" s="34" t="s">
        <v>2203</v>
      </c>
      <c r="B587" s="34" t="s">
        <v>2204</v>
      </c>
      <c r="C587" s="34" t="s">
        <v>124</v>
      </c>
      <c r="D587" s="34" t="s">
        <v>4</v>
      </c>
      <c r="E587" s="34" t="s">
        <v>4</v>
      </c>
      <c r="F587" s="34" t="s">
        <v>2205</v>
      </c>
      <c r="G587" s="54">
        <v>1916488036</v>
      </c>
      <c r="H587" s="54" t="s">
        <v>229</v>
      </c>
      <c r="I587" s="54" t="s">
        <v>3514</v>
      </c>
      <c r="J587" s="34" t="s">
        <v>3419</v>
      </c>
      <c r="K587" s="50">
        <v>260000</v>
      </c>
      <c r="L587" s="43">
        <v>85990</v>
      </c>
      <c r="M587" s="44">
        <f t="shared" si="48"/>
        <v>0.33073076923076922</v>
      </c>
      <c r="N587" s="49">
        <f>ROUND(L587/Summary!$C$3*Summary!$C$2,0)</f>
        <v>266569</v>
      </c>
      <c r="O587" s="44">
        <f t="shared" si="49"/>
        <v>1.0252653846153845</v>
      </c>
      <c r="P587" s="78">
        <v>14</v>
      </c>
      <c r="Q587" s="34">
        <v>1</v>
      </c>
      <c r="R587" s="35">
        <f t="shared" si="50"/>
        <v>7.1428571428571425E-2</v>
      </c>
      <c r="S587" s="49">
        <f>ROUND(Q587/Summary!$C$3*Summary!$C$2,0)</f>
        <v>3</v>
      </c>
      <c r="T587" s="44">
        <f t="shared" si="51"/>
        <v>0.21428571428571427</v>
      </c>
      <c r="U587" s="34">
        <v>3</v>
      </c>
      <c r="V587" s="34">
        <v>1</v>
      </c>
      <c r="W587" s="34">
        <v>0</v>
      </c>
      <c r="X587" s="34">
        <v>0</v>
      </c>
    </row>
    <row r="588" spans="1:24" hidden="1">
      <c r="A588" s="34" t="s">
        <v>2223</v>
      </c>
      <c r="B588" s="34" t="s">
        <v>2224</v>
      </c>
      <c r="C588" s="34" t="s">
        <v>94</v>
      </c>
      <c r="D588" s="34" t="s">
        <v>95</v>
      </c>
      <c r="E588" s="34" t="s">
        <v>4</v>
      </c>
      <c r="F588" s="34" t="s">
        <v>2225</v>
      </c>
      <c r="G588" s="54">
        <v>1711009759</v>
      </c>
      <c r="H588" s="54" t="s">
        <v>229</v>
      </c>
      <c r="I588" s="54" t="s">
        <v>3514</v>
      </c>
      <c r="J588" s="34" t="s">
        <v>3515</v>
      </c>
      <c r="K588" s="50">
        <v>130000</v>
      </c>
      <c r="L588" s="43">
        <v>9949</v>
      </c>
      <c r="M588" s="44">
        <f t="shared" si="48"/>
        <v>7.6530769230769236E-2</v>
      </c>
      <c r="N588" s="49">
        <f>ROUND(L588/Summary!$C$3*Summary!$C$2,0)</f>
        <v>30842</v>
      </c>
      <c r="O588" s="44">
        <f t="shared" si="49"/>
        <v>0.23724615384615386</v>
      </c>
      <c r="P588" s="78">
        <v>10</v>
      </c>
      <c r="Q588" s="34">
        <v>0</v>
      </c>
      <c r="R588" s="35">
        <f t="shared" si="50"/>
        <v>0</v>
      </c>
      <c r="S588" s="49">
        <f>ROUND(Q588/Summary!$C$3*Summary!$C$2,0)</f>
        <v>0</v>
      </c>
      <c r="T588" s="44">
        <f t="shared" si="51"/>
        <v>0</v>
      </c>
      <c r="U588" s="34">
        <v>0</v>
      </c>
      <c r="V588" s="34">
        <v>0</v>
      </c>
      <c r="W588" s="34">
        <v>0</v>
      </c>
      <c r="X588" s="34">
        <v>0</v>
      </c>
    </row>
    <row r="589" spans="1:24" hidden="1">
      <c r="A589" s="34" t="s">
        <v>2235</v>
      </c>
      <c r="B589" s="34" t="s">
        <v>2236</v>
      </c>
      <c r="C589" s="34" t="s">
        <v>94</v>
      </c>
      <c r="D589" s="34" t="s">
        <v>95</v>
      </c>
      <c r="E589" s="34" t="s">
        <v>4</v>
      </c>
      <c r="F589" s="34" t="s">
        <v>2237</v>
      </c>
      <c r="G589" s="54">
        <v>1766979899</v>
      </c>
      <c r="H589" s="54" t="s">
        <v>229</v>
      </c>
      <c r="I589" s="54" t="s">
        <v>3514</v>
      </c>
      <c r="J589" s="34" t="s">
        <v>3421</v>
      </c>
      <c r="K589" s="50">
        <v>130000</v>
      </c>
      <c r="L589" s="43">
        <v>20480</v>
      </c>
      <c r="M589" s="44">
        <f t="shared" si="48"/>
        <v>0.15753846153846154</v>
      </c>
      <c r="N589" s="49">
        <f>ROUND(L589/Summary!$C$3*Summary!$C$2,0)</f>
        <v>63488</v>
      </c>
      <c r="O589" s="44">
        <f t="shared" si="49"/>
        <v>0.48836923076923078</v>
      </c>
      <c r="P589" s="78">
        <v>10</v>
      </c>
      <c r="Q589" s="34">
        <v>2</v>
      </c>
      <c r="R589" s="35">
        <f t="shared" si="50"/>
        <v>0.2</v>
      </c>
      <c r="S589" s="49">
        <f>ROUND(Q589/Summary!$C$3*Summary!$C$2,0)</f>
        <v>6</v>
      </c>
      <c r="T589" s="44">
        <f t="shared" si="51"/>
        <v>0.6</v>
      </c>
      <c r="U589" s="34">
        <v>0</v>
      </c>
      <c r="V589" s="34">
        <v>0</v>
      </c>
      <c r="W589" s="34">
        <v>0</v>
      </c>
      <c r="X589" s="34">
        <v>0</v>
      </c>
    </row>
    <row r="590" spans="1:24" hidden="1">
      <c r="A590" s="34" t="s">
        <v>3141</v>
      </c>
      <c r="B590" s="34" t="s">
        <v>3142</v>
      </c>
      <c r="C590" s="34" t="s">
        <v>94</v>
      </c>
      <c r="D590" s="34" t="s">
        <v>95</v>
      </c>
      <c r="E590" s="34" t="s">
        <v>4</v>
      </c>
      <c r="F590" s="34" t="s">
        <v>3143</v>
      </c>
      <c r="G590" s="54">
        <v>1782320038</v>
      </c>
      <c r="H590" s="54" t="s">
        <v>229</v>
      </c>
      <c r="I590" s="54" t="s">
        <v>3518</v>
      </c>
      <c r="J590" s="34" t="s">
        <v>3419</v>
      </c>
      <c r="K590" s="50">
        <v>301000</v>
      </c>
      <c r="L590" s="43">
        <v>74670</v>
      </c>
      <c r="M590" s="44">
        <f t="shared" si="48"/>
        <v>0.24807308970099667</v>
      </c>
      <c r="N590" s="49">
        <f>ROUND(L590/Summary!$C$3*Summary!$C$2,0)</f>
        <v>231477</v>
      </c>
      <c r="O590" s="44">
        <f t="shared" si="49"/>
        <v>0.76902657807308972</v>
      </c>
      <c r="P590" s="78">
        <v>18</v>
      </c>
      <c r="Q590" s="34">
        <v>4</v>
      </c>
      <c r="R590" s="35">
        <f t="shared" si="50"/>
        <v>0.22222222222222221</v>
      </c>
      <c r="S590" s="49">
        <f>ROUND(Q590/Summary!$C$3*Summary!$C$2,0)</f>
        <v>12</v>
      </c>
      <c r="T590" s="44">
        <f t="shared" si="51"/>
        <v>0.66666666666666663</v>
      </c>
      <c r="U590" s="34">
        <v>2</v>
      </c>
      <c r="V590" s="34">
        <v>1</v>
      </c>
      <c r="W590" s="34">
        <v>0</v>
      </c>
      <c r="X590" s="34">
        <v>0</v>
      </c>
    </row>
    <row r="591" spans="1:24" hidden="1">
      <c r="A591" s="34" t="s">
        <v>2232</v>
      </c>
      <c r="B591" s="34" t="s">
        <v>2233</v>
      </c>
      <c r="C591" s="34" t="s">
        <v>94</v>
      </c>
      <c r="D591" s="34" t="s">
        <v>95</v>
      </c>
      <c r="E591" s="34" t="s">
        <v>4</v>
      </c>
      <c r="F591" s="34" t="s">
        <v>2234</v>
      </c>
      <c r="G591" s="54">
        <v>1848093380</v>
      </c>
      <c r="H591" s="54" t="s">
        <v>229</v>
      </c>
      <c r="I591" s="54" t="s">
        <v>3514</v>
      </c>
      <c r="J591" s="34" t="s">
        <v>3515</v>
      </c>
      <c r="K591" s="50">
        <v>130000</v>
      </c>
      <c r="L591" s="43">
        <v>12730</v>
      </c>
      <c r="M591" s="44">
        <f t="shared" si="48"/>
        <v>9.7923076923076918E-2</v>
      </c>
      <c r="N591" s="49">
        <f>ROUND(L591/Summary!$C$3*Summary!$C$2,0)</f>
        <v>39463</v>
      </c>
      <c r="O591" s="44">
        <f t="shared" si="49"/>
        <v>0.30356153846153844</v>
      </c>
      <c r="P591" s="78">
        <v>10</v>
      </c>
      <c r="Q591" s="34">
        <v>1</v>
      </c>
      <c r="R591" s="35">
        <f t="shared" si="50"/>
        <v>0.1</v>
      </c>
      <c r="S591" s="49">
        <f>ROUND(Q591/Summary!$C$3*Summary!$C$2,0)</f>
        <v>3</v>
      </c>
      <c r="T591" s="44">
        <f t="shared" si="51"/>
        <v>0.3</v>
      </c>
      <c r="U591" s="34">
        <v>0</v>
      </c>
      <c r="V591" s="34">
        <v>0</v>
      </c>
      <c r="W591" s="34">
        <v>0</v>
      </c>
      <c r="X591" s="34">
        <v>0</v>
      </c>
    </row>
    <row r="592" spans="1:24" hidden="1">
      <c r="A592" s="34" t="s">
        <v>2226</v>
      </c>
      <c r="B592" s="34" t="s">
        <v>2227</v>
      </c>
      <c r="C592" s="34" t="s">
        <v>94</v>
      </c>
      <c r="D592" s="34" t="s">
        <v>95</v>
      </c>
      <c r="E592" s="34" t="s">
        <v>4</v>
      </c>
      <c r="F592" s="34" t="s">
        <v>2228</v>
      </c>
      <c r="G592" s="54">
        <v>1730984550</v>
      </c>
      <c r="H592" s="54" t="s">
        <v>229</v>
      </c>
      <c r="I592" s="54" t="s">
        <v>3514</v>
      </c>
      <c r="J592" s="34" t="s">
        <v>3419</v>
      </c>
      <c r="K592" s="50">
        <v>130000</v>
      </c>
      <c r="L592" s="43">
        <v>40065</v>
      </c>
      <c r="M592" s="44">
        <f t="shared" si="48"/>
        <v>0.30819230769230771</v>
      </c>
      <c r="N592" s="49">
        <f>ROUND(L592/Summary!$C$3*Summary!$C$2,0)</f>
        <v>124202</v>
      </c>
      <c r="O592" s="44">
        <f t="shared" si="49"/>
        <v>0.95540000000000003</v>
      </c>
      <c r="P592" s="78">
        <v>10</v>
      </c>
      <c r="Q592" s="34">
        <v>2</v>
      </c>
      <c r="R592" s="35">
        <f t="shared" si="50"/>
        <v>0.2</v>
      </c>
      <c r="S592" s="49">
        <f>ROUND(Q592/Summary!$C$3*Summary!$C$2,0)</f>
        <v>6</v>
      </c>
      <c r="T592" s="44">
        <f t="shared" si="51"/>
        <v>0.6</v>
      </c>
      <c r="U592" s="34">
        <v>1</v>
      </c>
      <c r="V592" s="34">
        <v>0</v>
      </c>
      <c r="W592" s="34">
        <v>0</v>
      </c>
      <c r="X592" s="34">
        <v>0</v>
      </c>
    </row>
    <row r="593" spans="1:24" hidden="1">
      <c r="A593" s="34" t="s">
        <v>2244</v>
      </c>
      <c r="B593" s="34" t="s">
        <v>2245</v>
      </c>
      <c r="C593" s="34" t="s">
        <v>94</v>
      </c>
      <c r="D593" s="34" t="s">
        <v>95</v>
      </c>
      <c r="E593" s="34" t="s">
        <v>4</v>
      </c>
      <c r="F593" s="34" t="s">
        <v>2246</v>
      </c>
      <c r="G593" s="54">
        <v>1724135109</v>
      </c>
      <c r="H593" s="54" t="s">
        <v>229</v>
      </c>
      <c r="I593" s="54" t="s">
        <v>3514</v>
      </c>
      <c r="J593" s="34" t="s">
        <v>3419</v>
      </c>
      <c r="K593" s="50">
        <v>130000</v>
      </c>
      <c r="L593" s="43">
        <v>63590</v>
      </c>
      <c r="M593" s="44">
        <f t="shared" si="48"/>
        <v>0.48915384615384616</v>
      </c>
      <c r="N593" s="49">
        <f>ROUND(L593/Summary!$C$3*Summary!$C$2,0)</f>
        <v>197129</v>
      </c>
      <c r="O593" s="44">
        <f t="shared" si="49"/>
        <v>1.5163769230769231</v>
      </c>
      <c r="P593" s="78">
        <v>10</v>
      </c>
      <c r="Q593" s="34">
        <v>4</v>
      </c>
      <c r="R593" s="35">
        <f t="shared" si="50"/>
        <v>0.4</v>
      </c>
      <c r="S593" s="49">
        <f>ROUND(Q593/Summary!$C$3*Summary!$C$2,0)</f>
        <v>12</v>
      </c>
      <c r="T593" s="44">
        <f t="shared" si="51"/>
        <v>1.2</v>
      </c>
      <c r="U593" s="34">
        <v>0</v>
      </c>
      <c r="V593" s="34">
        <v>2</v>
      </c>
      <c r="W593" s="34">
        <v>1</v>
      </c>
      <c r="X593" s="34">
        <v>0</v>
      </c>
    </row>
    <row r="594" spans="1:24" hidden="1">
      <c r="A594" s="34" t="s">
        <v>2229</v>
      </c>
      <c r="B594" s="34" t="s">
        <v>2230</v>
      </c>
      <c r="C594" s="34" t="s">
        <v>94</v>
      </c>
      <c r="D594" s="34" t="s">
        <v>95</v>
      </c>
      <c r="E594" s="34" t="s">
        <v>4</v>
      </c>
      <c r="F594" s="34" t="s">
        <v>2231</v>
      </c>
      <c r="G594" s="54">
        <v>1718210092</v>
      </c>
      <c r="H594" s="54" t="s">
        <v>229</v>
      </c>
      <c r="I594" s="54" t="s">
        <v>3514</v>
      </c>
      <c r="J594" s="34" t="s">
        <v>3515</v>
      </c>
      <c r="K594" s="50">
        <v>152625</v>
      </c>
      <c r="L594" s="43">
        <v>63575</v>
      </c>
      <c r="M594" s="44">
        <f t="shared" si="48"/>
        <v>0.41654381654381656</v>
      </c>
      <c r="N594" s="49">
        <f>ROUND(L594/Summary!$C$3*Summary!$C$2,0)</f>
        <v>197083</v>
      </c>
      <c r="O594" s="44">
        <f t="shared" si="49"/>
        <v>1.2912891072891073</v>
      </c>
      <c r="P594" s="78">
        <v>10</v>
      </c>
      <c r="Q594" s="34">
        <v>3</v>
      </c>
      <c r="R594" s="35">
        <f t="shared" si="50"/>
        <v>0.3</v>
      </c>
      <c r="S594" s="49">
        <f>ROUND(Q594/Summary!$C$3*Summary!$C$2,0)</f>
        <v>9</v>
      </c>
      <c r="T594" s="44">
        <f t="shared" si="51"/>
        <v>0.9</v>
      </c>
      <c r="U594" s="34">
        <v>0</v>
      </c>
      <c r="V594" s="34">
        <v>0</v>
      </c>
      <c r="W594" s="34">
        <v>0</v>
      </c>
      <c r="X594" s="34">
        <v>0</v>
      </c>
    </row>
    <row r="595" spans="1:24" hidden="1">
      <c r="A595" s="34" t="s">
        <v>3467</v>
      </c>
      <c r="B595" s="34" t="s">
        <v>3468</v>
      </c>
      <c r="C595" s="34" t="s">
        <v>94</v>
      </c>
      <c r="D595" s="34" t="s">
        <v>95</v>
      </c>
      <c r="E595" s="34" t="s">
        <v>4</v>
      </c>
      <c r="F595" s="34" t="s">
        <v>3469</v>
      </c>
      <c r="G595" s="54">
        <v>1917442265</v>
      </c>
      <c r="H595" s="54" t="s">
        <v>229</v>
      </c>
      <c r="I595" s="54" t="s">
        <v>3518</v>
      </c>
      <c r="J595" s="34" t="s">
        <v>3419</v>
      </c>
      <c r="K595" s="50">
        <v>301000</v>
      </c>
      <c r="L595" s="43">
        <v>33534</v>
      </c>
      <c r="M595" s="44">
        <f t="shared" si="48"/>
        <v>0.11140863787375416</v>
      </c>
      <c r="N595" s="49">
        <f>ROUND(L595/Summary!$C$3*Summary!$C$2,0)</f>
        <v>103955</v>
      </c>
      <c r="O595" s="44">
        <f t="shared" si="49"/>
        <v>0.34536544850498341</v>
      </c>
      <c r="P595" s="78">
        <v>19</v>
      </c>
      <c r="Q595" s="34">
        <v>2</v>
      </c>
      <c r="R595" s="35">
        <f t="shared" si="50"/>
        <v>0.10526315789473684</v>
      </c>
      <c r="S595" s="49">
        <f>ROUND(Q595/Summary!$C$3*Summary!$C$2,0)</f>
        <v>6</v>
      </c>
      <c r="T595" s="44">
        <f t="shared" si="51"/>
        <v>0.31578947368421051</v>
      </c>
      <c r="U595" s="34">
        <v>0</v>
      </c>
      <c r="V595" s="34">
        <v>0</v>
      </c>
      <c r="W595" s="34">
        <v>0</v>
      </c>
      <c r="X595" s="34">
        <v>0</v>
      </c>
    </row>
    <row r="596" spans="1:24" hidden="1">
      <c r="A596" s="34" t="s">
        <v>2238</v>
      </c>
      <c r="B596" s="34" t="s">
        <v>2239</v>
      </c>
      <c r="C596" s="34" t="s">
        <v>94</v>
      </c>
      <c r="D596" s="34" t="s">
        <v>95</v>
      </c>
      <c r="E596" s="34" t="s">
        <v>4</v>
      </c>
      <c r="F596" s="34" t="s">
        <v>2240</v>
      </c>
      <c r="G596" s="54">
        <v>1713931393</v>
      </c>
      <c r="H596" s="54" t="s">
        <v>229</v>
      </c>
      <c r="I596" s="54" t="s">
        <v>3514</v>
      </c>
      <c r="J596" s="34" t="s">
        <v>3515</v>
      </c>
      <c r="K596" s="50">
        <v>130000</v>
      </c>
      <c r="L596" s="43">
        <v>52255</v>
      </c>
      <c r="M596" s="44">
        <f t="shared" si="48"/>
        <v>0.40196153846153848</v>
      </c>
      <c r="N596" s="49">
        <f>ROUND(L596/Summary!$C$3*Summary!$C$2,0)</f>
        <v>161991</v>
      </c>
      <c r="O596" s="44">
        <f t="shared" si="49"/>
        <v>1.2460846153846155</v>
      </c>
      <c r="P596" s="78">
        <v>10</v>
      </c>
      <c r="Q596" s="34">
        <v>5</v>
      </c>
      <c r="R596" s="35">
        <f t="shared" si="50"/>
        <v>0.5</v>
      </c>
      <c r="S596" s="49">
        <f>ROUND(Q596/Summary!$C$3*Summary!$C$2,0)</f>
        <v>16</v>
      </c>
      <c r="T596" s="44">
        <f t="shared" si="51"/>
        <v>1.6</v>
      </c>
      <c r="U596" s="34">
        <v>0</v>
      </c>
      <c r="V596" s="34">
        <v>0</v>
      </c>
      <c r="W596" s="34">
        <v>1</v>
      </c>
      <c r="X596" s="34">
        <v>0</v>
      </c>
    </row>
    <row r="597" spans="1:24" hidden="1">
      <c r="A597" s="34" t="s">
        <v>2241</v>
      </c>
      <c r="B597" s="34" t="s">
        <v>2242</v>
      </c>
      <c r="C597" s="34" t="s">
        <v>94</v>
      </c>
      <c r="D597" s="34" t="s">
        <v>95</v>
      </c>
      <c r="E597" s="34" t="s">
        <v>4</v>
      </c>
      <c r="F597" s="34" t="s">
        <v>2243</v>
      </c>
      <c r="G597" s="54">
        <v>1712756792</v>
      </c>
      <c r="H597" s="54" t="s">
        <v>229</v>
      </c>
      <c r="I597" s="54" t="s">
        <v>3514</v>
      </c>
      <c r="J597" s="34" t="s">
        <v>3419</v>
      </c>
      <c r="K597" s="50">
        <v>200000</v>
      </c>
      <c r="L597" s="43">
        <v>60800</v>
      </c>
      <c r="M597" s="44">
        <f t="shared" si="48"/>
        <v>0.30399999999999999</v>
      </c>
      <c r="N597" s="49">
        <f>ROUND(L597/Summary!$C$3*Summary!$C$2,0)</f>
        <v>188480</v>
      </c>
      <c r="O597" s="44">
        <f t="shared" si="49"/>
        <v>0.94240000000000002</v>
      </c>
      <c r="P597" s="78">
        <v>12</v>
      </c>
      <c r="Q597" s="34">
        <v>3</v>
      </c>
      <c r="R597" s="35">
        <f t="shared" si="50"/>
        <v>0.25</v>
      </c>
      <c r="S597" s="49">
        <f>ROUND(Q597/Summary!$C$3*Summary!$C$2,0)</f>
        <v>9</v>
      </c>
      <c r="T597" s="44">
        <f t="shared" si="51"/>
        <v>0.75</v>
      </c>
      <c r="U597" s="34">
        <v>0</v>
      </c>
      <c r="V597" s="34">
        <v>0</v>
      </c>
      <c r="W597" s="34">
        <v>0</v>
      </c>
      <c r="X597" s="34">
        <v>0</v>
      </c>
    </row>
    <row r="598" spans="1:24" hidden="1">
      <c r="A598" s="34" t="s">
        <v>2256</v>
      </c>
      <c r="B598" s="34" t="s">
        <v>859</v>
      </c>
      <c r="C598" s="34" t="s">
        <v>115</v>
      </c>
      <c r="D598" s="34" t="s">
        <v>116</v>
      </c>
      <c r="E598" s="34" t="s">
        <v>4</v>
      </c>
      <c r="F598" s="34" t="s">
        <v>2257</v>
      </c>
      <c r="G598" s="54">
        <v>1739481137</v>
      </c>
      <c r="H598" s="54" t="s">
        <v>229</v>
      </c>
      <c r="I598" s="54" t="s">
        <v>3514</v>
      </c>
      <c r="J598" s="34" t="s">
        <v>3419</v>
      </c>
      <c r="K598" s="50">
        <v>171509</v>
      </c>
      <c r="L598" s="43">
        <v>54669</v>
      </c>
      <c r="M598" s="44">
        <f t="shared" si="48"/>
        <v>0.3187529517401419</v>
      </c>
      <c r="N598" s="49">
        <f>ROUND(L598/Summary!$C$3*Summary!$C$2,0)</f>
        <v>169474</v>
      </c>
      <c r="O598" s="44">
        <f t="shared" si="49"/>
        <v>0.98813473345422109</v>
      </c>
      <c r="P598" s="78">
        <v>10</v>
      </c>
      <c r="Q598" s="34">
        <v>2</v>
      </c>
      <c r="R598" s="35">
        <f t="shared" si="50"/>
        <v>0.2</v>
      </c>
      <c r="S598" s="49">
        <f>ROUND(Q598/Summary!$C$3*Summary!$C$2,0)</f>
        <v>6</v>
      </c>
      <c r="T598" s="44">
        <f t="shared" si="51"/>
        <v>0.6</v>
      </c>
      <c r="U598" s="34">
        <v>0</v>
      </c>
      <c r="V598" s="34">
        <v>0</v>
      </c>
      <c r="W598" s="34">
        <v>0</v>
      </c>
      <c r="X598" s="34">
        <v>0</v>
      </c>
    </row>
    <row r="599" spans="1:24" hidden="1">
      <c r="A599" s="34" t="s">
        <v>2264</v>
      </c>
      <c r="B599" s="34" t="s">
        <v>2265</v>
      </c>
      <c r="C599" s="34" t="s">
        <v>115</v>
      </c>
      <c r="D599" s="34" t="s">
        <v>116</v>
      </c>
      <c r="E599" s="34" t="s">
        <v>4</v>
      </c>
      <c r="F599" s="34" t="s">
        <v>2266</v>
      </c>
      <c r="G599" s="54">
        <v>1910303072</v>
      </c>
      <c r="H599" s="54" t="s">
        <v>229</v>
      </c>
      <c r="I599" s="54" t="s">
        <v>3514</v>
      </c>
      <c r="J599" s="34" t="s">
        <v>3419</v>
      </c>
      <c r="K599" s="50">
        <v>130000</v>
      </c>
      <c r="L599" s="43">
        <v>36784</v>
      </c>
      <c r="M599" s="44">
        <f t="shared" si="48"/>
        <v>0.28295384615384617</v>
      </c>
      <c r="N599" s="49">
        <f>ROUND(L599/Summary!$C$3*Summary!$C$2,0)</f>
        <v>114030</v>
      </c>
      <c r="O599" s="44">
        <f t="shared" si="49"/>
        <v>0.87715384615384617</v>
      </c>
      <c r="P599" s="78">
        <v>10</v>
      </c>
      <c r="Q599" s="34">
        <v>2</v>
      </c>
      <c r="R599" s="35">
        <f t="shared" si="50"/>
        <v>0.2</v>
      </c>
      <c r="S599" s="49">
        <f>ROUND(Q599/Summary!$C$3*Summary!$C$2,0)</f>
        <v>6</v>
      </c>
      <c r="T599" s="44">
        <f t="shared" si="51"/>
        <v>0.6</v>
      </c>
      <c r="U599" s="34">
        <v>1</v>
      </c>
      <c r="V599" s="34">
        <v>0</v>
      </c>
      <c r="W599" s="34">
        <v>0</v>
      </c>
      <c r="X599" s="34">
        <v>0</v>
      </c>
    </row>
    <row r="600" spans="1:24" hidden="1">
      <c r="A600" s="34" t="s">
        <v>2261</v>
      </c>
      <c r="B600" s="34" t="s">
        <v>2262</v>
      </c>
      <c r="C600" s="34" t="s">
        <v>115</v>
      </c>
      <c r="D600" s="34" t="s">
        <v>116</v>
      </c>
      <c r="E600" s="34" t="s">
        <v>4</v>
      </c>
      <c r="F600" s="34" t="s">
        <v>2263</v>
      </c>
      <c r="G600" s="54">
        <v>1672854511</v>
      </c>
      <c r="H600" s="54" t="s">
        <v>229</v>
      </c>
      <c r="I600" s="54" t="s">
        <v>3514</v>
      </c>
      <c r="J600" s="34" t="s">
        <v>3421</v>
      </c>
      <c r="K600" s="50">
        <v>130000</v>
      </c>
      <c r="L600" s="43">
        <v>4740</v>
      </c>
      <c r="M600" s="44">
        <f t="shared" si="48"/>
        <v>3.6461538461538462E-2</v>
      </c>
      <c r="N600" s="49">
        <f>ROUND(L600/Summary!$C$3*Summary!$C$2,0)</f>
        <v>14694</v>
      </c>
      <c r="O600" s="44">
        <f t="shared" si="49"/>
        <v>0.11303076923076923</v>
      </c>
      <c r="P600" s="78">
        <v>10</v>
      </c>
      <c r="Q600" s="34">
        <v>0</v>
      </c>
      <c r="R600" s="35">
        <f t="shared" si="50"/>
        <v>0</v>
      </c>
      <c r="S600" s="49">
        <f>ROUND(Q600/Summary!$C$3*Summary!$C$2,0)</f>
        <v>0</v>
      </c>
      <c r="T600" s="44">
        <f t="shared" si="51"/>
        <v>0</v>
      </c>
      <c r="U600" s="34">
        <v>0</v>
      </c>
      <c r="V600" s="34">
        <v>0</v>
      </c>
      <c r="W600" s="34">
        <v>0</v>
      </c>
      <c r="X600" s="34">
        <v>0</v>
      </c>
    </row>
    <row r="601" spans="1:24" hidden="1">
      <c r="A601" s="34" t="s">
        <v>2253</v>
      </c>
      <c r="B601" s="34" t="s">
        <v>2254</v>
      </c>
      <c r="C601" s="34" t="s">
        <v>115</v>
      </c>
      <c r="D601" s="34" t="s">
        <v>116</v>
      </c>
      <c r="E601" s="34" t="s">
        <v>4</v>
      </c>
      <c r="F601" s="34" t="s">
        <v>2255</v>
      </c>
      <c r="G601" s="54">
        <v>1764236044</v>
      </c>
      <c r="H601" s="54" t="s">
        <v>229</v>
      </c>
      <c r="I601" s="54" t="s">
        <v>3514</v>
      </c>
      <c r="J601" s="34" t="s">
        <v>3421</v>
      </c>
      <c r="K601" s="50">
        <v>130000</v>
      </c>
      <c r="L601" s="43">
        <v>41370</v>
      </c>
      <c r="M601" s="44">
        <f t="shared" si="48"/>
        <v>0.31823076923076921</v>
      </c>
      <c r="N601" s="49">
        <f>ROUND(L601/Summary!$C$3*Summary!$C$2,0)</f>
        <v>128247</v>
      </c>
      <c r="O601" s="44">
        <f t="shared" si="49"/>
        <v>0.98651538461538457</v>
      </c>
      <c r="P601" s="78">
        <v>10</v>
      </c>
      <c r="Q601" s="34">
        <v>0</v>
      </c>
      <c r="R601" s="35">
        <f t="shared" si="50"/>
        <v>0</v>
      </c>
      <c r="S601" s="49">
        <f>ROUND(Q601/Summary!$C$3*Summary!$C$2,0)</f>
        <v>0</v>
      </c>
      <c r="T601" s="44">
        <f t="shared" si="51"/>
        <v>0</v>
      </c>
      <c r="U601" s="34">
        <v>0</v>
      </c>
      <c r="V601" s="34">
        <v>0</v>
      </c>
      <c r="W601" s="34">
        <v>0</v>
      </c>
      <c r="X601" s="34">
        <v>0</v>
      </c>
    </row>
    <row r="602" spans="1:24" hidden="1">
      <c r="A602" s="34" t="s">
        <v>2247</v>
      </c>
      <c r="B602" s="34" t="s">
        <v>2248</v>
      </c>
      <c r="C602" s="34" t="s">
        <v>115</v>
      </c>
      <c r="D602" s="34" t="s">
        <v>116</v>
      </c>
      <c r="E602" s="34" t="s">
        <v>4</v>
      </c>
      <c r="F602" s="34" t="s">
        <v>2249</v>
      </c>
      <c r="G602" s="54">
        <v>1815191504</v>
      </c>
      <c r="H602" s="54" t="s">
        <v>229</v>
      </c>
      <c r="I602" s="54" t="s">
        <v>3514</v>
      </c>
      <c r="J602" s="34" t="s">
        <v>3515</v>
      </c>
      <c r="K602" s="50">
        <v>155011</v>
      </c>
      <c r="L602" s="43">
        <v>40005</v>
      </c>
      <c r="M602" s="44">
        <f t="shared" si="48"/>
        <v>0.25807845894807463</v>
      </c>
      <c r="N602" s="49">
        <f>ROUND(L602/Summary!$C$3*Summary!$C$2,0)</f>
        <v>124016</v>
      </c>
      <c r="O602" s="44">
        <f t="shared" si="49"/>
        <v>0.80004644831657112</v>
      </c>
      <c r="P602" s="78">
        <v>12</v>
      </c>
      <c r="Q602" s="34">
        <v>2</v>
      </c>
      <c r="R602" s="35">
        <f t="shared" si="50"/>
        <v>0.16666666666666666</v>
      </c>
      <c r="S602" s="49">
        <f>ROUND(Q602/Summary!$C$3*Summary!$C$2,0)</f>
        <v>6</v>
      </c>
      <c r="T602" s="44">
        <f t="shared" si="51"/>
        <v>0.5</v>
      </c>
      <c r="U602" s="34">
        <v>1</v>
      </c>
      <c r="V602" s="34">
        <v>1</v>
      </c>
      <c r="W602" s="34">
        <v>0</v>
      </c>
      <c r="X602" s="34">
        <v>0</v>
      </c>
    </row>
    <row r="603" spans="1:24" hidden="1">
      <c r="A603" s="34" t="s">
        <v>2270</v>
      </c>
      <c r="B603" s="34" t="s">
        <v>50</v>
      </c>
      <c r="C603" s="34" t="s">
        <v>115</v>
      </c>
      <c r="D603" s="34" t="s">
        <v>116</v>
      </c>
      <c r="E603" s="34" t="s">
        <v>4</v>
      </c>
      <c r="F603" s="34" t="s">
        <v>2271</v>
      </c>
      <c r="G603" s="54">
        <v>1628414243</v>
      </c>
      <c r="H603" s="54" t="s">
        <v>229</v>
      </c>
      <c r="I603" s="54" t="s">
        <v>3514</v>
      </c>
      <c r="J603" s="34" t="s">
        <v>3421</v>
      </c>
      <c r="K603" s="50">
        <v>130000</v>
      </c>
      <c r="L603" s="43">
        <v>29459</v>
      </c>
      <c r="M603" s="44">
        <f t="shared" si="48"/>
        <v>0.22660769230769232</v>
      </c>
      <c r="N603" s="49">
        <f>ROUND(L603/Summary!$C$3*Summary!$C$2,0)</f>
        <v>91323</v>
      </c>
      <c r="O603" s="44">
        <f t="shared" si="49"/>
        <v>0.70248461538461537</v>
      </c>
      <c r="P603" s="78">
        <v>10</v>
      </c>
      <c r="Q603" s="34">
        <v>2</v>
      </c>
      <c r="R603" s="35">
        <f t="shared" si="50"/>
        <v>0.2</v>
      </c>
      <c r="S603" s="49">
        <f>ROUND(Q603/Summary!$C$3*Summary!$C$2,0)</f>
        <v>6</v>
      </c>
      <c r="T603" s="44">
        <f t="shared" si="51"/>
        <v>0.6</v>
      </c>
      <c r="U603" s="34">
        <v>1</v>
      </c>
      <c r="V603" s="34">
        <v>1</v>
      </c>
      <c r="W603" s="34">
        <v>0</v>
      </c>
      <c r="X603" s="34">
        <v>0</v>
      </c>
    </row>
    <row r="604" spans="1:24" hidden="1">
      <c r="A604" s="34" t="s">
        <v>2272</v>
      </c>
      <c r="B604" s="34" t="s">
        <v>2273</v>
      </c>
      <c r="C604" s="34" t="s">
        <v>115</v>
      </c>
      <c r="D604" s="34" t="s">
        <v>116</v>
      </c>
      <c r="E604" s="34" t="s">
        <v>4</v>
      </c>
      <c r="F604" s="34" t="s">
        <v>2274</v>
      </c>
      <c r="G604" s="54">
        <v>1839476909</v>
      </c>
      <c r="H604" s="54" t="s">
        <v>229</v>
      </c>
      <c r="I604" s="54" t="s">
        <v>3514</v>
      </c>
      <c r="J604" s="34" t="s">
        <v>3421</v>
      </c>
      <c r="K604" s="50">
        <v>130000</v>
      </c>
      <c r="L604" s="43">
        <v>6150</v>
      </c>
      <c r="M604" s="44">
        <f t="shared" si="48"/>
        <v>4.7307692307692308E-2</v>
      </c>
      <c r="N604" s="49">
        <f>ROUND(L604/Summary!$C$3*Summary!$C$2,0)</f>
        <v>19065</v>
      </c>
      <c r="O604" s="44">
        <f t="shared" si="49"/>
        <v>0.14665384615384616</v>
      </c>
      <c r="P604" s="78">
        <v>10</v>
      </c>
      <c r="Q604" s="34">
        <v>1</v>
      </c>
      <c r="R604" s="35">
        <f t="shared" si="50"/>
        <v>0.1</v>
      </c>
      <c r="S604" s="49">
        <f>ROUND(Q604/Summary!$C$3*Summary!$C$2,0)</f>
        <v>3</v>
      </c>
      <c r="T604" s="44">
        <f t="shared" si="51"/>
        <v>0.3</v>
      </c>
      <c r="U604" s="34">
        <v>0</v>
      </c>
      <c r="V604" s="34">
        <v>0</v>
      </c>
      <c r="W604" s="34">
        <v>0</v>
      </c>
      <c r="X604" s="34">
        <v>0</v>
      </c>
    </row>
    <row r="605" spans="1:24" hidden="1">
      <c r="A605" s="34" t="s">
        <v>2275</v>
      </c>
      <c r="B605" s="34" t="s">
        <v>2276</v>
      </c>
      <c r="C605" s="34" t="s">
        <v>115</v>
      </c>
      <c r="D605" s="34" t="s">
        <v>116</v>
      </c>
      <c r="E605" s="34" t="s">
        <v>4</v>
      </c>
      <c r="F605" s="34" t="s">
        <v>2277</v>
      </c>
      <c r="G605" s="54">
        <v>1761866642</v>
      </c>
      <c r="H605" s="54" t="s">
        <v>229</v>
      </c>
      <c r="I605" s="54" t="s">
        <v>3514</v>
      </c>
      <c r="J605" s="34" t="s">
        <v>3515</v>
      </c>
      <c r="K605" s="50">
        <v>130000</v>
      </c>
      <c r="L605" s="43">
        <v>31860</v>
      </c>
      <c r="M605" s="44">
        <f t="shared" si="48"/>
        <v>0.24507692307692308</v>
      </c>
      <c r="N605" s="49">
        <f>ROUND(L605/Summary!$C$3*Summary!$C$2,0)</f>
        <v>98766</v>
      </c>
      <c r="O605" s="44">
        <f t="shared" si="49"/>
        <v>0.75973846153846158</v>
      </c>
      <c r="P605" s="78">
        <v>10</v>
      </c>
      <c r="Q605" s="34">
        <v>3</v>
      </c>
      <c r="R605" s="35">
        <f t="shared" si="50"/>
        <v>0.3</v>
      </c>
      <c r="S605" s="49">
        <f>ROUND(Q605/Summary!$C$3*Summary!$C$2,0)</f>
        <v>9</v>
      </c>
      <c r="T605" s="44">
        <f t="shared" si="51"/>
        <v>0.9</v>
      </c>
      <c r="U605" s="34">
        <v>0</v>
      </c>
      <c r="V605" s="34">
        <v>0</v>
      </c>
      <c r="W605" s="34">
        <v>0</v>
      </c>
      <c r="X605" s="34">
        <v>0</v>
      </c>
    </row>
    <row r="606" spans="1:24" hidden="1">
      <c r="A606" s="34" t="s">
        <v>2258</v>
      </c>
      <c r="B606" s="34" t="s">
        <v>2259</v>
      </c>
      <c r="C606" s="34" t="s">
        <v>115</v>
      </c>
      <c r="D606" s="34" t="s">
        <v>116</v>
      </c>
      <c r="E606" s="34" t="s">
        <v>4</v>
      </c>
      <c r="F606" s="34" t="s">
        <v>2260</v>
      </c>
      <c r="G606" s="54">
        <v>1851180723</v>
      </c>
      <c r="H606" s="54" t="s">
        <v>229</v>
      </c>
      <c r="I606" s="54" t="s">
        <v>3514</v>
      </c>
      <c r="J606" s="34" t="s">
        <v>3515</v>
      </c>
      <c r="K606" s="50">
        <v>130000</v>
      </c>
      <c r="L606" s="43">
        <v>64170</v>
      </c>
      <c r="M606" s="44">
        <f t="shared" si="48"/>
        <v>0.49361538461538462</v>
      </c>
      <c r="N606" s="49">
        <f>ROUND(L606/Summary!$C$3*Summary!$C$2,0)</f>
        <v>198927</v>
      </c>
      <c r="O606" s="44">
        <f t="shared" si="49"/>
        <v>1.5302076923076924</v>
      </c>
      <c r="P606" s="78">
        <v>10</v>
      </c>
      <c r="Q606" s="34">
        <v>1</v>
      </c>
      <c r="R606" s="35">
        <f t="shared" si="50"/>
        <v>0.1</v>
      </c>
      <c r="S606" s="49">
        <f>ROUND(Q606/Summary!$C$3*Summary!$C$2,0)</f>
        <v>3</v>
      </c>
      <c r="T606" s="44">
        <f t="shared" si="51"/>
        <v>0.3</v>
      </c>
      <c r="U606" s="34">
        <v>1</v>
      </c>
      <c r="V606" s="34">
        <v>0</v>
      </c>
      <c r="W606" s="34">
        <v>0</v>
      </c>
      <c r="X606" s="34">
        <v>0</v>
      </c>
    </row>
    <row r="607" spans="1:24" hidden="1">
      <c r="A607" s="34" t="s">
        <v>2250</v>
      </c>
      <c r="B607" s="34" t="s">
        <v>2251</v>
      </c>
      <c r="C607" s="34" t="s">
        <v>115</v>
      </c>
      <c r="D607" s="34" t="s">
        <v>116</v>
      </c>
      <c r="E607" s="34" t="s">
        <v>4</v>
      </c>
      <c r="F607" s="34" t="s">
        <v>2252</v>
      </c>
      <c r="G607" s="54">
        <v>1925330930</v>
      </c>
      <c r="H607" s="54" t="s">
        <v>229</v>
      </c>
      <c r="I607" s="54" t="s">
        <v>3514</v>
      </c>
      <c r="J607" s="34" t="s">
        <v>3419</v>
      </c>
      <c r="K607" s="50">
        <v>130000</v>
      </c>
      <c r="L607" s="43">
        <v>33125</v>
      </c>
      <c r="M607" s="44">
        <f t="shared" si="48"/>
        <v>0.25480769230769229</v>
      </c>
      <c r="N607" s="49">
        <f>ROUND(L607/Summary!$C$3*Summary!$C$2,0)</f>
        <v>102688</v>
      </c>
      <c r="O607" s="44">
        <f t="shared" si="49"/>
        <v>0.78990769230769231</v>
      </c>
      <c r="P607" s="78">
        <v>10</v>
      </c>
      <c r="Q607" s="34">
        <v>1</v>
      </c>
      <c r="R607" s="35">
        <f t="shared" si="50"/>
        <v>0.1</v>
      </c>
      <c r="S607" s="49">
        <f>ROUND(Q607/Summary!$C$3*Summary!$C$2,0)</f>
        <v>3</v>
      </c>
      <c r="T607" s="44">
        <f t="shared" si="51"/>
        <v>0.3</v>
      </c>
      <c r="U607" s="34">
        <v>1</v>
      </c>
      <c r="V607" s="34">
        <v>0</v>
      </c>
      <c r="W607" s="34">
        <v>0</v>
      </c>
      <c r="X607" s="34">
        <v>0</v>
      </c>
    </row>
    <row r="608" spans="1:24" hidden="1">
      <c r="A608" s="34" t="s">
        <v>2267</v>
      </c>
      <c r="B608" s="34" t="s">
        <v>2268</v>
      </c>
      <c r="C608" s="34" t="s">
        <v>115</v>
      </c>
      <c r="D608" s="34" t="s">
        <v>116</v>
      </c>
      <c r="E608" s="34" t="s">
        <v>4</v>
      </c>
      <c r="F608" s="34" t="s">
        <v>2269</v>
      </c>
      <c r="G608" s="54">
        <v>1715855805</v>
      </c>
      <c r="H608" s="54" t="s">
        <v>229</v>
      </c>
      <c r="I608" s="54" t="s">
        <v>3514</v>
      </c>
      <c r="J608" s="34" t="s">
        <v>3419</v>
      </c>
      <c r="K608" s="50">
        <v>130000</v>
      </c>
      <c r="L608" s="43">
        <v>10580</v>
      </c>
      <c r="M608" s="44">
        <f t="shared" si="48"/>
        <v>8.1384615384615389E-2</v>
      </c>
      <c r="N608" s="49">
        <f>ROUND(L608/Summary!$C$3*Summary!$C$2,0)</f>
        <v>32798</v>
      </c>
      <c r="O608" s="44">
        <f t="shared" si="49"/>
        <v>0.2522923076923077</v>
      </c>
      <c r="P608" s="78">
        <v>10</v>
      </c>
      <c r="Q608" s="34">
        <v>0</v>
      </c>
      <c r="R608" s="35">
        <f t="shared" si="50"/>
        <v>0</v>
      </c>
      <c r="S608" s="49">
        <f>ROUND(Q608/Summary!$C$3*Summary!$C$2,0)</f>
        <v>0</v>
      </c>
      <c r="T608" s="44">
        <f t="shared" si="51"/>
        <v>0</v>
      </c>
      <c r="U608" s="34">
        <v>0</v>
      </c>
      <c r="V608" s="34">
        <v>0</v>
      </c>
      <c r="W608" s="34">
        <v>0</v>
      </c>
      <c r="X608" s="34">
        <v>0</v>
      </c>
    </row>
    <row r="609" spans="1:24" hidden="1">
      <c r="A609" s="34" t="s">
        <v>2280</v>
      </c>
      <c r="B609" s="34" t="s">
        <v>2281</v>
      </c>
      <c r="C609" s="34" t="s">
        <v>186</v>
      </c>
      <c r="D609" s="34" t="s">
        <v>116</v>
      </c>
      <c r="E609" s="34" t="s">
        <v>4</v>
      </c>
      <c r="F609" s="34" t="s">
        <v>2282</v>
      </c>
      <c r="G609" s="54">
        <v>1715485344</v>
      </c>
      <c r="H609" s="54" t="s">
        <v>229</v>
      </c>
      <c r="I609" s="54" t="s">
        <v>3514</v>
      </c>
      <c r="J609" s="34" t="s">
        <v>3421</v>
      </c>
      <c r="K609" s="50">
        <v>130000</v>
      </c>
      <c r="L609" s="43">
        <v>29440</v>
      </c>
      <c r="M609" s="44">
        <f t="shared" si="48"/>
        <v>0.22646153846153846</v>
      </c>
      <c r="N609" s="49">
        <f>ROUND(L609/Summary!$C$3*Summary!$C$2,0)</f>
        <v>91264</v>
      </c>
      <c r="O609" s="44">
        <f t="shared" si="49"/>
        <v>0.70203076923076924</v>
      </c>
      <c r="P609" s="78">
        <v>10</v>
      </c>
      <c r="Q609" s="34">
        <v>1</v>
      </c>
      <c r="R609" s="35">
        <f t="shared" si="50"/>
        <v>0.1</v>
      </c>
      <c r="S609" s="49">
        <f>ROUND(Q609/Summary!$C$3*Summary!$C$2,0)</f>
        <v>3</v>
      </c>
      <c r="T609" s="44">
        <f t="shared" si="51"/>
        <v>0.3</v>
      </c>
      <c r="U609" s="34">
        <v>2</v>
      </c>
      <c r="V609" s="34">
        <v>1</v>
      </c>
      <c r="W609" s="34">
        <v>0</v>
      </c>
      <c r="X609" s="34">
        <v>0</v>
      </c>
    </row>
    <row r="610" spans="1:24" hidden="1">
      <c r="A610" s="34" t="s">
        <v>2289</v>
      </c>
      <c r="B610" s="34" t="s">
        <v>2290</v>
      </c>
      <c r="C610" s="34" t="s">
        <v>186</v>
      </c>
      <c r="D610" s="34" t="s">
        <v>116</v>
      </c>
      <c r="E610" s="34" t="s">
        <v>4</v>
      </c>
      <c r="F610" s="34" t="s">
        <v>2291</v>
      </c>
      <c r="G610" s="54">
        <v>1715851586</v>
      </c>
      <c r="H610" s="54" t="s">
        <v>229</v>
      </c>
      <c r="I610" s="54" t="s">
        <v>3514</v>
      </c>
      <c r="J610" s="34" t="s">
        <v>3515</v>
      </c>
      <c r="K610" s="50">
        <v>130000</v>
      </c>
      <c r="L610" s="43">
        <v>19070</v>
      </c>
      <c r="M610" s="44">
        <f t="shared" si="48"/>
        <v>0.14669230769230771</v>
      </c>
      <c r="N610" s="49">
        <f>ROUND(L610/Summary!$C$3*Summary!$C$2,0)</f>
        <v>59117</v>
      </c>
      <c r="O610" s="44">
        <f t="shared" si="49"/>
        <v>0.45474615384615386</v>
      </c>
      <c r="P610" s="78">
        <v>10</v>
      </c>
      <c r="Q610" s="34">
        <v>2</v>
      </c>
      <c r="R610" s="35">
        <f t="shared" si="50"/>
        <v>0.2</v>
      </c>
      <c r="S610" s="49">
        <f>ROUND(Q610/Summary!$C$3*Summary!$C$2,0)</f>
        <v>6</v>
      </c>
      <c r="T610" s="44">
        <f t="shared" si="51"/>
        <v>0.6</v>
      </c>
      <c r="U610" s="34">
        <v>0</v>
      </c>
      <c r="V610" s="34">
        <v>0</v>
      </c>
      <c r="W610" s="34">
        <v>0</v>
      </c>
      <c r="X610" s="34">
        <v>0</v>
      </c>
    </row>
    <row r="611" spans="1:24" hidden="1">
      <c r="A611" s="34" t="s">
        <v>2286</v>
      </c>
      <c r="B611" s="34" t="s">
        <v>2287</v>
      </c>
      <c r="C611" s="34" t="s">
        <v>186</v>
      </c>
      <c r="D611" s="34" t="s">
        <v>116</v>
      </c>
      <c r="E611" s="34" t="s">
        <v>4</v>
      </c>
      <c r="F611" s="34" t="s">
        <v>2288</v>
      </c>
      <c r="G611" s="54">
        <v>1714669246</v>
      </c>
      <c r="H611" s="54" t="s">
        <v>229</v>
      </c>
      <c r="I611" s="54" t="s">
        <v>3514</v>
      </c>
      <c r="J611" s="34" t="s">
        <v>3515</v>
      </c>
      <c r="K611" s="50">
        <v>130000</v>
      </c>
      <c r="L611" s="43">
        <v>40580</v>
      </c>
      <c r="M611" s="44">
        <f t="shared" si="48"/>
        <v>0.31215384615384617</v>
      </c>
      <c r="N611" s="49">
        <f>ROUND(L611/Summary!$C$3*Summary!$C$2,0)</f>
        <v>125798</v>
      </c>
      <c r="O611" s="44">
        <f t="shared" si="49"/>
        <v>0.9676769230769231</v>
      </c>
      <c r="P611" s="78">
        <v>10</v>
      </c>
      <c r="Q611" s="34">
        <v>2</v>
      </c>
      <c r="R611" s="35">
        <f t="shared" si="50"/>
        <v>0.2</v>
      </c>
      <c r="S611" s="49">
        <f>ROUND(Q611/Summary!$C$3*Summary!$C$2,0)</f>
        <v>6</v>
      </c>
      <c r="T611" s="44">
        <f t="shared" si="51"/>
        <v>0.6</v>
      </c>
      <c r="U611" s="34">
        <v>0</v>
      </c>
      <c r="V611" s="34">
        <v>0</v>
      </c>
      <c r="W611" s="34">
        <v>0</v>
      </c>
      <c r="X611" s="34">
        <v>0</v>
      </c>
    </row>
    <row r="612" spans="1:24" hidden="1">
      <c r="A612" s="34" t="s">
        <v>2923</v>
      </c>
      <c r="B612" s="34" t="s">
        <v>2924</v>
      </c>
      <c r="C612" s="34" t="s">
        <v>186</v>
      </c>
      <c r="D612" s="34" t="s">
        <v>116</v>
      </c>
      <c r="E612" s="34" t="s">
        <v>4</v>
      </c>
      <c r="F612" s="34" t="s">
        <v>2925</v>
      </c>
      <c r="G612" s="54">
        <v>1775801301</v>
      </c>
      <c r="H612" s="54" t="s">
        <v>229</v>
      </c>
      <c r="I612" s="54" t="s">
        <v>3514</v>
      </c>
      <c r="J612" s="34" t="s">
        <v>3421</v>
      </c>
      <c r="K612" s="50">
        <v>130000</v>
      </c>
      <c r="L612" s="43">
        <v>10689</v>
      </c>
      <c r="M612" s="44">
        <f t="shared" si="48"/>
        <v>8.2223076923076927E-2</v>
      </c>
      <c r="N612" s="49">
        <f>ROUND(L612/Summary!$C$3*Summary!$C$2,0)</f>
        <v>33136</v>
      </c>
      <c r="O612" s="44">
        <f t="shared" si="49"/>
        <v>0.2548923076923077</v>
      </c>
      <c r="P612" s="78">
        <v>10</v>
      </c>
      <c r="Q612" s="34">
        <v>0</v>
      </c>
      <c r="R612" s="35">
        <f t="shared" si="50"/>
        <v>0</v>
      </c>
      <c r="S612" s="49">
        <f>ROUND(Q612/Summary!$C$3*Summary!$C$2,0)</f>
        <v>0</v>
      </c>
      <c r="T612" s="44">
        <f t="shared" si="51"/>
        <v>0</v>
      </c>
      <c r="U612" s="34">
        <v>0</v>
      </c>
      <c r="V612" s="34">
        <v>0</v>
      </c>
      <c r="W612" s="34">
        <v>0</v>
      </c>
      <c r="X612" s="34">
        <v>0</v>
      </c>
    </row>
    <row r="613" spans="1:24" hidden="1">
      <c r="A613" s="75" t="s">
        <v>3599</v>
      </c>
      <c r="B613" s="75" t="s">
        <v>3600</v>
      </c>
      <c r="C613" s="75" t="s">
        <v>186</v>
      </c>
      <c r="D613" s="75" t="s">
        <v>116</v>
      </c>
      <c r="E613" s="75" t="s">
        <v>4</v>
      </c>
      <c r="F613" s="75" t="s">
        <v>3601</v>
      </c>
      <c r="G613" s="67">
        <v>1754322005</v>
      </c>
      <c r="H613" s="54" t="s">
        <v>229</v>
      </c>
      <c r="I613" s="54" t="s">
        <v>3514</v>
      </c>
      <c r="J613" s="34" t="s">
        <v>3421</v>
      </c>
      <c r="K613" s="50">
        <v>130000</v>
      </c>
      <c r="L613" s="43">
        <v>5290</v>
      </c>
      <c r="M613" s="44">
        <f t="shared" si="48"/>
        <v>4.0692307692307694E-2</v>
      </c>
      <c r="N613" s="49">
        <f>ROUND(L613/Summary!$C$3*Summary!$C$2,0)</f>
        <v>16399</v>
      </c>
      <c r="O613" s="44">
        <f t="shared" si="49"/>
        <v>0.12614615384615385</v>
      </c>
      <c r="P613" s="78">
        <v>10</v>
      </c>
      <c r="Q613" s="34">
        <v>0</v>
      </c>
      <c r="R613" s="35">
        <f t="shared" si="50"/>
        <v>0</v>
      </c>
      <c r="S613" s="49">
        <f>ROUND(Q613/Summary!$C$3*Summary!$C$2,0)</f>
        <v>0</v>
      </c>
      <c r="T613" s="44">
        <f t="shared" si="51"/>
        <v>0</v>
      </c>
      <c r="U613" s="34">
        <v>0</v>
      </c>
      <c r="V613" s="34">
        <v>0</v>
      </c>
      <c r="W613" s="34">
        <v>0</v>
      </c>
      <c r="X613" s="34">
        <v>0</v>
      </c>
    </row>
    <row r="614" spans="1:24" hidden="1">
      <c r="A614" s="34" t="s">
        <v>2292</v>
      </c>
      <c r="B614" s="34" t="s">
        <v>2293</v>
      </c>
      <c r="C614" s="34" t="s">
        <v>186</v>
      </c>
      <c r="D614" s="34" t="s">
        <v>116</v>
      </c>
      <c r="E614" s="34" t="s">
        <v>4</v>
      </c>
      <c r="F614" s="34" t="s">
        <v>2294</v>
      </c>
      <c r="G614" s="54">
        <v>1748996676</v>
      </c>
      <c r="H614" s="54" t="s">
        <v>229</v>
      </c>
      <c r="I614" s="54" t="s">
        <v>3514</v>
      </c>
      <c r="J614" s="34" t="s">
        <v>3515</v>
      </c>
      <c r="K614" s="50">
        <v>130000</v>
      </c>
      <c r="L614" s="43">
        <v>23600</v>
      </c>
      <c r="M614" s="44">
        <f t="shared" si="48"/>
        <v>0.18153846153846154</v>
      </c>
      <c r="N614" s="49">
        <f>ROUND(L614/Summary!$C$3*Summary!$C$2,0)</f>
        <v>73160</v>
      </c>
      <c r="O614" s="44">
        <f t="shared" si="49"/>
        <v>0.5627692307692308</v>
      </c>
      <c r="P614" s="78">
        <v>10</v>
      </c>
      <c r="Q614" s="34">
        <v>0</v>
      </c>
      <c r="R614" s="35">
        <f t="shared" si="50"/>
        <v>0</v>
      </c>
      <c r="S614" s="49">
        <f>ROUND(Q614/Summary!$C$3*Summary!$C$2,0)</f>
        <v>0</v>
      </c>
      <c r="T614" s="44">
        <f t="shared" si="51"/>
        <v>0</v>
      </c>
      <c r="U614" s="34">
        <v>0</v>
      </c>
      <c r="V614" s="34">
        <v>0</v>
      </c>
      <c r="W614" s="34">
        <v>0</v>
      </c>
      <c r="X614" s="34">
        <v>0</v>
      </c>
    </row>
    <row r="615" spans="1:24" hidden="1">
      <c r="A615" s="34" t="s">
        <v>2283</v>
      </c>
      <c r="B615" s="34" t="s">
        <v>2284</v>
      </c>
      <c r="C615" s="34" t="s">
        <v>186</v>
      </c>
      <c r="D615" s="34" t="s">
        <v>116</v>
      </c>
      <c r="E615" s="34" t="s">
        <v>4</v>
      </c>
      <c r="F615" s="34" t="s">
        <v>2285</v>
      </c>
      <c r="G615" s="54">
        <v>1789337719</v>
      </c>
      <c r="H615" s="54" t="s">
        <v>229</v>
      </c>
      <c r="I615" s="54" t="s">
        <v>3514</v>
      </c>
      <c r="J615" s="34" t="s">
        <v>3515</v>
      </c>
      <c r="K615" s="50">
        <v>150000</v>
      </c>
      <c r="L615" s="43">
        <v>43140</v>
      </c>
      <c r="M615" s="44">
        <f t="shared" si="48"/>
        <v>0.28760000000000002</v>
      </c>
      <c r="N615" s="49">
        <f>ROUND(L615/Summary!$C$3*Summary!$C$2,0)</f>
        <v>133734</v>
      </c>
      <c r="O615" s="44">
        <f t="shared" si="49"/>
        <v>0.89156000000000002</v>
      </c>
      <c r="P615" s="78">
        <v>10</v>
      </c>
      <c r="Q615" s="34">
        <v>4</v>
      </c>
      <c r="R615" s="35">
        <f t="shared" si="50"/>
        <v>0.4</v>
      </c>
      <c r="S615" s="49">
        <f>ROUND(Q615/Summary!$C$3*Summary!$C$2,0)</f>
        <v>12</v>
      </c>
      <c r="T615" s="44">
        <f t="shared" si="51"/>
        <v>1.2</v>
      </c>
      <c r="U615" s="34">
        <v>0</v>
      </c>
      <c r="V615" s="34">
        <v>0</v>
      </c>
      <c r="W615" s="34">
        <v>0</v>
      </c>
      <c r="X615" s="34">
        <v>1</v>
      </c>
    </row>
    <row r="616" spans="1:24" hidden="1">
      <c r="A616" s="34" t="s">
        <v>2298</v>
      </c>
      <c r="B616" s="34" t="s">
        <v>2299</v>
      </c>
      <c r="C616" s="34" t="s">
        <v>186</v>
      </c>
      <c r="D616" s="34" t="s">
        <v>116</v>
      </c>
      <c r="E616" s="34" t="s">
        <v>4</v>
      </c>
      <c r="F616" s="34" t="s">
        <v>2300</v>
      </c>
      <c r="G616" s="54">
        <v>1710874904</v>
      </c>
      <c r="H616" s="54" t="s">
        <v>229</v>
      </c>
      <c r="I616" s="54" t="s">
        <v>3514</v>
      </c>
      <c r="J616" s="34" t="s">
        <v>3419</v>
      </c>
      <c r="K616" s="50">
        <v>180000</v>
      </c>
      <c r="L616" s="43">
        <v>69180</v>
      </c>
      <c r="M616" s="44">
        <f t="shared" si="48"/>
        <v>0.38433333333333336</v>
      </c>
      <c r="N616" s="49">
        <f>ROUND(L616/Summary!$C$3*Summary!$C$2,0)</f>
        <v>214458</v>
      </c>
      <c r="O616" s="44">
        <f t="shared" si="49"/>
        <v>1.1914333333333333</v>
      </c>
      <c r="P616" s="78">
        <v>10</v>
      </c>
      <c r="Q616" s="34">
        <v>5</v>
      </c>
      <c r="R616" s="35">
        <f t="shared" si="50"/>
        <v>0.5</v>
      </c>
      <c r="S616" s="49">
        <f>ROUND(Q616/Summary!$C$3*Summary!$C$2,0)</f>
        <v>16</v>
      </c>
      <c r="T616" s="44">
        <f t="shared" si="51"/>
        <v>1.6</v>
      </c>
      <c r="U616" s="34">
        <v>0</v>
      </c>
      <c r="V616" s="34">
        <v>3</v>
      </c>
      <c r="W616" s="34">
        <v>0</v>
      </c>
      <c r="X616" s="34">
        <v>0</v>
      </c>
    </row>
    <row r="617" spans="1:24" hidden="1">
      <c r="A617" s="34" t="s">
        <v>2301</v>
      </c>
      <c r="B617" s="34" t="s">
        <v>2302</v>
      </c>
      <c r="C617" s="34" t="s">
        <v>186</v>
      </c>
      <c r="D617" s="34" t="s">
        <v>116</v>
      </c>
      <c r="E617" s="34" t="s">
        <v>4</v>
      </c>
      <c r="F617" s="34" t="s">
        <v>2303</v>
      </c>
      <c r="G617" s="54">
        <v>1718606667</v>
      </c>
      <c r="H617" s="54" t="s">
        <v>229</v>
      </c>
      <c r="I617" s="54" t="s">
        <v>3518</v>
      </c>
      <c r="J617" s="34" t="s">
        <v>3421</v>
      </c>
      <c r="K617" s="50">
        <v>300000</v>
      </c>
      <c r="L617" s="43">
        <v>17279</v>
      </c>
      <c r="M617" s="44">
        <f t="shared" si="48"/>
        <v>5.7596666666666664E-2</v>
      </c>
      <c r="N617" s="49">
        <f>ROUND(L617/Summary!$C$3*Summary!$C$2,0)</f>
        <v>53565</v>
      </c>
      <c r="O617" s="44">
        <f t="shared" si="49"/>
        <v>0.17854999999999999</v>
      </c>
      <c r="P617" s="78">
        <v>20</v>
      </c>
      <c r="Q617" s="34">
        <v>1</v>
      </c>
      <c r="R617" s="35">
        <f t="shared" si="50"/>
        <v>0.05</v>
      </c>
      <c r="S617" s="49">
        <f>ROUND(Q617/Summary!$C$3*Summary!$C$2,0)</f>
        <v>3</v>
      </c>
      <c r="T617" s="44">
        <f t="shared" si="51"/>
        <v>0.15</v>
      </c>
      <c r="U617" s="34">
        <v>0</v>
      </c>
      <c r="V617" s="34">
        <v>0</v>
      </c>
      <c r="W617" s="34">
        <v>0</v>
      </c>
      <c r="X617" s="34">
        <v>0</v>
      </c>
    </row>
    <row r="618" spans="1:24" hidden="1">
      <c r="A618" s="34" t="s">
        <v>2304</v>
      </c>
      <c r="B618" s="34" t="s">
        <v>2305</v>
      </c>
      <c r="C618" s="34" t="s">
        <v>186</v>
      </c>
      <c r="D618" s="34" t="s">
        <v>116</v>
      </c>
      <c r="E618" s="34" t="s">
        <v>4</v>
      </c>
      <c r="F618" s="34" t="s">
        <v>2306</v>
      </c>
      <c r="G618" s="54">
        <v>1714382703</v>
      </c>
      <c r="H618" s="54" t="s">
        <v>229</v>
      </c>
      <c r="I618" s="54" t="s">
        <v>3514</v>
      </c>
      <c r="J618" s="34" t="s">
        <v>3515</v>
      </c>
      <c r="K618" s="50">
        <v>190288</v>
      </c>
      <c r="L618" s="43">
        <v>107570</v>
      </c>
      <c r="M618" s="44">
        <f t="shared" si="48"/>
        <v>0.56530101740519634</v>
      </c>
      <c r="N618" s="49">
        <f>ROUND(L618/Summary!$C$3*Summary!$C$2,0)</f>
        <v>333467</v>
      </c>
      <c r="O618" s="44">
        <f t="shared" si="49"/>
        <v>1.7524331539561087</v>
      </c>
      <c r="P618" s="78">
        <v>10</v>
      </c>
      <c r="Q618" s="34">
        <v>4</v>
      </c>
      <c r="R618" s="35">
        <f t="shared" si="50"/>
        <v>0.4</v>
      </c>
      <c r="S618" s="49">
        <f>ROUND(Q618/Summary!$C$3*Summary!$C$2,0)</f>
        <v>12</v>
      </c>
      <c r="T618" s="44">
        <f t="shared" si="51"/>
        <v>1.2</v>
      </c>
      <c r="U618" s="34">
        <v>2</v>
      </c>
      <c r="V618" s="34">
        <v>1</v>
      </c>
      <c r="W618" s="34">
        <v>0</v>
      </c>
      <c r="X618" s="34">
        <v>0</v>
      </c>
    </row>
    <row r="619" spans="1:24" hidden="1">
      <c r="A619" s="34" t="s">
        <v>2295</v>
      </c>
      <c r="B619" s="34" t="s">
        <v>2296</v>
      </c>
      <c r="C619" s="34" t="s">
        <v>186</v>
      </c>
      <c r="D619" s="34" t="s">
        <v>116</v>
      </c>
      <c r="E619" s="34" t="s">
        <v>4</v>
      </c>
      <c r="F619" s="34" t="s">
        <v>2297</v>
      </c>
      <c r="G619" s="54">
        <v>1742575777</v>
      </c>
      <c r="H619" s="54" t="s">
        <v>229</v>
      </c>
      <c r="I619" s="54" t="s">
        <v>3514</v>
      </c>
      <c r="J619" s="34" t="s">
        <v>3419</v>
      </c>
      <c r="K619" s="50">
        <v>150000</v>
      </c>
      <c r="L619" s="43">
        <v>82690</v>
      </c>
      <c r="M619" s="44">
        <f t="shared" si="48"/>
        <v>0.55126666666666668</v>
      </c>
      <c r="N619" s="49">
        <f>ROUND(L619/Summary!$C$3*Summary!$C$2,0)</f>
        <v>256339</v>
      </c>
      <c r="O619" s="44">
        <f t="shared" si="49"/>
        <v>1.7089266666666667</v>
      </c>
      <c r="P619" s="78">
        <v>10</v>
      </c>
      <c r="Q619" s="34">
        <v>2</v>
      </c>
      <c r="R619" s="35">
        <f t="shared" si="50"/>
        <v>0.2</v>
      </c>
      <c r="S619" s="49">
        <f>ROUND(Q619/Summary!$C$3*Summary!$C$2,0)</f>
        <v>6</v>
      </c>
      <c r="T619" s="44">
        <f t="shared" si="51"/>
        <v>0.6</v>
      </c>
      <c r="U619" s="34">
        <v>1</v>
      </c>
      <c r="V619" s="34">
        <v>0</v>
      </c>
      <c r="W619" s="34">
        <v>0</v>
      </c>
      <c r="X619" s="34">
        <v>0</v>
      </c>
    </row>
    <row r="620" spans="1:24" hidden="1">
      <c r="A620" s="34" t="s">
        <v>2278</v>
      </c>
      <c r="B620" s="34" t="s">
        <v>2279</v>
      </c>
      <c r="C620" s="34" t="s">
        <v>186</v>
      </c>
      <c r="D620" s="34" t="s">
        <v>116</v>
      </c>
      <c r="E620" s="34" t="s">
        <v>4</v>
      </c>
      <c r="F620" s="34" t="s">
        <v>1259</v>
      </c>
      <c r="G620" s="54">
        <v>1799514833</v>
      </c>
      <c r="H620" s="54" t="s">
        <v>229</v>
      </c>
      <c r="I620" s="54" t="s">
        <v>3514</v>
      </c>
      <c r="J620" s="34" t="s">
        <v>3419</v>
      </c>
      <c r="K620" s="50">
        <v>220000</v>
      </c>
      <c r="L620" s="43">
        <v>105619</v>
      </c>
      <c r="M620" s="44">
        <f t="shared" si="48"/>
        <v>0.48008636363636364</v>
      </c>
      <c r="N620" s="49">
        <f>ROUND(L620/Summary!$C$3*Summary!$C$2,0)</f>
        <v>327419</v>
      </c>
      <c r="O620" s="44">
        <f t="shared" si="49"/>
        <v>1.4882681818181818</v>
      </c>
      <c r="P620" s="78">
        <v>12</v>
      </c>
      <c r="Q620" s="34">
        <v>2</v>
      </c>
      <c r="R620" s="35">
        <f t="shared" si="50"/>
        <v>0.16666666666666666</v>
      </c>
      <c r="S620" s="49">
        <f>ROUND(Q620/Summary!$C$3*Summary!$C$2,0)</f>
        <v>6</v>
      </c>
      <c r="T620" s="44">
        <f t="shared" si="51"/>
        <v>0.5</v>
      </c>
      <c r="U620" s="34">
        <v>4</v>
      </c>
      <c r="V620" s="34">
        <v>0</v>
      </c>
      <c r="W620" s="34">
        <v>0</v>
      </c>
      <c r="X620" s="34">
        <v>0</v>
      </c>
    </row>
    <row r="621" spans="1:24" hidden="1">
      <c r="A621" s="34" t="s">
        <v>2341</v>
      </c>
      <c r="B621" s="34" t="s">
        <v>2342</v>
      </c>
      <c r="C621" s="34" t="s">
        <v>136</v>
      </c>
      <c r="D621" s="34" t="s">
        <v>137</v>
      </c>
      <c r="E621" s="34" t="s">
        <v>4</v>
      </c>
      <c r="F621" s="34" t="s">
        <v>2343</v>
      </c>
      <c r="G621" s="54">
        <v>1767427052</v>
      </c>
      <c r="H621" s="54" t="s">
        <v>229</v>
      </c>
      <c r="I621" s="54" t="s">
        <v>3514</v>
      </c>
      <c r="J621" s="34" t="s">
        <v>3421</v>
      </c>
      <c r="K621" s="50">
        <v>130000</v>
      </c>
      <c r="L621" s="43">
        <v>17629</v>
      </c>
      <c r="M621" s="44">
        <f t="shared" si="48"/>
        <v>0.13560769230769232</v>
      </c>
      <c r="N621" s="49">
        <f>ROUND(L621/Summary!$C$3*Summary!$C$2,0)</f>
        <v>54650</v>
      </c>
      <c r="O621" s="44">
        <f t="shared" si="49"/>
        <v>0.42038461538461541</v>
      </c>
      <c r="P621" s="78">
        <v>10</v>
      </c>
      <c r="Q621" s="34">
        <v>1</v>
      </c>
      <c r="R621" s="35">
        <f t="shared" si="50"/>
        <v>0.1</v>
      </c>
      <c r="S621" s="49">
        <f>ROUND(Q621/Summary!$C$3*Summary!$C$2,0)</f>
        <v>3</v>
      </c>
      <c r="T621" s="44">
        <f t="shared" si="51"/>
        <v>0.3</v>
      </c>
      <c r="U621" s="34">
        <v>0</v>
      </c>
      <c r="V621" s="34">
        <v>0</v>
      </c>
      <c r="W621" s="34">
        <v>0</v>
      </c>
      <c r="X621" s="34">
        <v>0</v>
      </c>
    </row>
    <row r="622" spans="1:24" hidden="1">
      <c r="A622" s="34" t="s">
        <v>3050</v>
      </c>
      <c r="B622" s="34" t="s">
        <v>3051</v>
      </c>
      <c r="C622" s="34" t="s">
        <v>136</v>
      </c>
      <c r="D622" s="34" t="s">
        <v>137</v>
      </c>
      <c r="E622" s="34" t="s">
        <v>4</v>
      </c>
      <c r="F622" s="34" t="s">
        <v>3052</v>
      </c>
      <c r="G622" s="54">
        <v>1986673651</v>
      </c>
      <c r="H622" s="54" t="s">
        <v>229</v>
      </c>
      <c r="I622" s="54" t="s">
        <v>3514</v>
      </c>
      <c r="J622" s="34" t="s">
        <v>3421</v>
      </c>
      <c r="K622" s="50">
        <v>130000</v>
      </c>
      <c r="L622" s="43">
        <v>10530</v>
      </c>
      <c r="M622" s="44">
        <f t="shared" si="48"/>
        <v>8.1000000000000003E-2</v>
      </c>
      <c r="N622" s="49">
        <f>ROUND(L622/Summary!$C$3*Summary!$C$2,0)</f>
        <v>32643</v>
      </c>
      <c r="O622" s="44">
        <f t="shared" si="49"/>
        <v>0.25109999999999999</v>
      </c>
      <c r="P622" s="78">
        <v>10</v>
      </c>
      <c r="Q622" s="34">
        <v>0</v>
      </c>
      <c r="R622" s="35">
        <f t="shared" si="50"/>
        <v>0</v>
      </c>
      <c r="S622" s="49">
        <f>ROUND(Q622/Summary!$C$3*Summary!$C$2,0)</f>
        <v>0</v>
      </c>
      <c r="T622" s="44">
        <f t="shared" si="51"/>
        <v>0</v>
      </c>
      <c r="U622" s="34">
        <v>1</v>
      </c>
      <c r="V622" s="34">
        <v>0</v>
      </c>
      <c r="W622" s="34">
        <v>0</v>
      </c>
      <c r="X622" s="34">
        <v>0</v>
      </c>
    </row>
    <row r="623" spans="1:24">
      <c r="A623" s="75" t="s">
        <v>3602</v>
      </c>
      <c r="B623" s="75" t="s">
        <v>3603</v>
      </c>
      <c r="C623" s="75" t="s">
        <v>136</v>
      </c>
      <c r="D623" s="75" t="s">
        <v>137</v>
      </c>
      <c r="E623" s="75" t="s">
        <v>4</v>
      </c>
      <c r="F623" s="75" t="s">
        <v>520</v>
      </c>
      <c r="G623" s="67">
        <v>1718931365</v>
      </c>
      <c r="H623" s="54" t="s">
        <v>229</v>
      </c>
      <c r="I623" s="54" t="s">
        <v>3514</v>
      </c>
      <c r="J623" s="34" t="s">
        <v>3421</v>
      </c>
      <c r="K623" s="50">
        <v>130000</v>
      </c>
      <c r="L623" s="43">
        <v>0</v>
      </c>
      <c r="M623" s="44">
        <f t="shared" si="48"/>
        <v>0</v>
      </c>
      <c r="N623" s="49">
        <f>ROUND(L623/Summary!$C$3*Summary!$C$2,0)</f>
        <v>0</v>
      </c>
      <c r="O623" s="44">
        <f t="shared" si="49"/>
        <v>0</v>
      </c>
      <c r="P623" s="78">
        <v>10</v>
      </c>
      <c r="Q623" s="34">
        <v>0</v>
      </c>
      <c r="R623" s="35">
        <f t="shared" si="50"/>
        <v>0</v>
      </c>
      <c r="S623" s="49">
        <f>ROUND(Q623/Summary!$C$3*Summary!$C$2,0)</f>
        <v>0</v>
      </c>
      <c r="T623" s="44">
        <f t="shared" si="51"/>
        <v>0</v>
      </c>
      <c r="U623" s="34">
        <v>0</v>
      </c>
      <c r="V623" s="34">
        <v>0</v>
      </c>
      <c r="W623" s="34">
        <v>0</v>
      </c>
      <c r="X623" s="34">
        <v>0</v>
      </c>
    </row>
    <row r="624" spans="1:24" hidden="1">
      <c r="A624" s="34" t="s">
        <v>3470</v>
      </c>
      <c r="B624" s="34" t="s">
        <v>3471</v>
      </c>
      <c r="C624" s="34" t="s">
        <v>136</v>
      </c>
      <c r="D624" s="34" t="s">
        <v>137</v>
      </c>
      <c r="E624" s="34" t="s">
        <v>4</v>
      </c>
      <c r="F624" s="34" t="s">
        <v>3472</v>
      </c>
      <c r="G624" s="54">
        <v>1918054340</v>
      </c>
      <c r="H624" s="54" t="s">
        <v>229</v>
      </c>
      <c r="I624" s="54" t="s">
        <v>3514</v>
      </c>
      <c r="J624" s="34" t="s">
        <v>3421</v>
      </c>
      <c r="K624" s="50">
        <v>130000</v>
      </c>
      <c r="L624" s="43">
        <v>29460</v>
      </c>
      <c r="M624" s="44">
        <f t="shared" si="48"/>
        <v>0.22661538461538461</v>
      </c>
      <c r="N624" s="49">
        <f>ROUND(L624/Summary!$C$3*Summary!$C$2,0)</f>
        <v>91326</v>
      </c>
      <c r="O624" s="44">
        <f t="shared" si="49"/>
        <v>0.70250769230769228</v>
      </c>
      <c r="P624" s="78">
        <v>10</v>
      </c>
      <c r="Q624" s="34">
        <v>3</v>
      </c>
      <c r="R624" s="35">
        <f t="shared" si="50"/>
        <v>0.3</v>
      </c>
      <c r="S624" s="49">
        <f>ROUND(Q624/Summary!$C$3*Summary!$C$2,0)</f>
        <v>9</v>
      </c>
      <c r="T624" s="44">
        <f t="shared" si="51"/>
        <v>0.9</v>
      </c>
      <c r="U624" s="34">
        <v>1</v>
      </c>
      <c r="V624" s="34">
        <v>1</v>
      </c>
      <c r="W624" s="34">
        <v>0</v>
      </c>
      <c r="X624" s="34">
        <v>0</v>
      </c>
    </row>
    <row r="625" spans="1:24" hidden="1">
      <c r="A625" s="34" t="s">
        <v>3264</v>
      </c>
      <c r="B625" s="34" t="s">
        <v>3265</v>
      </c>
      <c r="C625" s="34" t="s">
        <v>136</v>
      </c>
      <c r="D625" s="34" t="s">
        <v>137</v>
      </c>
      <c r="E625" s="34" t="s">
        <v>4</v>
      </c>
      <c r="F625" s="34" t="s">
        <v>3266</v>
      </c>
      <c r="G625" s="54">
        <v>1728855151</v>
      </c>
      <c r="H625" s="54" t="s">
        <v>229</v>
      </c>
      <c r="I625" s="54" t="s">
        <v>3514</v>
      </c>
      <c r="J625" s="34" t="s">
        <v>3421</v>
      </c>
      <c r="K625" s="50">
        <v>130000</v>
      </c>
      <c r="L625" s="43">
        <v>14680</v>
      </c>
      <c r="M625" s="44">
        <f t="shared" si="48"/>
        <v>0.11292307692307692</v>
      </c>
      <c r="N625" s="49">
        <f>ROUND(L625/Summary!$C$3*Summary!$C$2,0)</f>
        <v>45508</v>
      </c>
      <c r="O625" s="44">
        <f t="shared" si="49"/>
        <v>0.35006153846153848</v>
      </c>
      <c r="P625" s="78">
        <v>10</v>
      </c>
      <c r="Q625" s="34">
        <v>2</v>
      </c>
      <c r="R625" s="35">
        <f t="shared" si="50"/>
        <v>0.2</v>
      </c>
      <c r="S625" s="49">
        <f>ROUND(Q625/Summary!$C$3*Summary!$C$2,0)</f>
        <v>6</v>
      </c>
      <c r="T625" s="44">
        <f t="shared" si="51"/>
        <v>0.6</v>
      </c>
      <c r="U625" s="34">
        <v>0</v>
      </c>
      <c r="V625" s="34">
        <v>1</v>
      </c>
      <c r="W625" s="34">
        <v>0</v>
      </c>
      <c r="X625" s="34">
        <v>0</v>
      </c>
    </row>
    <row r="626" spans="1:24" hidden="1">
      <c r="A626" s="34" t="s">
        <v>2344</v>
      </c>
      <c r="B626" s="34" t="s">
        <v>57</v>
      </c>
      <c r="C626" s="34" t="s">
        <v>136</v>
      </c>
      <c r="D626" s="34" t="s">
        <v>137</v>
      </c>
      <c r="E626" s="34" t="s">
        <v>4</v>
      </c>
      <c r="F626" s="34" t="s">
        <v>2345</v>
      </c>
      <c r="G626" s="54">
        <v>1911735600</v>
      </c>
      <c r="H626" s="54" t="s">
        <v>229</v>
      </c>
      <c r="I626" s="54" t="s">
        <v>3514</v>
      </c>
      <c r="J626" s="34" t="s">
        <v>3419</v>
      </c>
      <c r="K626" s="50">
        <v>205329</v>
      </c>
      <c r="L626" s="43">
        <v>19070</v>
      </c>
      <c r="M626" s="44">
        <f t="shared" si="48"/>
        <v>9.2875336654831997E-2</v>
      </c>
      <c r="N626" s="49">
        <f>ROUND(L626/Summary!$C$3*Summary!$C$2,0)</f>
        <v>59117</v>
      </c>
      <c r="O626" s="44">
        <f t="shared" si="49"/>
        <v>0.28791354362997923</v>
      </c>
      <c r="P626" s="78">
        <v>13</v>
      </c>
      <c r="Q626" s="34">
        <v>2</v>
      </c>
      <c r="R626" s="35">
        <f t="shared" si="50"/>
        <v>0.15384615384615385</v>
      </c>
      <c r="S626" s="49">
        <f>ROUND(Q626/Summary!$C$3*Summary!$C$2,0)</f>
        <v>6</v>
      </c>
      <c r="T626" s="44">
        <f t="shared" si="51"/>
        <v>0.46153846153846156</v>
      </c>
      <c r="U626" s="34">
        <v>0</v>
      </c>
      <c r="V626" s="34">
        <v>0</v>
      </c>
      <c r="W626" s="34">
        <v>0</v>
      </c>
      <c r="X626" s="34">
        <v>0</v>
      </c>
    </row>
    <row r="627" spans="1:24" hidden="1">
      <c r="A627" s="34" t="s">
        <v>2335</v>
      </c>
      <c r="B627" s="34" t="s">
        <v>2336</v>
      </c>
      <c r="C627" s="34" t="s">
        <v>136</v>
      </c>
      <c r="D627" s="34" t="s">
        <v>137</v>
      </c>
      <c r="E627" s="34" t="s">
        <v>4</v>
      </c>
      <c r="F627" s="34" t="s">
        <v>2337</v>
      </c>
      <c r="G627" s="54">
        <v>1760544574</v>
      </c>
      <c r="H627" s="54" t="s">
        <v>229</v>
      </c>
      <c r="I627" s="54" t="s">
        <v>3514</v>
      </c>
      <c r="J627" s="34" t="s">
        <v>3419</v>
      </c>
      <c r="K627" s="50">
        <v>256878</v>
      </c>
      <c r="L627" s="43">
        <v>45520</v>
      </c>
      <c r="M627" s="44">
        <f t="shared" si="48"/>
        <v>0.17720474310762308</v>
      </c>
      <c r="N627" s="49">
        <f>ROUND(L627/Summary!$C$3*Summary!$C$2,0)</f>
        <v>141112</v>
      </c>
      <c r="O627" s="44">
        <f t="shared" si="49"/>
        <v>0.54933470363363157</v>
      </c>
      <c r="P627" s="78">
        <v>16</v>
      </c>
      <c r="Q627" s="34">
        <v>2</v>
      </c>
      <c r="R627" s="35">
        <f t="shared" si="50"/>
        <v>0.125</v>
      </c>
      <c r="S627" s="49">
        <f>ROUND(Q627/Summary!$C$3*Summary!$C$2,0)</f>
        <v>6</v>
      </c>
      <c r="T627" s="44">
        <f t="shared" si="51"/>
        <v>0.375</v>
      </c>
      <c r="U627" s="34">
        <v>0</v>
      </c>
      <c r="V627" s="34">
        <v>0</v>
      </c>
      <c r="W627" s="34">
        <v>1</v>
      </c>
      <c r="X627" s="34">
        <v>0</v>
      </c>
    </row>
    <row r="628" spans="1:24" hidden="1">
      <c r="A628" s="34" t="s">
        <v>3018</v>
      </c>
      <c r="B628" s="34" t="s">
        <v>1508</v>
      </c>
      <c r="C628" s="34" t="s">
        <v>136</v>
      </c>
      <c r="D628" s="34" t="s">
        <v>137</v>
      </c>
      <c r="E628" s="34" t="s">
        <v>4</v>
      </c>
      <c r="F628" s="34" t="s">
        <v>3019</v>
      </c>
      <c r="G628" s="54">
        <v>1761882129</v>
      </c>
      <c r="H628" s="54" t="s">
        <v>229</v>
      </c>
      <c r="I628" s="54" t="s">
        <v>3514</v>
      </c>
      <c r="J628" s="34" t="s">
        <v>3421</v>
      </c>
      <c r="K628" s="50">
        <v>130000</v>
      </c>
      <c r="L628" s="43">
        <v>15980</v>
      </c>
      <c r="M628" s="44">
        <f t="shared" si="48"/>
        <v>0.12292307692307693</v>
      </c>
      <c r="N628" s="49">
        <f>ROUND(L628/Summary!$C$3*Summary!$C$2,0)</f>
        <v>49538</v>
      </c>
      <c r="O628" s="44">
        <f t="shared" si="49"/>
        <v>0.38106153846153845</v>
      </c>
      <c r="P628" s="78">
        <v>10</v>
      </c>
      <c r="Q628" s="34">
        <v>2</v>
      </c>
      <c r="R628" s="35">
        <f t="shared" si="50"/>
        <v>0.2</v>
      </c>
      <c r="S628" s="49">
        <f>ROUND(Q628/Summary!$C$3*Summary!$C$2,0)</f>
        <v>6</v>
      </c>
      <c r="T628" s="44">
        <f t="shared" si="51"/>
        <v>0.6</v>
      </c>
      <c r="U628" s="34">
        <v>0</v>
      </c>
      <c r="V628" s="34">
        <v>0</v>
      </c>
      <c r="W628" s="34">
        <v>0</v>
      </c>
      <c r="X628" s="34">
        <v>0</v>
      </c>
    </row>
    <row r="629" spans="1:24" hidden="1">
      <c r="A629" s="34" t="s">
        <v>2328</v>
      </c>
      <c r="B629" s="34" t="s">
        <v>2329</v>
      </c>
      <c r="C629" s="34" t="s">
        <v>136</v>
      </c>
      <c r="D629" s="34" t="s">
        <v>137</v>
      </c>
      <c r="E629" s="34" t="s">
        <v>4</v>
      </c>
      <c r="F629" s="34" t="s">
        <v>2330</v>
      </c>
      <c r="G629" s="54">
        <v>1715418264</v>
      </c>
      <c r="H629" s="54" t="s">
        <v>229</v>
      </c>
      <c r="I629" s="54" t="s">
        <v>3514</v>
      </c>
      <c r="J629" s="34" t="s">
        <v>3421</v>
      </c>
      <c r="K629" s="50">
        <v>130000</v>
      </c>
      <c r="L629" s="43">
        <v>23370</v>
      </c>
      <c r="M629" s="44">
        <f t="shared" si="48"/>
        <v>0.17976923076923076</v>
      </c>
      <c r="N629" s="49">
        <f>ROUND(L629/Summary!$C$3*Summary!$C$2,0)</f>
        <v>72447</v>
      </c>
      <c r="O629" s="44">
        <f t="shared" si="49"/>
        <v>0.55728461538461538</v>
      </c>
      <c r="P629" s="78">
        <v>10</v>
      </c>
      <c r="Q629" s="34">
        <v>2</v>
      </c>
      <c r="R629" s="35">
        <f t="shared" si="50"/>
        <v>0.2</v>
      </c>
      <c r="S629" s="49">
        <f>ROUND(Q629/Summary!$C$3*Summary!$C$2,0)</f>
        <v>6</v>
      </c>
      <c r="T629" s="44">
        <f t="shared" si="51"/>
        <v>0.6</v>
      </c>
      <c r="U629" s="34">
        <v>0</v>
      </c>
      <c r="V629" s="34">
        <v>0</v>
      </c>
      <c r="W629" s="34">
        <v>0</v>
      </c>
      <c r="X629" s="34">
        <v>1</v>
      </c>
    </row>
    <row r="630" spans="1:24" hidden="1">
      <c r="A630" s="34" t="s">
        <v>3267</v>
      </c>
      <c r="B630" s="34" t="s">
        <v>557</v>
      </c>
      <c r="C630" s="34" t="s">
        <v>136</v>
      </c>
      <c r="D630" s="34" t="s">
        <v>137</v>
      </c>
      <c r="E630" s="34" t="s">
        <v>4</v>
      </c>
      <c r="F630" s="34" t="s">
        <v>3268</v>
      </c>
      <c r="G630" s="54">
        <v>1712331363</v>
      </c>
      <c r="H630" s="54" t="s">
        <v>229</v>
      </c>
      <c r="I630" s="54" t="s">
        <v>3514</v>
      </c>
      <c r="J630" s="34" t="s">
        <v>3421</v>
      </c>
      <c r="K630" s="50">
        <v>130000</v>
      </c>
      <c r="L630" s="43">
        <v>60310</v>
      </c>
      <c r="M630" s="44">
        <f t="shared" si="48"/>
        <v>0.46392307692307694</v>
      </c>
      <c r="N630" s="49">
        <f>ROUND(L630/Summary!$C$3*Summary!$C$2,0)</f>
        <v>186961</v>
      </c>
      <c r="O630" s="44">
        <f t="shared" si="49"/>
        <v>1.4381615384615385</v>
      </c>
      <c r="P630" s="78">
        <v>10</v>
      </c>
      <c r="Q630" s="34">
        <v>6</v>
      </c>
      <c r="R630" s="35">
        <f t="shared" si="50"/>
        <v>0.6</v>
      </c>
      <c r="S630" s="49">
        <f>ROUND(Q630/Summary!$C$3*Summary!$C$2,0)</f>
        <v>19</v>
      </c>
      <c r="T630" s="44">
        <f t="shared" si="51"/>
        <v>1.9</v>
      </c>
      <c r="U630" s="34">
        <v>1</v>
      </c>
      <c r="V630" s="34">
        <v>2</v>
      </c>
      <c r="W630" s="34">
        <v>0</v>
      </c>
      <c r="X630" s="34">
        <v>0</v>
      </c>
    </row>
    <row r="631" spans="1:24" hidden="1">
      <c r="A631" s="34" t="s">
        <v>2308</v>
      </c>
      <c r="B631" s="34" t="s">
        <v>2309</v>
      </c>
      <c r="C631" s="34" t="s">
        <v>136</v>
      </c>
      <c r="D631" s="34" t="s">
        <v>137</v>
      </c>
      <c r="E631" s="34" t="s">
        <v>4</v>
      </c>
      <c r="F631" s="34" t="s">
        <v>2310</v>
      </c>
      <c r="G631" s="54">
        <v>1730973737</v>
      </c>
      <c r="H631" s="54" t="s">
        <v>229</v>
      </c>
      <c r="I631" s="54" t="s">
        <v>3514</v>
      </c>
      <c r="J631" s="34" t="s">
        <v>3419</v>
      </c>
      <c r="K631" s="50">
        <v>130000</v>
      </c>
      <c r="L631" s="43">
        <v>37790</v>
      </c>
      <c r="M631" s="44">
        <f t="shared" si="48"/>
        <v>0.29069230769230769</v>
      </c>
      <c r="N631" s="49">
        <f>ROUND(L631/Summary!$C$3*Summary!$C$2,0)</f>
        <v>117149</v>
      </c>
      <c r="O631" s="44">
        <f t="shared" si="49"/>
        <v>0.90114615384615382</v>
      </c>
      <c r="P631" s="78">
        <v>10</v>
      </c>
      <c r="Q631" s="34">
        <v>3</v>
      </c>
      <c r="R631" s="35">
        <f t="shared" si="50"/>
        <v>0.3</v>
      </c>
      <c r="S631" s="49">
        <f>ROUND(Q631/Summary!$C$3*Summary!$C$2,0)</f>
        <v>9</v>
      </c>
      <c r="T631" s="44">
        <f t="shared" si="51"/>
        <v>0.9</v>
      </c>
      <c r="U631" s="34">
        <v>1</v>
      </c>
      <c r="V631" s="34">
        <v>2</v>
      </c>
      <c r="W631" s="34">
        <v>0</v>
      </c>
      <c r="X631" s="34">
        <v>1</v>
      </c>
    </row>
    <row r="632" spans="1:24" hidden="1">
      <c r="A632" s="34" t="s">
        <v>3377</v>
      </c>
      <c r="B632" s="34" t="s">
        <v>3378</v>
      </c>
      <c r="C632" s="34" t="s">
        <v>136</v>
      </c>
      <c r="D632" s="34" t="s">
        <v>137</v>
      </c>
      <c r="E632" s="34" t="s">
        <v>4</v>
      </c>
      <c r="F632" s="34" t="s">
        <v>3376</v>
      </c>
      <c r="G632" s="54">
        <v>1915635950</v>
      </c>
      <c r="H632" s="54" t="s">
        <v>229</v>
      </c>
      <c r="I632" s="54" t="s">
        <v>3514</v>
      </c>
      <c r="J632" s="34" t="s">
        <v>3421</v>
      </c>
      <c r="K632" s="50">
        <v>130000</v>
      </c>
      <c r="L632" s="43">
        <v>5390</v>
      </c>
      <c r="M632" s="44">
        <f t="shared" si="48"/>
        <v>4.1461538461538459E-2</v>
      </c>
      <c r="N632" s="49">
        <f>ROUND(L632/Summary!$C$3*Summary!$C$2,0)</f>
        <v>16709</v>
      </c>
      <c r="O632" s="44">
        <f t="shared" si="49"/>
        <v>0.12853076923076923</v>
      </c>
      <c r="P632" s="78">
        <v>10</v>
      </c>
      <c r="Q632" s="34">
        <v>0</v>
      </c>
      <c r="R632" s="35">
        <f t="shared" si="50"/>
        <v>0</v>
      </c>
      <c r="S632" s="49">
        <f>ROUND(Q632/Summary!$C$3*Summary!$C$2,0)</f>
        <v>0</v>
      </c>
      <c r="T632" s="44">
        <f t="shared" si="51"/>
        <v>0</v>
      </c>
      <c r="U632" s="34">
        <v>0</v>
      </c>
      <c r="V632" s="34">
        <v>0</v>
      </c>
      <c r="W632" s="34">
        <v>0</v>
      </c>
      <c r="X632" s="34">
        <v>0</v>
      </c>
    </row>
    <row r="633" spans="1:24">
      <c r="A633" s="34" t="s">
        <v>2317</v>
      </c>
      <c r="B633" s="34" t="s">
        <v>2318</v>
      </c>
      <c r="C633" s="34" t="s">
        <v>136</v>
      </c>
      <c r="D633" s="34" t="s">
        <v>137</v>
      </c>
      <c r="E633" s="34" t="s">
        <v>4</v>
      </c>
      <c r="F633" s="34" t="s">
        <v>2319</v>
      </c>
      <c r="G633" s="54">
        <v>1746435137</v>
      </c>
      <c r="H633" s="54" t="s">
        <v>229</v>
      </c>
      <c r="I633" s="54" t="s">
        <v>3514</v>
      </c>
      <c r="J633" s="34" t="s">
        <v>3421</v>
      </c>
      <c r="K633" s="50">
        <v>130000</v>
      </c>
      <c r="L633" s="43">
        <v>0</v>
      </c>
      <c r="M633" s="44">
        <f t="shared" si="48"/>
        <v>0</v>
      </c>
      <c r="N633" s="49">
        <f>ROUND(L633/Summary!$C$3*Summary!$C$2,0)</f>
        <v>0</v>
      </c>
      <c r="O633" s="44">
        <f t="shared" si="49"/>
        <v>0</v>
      </c>
      <c r="P633" s="78">
        <v>10</v>
      </c>
      <c r="Q633" s="34">
        <v>0</v>
      </c>
      <c r="R633" s="35">
        <f t="shared" si="50"/>
        <v>0</v>
      </c>
      <c r="S633" s="49">
        <f>ROUND(Q633/Summary!$C$3*Summary!$C$2,0)</f>
        <v>0</v>
      </c>
      <c r="T633" s="44">
        <f t="shared" si="51"/>
        <v>0</v>
      </c>
      <c r="U633" s="34">
        <v>0</v>
      </c>
      <c r="V633" s="34">
        <v>0</v>
      </c>
      <c r="W633" s="34">
        <v>0</v>
      </c>
      <c r="X633" s="34">
        <v>0</v>
      </c>
    </row>
    <row r="634" spans="1:24" hidden="1">
      <c r="A634" s="34" t="s">
        <v>3473</v>
      </c>
      <c r="B634" s="34" t="s">
        <v>3474</v>
      </c>
      <c r="C634" s="34" t="s">
        <v>136</v>
      </c>
      <c r="D634" s="34" t="s">
        <v>137</v>
      </c>
      <c r="E634" s="34" t="s">
        <v>4</v>
      </c>
      <c r="F634" s="34" t="s">
        <v>3475</v>
      </c>
      <c r="G634" s="54">
        <v>1715318484</v>
      </c>
      <c r="H634" s="54" t="s">
        <v>229</v>
      </c>
      <c r="I634" s="54" t="s">
        <v>3514</v>
      </c>
      <c r="J634" s="34" t="s">
        <v>3421</v>
      </c>
      <c r="K634" s="50">
        <v>130000</v>
      </c>
      <c r="L634" s="43">
        <v>36975</v>
      </c>
      <c r="M634" s="44">
        <f t="shared" si="48"/>
        <v>0.28442307692307695</v>
      </c>
      <c r="N634" s="49">
        <f>ROUND(L634/Summary!$C$3*Summary!$C$2,0)</f>
        <v>114623</v>
      </c>
      <c r="O634" s="44">
        <f t="shared" si="49"/>
        <v>0.88171538461538457</v>
      </c>
      <c r="P634" s="78">
        <v>10</v>
      </c>
      <c r="Q634" s="34">
        <v>2</v>
      </c>
      <c r="R634" s="35">
        <f t="shared" si="50"/>
        <v>0.2</v>
      </c>
      <c r="S634" s="49">
        <f>ROUND(Q634/Summary!$C$3*Summary!$C$2,0)</f>
        <v>6</v>
      </c>
      <c r="T634" s="44">
        <f t="shared" si="51"/>
        <v>0.6</v>
      </c>
      <c r="U634" s="34">
        <v>0</v>
      </c>
      <c r="V634" s="34">
        <v>0</v>
      </c>
      <c r="W634" s="34">
        <v>0</v>
      </c>
      <c r="X634" s="34">
        <v>0</v>
      </c>
    </row>
    <row r="635" spans="1:24" hidden="1">
      <c r="A635" s="34" t="s">
        <v>2314</v>
      </c>
      <c r="B635" s="34" t="s">
        <v>2315</v>
      </c>
      <c r="C635" s="34" t="s">
        <v>136</v>
      </c>
      <c r="D635" s="34" t="s">
        <v>137</v>
      </c>
      <c r="E635" s="34" t="s">
        <v>4</v>
      </c>
      <c r="F635" s="34" t="s">
        <v>2316</v>
      </c>
      <c r="G635" s="54">
        <v>1710552579</v>
      </c>
      <c r="H635" s="54" t="s">
        <v>229</v>
      </c>
      <c r="I635" s="54" t="s">
        <v>3514</v>
      </c>
      <c r="J635" s="34" t="s">
        <v>3515</v>
      </c>
      <c r="K635" s="50">
        <v>154958</v>
      </c>
      <c r="L635" s="43">
        <v>21070</v>
      </c>
      <c r="M635" s="44">
        <f t="shared" si="48"/>
        <v>0.13597232798564773</v>
      </c>
      <c r="N635" s="49">
        <f>ROUND(L635/Summary!$C$3*Summary!$C$2,0)</f>
        <v>65317</v>
      </c>
      <c r="O635" s="44">
        <f t="shared" si="49"/>
        <v>0.42151421675550793</v>
      </c>
      <c r="P635" s="78">
        <v>13</v>
      </c>
      <c r="Q635" s="34">
        <v>2</v>
      </c>
      <c r="R635" s="35">
        <f t="shared" si="50"/>
        <v>0.15384615384615385</v>
      </c>
      <c r="S635" s="49">
        <f>ROUND(Q635/Summary!$C$3*Summary!$C$2,0)</f>
        <v>6</v>
      </c>
      <c r="T635" s="44">
        <f t="shared" si="51"/>
        <v>0.46153846153846156</v>
      </c>
      <c r="U635" s="34">
        <v>0</v>
      </c>
      <c r="V635" s="34">
        <v>0</v>
      </c>
      <c r="W635" s="34">
        <v>0</v>
      </c>
      <c r="X635" s="34">
        <v>1</v>
      </c>
    </row>
    <row r="636" spans="1:24" hidden="1">
      <c r="A636" s="34" t="s">
        <v>2320</v>
      </c>
      <c r="B636" s="34" t="s">
        <v>2321</v>
      </c>
      <c r="C636" s="34" t="s">
        <v>136</v>
      </c>
      <c r="D636" s="34" t="s">
        <v>137</v>
      </c>
      <c r="E636" s="34" t="s">
        <v>4</v>
      </c>
      <c r="F636" s="34" t="s">
        <v>2322</v>
      </c>
      <c r="G636" s="54">
        <v>1713908220</v>
      </c>
      <c r="H636" s="54" t="s">
        <v>229</v>
      </c>
      <c r="I636" s="54" t="s">
        <v>3514</v>
      </c>
      <c r="J636" s="34" t="s">
        <v>3515</v>
      </c>
      <c r="K636" s="50">
        <v>130000</v>
      </c>
      <c r="L636" s="43">
        <v>54300</v>
      </c>
      <c r="M636" s="44">
        <f t="shared" si="48"/>
        <v>0.4176923076923077</v>
      </c>
      <c r="N636" s="49">
        <f>ROUND(L636/Summary!$C$3*Summary!$C$2,0)</f>
        <v>168330</v>
      </c>
      <c r="O636" s="44">
        <f t="shared" si="49"/>
        <v>1.2948461538461538</v>
      </c>
      <c r="P636" s="78">
        <v>10</v>
      </c>
      <c r="Q636" s="34">
        <v>2</v>
      </c>
      <c r="R636" s="35">
        <f t="shared" si="50"/>
        <v>0.2</v>
      </c>
      <c r="S636" s="49">
        <f>ROUND(Q636/Summary!$C$3*Summary!$C$2,0)</f>
        <v>6</v>
      </c>
      <c r="T636" s="44">
        <f t="shared" si="51"/>
        <v>0.6</v>
      </c>
      <c r="U636" s="34">
        <v>1</v>
      </c>
      <c r="V636" s="34">
        <v>1</v>
      </c>
      <c r="W636" s="34">
        <v>0</v>
      </c>
      <c r="X636" s="34">
        <v>0</v>
      </c>
    </row>
    <row r="637" spans="1:24" hidden="1">
      <c r="A637" s="34" t="s">
        <v>2346</v>
      </c>
      <c r="B637" s="34" t="s">
        <v>2347</v>
      </c>
      <c r="C637" s="34" t="s">
        <v>136</v>
      </c>
      <c r="D637" s="34" t="s">
        <v>137</v>
      </c>
      <c r="E637" s="34" t="s">
        <v>4</v>
      </c>
      <c r="F637" s="34" t="s">
        <v>2348</v>
      </c>
      <c r="G637" s="54">
        <v>1740933717</v>
      </c>
      <c r="H637" s="54" t="s">
        <v>229</v>
      </c>
      <c r="I637" s="54" t="s">
        <v>3514</v>
      </c>
      <c r="J637" s="34" t="s">
        <v>3421</v>
      </c>
      <c r="K637" s="50">
        <v>130000</v>
      </c>
      <c r="L637" s="43">
        <v>32009</v>
      </c>
      <c r="M637" s="44">
        <f t="shared" si="48"/>
        <v>0.24622307692307693</v>
      </c>
      <c r="N637" s="49">
        <f>ROUND(L637/Summary!$C$3*Summary!$C$2,0)</f>
        <v>99228</v>
      </c>
      <c r="O637" s="44">
        <f t="shared" si="49"/>
        <v>0.76329230769230771</v>
      </c>
      <c r="P637" s="78">
        <v>10</v>
      </c>
      <c r="Q637" s="34">
        <v>1</v>
      </c>
      <c r="R637" s="35">
        <f t="shared" si="50"/>
        <v>0.1</v>
      </c>
      <c r="S637" s="49">
        <f>ROUND(Q637/Summary!$C$3*Summary!$C$2,0)</f>
        <v>3</v>
      </c>
      <c r="T637" s="44">
        <f t="shared" si="51"/>
        <v>0.3</v>
      </c>
      <c r="U637" s="34">
        <v>0</v>
      </c>
      <c r="V637" s="34">
        <v>0</v>
      </c>
      <c r="W637" s="34">
        <v>0</v>
      </c>
      <c r="X637" s="34">
        <v>0</v>
      </c>
    </row>
    <row r="638" spans="1:24" hidden="1">
      <c r="A638" s="34" t="s">
        <v>2333</v>
      </c>
      <c r="B638" s="34" t="s">
        <v>954</v>
      </c>
      <c r="C638" s="34" t="s">
        <v>136</v>
      </c>
      <c r="D638" s="34" t="s">
        <v>137</v>
      </c>
      <c r="E638" s="34" t="s">
        <v>4</v>
      </c>
      <c r="F638" s="34" t="s">
        <v>2334</v>
      </c>
      <c r="G638" s="54">
        <v>1775594808</v>
      </c>
      <c r="H638" s="54" t="s">
        <v>229</v>
      </c>
      <c r="I638" s="54" t="s">
        <v>3514</v>
      </c>
      <c r="J638" s="34" t="s">
        <v>3421</v>
      </c>
      <c r="K638" s="50">
        <v>130000</v>
      </c>
      <c r="L638" s="43">
        <v>16920</v>
      </c>
      <c r="M638" s="44">
        <f t="shared" si="48"/>
        <v>0.13015384615384615</v>
      </c>
      <c r="N638" s="49">
        <f>ROUND(L638/Summary!$C$3*Summary!$C$2,0)</f>
        <v>52452</v>
      </c>
      <c r="O638" s="44">
        <f t="shared" si="49"/>
        <v>0.40347692307692307</v>
      </c>
      <c r="P638" s="78">
        <v>10</v>
      </c>
      <c r="Q638" s="34">
        <v>0</v>
      </c>
      <c r="R638" s="35">
        <f t="shared" si="50"/>
        <v>0</v>
      </c>
      <c r="S638" s="49">
        <f>ROUND(Q638/Summary!$C$3*Summary!$C$2,0)</f>
        <v>0</v>
      </c>
      <c r="T638" s="44">
        <f t="shared" si="51"/>
        <v>0</v>
      </c>
      <c r="U638" s="34">
        <v>0</v>
      </c>
      <c r="V638" s="34">
        <v>0</v>
      </c>
      <c r="W638" s="34">
        <v>0</v>
      </c>
      <c r="X638" s="34">
        <v>0</v>
      </c>
    </row>
    <row r="639" spans="1:24" hidden="1">
      <c r="A639" s="34" t="s">
        <v>2311</v>
      </c>
      <c r="B639" s="34" t="s">
        <v>2312</v>
      </c>
      <c r="C639" s="34" t="s">
        <v>136</v>
      </c>
      <c r="D639" s="34" t="s">
        <v>137</v>
      </c>
      <c r="E639" s="34" t="s">
        <v>4</v>
      </c>
      <c r="F639" s="34" t="s">
        <v>2313</v>
      </c>
      <c r="G639" s="54">
        <v>1711210214</v>
      </c>
      <c r="H639" s="54" t="s">
        <v>229</v>
      </c>
      <c r="I639" s="54" t="s">
        <v>3514</v>
      </c>
      <c r="J639" s="34" t="s">
        <v>3419</v>
      </c>
      <c r="K639" s="50">
        <v>185654</v>
      </c>
      <c r="L639" s="43">
        <v>89427</v>
      </c>
      <c r="M639" s="44">
        <f t="shared" si="48"/>
        <v>0.48168636280392557</v>
      </c>
      <c r="N639" s="49">
        <f>ROUND(L639/Summary!$C$3*Summary!$C$2,0)</f>
        <v>277224</v>
      </c>
      <c r="O639" s="44">
        <f t="shared" si="49"/>
        <v>1.4932293406013337</v>
      </c>
      <c r="P639" s="78">
        <v>13</v>
      </c>
      <c r="Q639" s="34">
        <v>3</v>
      </c>
      <c r="R639" s="35">
        <f t="shared" si="50"/>
        <v>0.23076923076923078</v>
      </c>
      <c r="S639" s="49">
        <f>ROUND(Q639/Summary!$C$3*Summary!$C$2,0)</f>
        <v>9</v>
      </c>
      <c r="T639" s="44">
        <f t="shared" si="51"/>
        <v>0.69230769230769229</v>
      </c>
      <c r="U639" s="34">
        <v>3</v>
      </c>
      <c r="V639" s="34">
        <v>0</v>
      </c>
      <c r="W639" s="34">
        <v>0</v>
      </c>
      <c r="X639" s="34">
        <v>0</v>
      </c>
    </row>
    <row r="640" spans="1:24" hidden="1">
      <c r="A640" s="34" t="s">
        <v>3352</v>
      </c>
      <c r="B640" s="34" t="s">
        <v>3170</v>
      </c>
      <c r="C640" s="34" t="s">
        <v>136</v>
      </c>
      <c r="D640" s="34" t="s">
        <v>137</v>
      </c>
      <c r="E640" s="34" t="s">
        <v>4</v>
      </c>
      <c r="F640" s="34" t="s">
        <v>3171</v>
      </c>
      <c r="G640" s="54">
        <v>1728015250</v>
      </c>
      <c r="H640" s="54" t="s">
        <v>229</v>
      </c>
      <c r="I640" s="54" t="s">
        <v>3514</v>
      </c>
      <c r="J640" s="34" t="s">
        <v>3421</v>
      </c>
      <c r="K640" s="50">
        <v>130000</v>
      </c>
      <c r="L640" s="43">
        <v>25310</v>
      </c>
      <c r="M640" s="44">
        <f t="shared" si="48"/>
        <v>0.19469230769230769</v>
      </c>
      <c r="N640" s="49">
        <f>ROUND(L640/Summary!$C$3*Summary!$C$2,0)</f>
        <v>78461</v>
      </c>
      <c r="O640" s="44">
        <f t="shared" si="49"/>
        <v>0.60354615384615384</v>
      </c>
      <c r="P640" s="78">
        <v>10</v>
      </c>
      <c r="Q640" s="34">
        <v>2</v>
      </c>
      <c r="R640" s="35">
        <f t="shared" si="50"/>
        <v>0.2</v>
      </c>
      <c r="S640" s="49">
        <f>ROUND(Q640/Summary!$C$3*Summary!$C$2,0)</f>
        <v>6</v>
      </c>
      <c r="T640" s="44">
        <f t="shared" si="51"/>
        <v>0.6</v>
      </c>
      <c r="U640" s="34">
        <v>0</v>
      </c>
      <c r="V640" s="34">
        <v>0</v>
      </c>
      <c r="W640" s="34">
        <v>0</v>
      </c>
      <c r="X640" s="34">
        <v>0</v>
      </c>
    </row>
    <row r="641" spans="1:24" hidden="1">
      <c r="A641" s="34" t="s">
        <v>2323</v>
      </c>
      <c r="B641" s="34" t="s">
        <v>2324</v>
      </c>
      <c r="C641" s="34" t="s">
        <v>136</v>
      </c>
      <c r="D641" s="34" t="s">
        <v>137</v>
      </c>
      <c r="E641" s="34" t="s">
        <v>4</v>
      </c>
      <c r="F641" s="34" t="s">
        <v>2325</v>
      </c>
      <c r="G641" s="54">
        <v>1718286519</v>
      </c>
      <c r="H641" s="54" t="s">
        <v>229</v>
      </c>
      <c r="I641" s="54" t="s">
        <v>3514</v>
      </c>
      <c r="J641" s="34" t="s">
        <v>3421</v>
      </c>
      <c r="K641" s="50">
        <v>130000</v>
      </c>
      <c r="L641" s="43">
        <v>48870</v>
      </c>
      <c r="M641" s="44">
        <f t="shared" si="48"/>
        <v>0.37592307692307692</v>
      </c>
      <c r="N641" s="49">
        <f>ROUND(L641/Summary!$C$3*Summary!$C$2,0)</f>
        <v>151497</v>
      </c>
      <c r="O641" s="44">
        <f t="shared" si="49"/>
        <v>1.1653615384615386</v>
      </c>
      <c r="P641" s="78">
        <v>10</v>
      </c>
      <c r="Q641" s="34">
        <v>2</v>
      </c>
      <c r="R641" s="35">
        <f t="shared" si="50"/>
        <v>0.2</v>
      </c>
      <c r="S641" s="49">
        <f>ROUND(Q641/Summary!$C$3*Summary!$C$2,0)</f>
        <v>6</v>
      </c>
      <c r="T641" s="44">
        <f t="shared" si="51"/>
        <v>0.6</v>
      </c>
      <c r="U641" s="34">
        <v>3</v>
      </c>
      <c r="V641" s="34">
        <v>0</v>
      </c>
      <c r="W641" s="34">
        <v>0</v>
      </c>
      <c r="X641" s="34">
        <v>1</v>
      </c>
    </row>
    <row r="642" spans="1:24" hidden="1">
      <c r="A642" s="34" t="s">
        <v>2331</v>
      </c>
      <c r="B642" s="34" t="s">
        <v>134</v>
      </c>
      <c r="C642" s="34" t="s">
        <v>136</v>
      </c>
      <c r="D642" s="34" t="s">
        <v>137</v>
      </c>
      <c r="E642" s="34" t="s">
        <v>4</v>
      </c>
      <c r="F642" s="34" t="s">
        <v>2332</v>
      </c>
      <c r="G642" s="54">
        <v>1752792599</v>
      </c>
      <c r="H642" s="54" t="s">
        <v>229</v>
      </c>
      <c r="I642" s="54" t="s">
        <v>3514</v>
      </c>
      <c r="J642" s="34" t="s">
        <v>3421</v>
      </c>
      <c r="K642" s="50">
        <v>130000</v>
      </c>
      <c r="L642" s="43">
        <v>10380</v>
      </c>
      <c r="M642" s="44">
        <f t="shared" si="48"/>
        <v>7.9846153846153844E-2</v>
      </c>
      <c r="N642" s="49">
        <f>ROUND(L642/Summary!$C$3*Summary!$C$2,0)</f>
        <v>32178</v>
      </c>
      <c r="O642" s="44">
        <f t="shared" si="49"/>
        <v>0.24752307692307693</v>
      </c>
      <c r="P642" s="78">
        <v>10</v>
      </c>
      <c r="Q642" s="34">
        <v>0</v>
      </c>
      <c r="R642" s="35">
        <f t="shared" si="50"/>
        <v>0</v>
      </c>
      <c r="S642" s="49">
        <f>ROUND(Q642/Summary!$C$3*Summary!$C$2,0)</f>
        <v>0</v>
      </c>
      <c r="T642" s="44">
        <f t="shared" si="51"/>
        <v>0</v>
      </c>
      <c r="U642" s="34">
        <v>1</v>
      </c>
      <c r="V642" s="34">
        <v>0</v>
      </c>
      <c r="W642" s="34">
        <v>0</v>
      </c>
      <c r="X642" s="34">
        <v>0</v>
      </c>
    </row>
    <row r="643" spans="1:24" hidden="1">
      <c r="A643" s="34" t="s">
        <v>3476</v>
      </c>
      <c r="B643" s="34" t="s">
        <v>3477</v>
      </c>
      <c r="C643" s="34" t="s">
        <v>136</v>
      </c>
      <c r="D643" s="34" t="s">
        <v>137</v>
      </c>
      <c r="E643" s="34" t="s">
        <v>4</v>
      </c>
      <c r="F643" s="34" t="s">
        <v>3478</v>
      </c>
      <c r="G643" s="54">
        <v>1944211049</v>
      </c>
      <c r="H643" s="54" t="s">
        <v>229</v>
      </c>
      <c r="I643" s="54" t="s">
        <v>3514</v>
      </c>
      <c r="J643" s="34" t="s">
        <v>3419</v>
      </c>
      <c r="K643" s="50">
        <v>164679</v>
      </c>
      <c r="L643" s="43">
        <v>16020</v>
      </c>
      <c r="M643" s="44">
        <f t="shared" si="48"/>
        <v>9.7280163226640917E-2</v>
      </c>
      <c r="N643" s="49">
        <f>ROUND(L643/Summary!$C$3*Summary!$C$2,0)</f>
        <v>49662</v>
      </c>
      <c r="O643" s="44">
        <f t="shared" si="49"/>
        <v>0.30156850600258683</v>
      </c>
      <c r="P643" s="78">
        <v>12</v>
      </c>
      <c r="Q643" s="34">
        <v>0</v>
      </c>
      <c r="R643" s="35">
        <f t="shared" si="50"/>
        <v>0</v>
      </c>
      <c r="S643" s="49">
        <f>ROUND(Q643/Summary!$C$3*Summary!$C$2,0)</f>
        <v>0</v>
      </c>
      <c r="T643" s="44">
        <f t="shared" si="51"/>
        <v>0</v>
      </c>
      <c r="U643" s="34">
        <v>0</v>
      </c>
      <c r="V643" s="34">
        <v>0</v>
      </c>
      <c r="W643" s="34">
        <v>0</v>
      </c>
      <c r="X643" s="34">
        <v>0</v>
      </c>
    </row>
    <row r="644" spans="1:24" hidden="1">
      <c r="A644" s="34" t="s">
        <v>2338</v>
      </c>
      <c r="B644" s="34" t="s">
        <v>2339</v>
      </c>
      <c r="C644" s="34" t="s">
        <v>136</v>
      </c>
      <c r="D644" s="34" t="s">
        <v>137</v>
      </c>
      <c r="E644" s="34" t="s">
        <v>4</v>
      </c>
      <c r="F644" s="34" t="s">
        <v>2340</v>
      </c>
      <c r="G644" s="54">
        <v>1721761666</v>
      </c>
      <c r="H644" s="54" t="s">
        <v>229</v>
      </c>
      <c r="I644" s="54" t="s">
        <v>3514</v>
      </c>
      <c r="J644" s="34" t="s">
        <v>3419</v>
      </c>
      <c r="K644" s="50">
        <v>130000</v>
      </c>
      <c r="L644" s="43">
        <v>10789</v>
      </c>
      <c r="M644" s="44">
        <f t="shared" si="48"/>
        <v>8.2992307692307699E-2</v>
      </c>
      <c r="N644" s="49">
        <f>ROUND(L644/Summary!$C$3*Summary!$C$2,0)</f>
        <v>33446</v>
      </c>
      <c r="O644" s="44">
        <f t="shared" si="49"/>
        <v>0.25727692307692307</v>
      </c>
      <c r="P644" s="78">
        <v>10</v>
      </c>
      <c r="Q644" s="34">
        <v>0</v>
      </c>
      <c r="R644" s="35">
        <f t="shared" si="50"/>
        <v>0</v>
      </c>
      <c r="S644" s="49">
        <f>ROUND(Q644/Summary!$C$3*Summary!$C$2,0)</f>
        <v>0</v>
      </c>
      <c r="T644" s="44">
        <f t="shared" si="51"/>
        <v>0</v>
      </c>
      <c r="U644" s="34">
        <v>1</v>
      </c>
      <c r="V644" s="34">
        <v>0</v>
      </c>
      <c r="W644" s="34">
        <v>0</v>
      </c>
      <c r="X644" s="34">
        <v>0</v>
      </c>
    </row>
    <row r="645" spans="1:24" hidden="1">
      <c r="A645" s="34" t="s">
        <v>3380</v>
      </c>
      <c r="B645" s="34" t="s">
        <v>2951</v>
      </c>
      <c r="C645" s="34" t="s">
        <v>136</v>
      </c>
      <c r="D645" s="34" t="s">
        <v>137</v>
      </c>
      <c r="E645" s="34" t="s">
        <v>4</v>
      </c>
      <c r="F645" s="34" t="s">
        <v>3379</v>
      </c>
      <c r="G645" s="54">
        <v>1931976125</v>
      </c>
      <c r="H645" s="54" t="s">
        <v>229</v>
      </c>
      <c r="I645" s="54" t="s">
        <v>3514</v>
      </c>
      <c r="J645" s="34" t="s">
        <v>3421</v>
      </c>
      <c r="K645" s="50">
        <v>130000</v>
      </c>
      <c r="L645" s="43">
        <v>7990</v>
      </c>
      <c r="M645" s="44">
        <f t="shared" si="48"/>
        <v>6.1461538461538463E-2</v>
      </c>
      <c r="N645" s="49">
        <f>ROUND(L645/Summary!$C$3*Summary!$C$2,0)</f>
        <v>24769</v>
      </c>
      <c r="O645" s="44">
        <f t="shared" si="49"/>
        <v>0.19053076923076923</v>
      </c>
      <c r="P645" s="78">
        <v>10</v>
      </c>
      <c r="Q645" s="34">
        <v>1</v>
      </c>
      <c r="R645" s="35">
        <f t="shared" si="50"/>
        <v>0.1</v>
      </c>
      <c r="S645" s="49">
        <f>ROUND(Q645/Summary!$C$3*Summary!$C$2,0)</f>
        <v>3</v>
      </c>
      <c r="T645" s="44">
        <f t="shared" si="51"/>
        <v>0.3</v>
      </c>
      <c r="U645" s="34">
        <v>0</v>
      </c>
      <c r="V645" s="34">
        <v>0</v>
      </c>
      <c r="W645" s="34">
        <v>0</v>
      </c>
      <c r="X645" s="34">
        <v>0</v>
      </c>
    </row>
    <row r="646" spans="1:24" hidden="1">
      <c r="A646" s="34" t="s">
        <v>2326</v>
      </c>
      <c r="B646" s="34" t="s">
        <v>2327</v>
      </c>
      <c r="C646" s="34" t="s">
        <v>136</v>
      </c>
      <c r="D646" s="34" t="s">
        <v>137</v>
      </c>
      <c r="E646" s="34" t="s">
        <v>4</v>
      </c>
      <c r="F646" s="34" t="s">
        <v>3479</v>
      </c>
      <c r="G646" s="54">
        <v>1716569884</v>
      </c>
      <c r="H646" s="54" t="s">
        <v>229</v>
      </c>
      <c r="I646" s="54" t="s">
        <v>3514</v>
      </c>
      <c r="J646" s="34" t="s">
        <v>3515</v>
      </c>
      <c r="K646" s="50">
        <v>130000</v>
      </c>
      <c r="L646" s="43">
        <v>21260</v>
      </c>
      <c r="M646" s="44">
        <f t="shared" si="48"/>
        <v>0.16353846153846155</v>
      </c>
      <c r="N646" s="49">
        <f>ROUND(L646/Summary!$C$3*Summary!$C$2,0)</f>
        <v>65906</v>
      </c>
      <c r="O646" s="44">
        <f t="shared" si="49"/>
        <v>0.50696923076923073</v>
      </c>
      <c r="P646" s="78">
        <v>10</v>
      </c>
      <c r="Q646" s="34">
        <v>1</v>
      </c>
      <c r="R646" s="35">
        <f t="shared" si="50"/>
        <v>0.1</v>
      </c>
      <c r="S646" s="49">
        <f>ROUND(Q646/Summary!$C$3*Summary!$C$2,0)</f>
        <v>3</v>
      </c>
      <c r="T646" s="44">
        <f t="shared" si="51"/>
        <v>0.3</v>
      </c>
      <c r="U646" s="34">
        <v>1</v>
      </c>
      <c r="V646" s="34">
        <v>1</v>
      </c>
      <c r="W646" s="34">
        <v>0</v>
      </c>
      <c r="X646" s="34">
        <v>0</v>
      </c>
    </row>
    <row r="647" spans="1:24" hidden="1">
      <c r="A647" s="54" t="s">
        <v>2791</v>
      </c>
      <c r="B647" s="54" t="s">
        <v>590</v>
      </c>
      <c r="C647" s="54" t="s">
        <v>71</v>
      </c>
      <c r="D647" s="54" t="s">
        <v>72</v>
      </c>
      <c r="E647" s="54" t="s">
        <v>0</v>
      </c>
      <c r="F647" s="54" t="s">
        <v>2792</v>
      </c>
      <c r="G647" s="54">
        <v>1713539941</v>
      </c>
      <c r="H647" s="54" t="s">
        <v>229</v>
      </c>
      <c r="I647" s="54" t="s">
        <v>3514</v>
      </c>
      <c r="J647" s="34" t="s">
        <v>3419</v>
      </c>
      <c r="K647" s="50">
        <v>209483</v>
      </c>
      <c r="L647" s="43">
        <v>133035</v>
      </c>
      <c r="M647" s="44">
        <f t="shared" si="48"/>
        <v>0.63506346577049211</v>
      </c>
      <c r="N647" s="49">
        <f>ROUND(L647/Summary!$C$3*Summary!$C$2,0)</f>
        <v>412409</v>
      </c>
      <c r="O647" s="44">
        <f t="shared" si="49"/>
        <v>1.9686991307170509</v>
      </c>
      <c r="P647" s="78">
        <v>12</v>
      </c>
      <c r="Q647" s="34">
        <v>9</v>
      </c>
      <c r="R647" s="35">
        <f t="shared" si="50"/>
        <v>0.75</v>
      </c>
      <c r="S647" s="49">
        <f>ROUND(Q647/Summary!$C$3*Summary!$C$2,0)</f>
        <v>28</v>
      </c>
      <c r="T647" s="44">
        <f t="shared" si="51"/>
        <v>2.3333333333333335</v>
      </c>
      <c r="U647" s="34">
        <v>2</v>
      </c>
      <c r="V647" s="34">
        <v>1</v>
      </c>
      <c r="W647" s="34">
        <v>0</v>
      </c>
      <c r="X647" s="34">
        <v>2</v>
      </c>
    </row>
    <row r="648" spans="1:24" hidden="1">
      <c r="A648" s="54" t="s">
        <v>2796</v>
      </c>
      <c r="B648" s="54" t="s">
        <v>818</v>
      </c>
      <c r="C648" s="54" t="s">
        <v>71</v>
      </c>
      <c r="D648" s="54" t="s">
        <v>72</v>
      </c>
      <c r="E648" s="54" t="s">
        <v>0</v>
      </c>
      <c r="F648" s="54" t="s">
        <v>2797</v>
      </c>
      <c r="G648" s="54">
        <v>1757808021</v>
      </c>
      <c r="H648" s="54" t="s">
        <v>229</v>
      </c>
      <c r="I648" s="54" t="s">
        <v>3514</v>
      </c>
      <c r="J648" s="34" t="s">
        <v>3419</v>
      </c>
      <c r="K648" s="50">
        <v>140000</v>
      </c>
      <c r="L648" s="43">
        <v>15970</v>
      </c>
      <c r="M648" s="44">
        <f t="shared" si="48"/>
        <v>0.11407142857142857</v>
      </c>
      <c r="N648" s="49">
        <f>ROUND(L648/Summary!$C$3*Summary!$C$2,0)</f>
        <v>49507</v>
      </c>
      <c r="O648" s="44">
        <f t="shared" si="49"/>
        <v>0.35362142857142859</v>
      </c>
      <c r="P648" s="78">
        <v>10</v>
      </c>
      <c r="Q648" s="34">
        <v>1</v>
      </c>
      <c r="R648" s="35">
        <f t="shared" si="50"/>
        <v>0.1</v>
      </c>
      <c r="S648" s="49">
        <f>ROUND(Q648/Summary!$C$3*Summary!$C$2,0)</f>
        <v>3</v>
      </c>
      <c r="T648" s="44">
        <f t="shared" si="51"/>
        <v>0.3</v>
      </c>
      <c r="U648" s="34">
        <v>0</v>
      </c>
      <c r="V648" s="34">
        <v>0</v>
      </c>
      <c r="W648" s="34">
        <v>0</v>
      </c>
      <c r="X648" s="34">
        <v>0</v>
      </c>
    </row>
    <row r="649" spans="1:24" hidden="1">
      <c r="A649" s="54" t="s">
        <v>2659</v>
      </c>
      <c r="B649" s="54" t="s">
        <v>2660</v>
      </c>
      <c r="C649" s="54" t="s">
        <v>71</v>
      </c>
      <c r="D649" s="54" t="s">
        <v>72</v>
      </c>
      <c r="E649" s="54" t="s">
        <v>0</v>
      </c>
      <c r="F649" s="54" t="s">
        <v>2624</v>
      </c>
      <c r="G649" s="54">
        <v>1716230040</v>
      </c>
      <c r="H649" s="54" t="s">
        <v>229</v>
      </c>
      <c r="I649" s="54" t="s">
        <v>3518</v>
      </c>
      <c r="J649" s="34" t="s">
        <v>3419</v>
      </c>
      <c r="K649" s="50">
        <v>359556</v>
      </c>
      <c r="L649" s="43">
        <v>170514</v>
      </c>
      <c r="M649" s="44">
        <f t="shared" ref="M649:M713" si="52">L649/K649</f>
        <v>0.47423488969729333</v>
      </c>
      <c r="N649" s="49">
        <f>ROUND(L649/Summary!$C$3*Summary!$C$2,0)</f>
        <v>528593</v>
      </c>
      <c r="O649" s="44">
        <f t="shared" ref="O649:O713" si="53">N649/K649</f>
        <v>1.4701270455784357</v>
      </c>
      <c r="P649" s="78">
        <v>11</v>
      </c>
      <c r="Q649" s="34">
        <v>10</v>
      </c>
      <c r="R649" s="35">
        <f t="shared" ref="R649:R713" si="54">Q649/P649</f>
        <v>0.90909090909090906</v>
      </c>
      <c r="S649" s="49">
        <f>ROUND(Q649/Summary!$C$3*Summary!$C$2,0)</f>
        <v>31</v>
      </c>
      <c r="T649" s="44">
        <f t="shared" ref="T649:T713" si="55">S649/P649</f>
        <v>2.8181818181818183</v>
      </c>
      <c r="U649" s="34">
        <v>4</v>
      </c>
      <c r="V649" s="34">
        <v>3</v>
      </c>
      <c r="W649" s="34">
        <v>0</v>
      </c>
      <c r="X649" s="34">
        <v>2</v>
      </c>
    </row>
    <row r="650" spans="1:24" hidden="1">
      <c r="A650" s="54" t="s">
        <v>2596</v>
      </c>
      <c r="B650" s="54" t="s">
        <v>2597</v>
      </c>
      <c r="C650" s="54" t="s">
        <v>71</v>
      </c>
      <c r="D650" s="54" t="s">
        <v>72</v>
      </c>
      <c r="E650" s="54" t="s">
        <v>0</v>
      </c>
      <c r="F650" s="54" t="s">
        <v>2598</v>
      </c>
      <c r="G650" s="54">
        <v>1711179716</v>
      </c>
      <c r="H650" s="54" t="s">
        <v>229</v>
      </c>
      <c r="I650" s="54" t="s">
        <v>3514</v>
      </c>
      <c r="J650" s="34" t="s">
        <v>3515</v>
      </c>
      <c r="K650" s="50">
        <v>140000</v>
      </c>
      <c r="L650" s="43">
        <v>11880</v>
      </c>
      <c r="M650" s="44">
        <f t="shared" si="52"/>
        <v>8.4857142857142853E-2</v>
      </c>
      <c r="N650" s="49">
        <f>ROUND(L650/Summary!$C$3*Summary!$C$2,0)</f>
        <v>36828</v>
      </c>
      <c r="O650" s="44">
        <f t="shared" si="53"/>
        <v>0.26305714285714288</v>
      </c>
      <c r="P650" s="78">
        <v>10</v>
      </c>
      <c r="Q650" s="34">
        <v>1</v>
      </c>
      <c r="R650" s="35">
        <f t="shared" si="54"/>
        <v>0.1</v>
      </c>
      <c r="S650" s="49">
        <f>ROUND(Q650/Summary!$C$3*Summary!$C$2,0)</f>
        <v>3</v>
      </c>
      <c r="T650" s="44">
        <f t="shared" si="55"/>
        <v>0.3</v>
      </c>
      <c r="U650" s="34">
        <v>0</v>
      </c>
      <c r="V650" s="34">
        <v>0</v>
      </c>
      <c r="W650" s="34">
        <v>0</v>
      </c>
      <c r="X650" s="34">
        <v>0</v>
      </c>
    </row>
    <row r="651" spans="1:24" hidden="1">
      <c r="A651" s="54" t="s">
        <v>3269</v>
      </c>
      <c r="B651" s="54" t="s">
        <v>3270</v>
      </c>
      <c r="C651" s="54" t="s">
        <v>71</v>
      </c>
      <c r="D651" s="54" t="s">
        <v>72</v>
      </c>
      <c r="E651" s="54" t="s">
        <v>0</v>
      </c>
      <c r="F651" s="54" t="s">
        <v>3271</v>
      </c>
      <c r="G651" s="54">
        <v>1931732592</v>
      </c>
      <c r="H651" s="54" t="s">
        <v>229</v>
      </c>
      <c r="I651" s="54" t="s">
        <v>3514</v>
      </c>
      <c r="J651" s="34" t="s">
        <v>3515</v>
      </c>
      <c r="K651" s="50">
        <v>140000</v>
      </c>
      <c r="L651" s="43">
        <v>29085</v>
      </c>
      <c r="M651" s="44">
        <f t="shared" si="52"/>
        <v>0.20774999999999999</v>
      </c>
      <c r="N651" s="49">
        <f>ROUND(L651/Summary!$C$3*Summary!$C$2,0)</f>
        <v>90164</v>
      </c>
      <c r="O651" s="44">
        <f t="shared" si="53"/>
        <v>0.64402857142857139</v>
      </c>
      <c r="P651" s="78">
        <v>11</v>
      </c>
      <c r="Q651" s="34">
        <v>1</v>
      </c>
      <c r="R651" s="35">
        <f t="shared" si="54"/>
        <v>9.0909090909090912E-2</v>
      </c>
      <c r="S651" s="49">
        <f>ROUND(Q651/Summary!$C$3*Summary!$C$2,0)</f>
        <v>3</v>
      </c>
      <c r="T651" s="44">
        <f t="shared" si="55"/>
        <v>0.27272727272727271</v>
      </c>
      <c r="U651" s="34">
        <v>2</v>
      </c>
      <c r="V651" s="34">
        <v>0</v>
      </c>
      <c r="W651" s="34">
        <v>0</v>
      </c>
      <c r="X651" s="34">
        <v>0</v>
      </c>
    </row>
    <row r="652" spans="1:24" hidden="1">
      <c r="A652" s="54" t="s">
        <v>2848</v>
      </c>
      <c r="B652" s="54" t="s">
        <v>2849</v>
      </c>
      <c r="C652" s="54" t="s">
        <v>71</v>
      </c>
      <c r="D652" s="54" t="s">
        <v>72</v>
      </c>
      <c r="E652" s="54" t="s">
        <v>0</v>
      </c>
      <c r="F652" s="54" t="s">
        <v>2850</v>
      </c>
      <c r="G652" s="54">
        <v>1715281357</v>
      </c>
      <c r="H652" s="54" t="s">
        <v>229</v>
      </c>
      <c r="I652" s="54" t="s">
        <v>3514</v>
      </c>
      <c r="J652" s="34" t="s">
        <v>3515</v>
      </c>
      <c r="K652" s="50">
        <v>140000</v>
      </c>
      <c r="L652" s="43">
        <v>10980</v>
      </c>
      <c r="M652" s="44">
        <f t="shared" si="52"/>
        <v>7.8428571428571431E-2</v>
      </c>
      <c r="N652" s="49">
        <f>ROUND(L652/Summary!$C$3*Summary!$C$2,0)</f>
        <v>34038</v>
      </c>
      <c r="O652" s="44">
        <f t="shared" si="53"/>
        <v>0.24312857142857142</v>
      </c>
      <c r="P652" s="78">
        <v>10</v>
      </c>
      <c r="Q652" s="34">
        <v>0</v>
      </c>
      <c r="R652" s="35">
        <f t="shared" si="54"/>
        <v>0</v>
      </c>
      <c r="S652" s="49">
        <f>ROUND(Q652/Summary!$C$3*Summary!$C$2,0)</f>
        <v>0</v>
      </c>
      <c r="T652" s="44">
        <f t="shared" si="55"/>
        <v>0</v>
      </c>
      <c r="U652" s="34">
        <v>0</v>
      </c>
      <c r="V652" s="34">
        <v>0</v>
      </c>
      <c r="W652" s="34">
        <v>0</v>
      </c>
      <c r="X652" s="34">
        <v>0</v>
      </c>
    </row>
    <row r="653" spans="1:24" hidden="1">
      <c r="A653" s="54" t="s">
        <v>2693</v>
      </c>
      <c r="B653" s="54" t="s">
        <v>2694</v>
      </c>
      <c r="C653" s="54" t="s">
        <v>71</v>
      </c>
      <c r="D653" s="54" t="s">
        <v>72</v>
      </c>
      <c r="E653" s="54" t="s">
        <v>0</v>
      </c>
      <c r="F653" s="54" t="s">
        <v>2695</v>
      </c>
      <c r="G653" s="54">
        <v>1716192618</v>
      </c>
      <c r="H653" s="54" t="s">
        <v>229</v>
      </c>
      <c r="I653" s="54" t="s">
        <v>3514</v>
      </c>
      <c r="J653" s="34" t="s">
        <v>3419</v>
      </c>
      <c r="K653" s="50">
        <v>181415</v>
      </c>
      <c r="L653" s="43">
        <v>48210</v>
      </c>
      <c r="M653" s="44">
        <f t="shared" si="52"/>
        <v>0.2657442879585481</v>
      </c>
      <c r="N653" s="49">
        <f>ROUND(L653/Summary!$C$3*Summary!$C$2,0)</f>
        <v>149451</v>
      </c>
      <c r="O653" s="44">
        <f t="shared" si="53"/>
        <v>0.8238072926714991</v>
      </c>
      <c r="P653" s="78">
        <v>12</v>
      </c>
      <c r="Q653" s="34">
        <v>1</v>
      </c>
      <c r="R653" s="35">
        <f t="shared" si="54"/>
        <v>8.3333333333333329E-2</v>
      </c>
      <c r="S653" s="49">
        <f>ROUND(Q653/Summary!$C$3*Summary!$C$2,0)</f>
        <v>3</v>
      </c>
      <c r="T653" s="44">
        <f t="shared" si="55"/>
        <v>0.25</v>
      </c>
      <c r="U653" s="34">
        <v>2</v>
      </c>
      <c r="V653" s="34">
        <v>1</v>
      </c>
      <c r="W653" s="34">
        <v>0</v>
      </c>
      <c r="X653" s="34">
        <v>0</v>
      </c>
    </row>
    <row r="654" spans="1:24" hidden="1">
      <c r="A654" s="54" t="s">
        <v>2553</v>
      </c>
      <c r="B654" s="54" t="s">
        <v>1738</v>
      </c>
      <c r="C654" s="54" t="s">
        <v>71</v>
      </c>
      <c r="D654" s="54" t="s">
        <v>72</v>
      </c>
      <c r="E654" s="54" t="s">
        <v>0</v>
      </c>
      <c r="F654" s="54" t="s">
        <v>2554</v>
      </c>
      <c r="G654" s="54">
        <v>1710153637</v>
      </c>
      <c r="H654" s="54" t="s">
        <v>229</v>
      </c>
      <c r="I654" s="54" t="s">
        <v>3514</v>
      </c>
      <c r="J654" s="34" t="s">
        <v>3515</v>
      </c>
      <c r="K654" s="50">
        <v>140000</v>
      </c>
      <c r="L654" s="43">
        <v>41030</v>
      </c>
      <c r="M654" s="44">
        <f t="shared" si="52"/>
        <v>0.29307142857142859</v>
      </c>
      <c r="N654" s="49">
        <f>ROUND(L654/Summary!$C$3*Summary!$C$2,0)</f>
        <v>127193</v>
      </c>
      <c r="O654" s="44">
        <f t="shared" si="53"/>
        <v>0.90852142857142859</v>
      </c>
      <c r="P654" s="78">
        <v>11</v>
      </c>
      <c r="Q654" s="34">
        <v>2</v>
      </c>
      <c r="R654" s="35">
        <f t="shared" si="54"/>
        <v>0.18181818181818182</v>
      </c>
      <c r="S654" s="49">
        <f>ROUND(Q654/Summary!$C$3*Summary!$C$2,0)</f>
        <v>6</v>
      </c>
      <c r="T654" s="44">
        <f t="shared" si="55"/>
        <v>0.54545454545454541</v>
      </c>
      <c r="U654" s="34">
        <v>0</v>
      </c>
      <c r="V654" s="34">
        <v>1</v>
      </c>
      <c r="W654" s="34">
        <v>0</v>
      </c>
      <c r="X654" s="34">
        <v>0</v>
      </c>
    </row>
    <row r="655" spans="1:24" hidden="1">
      <c r="A655" s="54" t="s">
        <v>2710</v>
      </c>
      <c r="B655" s="54" t="s">
        <v>73</v>
      </c>
      <c r="C655" s="54" t="s">
        <v>71</v>
      </c>
      <c r="D655" s="54" t="s">
        <v>72</v>
      </c>
      <c r="E655" s="54" t="s">
        <v>0</v>
      </c>
      <c r="F655" s="54" t="s">
        <v>2711</v>
      </c>
      <c r="G655" s="54">
        <v>1768544552</v>
      </c>
      <c r="H655" s="54" t="s">
        <v>229</v>
      </c>
      <c r="I655" s="54" t="s">
        <v>3514</v>
      </c>
      <c r="J655" s="34" t="s">
        <v>3419</v>
      </c>
      <c r="K655" s="50">
        <v>162143</v>
      </c>
      <c r="L655" s="43">
        <v>95100</v>
      </c>
      <c r="M655" s="44">
        <f t="shared" si="52"/>
        <v>0.5865193070314475</v>
      </c>
      <c r="N655" s="49">
        <f>ROUND(L655/Summary!$C$3*Summary!$C$2,0)</f>
        <v>294810</v>
      </c>
      <c r="O655" s="44">
        <f t="shared" si="53"/>
        <v>1.8182098517974874</v>
      </c>
      <c r="P655" s="78">
        <v>11</v>
      </c>
      <c r="Q655" s="34">
        <v>5</v>
      </c>
      <c r="R655" s="35">
        <f t="shared" si="54"/>
        <v>0.45454545454545453</v>
      </c>
      <c r="S655" s="49">
        <f>ROUND(Q655/Summary!$C$3*Summary!$C$2,0)</f>
        <v>16</v>
      </c>
      <c r="T655" s="44">
        <f t="shared" si="55"/>
        <v>1.4545454545454546</v>
      </c>
      <c r="U655" s="34">
        <v>1</v>
      </c>
      <c r="V655" s="34">
        <v>1</v>
      </c>
      <c r="W655" s="34">
        <v>0</v>
      </c>
      <c r="X655" s="34">
        <v>0</v>
      </c>
    </row>
    <row r="656" spans="1:24" hidden="1">
      <c r="A656" s="54" t="s">
        <v>2550</v>
      </c>
      <c r="B656" s="54" t="s">
        <v>2551</v>
      </c>
      <c r="C656" s="54" t="s">
        <v>71</v>
      </c>
      <c r="D656" s="54" t="s">
        <v>72</v>
      </c>
      <c r="E656" s="54" t="s">
        <v>0</v>
      </c>
      <c r="F656" s="54" t="s">
        <v>2552</v>
      </c>
      <c r="G656" s="54">
        <v>1986131415</v>
      </c>
      <c r="H656" s="54" t="s">
        <v>229</v>
      </c>
      <c r="I656" s="54" t="s">
        <v>3514</v>
      </c>
      <c r="J656" s="34" t="s">
        <v>3419</v>
      </c>
      <c r="K656" s="50">
        <v>140000</v>
      </c>
      <c r="L656" s="43">
        <v>13770</v>
      </c>
      <c r="M656" s="44">
        <f t="shared" si="52"/>
        <v>9.8357142857142851E-2</v>
      </c>
      <c r="N656" s="49">
        <f>ROUND(L656/Summary!$C$3*Summary!$C$2,0)</f>
        <v>42687</v>
      </c>
      <c r="O656" s="44">
        <f t="shared" si="53"/>
        <v>0.30490714285714288</v>
      </c>
      <c r="P656" s="78">
        <v>10</v>
      </c>
      <c r="Q656" s="34">
        <v>0</v>
      </c>
      <c r="R656" s="35">
        <f t="shared" si="54"/>
        <v>0</v>
      </c>
      <c r="S656" s="49">
        <f>ROUND(Q656/Summary!$C$3*Summary!$C$2,0)</f>
        <v>0</v>
      </c>
      <c r="T656" s="44">
        <f t="shared" si="55"/>
        <v>0</v>
      </c>
      <c r="U656" s="34">
        <v>0</v>
      </c>
      <c r="V656" s="34">
        <v>0</v>
      </c>
      <c r="W656" s="34">
        <v>0</v>
      </c>
      <c r="X656" s="34">
        <v>0</v>
      </c>
    </row>
    <row r="657" spans="1:24" hidden="1">
      <c r="A657" s="54" t="s">
        <v>2602</v>
      </c>
      <c r="B657" s="54" t="s">
        <v>2603</v>
      </c>
      <c r="C657" s="54" t="s">
        <v>71</v>
      </c>
      <c r="D657" s="54" t="s">
        <v>72</v>
      </c>
      <c r="E657" s="54" t="s">
        <v>0</v>
      </c>
      <c r="F657" s="54" t="s">
        <v>2604</v>
      </c>
      <c r="G657" s="54">
        <v>1820573235</v>
      </c>
      <c r="H657" s="54" t="s">
        <v>229</v>
      </c>
      <c r="I657" s="54" t="s">
        <v>3514</v>
      </c>
      <c r="J657" s="34" t="s">
        <v>3421</v>
      </c>
      <c r="K657" s="50">
        <v>140000</v>
      </c>
      <c r="L657" s="43">
        <v>11480</v>
      </c>
      <c r="M657" s="44">
        <f t="shared" si="52"/>
        <v>8.2000000000000003E-2</v>
      </c>
      <c r="N657" s="49">
        <f>ROUND(L657/Summary!$C$3*Summary!$C$2,0)</f>
        <v>35588</v>
      </c>
      <c r="O657" s="44">
        <f t="shared" si="53"/>
        <v>0.25419999999999998</v>
      </c>
      <c r="P657" s="78">
        <v>10</v>
      </c>
      <c r="Q657" s="34">
        <v>1</v>
      </c>
      <c r="R657" s="35">
        <f t="shared" si="54"/>
        <v>0.1</v>
      </c>
      <c r="S657" s="49">
        <f>ROUND(Q657/Summary!$C$3*Summary!$C$2,0)</f>
        <v>3</v>
      </c>
      <c r="T657" s="44">
        <f t="shared" si="55"/>
        <v>0.3</v>
      </c>
      <c r="U657" s="34">
        <v>0</v>
      </c>
      <c r="V657" s="34">
        <v>0</v>
      </c>
      <c r="W657" s="34">
        <v>0</v>
      </c>
      <c r="X657" s="34">
        <v>0</v>
      </c>
    </row>
    <row r="658" spans="1:24" hidden="1">
      <c r="A658" s="54" t="s">
        <v>2860</v>
      </c>
      <c r="B658" s="54" t="s">
        <v>2861</v>
      </c>
      <c r="C658" s="54" t="s">
        <v>71</v>
      </c>
      <c r="D658" s="54" t="s">
        <v>72</v>
      </c>
      <c r="E658" s="54" t="s">
        <v>0</v>
      </c>
      <c r="F658" s="54" t="s">
        <v>2862</v>
      </c>
      <c r="G658" s="54">
        <v>1818363381</v>
      </c>
      <c r="H658" s="54" t="s">
        <v>229</v>
      </c>
      <c r="I658" s="54" t="s">
        <v>3514</v>
      </c>
      <c r="J658" s="34" t="s">
        <v>3421</v>
      </c>
      <c r="K658" s="50">
        <v>140000</v>
      </c>
      <c r="L658" s="43">
        <v>14680</v>
      </c>
      <c r="M658" s="44">
        <f t="shared" si="52"/>
        <v>0.10485714285714286</v>
      </c>
      <c r="N658" s="49">
        <f>ROUND(L658/Summary!$C$3*Summary!$C$2,0)</f>
        <v>45508</v>
      </c>
      <c r="O658" s="44">
        <f t="shared" si="53"/>
        <v>0.32505714285714288</v>
      </c>
      <c r="P658" s="78">
        <v>10</v>
      </c>
      <c r="Q658" s="34">
        <v>2</v>
      </c>
      <c r="R658" s="35">
        <f t="shared" si="54"/>
        <v>0.2</v>
      </c>
      <c r="S658" s="49">
        <f>ROUND(Q658/Summary!$C$3*Summary!$C$2,0)</f>
        <v>6</v>
      </c>
      <c r="T658" s="44">
        <f t="shared" si="55"/>
        <v>0.6</v>
      </c>
      <c r="U658" s="34">
        <v>0</v>
      </c>
      <c r="V658" s="34">
        <v>0</v>
      </c>
      <c r="W658" s="34">
        <v>0</v>
      </c>
      <c r="X658" s="34">
        <v>0</v>
      </c>
    </row>
    <row r="659" spans="1:24" hidden="1">
      <c r="A659" s="54" t="s">
        <v>2417</v>
      </c>
      <c r="B659" s="54" t="s">
        <v>2418</v>
      </c>
      <c r="C659" s="54" t="s">
        <v>71</v>
      </c>
      <c r="D659" s="54" t="s">
        <v>72</v>
      </c>
      <c r="E659" s="54" t="s">
        <v>0</v>
      </c>
      <c r="F659" s="54" t="s">
        <v>2419</v>
      </c>
      <c r="G659" s="54">
        <v>1813072099</v>
      </c>
      <c r="H659" s="54" t="s">
        <v>229</v>
      </c>
      <c r="I659" s="54" t="s">
        <v>3514</v>
      </c>
      <c r="J659" s="34" t="s">
        <v>3419</v>
      </c>
      <c r="K659" s="50">
        <v>187949</v>
      </c>
      <c r="L659" s="43">
        <v>88044</v>
      </c>
      <c r="M659" s="44">
        <f t="shared" si="52"/>
        <v>0.46844622743403797</v>
      </c>
      <c r="N659" s="49">
        <f>ROUND(L659/Summary!$C$3*Summary!$C$2,0)</f>
        <v>272936</v>
      </c>
      <c r="O659" s="44">
        <f t="shared" si="53"/>
        <v>1.4521811768086024</v>
      </c>
      <c r="P659" s="78">
        <v>11</v>
      </c>
      <c r="Q659" s="34">
        <v>6</v>
      </c>
      <c r="R659" s="35">
        <f t="shared" si="54"/>
        <v>0.54545454545454541</v>
      </c>
      <c r="S659" s="49">
        <f>ROUND(Q659/Summary!$C$3*Summary!$C$2,0)</f>
        <v>19</v>
      </c>
      <c r="T659" s="44">
        <f t="shared" si="55"/>
        <v>1.7272727272727273</v>
      </c>
      <c r="U659" s="34">
        <v>0</v>
      </c>
      <c r="V659" s="34">
        <v>1</v>
      </c>
      <c r="W659" s="34">
        <v>0</v>
      </c>
      <c r="X659" s="34">
        <v>0</v>
      </c>
    </row>
    <row r="660" spans="1:24" hidden="1">
      <c r="A660" s="54" t="s">
        <v>2809</v>
      </c>
      <c r="B660" s="54" t="s">
        <v>2810</v>
      </c>
      <c r="C660" s="54" t="s">
        <v>71</v>
      </c>
      <c r="D660" s="54" t="s">
        <v>72</v>
      </c>
      <c r="E660" s="54" t="s">
        <v>0</v>
      </c>
      <c r="F660" s="54" t="s">
        <v>2811</v>
      </c>
      <c r="G660" s="54">
        <v>1713586580</v>
      </c>
      <c r="H660" s="54" t="s">
        <v>229</v>
      </c>
      <c r="I660" s="54" t="s">
        <v>3514</v>
      </c>
      <c r="J660" s="34" t="s">
        <v>3421</v>
      </c>
      <c r="K660" s="50">
        <v>140000</v>
      </c>
      <c r="L660" s="43">
        <v>8490</v>
      </c>
      <c r="M660" s="44">
        <f t="shared" si="52"/>
        <v>6.0642857142857144E-2</v>
      </c>
      <c r="N660" s="49">
        <f>ROUND(L660/Summary!$C$3*Summary!$C$2,0)</f>
        <v>26319</v>
      </c>
      <c r="O660" s="44">
        <f t="shared" si="53"/>
        <v>0.18799285714285716</v>
      </c>
      <c r="P660" s="78">
        <v>10</v>
      </c>
      <c r="Q660" s="34">
        <v>1</v>
      </c>
      <c r="R660" s="35">
        <f t="shared" si="54"/>
        <v>0.1</v>
      </c>
      <c r="S660" s="49">
        <f>ROUND(Q660/Summary!$C$3*Summary!$C$2,0)</f>
        <v>3</v>
      </c>
      <c r="T660" s="44">
        <f t="shared" si="55"/>
        <v>0.3</v>
      </c>
      <c r="U660" s="34">
        <v>0</v>
      </c>
      <c r="V660" s="34">
        <v>0</v>
      </c>
      <c r="W660" s="34">
        <v>0</v>
      </c>
      <c r="X660" s="34">
        <v>0</v>
      </c>
    </row>
    <row r="661" spans="1:24" hidden="1">
      <c r="A661" s="54" t="s">
        <v>2871</v>
      </c>
      <c r="B661" s="54" t="s">
        <v>2872</v>
      </c>
      <c r="C661" s="54" t="s">
        <v>71</v>
      </c>
      <c r="D661" s="54" t="s">
        <v>72</v>
      </c>
      <c r="E661" s="54" t="s">
        <v>0</v>
      </c>
      <c r="F661" s="54" t="s">
        <v>2873</v>
      </c>
      <c r="G661" s="54">
        <v>1711669519</v>
      </c>
      <c r="H661" s="54" t="s">
        <v>229</v>
      </c>
      <c r="I661" s="54" t="s">
        <v>3514</v>
      </c>
      <c r="J661" s="34" t="s">
        <v>3419</v>
      </c>
      <c r="K661" s="50">
        <v>237392</v>
      </c>
      <c r="L661" s="43">
        <v>44810</v>
      </c>
      <c r="M661" s="44">
        <f t="shared" si="52"/>
        <v>0.18875952011862238</v>
      </c>
      <c r="N661" s="49">
        <f>ROUND(L661/Summary!$C$3*Summary!$C$2,0)</f>
        <v>138911</v>
      </c>
      <c r="O661" s="44">
        <f t="shared" si="53"/>
        <v>0.58515451236772931</v>
      </c>
      <c r="P661" s="78">
        <v>10</v>
      </c>
      <c r="Q661" s="34">
        <v>0</v>
      </c>
      <c r="R661" s="35">
        <f t="shared" si="54"/>
        <v>0</v>
      </c>
      <c r="S661" s="49">
        <f>ROUND(Q661/Summary!$C$3*Summary!$C$2,0)</f>
        <v>0</v>
      </c>
      <c r="T661" s="44">
        <f t="shared" si="55"/>
        <v>0</v>
      </c>
      <c r="U661" s="34">
        <v>1</v>
      </c>
      <c r="V661" s="34">
        <v>0</v>
      </c>
      <c r="W661" s="34">
        <v>0</v>
      </c>
      <c r="X661" s="34">
        <v>0</v>
      </c>
    </row>
    <row r="662" spans="1:24" hidden="1">
      <c r="A662" s="54" t="s">
        <v>2631</v>
      </c>
      <c r="B662" s="54" t="s">
        <v>2632</v>
      </c>
      <c r="C662" s="54" t="s">
        <v>71</v>
      </c>
      <c r="D662" s="54" t="s">
        <v>72</v>
      </c>
      <c r="E662" s="54" t="s">
        <v>0</v>
      </c>
      <c r="F662" s="54" t="s">
        <v>2633</v>
      </c>
      <c r="G662" s="54">
        <v>1711938262</v>
      </c>
      <c r="H662" s="54" t="s">
        <v>229</v>
      </c>
      <c r="I662" s="54" t="s">
        <v>3514</v>
      </c>
      <c r="J662" s="34" t="s">
        <v>3421</v>
      </c>
      <c r="K662" s="50">
        <v>140000</v>
      </c>
      <c r="L662" s="43">
        <v>5290</v>
      </c>
      <c r="M662" s="44">
        <f t="shared" si="52"/>
        <v>3.7785714285714284E-2</v>
      </c>
      <c r="N662" s="49">
        <f>ROUND(L662/Summary!$C$3*Summary!$C$2,0)</f>
        <v>16399</v>
      </c>
      <c r="O662" s="44">
        <f t="shared" si="53"/>
        <v>0.11713571428571429</v>
      </c>
      <c r="P662" s="78">
        <v>10</v>
      </c>
      <c r="Q662" s="34">
        <v>0</v>
      </c>
      <c r="R662" s="35">
        <f t="shared" si="54"/>
        <v>0</v>
      </c>
      <c r="S662" s="49">
        <f>ROUND(Q662/Summary!$C$3*Summary!$C$2,0)</f>
        <v>0</v>
      </c>
      <c r="T662" s="44">
        <f t="shared" si="55"/>
        <v>0</v>
      </c>
      <c r="U662" s="34">
        <v>0</v>
      </c>
      <c r="V662" s="34">
        <v>0</v>
      </c>
      <c r="W662" s="34">
        <v>0</v>
      </c>
      <c r="X662" s="34">
        <v>0</v>
      </c>
    </row>
    <row r="663" spans="1:24" hidden="1">
      <c r="A663" s="54" t="s">
        <v>2505</v>
      </c>
      <c r="B663" s="54" t="s">
        <v>2506</v>
      </c>
      <c r="C663" s="54" t="s">
        <v>168</v>
      </c>
      <c r="D663" s="54" t="s">
        <v>72</v>
      </c>
      <c r="E663" s="54" t="s">
        <v>0</v>
      </c>
      <c r="F663" s="54" t="s">
        <v>2507</v>
      </c>
      <c r="G663" s="54">
        <v>1986753423</v>
      </c>
      <c r="H663" s="54" t="s">
        <v>229</v>
      </c>
      <c r="I663" s="54" t="s">
        <v>3514</v>
      </c>
      <c r="J663" s="34" t="s">
        <v>3421</v>
      </c>
      <c r="K663" s="50">
        <v>205377</v>
      </c>
      <c r="L663" s="43">
        <v>87924</v>
      </c>
      <c r="M663" s="44">
        <f t="shared" ref="M663" si="56">L663/K663</f>
        <v>0.42811025577352868</v>
      </c>
      <c r="N663" s="49">
        <f>ROUND(L663/Summary!$C$3*Summary!$C$2,0)</f>
        <v>272564</v>
      </c>
      <c r="O663" s="44">
        <f t="shared" ref="O663" si="57">N663/K663</f>
        <v>1.3271398452601801</v>
      </c>
      <c r="P663" s="78">
        <v>11</v>
      </c>
      <c r="Q663" s="34">
        <v>9</v>
      </c>
      <c r="R663" s="35">
        <f t="shared" ref="R663" si="58">Q663/P663</f>
        <v>0.81818181818181823</v>
      </c>
      <c r="S663" s="49">
        <f>ROUND(Q663/Summary!$C$3*Summary!$C$2,0)</f>
        <v>28</v>
      </c>
      <c r="T663" s="44">
        <f t="shared" ref="T663" si="59">S663/P663</f>
        <v>2.5454545454545454</v>
      </c>
      <c r="U663" s="34">
        <v>0</v>
      </c>
      <c r="V663" s="34">
        <v>2</v>
      </c>
      <c r="W663" s="34">
        <v>0</v>
      </c>
      <c r="X663" s="34">
        <v>0</v>
      </c>
    </row>
    <row r="664" spans="1:24" hidden="1">
      <c r="A664" s="54" t="s">
        <v>2497</v>
      </c>
      <c r="B664" s="54" t="s">
        <v>2498</v>
      </c>
      <c r="C664" s="54" t="s">
        <v>168</v>
      </c>
      <c r="D664" s="54" t="s">
        <v>72</v>
      </c>
      <c r="E664" s="54" t="s">
        <v>0</v>
      </c>
      <c r="F664" s="54" t="s">
        <v>351</v>
      </c>
      <c r="G664" s="54">
        <v>1911625251</v>
      </c>
      <c r="H664" s="54" t="s">
        <v>229</v>
      </c>
      <c r="I664" s="54" t="s">
        <v>3514</v>
      </c>
      <c r="J664" s="34" t="s">
        <v>3419</v>
      </c>
      <c r="K664" s="50">
        <v>174643</v>
      </c>
      <c r="L664" s="43">
        <v>60490</v>
      </c>
      <c r="M664" s="44">
        <f t="shared" si="52"/>
        <v>0.34636372485584876</v>
      </c>
      <c r="N664" s="49">
        <f>ROUND(L664/Summary!$C$3*Summary!$C$2,0)</f>
        <v>187519</v>
      </c>
      <c r="O664" s="44">
        <f t="shared" si="53"/>
        <v>1.0737275470531313</v>
      </c>
      <c r="P664" s="78">
        <v>10</v>
      </c>
      <c r="Q664" s="34">
        <v>3</v>
      </c>
      <c r="R664" s="35">
        <f t="shared" si="54"/>
        <v>0.3</v>
      </c>
      <c r="S664" s="49">
        <f>ROUND(Q664/Summary!$C$3*Summary!$C$2,0)</f>
        <v>9</v>
      </c>
      <c r="T664" s="44">
        <f t="shared" si="55"/>
        <v>0.9</v>
      </c>
      <c r="U664" s="34">
        <v>1</v>
      </c>
      <c r="V664" s="34">
        <v>0</v>
      </c>
      <c r="W664" s="34">
        <v>0</v>
      </c>
      <c r="X664" s="34">
        <v>0</v>
      </c>
    </row>
    <row r="665" spans="1:24" hidden="1">
      <c r="A665" s="54" t="s">
        <v>3272</v>
      </c>
      <c r="B665" s="54" t="s">
        <v>1485</v>
      </c>
      <c r="C665" s="54" t="s">
        <v>168</v>
      </c>
      <c r="D665" s="54" t="s">
        <v>72</v>
      </c>
      <c r="E665" s="54" t="s">
        <v>0</v>
      </c>
      <c r="F665" s="54" t="s">
        <v>3273</v>
      </c>
      <c r="G665" s="54">
        <v>1716846694</v>
      </c>
      <c r="H665" s="54" t="s">
        <v>229</v>
      </c>
      <c r="I665" s="54" t="s">
        <v>3514</v>
      </c>
      <c r="J665" s="34" t="s">
        <v>3421</v>
      </c>
      <c r="K665" s="50">
        <v>150000</v>
      </c>
      <c r="L665" s="43">
        <v>54290</v>
      </c>
      <c r="M665" s="44">
        <f t="shared" si="52"/>
        <v>0.36193333333333333</v>
      </c>
      <c r="N665" s="49">
        <f>ROUND(L665/Summary!$C$3*Summary!$C$2,0)</f>
        <v>168299</v>
      </c>
      <c r="O665" s="44">
        <f t="shared" si="53"/>
        <v>1.1219933333333334</v>
      </c>
      <c r="P665" s="78">
        <v>10</v>
      </c>
      <c r="Q665" s="34">
        <v>0</v>
      </c>
      <c r="R665" s="35">
        <f t="shared" si="54"/>
        <v>0</v>
      </c>
      <c r="S665" s="49">
        <f>ROUND(Q665/Summary!$C$3*Summary!$C$2,0)</f>
        <v>0</v>
      </c>
      <c r="T665" s="44">
        <f t="shared" si="55"/>
        <v>0</v>
      </c>
      <c r="U665" s="34">
        <v>2</v>
      </c>
      <c r="V665" s="34">
        <v>0</v>
      </c>
      <c r="W665" s="34">
        <v>0</v>
      </c>
      <c r="X665" s="34">
        <v>0</v>
      </c>
    </row>
    <row r="666" spans="1:24" hidden="1">
      <c r="A666" s="54" t="s">
        <v>2748</v>
      </c>
      <c r="B666" s="54" t="s">
        <v>2749</v>
      </c>
      <c r="C666" s="54" t="s">
        <v>168</v>
      </c>
      <c r="D666" s="54" t="s">
        <v>72</v>
      </c>
      <c r="E666" s="54" t="s">
        <v>0</v>
      </c>
      <c r="F666" s="54" t="s">
        <v>2750</v>
      </c>
      <c r="G666" s="54">
        <v>1711900882</v>
      </c>
      <c r="H666" s="54" t="s">
        <v>229</v>
      </c>
      <c r="I666" s="54" t="s">
        <v>3514</v>
      </c>
      <c r="J666" s="34" t="s">
        <v>3421</v>
      </c>
      <c r="K666" s="50">
        <v>184176</v>
      </c>
      <c r="L666" s="43">
        <v>54800</v>
      </c>
      <c r="M666" s="44">
        <f t="shared" si="52"/>
        <v>0.29754148206063763</v>
      </c>
      <c r="N666" s="49">
        <f>ROUND(L666/Summary!$C$3*Summary!$C$2,0)</f>
        <v>169880</v>
      </c>
      <c r="O666" s="44">
        <f t="shared" si="53"/>
        <v>0.92237859438797676</v>
      </c>
      <c r="P666" s="78">
        <v>11</v>
      </c>
      <c r="Q666" s="34">
        <v>1</v>
      </c>
      <c r="R666" s="35">
        <f t="shared" si="54"/>
        <v>9.0909090909090912E-2</v>
      </c>
      <c r="S666" s="49">
        <f>ROUND(Q666/Summary!$C$3*Summary!$C$2,0)</f>
        <v>3</v>
      </c>
      <c r="T666" s="44">
        <f t="shared" si="55"/>
        <v>0.27272727272727271</v>
      </c>
      <c r="U666" s="34">
        <v>0</v>
      </c>
      <c r="V666" s="34">
        <v>0</v>
      </c>
      <c r="W666" s="34">
        <v>0</v>
      </c>
      <c r="X666" s="34">
        <v>0</v>
      </c>
    </row>
    <row r="667" spans="1:24" hidden="1">
      <c r="A667" s="54" t="s">
        <v>2414</v>
      </c>
      <c r="B667" s="54" t="s">
        <v>2415</v>
      </c>
      <c r="C667" s="54" t="s">
        <v>168</v>
      </c>
      <c r="D667" s="54" t="s">
        <v>72</v>
      </c>
      <c r="E667" s="54" t="s">
        <v>0</v>
      </c>
      <c r="F667" s="54" t="s">
        <v>2416</v>
      </c>
      <c r="G667" s="54">
        <v>1990513271</v>
      </c>
      <c r="H667" s="54" t="s">
        <v>229</v>
      </c>
      <c r="I667" s="54" t="s">
        <v>3514</v>
      </c>
      <c r="J667" s="34" t="s">
        <v>3421</v>
      </c>
      <c r="K667" s="50">
        <v>150000</v>
      </c>
      <c r="L667" s="43">
        <v>35340</v>
      </c>
      <c r="M667" s="44">
        <f t="shared" si="52"/>
        <v>0.2356</v>
      </c>
      <c r="N667" s="49">
        <f>ROUND(L667/Summary!$C$3*Summary!$C$2,0)</f>
        <v>109554</v>
      </c>
      <c r="O667" s="44">
        <f t="shared" si="53"/>
        <v>0.73036000000000001</v>
      </c>
      <c r="P667" s="78">
        <v>11</v>
      </c>
      <c r="Q667" s="34">
        <v>4</v>
      </c>
      <c r="R667" s="35">
        <f t="shared" si="54"/>
        <v>0.36363636363636365</v>
      </c>
      <c r="S667" s="49">
        <f>ROUND(Q667/Summary!$C$3*Summary!$C$2,0)</f>
        <v>12</v>
      </c>
      <c r="T667" s="44">
        <f t="shared" si="55"/>
        <v>1.0909090909090908</v>
      </c>
      <c r="U667" s="34">
        <v>0</v>
      </c>
      <c r="V667" s="34">
        <v>3</v>
      </c>
      <c r="W667" s="34">
        <v>0</v>
      </c>
      <c r="X667" s="34">
        <v>0</v>
      </c>
    </row>
    <row r="668" spans="1:24" hidden="1">
      <c r="A668" s="54" t="s">
        <v>2400</v>
      </c>
      <c r="B668" s="54" t="s">
        <v>2401</v>
      </c>
      <c r="C668" s="54" t="s">
        <v>168</v>
      </c>
      <c r="D668" s="54" t="s">
        <v>72</v>
      </c>
      <c r="E668" s="54" t="s">
        <v>0</v>
      </c>
      <c r="F668" s="54" t="s">
        <v>2402</v>
      </c>
      <c r="G668" s="54">
        <v>1926867949</v>
      </c>
      <c r="H668" s="54" t="s">
        <v>229</v>
      </c>
      <c r="I668" s="54" t="s">
        <v>3514</v>
      </c>
      <c r="J668" s="34" t="s">
        <v>3515</v>
      </c>
      <c r="K668" s="50">
        <v>278021</v>
      </c>
      <c r="L668" s="43">
        <v>73275</v>
      </c>
      <c r="M668" s="44">
        <f t="shared" si="52"/>
        <v>0.26355922754036565</v>
      </c>
      <c r="N668" s="49">
        <f>ROUND(L668/Summary!$C$3*Summary!$C$2,0)</f>
        <v>227153</v>
      </c>
      <c r="O668" s="44">
        <f t="shared" si="53"/>
        <v>0.81703540380043238</v>
      </c>
      <c r="P668" s="78">
        <v>22</v>
      </c>
      <c r="Q668" s="34">
        <v>7</v>
      </c>
      <c r="R668" s="35">
        <f t="shared" si="54"/>
        <v>0.31818181818181818</v>
      </c>
      <c r="S668" s="49">
        <f>ROUND(Q668/Summary!$C$3*Summary!$C$2,0)</f>
        <v>22</v>
      </c>
      <c r="T668" s="44">
        <f t="shared" si="55"/>
        <v>1</v>
      </c>
      <c r="U668" s="34">
        <v>0</v>
      </c>
      <c r="V668" s="34">
        <v>2</v>
      </c>
      <c r="W668" s="34">
        <v>0</v>
      </c>
      <c r="X668" s="34">
        <v>0</v>
      </c>
    </row>
    <row r="669" spans="1:24" hidden="1">
      <c r="A669" s="54" t="s">
        <v>2537</v>
      </c>
      <c r="B669" s="54" t="s">
        <v>2538</v>
      </c>
      <c r="C669" s="54" t="s">
        <v>168</v>
      </c>
      <c r="D669" s="54" t="s">
        <v>72</v>
      </c>
      <c r="E669" s="54" t="s">
        <v>0</v>
      </c>
      <c r="F669" s="54" t="s">
        <v>2539</v>
      </c>
      <c r="G669" s="54">
        <v>1973011011</v>
      </c>
      <c r="H669" s="54" t="s">
        <v>229</v>
      </c>
      <c r="I669" s="54" t="s">
        <v>3514</v>
      </c>
      <c r="J669" s="34" t="s">
        <v>3419</v>
      </c>
      <c r="K669" s="50">
        <v>215438</v>
      </c>
      <c r="L669" s="43">
        <v>36730</v>
      </c>
      <c r="M669" s="44">
        <f t="shared" si="52"/>
        <v>0.17048988572118196</v>
      </c>
      <c r="N669" s="49">
        <f>ROUND(L669/Summary!$C$3*Summary!$C$2,0)</f>
        <v>113863</v>
      </c>
      <c r="O669" s="44">
        <f t="shared" si="53"/>
        <v>0.52851864573566409</v>
      </c>
      <c r="P669" s="78">
        <v>17</v>
      </c>
      <c r="Q669" s="34">
        <v>2</v>
      </c>
      <c r="R669" s="35">
        <f t="shared" si="54"/>
        <v>0.11764705882352941</v>
      </c>
      <c r="S669" s="49">
        <f>ROUND(Q669/Summary!$C$3*Summary!$C$2,0)</f>
        <v>6</v>
      </c>
      <c r="T669" s="44">
        <f t="shared" si="55"/>
        <v>0.35294117647058826</v>
      </c>
      <c r="U669" s="34">
        <v>0</v>
      </c>
      <c r="V669" s="34">
        <v>0</v>
      </c>
      <c r="W669" s="34">
        <v>0</v>
      </c>
      <c r="X669" s="34">
        <v>0</v>
      </c>
    </row>
    <row r="670" spans="1:24" hidden="1">
      <c r="A670" s="54" t="s">
        <v>2926</v>
      </c>
      <c r="B670" s="54" t="s">
        <v>880</v>
      </c>
      <c r="C670" s="54" t="s">
        <v>168</v>
      </c>
      <c r="D670" s="54" t="s">
        <v>72</v>
      </c>
      <c r="E670" s="54" t="s">
        <v>0</v>
      </c>
      <c r="F670" s="54" t="s">
        <v>1100</v>
      </c>
      <c r="G670" s="54">
        <v>1921505152</v>
      </c>
      <c r="H670" s="54" t="s">
        <v>229</v>
      </c>
      <c r="I670" s="54" t="s">
        <v>3514</v>
      </c>
      <c r="J670" s="34" t="s">
        <v>3421</v>
      </c>
      <c r="K670" s="50">
        <v>140000</v>
      </c>
      <c r="L670" s="43">
        <v>17870</v>
      </c>
      <c r="M670" s="44">
        <f t="shared" si="52"/>
        <v>0.12764285714285714</v>
      </c>
      <c r="N670" s="49">
        <f>ROUND(L670/Summary!$C$3*Summary!$C$2,0)</f>
        <v>55397</v>
      </c>
      <c r="O670" s="44">
        <f t="shared" si="53"/>
        <v>0.39569285714285712</v>
      </c>
      <c r="P670" s="78">
        <v>10</v>
      </c>
      <c r="Q670" s="34">
        <v>1</v>
      </c>
      <c r="R670" s="35">
        <f t="shared" si="54"/>
        <v>0.1</v>
      </c>
      <c r="S670" s="49">
        <f>ROUND(Q670/Summary!$C$3*Summary!$C$2,0)</f>
        <v>3</v>
      </c>
      <c r="T670" s="44">
        <f t="shared" si="55"/>
        <v>0.3</v>
      </c>
      <c r="U670" s="34">
        <v>0</v>
      </c>
      <c r="V670" s="34">
        <v>0</v>
      </c>
      <c r="W670" s="34">
        <v>0</v>
      </c>
      <c r="X670" s="34">
        <v>0</v>
      </c>
    </row>
    <row r="671" spans="1:24" hidden="1">
      <c r="A671" s="54" t="s">
        <v>2398</v>
      </c>
      <c r="B671" s="54" t="s">
        <v>2399</v>
      </c>
      <c r="C671" s="54" t="s">
        <v>168</v>
      </c>
      <c r="D671" s="54" t="s">
        <v>72</v>
      </c>
      <c r="E671" s="54" t="s">
        <v>0</v>
      </c>
      <c r="F671" s="54" t="s">
        <v>2005</v>
      </c>
      <c r="G671" s="54">
        <v>1846662267</v>
      </c>
      <c r="H671" s="54" t="s">
        <v>229</v>
      </c>
      <c r="I671" s="54" t="s">
        <v>3522</v>
      </c>
      <c r="J671" s="34" t="s">
        <v>3419</v>
      </c>
      <c r="K671" s="50">
        <v>663091</v>
      </c>
      <c r="L671" s="43">
        <v>172400</v>
      </c>
      <c r="M671" s="44">
        <f t="shared" si="52"/>
        <v>0.2599944803956018</v>
      </c>
      <c r="N671" s="49">
        <f>ROUND(L671/Summary!$C$3*Summary!$C$2,0)</f>
        <v>534440</v>
      </c>
      <c r="O671" s="44">
        <f t="shared" si="53"/>
        <v>0.80598288922636563</v>
      </c>
      <c r="P671" s="78">
        <v>40</v>
      </c>
      <c r="Q671" s="34">
        <v>17</v>
      </c>
      <c r="R671" s="35">
        <f t="shared" si="54"/>
        <v>0.42499999999999999</v>
      </c>
      <c r="S671" s="49">
        <f>ROUND(Q671/Summary!$C$3*Summary!$C$2,0)</f>
        <v>53</v>
      </c>
      <c r="T671" s="44">
        <f t="shared" si="55"/>
        <v>1.325</v>
      </c>
      <c r="U671" s="34">
        <v>1</v>
      </c>
      <c r="V671" s="34">
        <v>6</v>
      </c>
      <c r="W671" s="34">
        <v>0</v>
      </c>
      <c r="X671" s="34">
        <v>0</v>
      </c>
    </row>
    <row r="672" spans="1:24" hidden="1">
      <c r="A672" s="54" t="s">
        <v>2587</v>
      </c>
      <c r="B672" s="54" t="s">
        <v>2588</v>
      </c>
      <c r="C672" s="54" t="s">
        <v>168</v>
      </c>
      <c r="D672" s="54" t="s">
        <v>72</v>
      </c>
      <c r="E672" s="54" t="s">
        <v>0</v>
      </c>
      <c r="F672" s="54" t="s">
        <v>2589</v>
      </c>
      <c r="G672" s="54">
        <v>1923423640</v>
      </c>
      <c r="H672" s="54" t="s">
        <v>229</v>
      </c>
      <c r="I672" s="54" t="s">
        <v>3514</v>
      </c>
      <c r="J672" s="34" t="s">
        <v>3421</v>
      </c>
      <c r="K672" s="50">
        <v>130000</v>
      </c>
      <c r="L672" s="43">
        <v>35180</v>
      </c>
      <c r="M672" s="44">
        <f t="shared" si="52"/>
        <v>0.27061538461538459</v>
      </c>
      <c r="N672" s="49">
        <f>ROUND(L672/Summary!$C$3*Summary!$C$2,0)</f>
        <v>109058</v>
      </c>
      <c r="O672" s="44">
        <f t="shared" si="53"/>
        <v>0.83890769230769235</v>
      </c>
      <c r="P672" s="78">
        <v>10</v>
      </c>
      <c r="Q672" s="34">
        <v>0</v>
      </c>
      <c r="R672" s="35">
        <f t="shared" si="54"/>
        <v>0</v>
      </c>
      <c r="S672" s="49">
        <f>ROUND(Q672/Summary!$C$3*Summary!$C$2,0)</f>
        <v>0</v>
      </c>
      <c r="T672" s="44">
        <f t="shared" si="55"/>
        <v>0</v>
      </c>
      <c r="U672" s="34">
        <v>0</v>
      </c>
      <c r="V672" s="34">
        <v>0</v>
      </c>
      <c r="W672" s="34">
        <v>0</v>
      </c>
      <c r="X672" s="34">
        <v>0</v>
      </c>
    </row>
    <row r="673" spans="1:24" hidden="1">
      <c r="A673" s="54" t="s">
        <v>2769</v>
      </c>
      <c r="B673" s="54" t="s">
        <v>2770</v>
      </c>
      <c r="C673" s="54" t="s">
        <v>168</v>
      </c>
      <c r="D673" s="54" t="s">
        <v>72</v>
      </c>
      <c r="E673" s="54" t="s">
        <v>0</v>
      </c>
      <c r="F673" s="54" t="s">
        <v>2771</v>
      </c>
      <c r="G673" s="54">
        <v>1848070964</v>
      </c>
      <c r="H673" s="54" t="s">
        <v>229</v>
      </c>
      <c r="I673" s="54" t="s">
        <v>3514</v>
      </c>
      <c r="J673" s="34" t="s">
        <v>3515</v>
      </c>
      <c r="K673" s="50">
        <v>130000</v>
      </c>
      <c r="L673" s="43">
        <v>15150</v>
      </c>
      <c r="M673" s="44">
        <f t="shared" si="52"/>
        <v>0.11653846153846154</v>
      </c>
      <c r="N673" s="49">
        <f>ROUND(L673/Summary!$C$3*Summary!$C$2,0)</f>
        <v>46965</v>
      </c>
      <c r="O673" s="44">
        <f t="shared" si="53"/>
        <v>0.36126923076923079</v>
      </c>
      <c r="P673" s="78">
        <v>10</v>
      </c>
      <c r="Q673" s="34">
        <v>2</v>
      </c>
      <c r="R673" s="35">
        <f t="shared" si="54"/>
        <v>0.2</v>
      </c>
      <c r="S673" s="49">
        <f>ROUND(Q673/Summary!$C$3*Summary!$C$2,0)</f>
        <v>6</v>
      </c>
      <c r="T673" s="44">
        <f t="shared" si="55"/>
        <v>0.6</v>
      </c>
      <c r="U673" s="34">
        <v>0</v>
      </c>
      <c r="V673" s="34">
        <v>0</v>
      </c>
      <c r="W673" s="34">
        <v>0</v>
      </c>
      <c r="X673" s="34">
        <v>0</v>
      </c>
    </row>
    <row r="674" spans="1:24" hidden="1">
      <c r="A674" s="54" t="s">
        <v>3274</v>
      </c>
      <c r="B674" s="54" t="s">
        <v>3275</v>
      </c>
      <c r="C674" s="54" t="s">
        <v>168</v>
      </c>
      <c r="D674" s="54" t="s">
        <v>72</v>
      </c>
      <c r="E674" s="54" t="s">
        <v>0</v>
      </c>
      <c r="F674" s="54" t="s">
        <v>3276</v>
      </c>
      <c r="G674" s="54">
        <v>1715279936</v>
      </c>
      <c r="H674" s="54" t="s">
        <v>229</v>
      </c>
      <c r="I674" s="54" t="s">
        <v>3514</v>
      </c>
      <c r="J674" s="34" t="s">
        <v>3419</v>
      </c>
      <c r="K674" s="50">
        <v>130000</v>
      </c>
      <c r="L674" s="43">
        <v>33190</v>
      </c>
      <c r="M674" s="44">
        <f t="shared" si="52"/>
        <v>0.25530769230769229</v>
      </c>
      <c r="N674" s="49">
        <f>ROUND(L674/Summary!$C$3*Summary!$C$2,0)</f>
        <v>102889</v>
      </c>
      <c r="O674" s="44">
        <f t="shared" si="53"/>
        <v>0.79145384615384617</v>
      </c>
      <c r="P674" s="78">
        <v>12</v>
      </c>
      <c r="Q674" s="34">
        <v>1</v>
      </c>
      <c r="R674" s="35">
        <f t="shared" si="54"/>
        <v>8.3333333333333329E-2</v>
      </c>
      <c r="S674" s="49">
        <f>ROUND(Q674/Summary!$C$3*Summary!$C$2,0)</f>
        <v>3</v>
      </c>
      <c r="T674" s="44">
        <f t="shared" si="55"/>
        <v>0.25</v>
      </c>
      <c r="U674" s="34">
        <v>0</v>
      </c>
      <c r="V674" s="34">
        <v>0</v>
      </c>
      <c r="W674" s="34">
        <v>0</v>
      </c>
      <c r="X674" s="34">
        <v>0</v>
      </c>
    </row>
    <row r="675" spans="1:24" hidden="1">
      <c r="A675" s="54" t="s">
        <v>2721</v>
      </c>
      <c r="B675" s="54" t="s">
        <v>2722</v>
      </c>
      <c r="C675" s="54" t="s">
        <v>2441</v>
      </c>
      <c r="D675" s="54" t="s">
        <v>72</v>
      </c>
      <c r="E675" s="54" t="s">
        <v>0</v>
      </c>
      <c r="F675" s="54" t="s">
        <v>2723</v>
      </c>
      <c r="G675" s="54">
        <v>1713517676</v>
      </c>
      <c r="H675" s="54" t="s">
        <v>229</v>
      </c>
      <c r="I675" s="54" t="s">
        <v>3514</v>
      </c>
      <c r="J675" s="34" t="s">
        <v>3419</v>
      </c>
      <c r="K675" s="50">
        <v>174415</v>
      </c>
      <c r="L675" s="43">
        <v>18370</v>
      </c>
      <c r="M675" s="44">
        <f t="shared" si="52"/>
        <v>0.10532351001920706</v>
      </c>
      <c r="N675" s="49">
        <f>ROUND(L675/Summary!$C$3*Summary!$C$2,0)</f>
        <v>56947</v>
      </c>
      <c r="O675" s="44">
        <f t="shared" si="53"/>
        <v>0.32650288105954189</v>
      </c>
      <c r="P675" s="78">
        <v>10</v>
      </c>
      <c r="Q675" s="34">
        <v>2</v>
      </c>
      <c r="R675" s="35">
        <f t="shared" si="54"/>
        <v>0.2</v>
      </c>
      <c r="S675" s="49">
        <f>ROUND(Q675/Summary!$C$3*Summary!$C$2,0)</f>
        <v>6</v>
      </c>
      <c r="T675" s="44">
        <f t="shared" si="55"/>
        <v>0.6</v>
      </c>
      <c r="U675" s="34">
        <v>0</v>
      </c>
      <c r="V675" s="34">
        <v>2</v>
      </c>
      <c r="W675" s="34">
        <v>0</v>
      </c>
      <c r="X675" s="34">
        <v>0</v>
      </c>
    </row>
    <row r="676" spans="1:24" hidden="1">
      <c r="A676" s="54" t="s">
        <v>2439</v>
      </c>
      <c r="B676" s="54" t="s">
        <v>2440</v>
      </c>
      <c r="C676" s="54" t="s">
        <v>2441</v>
      </c>
      <c r="D676" s="54" t="s">
        <v>72</v>
      </c>
      <c r="E676" s="54" t="s">
        <v>0</v>
      </c>
      <c r="F676" s="54" t="s">
        <v>2442</v>
      </c>
      <c r="G676" s="54">
        <v>1713526700</v>
      </c>
      <c r="H676" s="54" t="s">
        <v>229</v>
      </c>
      <c r="I676" s="54" t="s">
        <v>3514</v>
      </c>
      <c r="J676" s="34" t="s">
        <v>3421</v>
      </c>
      <c r="K676" s="50">
        <v>140000</v>
      </c>
      <c r="L676" s="43">
        <v>12280</v>
      </c>
      <c r="M676" s="44">
        <f t="shared" si="52"/>
        <v>8.7714285714285717E-2</v>
      </c>
      <c r="N676" s="49">
        <f>ROUND(L676/Summary!$C$3*Summary!$C$2,0)</f>
        <v>38068</v>
      </c>
      <c r="O676" s="44">
        <f t="shared" si="53"/>
        <v>0.27191428571428572</v>
      </c>
      <c r="P676" s="78">
        <v>10</v>
      </c>
      <c r="Q676" s="34">
        <v>1</v>
      </c>
      <c r="R676" s="35">
        <f t="shared" si="54"/>
        <v>0.1</v>
      </c>
      <c r="S676" s="49">
        <f>ROUND(Q676/Summary!$C$3*Summary!$C$2,0)</f>
        <v>3</v>
      </c>
      <c r="T676" s="44">
        <f t="shared" si="55"/>
        <v>0.3</v>
      </c>
      <c r="U676" s="34">
        <v>1</v>
      </c>
      <c r="V676" s="34">
        <v>0</v>
      </c>
      <c r="W676" s="34">
        <v>0</v>
      </c>
      <c r="X676" s="34">
        <v>0</v>
      </c>
    </row>
    <row r="677" spans="1:24" hidden="1">
      <c r="A677" s="54" t="s">
        <v>2452</v>
      </c>
      <c r="B677" s="54" t="s">
        <v>1788</v>
      </c>
      <c r="C677" s="54" t="s">
        <v>2441</v>
      </c>
      <c r="D677" s="54" t="s">
        <v>72</v>
      </c>
      <c r="E677" s="54" t="s">
        <v>0</v>
      </c>
      <c r="F677" s="54" t="s">
        <v>2453</v>
      </c>
      <c r="G677" s="54">
        <v>1717442000</v>
      </c>
      <c r="H677" s="54" t="s">
        <v>229</v>
      </c>
      <c r="I677" s="54" t="s">
        <v>3514</v>
      </c>
      <c r="J677" s="34" t="s">
        <v>3419</v>
      </c>
      <c r="K677" s="50">
        <v>140000</v>
      </c>
      <c r="L677" s="43">
        <v>37365</v>
      </c>
      <c r="M677" s="44">
        <f t="shared" si="52"/>
        <v>0.26689285714285715</v>
      </c>
      <c r="N677" s="49">
        <f>ROUND(L677/Summary!$C$3*Summary!$C$2,0)</f>
        <v>115832</v>
      </c>
      <c r="O677" s="44">
        <f t="shared" si="53"/>
        <v>0.82737142857142854</v>
      </c>
      <c r="P677" s="78">
        <v>10</v>
      </c>
      <c r="Q677" s="34">
        <v>2</v>
      </c>
      <c r="R677" s="35">
        <f t="shared" si="54"/>
        <v>0.2</v>
      </c>
      <c r="S677" s="49">
        <f>ROUND(Q677/Summary!$C$3*Summary!$C$2,0)</f>
        <v>6</v>
      </c>
      <c r="T677" s="44">
        <f t="shared" si="55"/>
        <v>0.6</v>
      </c>
      <c r="U677" s="34">
        <v>1</v>
      </c>
      <c r="V677" s="34">
        <v>0</v>
      </c>
      <c r="W677" s="34">
        <v>0</v>
      </c>
      <c r="X677" s="34">
        <v>0</v>
      </c>
    </row>
    <row r="678" spans="1:24" hidden="1">
      <c r="A678" s="54" t="s">
        <v>2703</v>
      </c>
      <c r="B678" s="54" t="s">
        <v>2704</v>
      </c>
      <c r="C678" s="54" t="s">
        <v>2441</v>
      </c>
      <c r="D678" s="54" t="s">
        <v>72</v>
      </c>
      <c r="E678" s="54" t="s">
        <v>0</v>
      </c>
      <c r="F678" s="54" t="s">
        <v>2705</v>
      </c>
      <c r="G678" s="54">
        <v>1916090708</v>
      </c>
      <c r="H678" s="54" t="s">
        <v>229</v>
      </c>
      <c r="I678" s="54" t="s">
        <v>3514</v>
      </c>
      <c r="J678" s="34" t="s">
        <v>3419</v>
      </c>
      <c r="K678" s="50">
        <v>140000</v>
      </c>
      <c r="L678" s="43">
        <v>72220</v>
      </c>
      <c r="M678" s="44">
        <f t="shared" si="52"/>
        <v>0.5158571428571429</v>
      </c>
      <c r="N678" s="49">
        <f>ROUND(L678/Summary!$C$3*Summary!$C$2,0)</f>
        <v>223882</v>
      </c>
      <c r="O678" s="44">
        <f t="shared" si="53"/>
        <v>1.5991571428571429</v>
      </c>
      <c r="P678" s="78">
        <v>10</v>
      </c>
      <c r="Q678" s="34">
        <v>4</v>
      </c>
      <c r="R678" s="35">
        <f t="shared" si="54"/>
        <v>0.4</v>
      </c>
      <c r="S678" s="49">
        <f>ROUND(Q678/Summary!$C$3*Summary!$C$2,0)</f>
        <v>12</v>
      </c>
      <c r="T678" s="44">
        <f t="shared" si="55"/>
        <v>1.2</v>
      </c>
      <c r="U678" s="34">
        <v>1</v>
      </c>
      <c r="V678" s="34">
        <v>3</v>
      </c>
      <c r="W678" s="34">
        <v>0</v>
      </c>
      <c r="X678" s="34">
        <v>0</v>
      </c>
    </row>
    <row r="679" spans="1:24" hidden="1">
      <c r="A679" s="54" t="s">
        <v>2622</v>
      </c>
      <c r="B679" s="54" t="s">
        <v>2623</v>
      </c>
      <c r="C679" s="54" t="s">
        <v>2441</v>
      </c>
      <c r="D679" s="54" t="s">
        <v>72</v>
      </c>
      <c r="E679" s="54" t="s">
        <v>0</v>
      </c>
      <c r="F679" s="54" t="s">
        <v>2624</v>
      </c>
      <c r="G679" s="54">
        <v>1722277710</v>
      </c>
      <c r="H679" s="54" t="s">
        <v>229</v>
      </c>
      <c r="I679" s="54" t="s">
        <v>3514</v>
      </c>
      <c r="J679" s="34" t="s">
        <v>3419</v>
      </c>
      <c r="K679" s="50">
        <v>267599</v>
      </c>
      <c r="L679" s="43">
        <v>97180</v>
      </c>
      <c r="M679" s="44">
        <f t="shared" si="52"/>
        <v>0.36315531821867797</v>
      </c>
      <c r="N679" s="49">
        <f>ROUND(L679/Summary!$C$3*Summary!$C$2,0)</f>
        <v>301258</v>
      </c>
      <c r="O679" s="44">
        <f t="shared" si="53"/>
        <v>1.1257814864779017</v>
      </c>
      <c r="P679" s="78">
        <v>17</v>
      </c>
      <c r="Q679" s="34">
        <v>3</v>
      </c>
      <c r="R679" s="35">
        <f t="shared" si="54"/>
        <v>0.17647058823529413</v>
      </c>
      <c r="S679" s="49">
        <f>ROUND(Q679/Summary!$C$3*Summary!$C$2,0)</f>
        <v>9</v>
      </c>
      <c r="T679" s="44">
        <f t="shared" si="55"/>
        <v>0.52941176470588236</v>
      </c>
      <c r="U679" s="34">
        <v>4</v>
      </c>
      <c r="V679" s="34">
        <v>1</v>
      </c>
      <c r="W679" s="34">
        <v>0</v>
      </c>
      <c r="X679" s="34">
        <v>0</v>
      </c>
    </row>
    <row r="680" spans="1:24">
      <c r="A680" s="54" t="s">
        <v>2751</v>
      </c>
      <c r="B680" s="54" t="s">
        <v>2752</v>
      </c>
      <c r="C680" s="54" t="s">
        <v>2441</v>
      </c>
      <c r="D680" s="54" t="s">
        <v>72</v>
      </c>
      <c r="E680" s="54" t="s">
        <v>0</v>
      </c>
      <c r="F680" s="54" t="s">
        <v>2753</v>
      </c>
      <c r="G680" s="54">
        <v>1713528437</v>
      </c>
      <c r="H680" s="54" t="s">
        <v>229</v>
      </c>
      <c r="I680" s="54" t="s">
        <v>3514</v>
      </c>
      <c r="J680" s="34" t="s">
        <v>3419</v>
      </c>
      <c r="K680" s="50">
        <v>140000</v>
      </c>
      <c r="L680" s="43">
        <v>0</v>
      </c>
      <c r="M680" s="44">
        <f t="shared" si="52"/>
        <v>0</v>
      </c>
      <c r="N680" s="49">
        <f>ROUND(L680/Summary!$C$3*Summary!$C$2,0)</f>
        <v>0</v>
      </c>
      <c r="O680" s="44">
        <f t="shared" si="53"/>
        <v>0</v>
      </c>
      <c r="P680" s="78">
        <v>10</v>
      </c>
      <c r="Q680" s="34">
        <v>0</v>
      </c>
      <c r="R680" s="35">
        <f t="shared" si="54"/>
        <v>0</v>
      </c>
      <c r="S680" s="49">
        <f>ROUND(Q680/Summary!$C$3*Summary!$C$2,0)</f>
        <v>0</v>
      </c>
      <c r="T680" s="44">
        <f t="shared" si="55"/>
        <v>0</v>
      </c>
      <c r="U680" s="34">
        <v>0</v>
      </c>
      <c r="V680" s="34">
        <v>0</v>
      </c>
      <c r="W680" s="34">
        <v>0</v>
      </c>
      <c r="X680" s="34">
        <v>0</v>
      </c>
    </row>
    <row r="681" spans="1:24" hidden="1">
      <c r="A681" s="54" t="s">
        <v>2732</v>
      </c>
      <c r="B681" s="54" t="s">
        <v>1937</v>
      </c>
      <c r="C681" s="54" t="s">
        <v>138</v>
      </c>
      <c r="D681" s="54" t="s">
        <v>139</v>
      </c>
      <c r="E681" s="54" t="s">
        <v>0</v>
      </c>
      <c r="F681" s="54" t="s">
        <v>2733</v>
      </c>
      <c r="G681" s="54">
        <v>1676091062</v>
      </c>
      <c r="H681" s="54" t="s">
        <v>229</v>
      </c>
      <c r="I681" s="54" t="s">
        <v>3514</v>
      </c>
      <c r="J681" s="34" t="s">
        <v>3421</v>
      </c>
      <c r="K681" s="50">
        <v>130000</v>
      </c>
      <c r="L681" s="43">
        <v>8180</v>
      </c>
      <c r="M681" s="44">
        <f t="shared" si="52"/>
        <v>6.2923076923076929E-2</v>
      </c>
      <c r="N681" s="49">
        <f>ROUND(L681/Summary!$C$3*Summary!$C$2,0)</f>
        <v>25358</v>
      </c>
      <c r="O681" s="44">
        <f t="shared" si="53"/>
        <v>0.19506153846153845</v>
      </c>
      <c r="P681" s="78">
        <v>10</v>
      </c>
      <c r="Q681" s="34">
        <v>0</v>
      </c>
      <c r="R681" s="35">
        <f t="shared" si="54"/>
        <v>0</v>
      </c>
      <c r="S681" s="49">
        <f>ROUND(Q681/Summary!$C$3*Summary!$C$2,0)</f>
        <v>0</v>
      </c>
      <c r="T681" s="44">
        <f t="shared" si="55"/>
        <v>0</v>
      </c>
      <c r="U681" s="34">
        <v>0</v>
      </c>
      <c r="V681" s="34">
        <v>0</v>
      </c>
      <c r="W681" s="34">
        <v>0</v>
      </c>
      <c r="X681" s="34">
        <v>0</v>
      </c>
    </row>
    <row r="682" spans="1:24" hidden="1">
      <c r="A682" s="54" t="s">
        <v>2467</v>
      </c>
      <c r="B682" s="54" t="s">
        <v>2468</v>
      </c>
      <c r="C682" s="54" t="s">
        <v>138</v>
      </c>
      <c r="D682" s="54" t="s">
        <v>139</v>
      </c>
      <c r="E682" s="54" t="s">
        <v>0</v>
      </c>
      <c r="F682" s="54" t="s">
        <v>2469</v>
      </c>
      <c r="G682" s="54">
        <v>1674617638</v>
      </c>
      <c r="H682" s="54" t="s">
        <v>229</v>
      </c>
      <c r="I682" s="54" t="s">
        <v>3518</v>
      </c>
      <c r="J682" s="34" t="s">
        <v>3419</v>
      </c>
      <c r="K682" s="50">
        <v>301183</v>
      </c>
      <c r="L682" s="43">
        <v>84899</v>
      </c>
      <c r="M682" s="44">
        <f t="shared" si="52"/>
        <v>0.28188509975662634</v>
      </c>
      <c r="N682" s="49">
        <f>ROUND(L682/Summary!$C$3*Summary!$C$2,0)</f>
        <v>263187</v>
      </c>
      <c r="O682" s="44">
        <f t="shared" si="53"/>
        <v>0.87384414126959353</v>
      </c>
      <c r="P682" s="78">
        <v>16</v>
      </c>
      <c r="Q682" s="34">
        <v>1</v>
      </c>
      <c r="R682" s="35">
        <f t="shared" si="54"/>
        <v>6.25E-2</v>
      </c>
      <c r="S682" s="49">
        <f>ROUND(Q682/Summary!$C$3*Summary!$C$2,0)</f>
        <v>3</v>
      </c>
      <c r="T682" s="44">
        <f t="shared" si="55"/>
        <v>0.1875</v>
      </c>
      <c r="U682" s="34">
        <v>1</v>
      </c>
      <c r="V682" s="34">
        <v>0</v>
      </c>
      <c r="W682" s="34">
        <v>1</v>
      </c>
      <c r="X682" s="34">
        <v>0</v>
      </c>
    </row>
    <row r="683" spans="1:24" hidden="1">
      <c r="A683" s="54" t="s">
        <v>2629</v>
      </c>
      <c r="B683" s="54" t="s">
        <v>2630</v>
      </c>
      <c r="C683" s="54" t="s">
        <v>138</v>
      </c>
      <c r="D683" s="54" t="s">
        <v>139</v>
      </c>
      <c r="E683" s="54" t="s">
        <v>0</v>
      </c>
      <c r="F683" s="54" t="s">
        <v>2513</v>
      </c>
      <c r="G683" s="54">
        <v>1712011872</v>
      </c>
      <c r="H683" s="54" t="s">
        <v>229</v>
      </c>
      <c r="I683" s="54" t="s">
        <v>3514</v>
      </c>
      <c r="J683" s="34" t="s">
        <v>3421</v>
      </c>
      <c r="K683" s="50">
        <v>130000</v>
      </c>
      <c r="L683" s="43">
        <v>18870</v>
      </c>
      <c r="M683" s="44">
        <f t="shared" si="52"/>
        <v>0.14515384615384616</v>
      </c>
      <c r="N683" s="49">
        <f>ROUND(L683/Summary!$C$3*Summary!$C$2,0)</f>
        <v>58497</v>
      </c>
      <c r="O683" s="44">
        <f t="shared" si="53"/>
        <v>0.44997692307692305</v>
      </c>
      <c r="P683" s="78">
        <v>10</v>
      </c>
      <c r="Q683" s="34">
        <v>2</v>
      </c>
      <c r="R683" s="35">
        <f t="shared" si="54"/>
        <v>0.2</v>
      </c>
      <c r="S683" s="49">
        <f>ROUND(Q683/Summary!$C$3*Summary!$C$2,0)</f>
        <v>6</v>
      </c>
      <c r="T683" s="44">
        <f t="shared" si="55"/>
        <v>0.6</v>
      </c>
      <c r="U683" s="34">
        <v>0</v>
      </c>
      <c r="V683" s="34">
        <v>1</v>
      </c>
      <c r="W683" s="34">
        <v>0</v>
      </c>
      <c r="X683" s="34">
        <v>0</v>
      </c>
    </row>
    <row r="684" spans="1:24" hidden="1">
      <c r="A684" s="54" t="s">
        <v>2681</v>
      </c>
      <c r="B684" s="54" t="s">
        <v>2682</v>
      </c>
      <c r="C684" s="54" t="s">
        <v>138</v>
      </c>
      <c r="D684" s="54" t="s">
        <v>139</v>
      </c>
      <c r="E684" s="54" t="s">
        <v>0</v>
      </c>
      <c r="F684" s="54" t="s">
        <v>2683</v>
      </c>
      <c r="G684" s="54">
        <v>1912242966</v>
      </c>
      <c r="H684" s="54" t="s">
        <v>229</v>
      </c>
      <c r="I684" s="54" t="s">
        <v>3514</v>
      </c>
      <c r="J684" s="34" t="s">
        <v>3515</v>
      </c>
      <c r="K684" s="50">
        <v>130000</v>
      </c>
      <c r="L684" s="43">
        <v>23145</v>
      </c>
      <c r="M684" s="44">
        <f t="shared" si="52"/>
        <v>0.17803846153846153</v>
      </c>
      <c r="N684" s="49">
        <f>ROUND(L684/Summary!$C$3*Summary!$C$2,0)</f>
        <v>71750</v>
      </c>
      <c r="O684" s="44">
        <f t="shared" si="53"/>
        <v>0.55192307692307696</v>
      </c>
      <c r="P684" s="78">
        <v>10</v>
      </c>
      <c r="Q684" s="34">
        <v>1</v>
      </c>
      <c r="R684" s="35">
        <f t="shared" si="54"/>
        <v>0.1</v>
      </c>
      <c r="S684" s="49">
        <f>ROUND(Q684/Summary!$C$3*Summary!$C$2,0)</f>
        <v>3</v>
      </c>
      <c r="T684" s="44">
        <f t="shared" si="55"/>
        <v>0.3</v>
      </c>
      <c r="U684" s="34">
        <v>0</v>
      </c>
      <c r="V684" s="34">
        <v>0</v>
      </c>
      <c r="W684" s="34">
        <v>0</v>
      </c>
      <c r="X684" s="34">
        <v>0</v>
      </c>
    </row>
    <row r="685" spans="1:24" hidden="1">
      <c r="A685" s="54" t="s">
        <v>2476</v>
      </c>
      <c r="B685" s="54" t="s">
        <v>2477</v>
      </c>
      <c r="C685" s="54" t="s">
        <v>138</v>
      </c>
      <c r="D685" s="54" t="s">
        <v>139</v>
      </c>
      <c r="E685" s="54" t="s">
        <v>0</v>
      </c>
      <c r="F685" s="54" t="s">
        <v>2478</v>
      </c>
      <c r="G685" s="54">
        <v>1767054502</v>
      </c>
      <c r="H685" s="54" t="s">
        <v>229</v>
      </c>
      <c r="I685" s="54" t="s">
        <v>3514</v>
      </c>
      <c r="J685" s="34" t="s">
        <v>3419</v>
      </c>
      <c r="K685" s="50">
        <v>156630</v>
      </c>
      <c r="L685" s="43">
        <v>14680</v>
      </c>
      <c r="M685" s="44">
        <f t="shared" si="52"/>
        <v>9.3724063078592865E-2</v>
      </c>
      <c r="N685" s="49">
        <f>ROUND(L685/Summary!$C$3*Summary!$C$2,0)</f>
        <v>45508</v>
      </c>
      <c r="O685" s="44">
        <f t="shared" si="53"/>
        <v>0.29054459554363787</v>
      </c>
      <c r="P685" s="78">
        <v>10</v>
      </c>
      <c r="Q685" s="34">
        <v>2</v>
      </c>
      <c r="R685" s="35">
        <f t="shared" si="54"/>
        <v>0.2</v>
      </c>
      <c r="S685" s="49">
        <f>ROUND(Q685/Summary!$C$3*Summary!$C$2,0)</f>
        <v>6</v>
      </c>
      <c r="T685" s="44">
        <f t="shared" si="55"/>
        <v>0.6</v>
      </c>
      <c r="U685" s="34">
        <v>0</v>
      </c>
      <c r="V685" s="34">
        <v>0</v>
      </c>
      <c r="W685" s="34">
        <v>0</v>
      </c>
      <c r="X685" s="34">
        <v>0</v>
      </c>
    </row>
    <row r="686" spans="1:24" hidden="1">
      <c r="A686" s="54" t="s">
        <v>3210</v>
      </c>
      <c r="B686" s="54" t="s">
        <v>3211</v>
      </c>
      <c r="C686" s="54" t="s">
        <v>59</v>
      </c>
      <c r="D686" s="54" t="s">
        <v>139</v>
      </c>
      <c r="E686" s="54" t="s">
        <v>0</v>
      </c>
      <c r="F686" s="54" t="s">
        <v>3212</v>
      </c>
      <c r="G686" s="54">
        <v>1672649512</v>
      </c>
      <c r="H686" s="54" t="s">
        <v>229</v>
      </c>
      <c r="I686" s="54" t="s">
        <v>3518</v>
      </c>
      <c r="J686" s="34" t="s">
        <v>3419</v>
      </c>
      <c r="K686" s="50">
        <v>300000</v>
      </c>
      <c r="L686" s="43">
        <v>38940</v>
      </c>
      <c r="M686" s="44">
        <f t="shared" si="52"/>
        <v>0.1298</v>
      </c>
      <c r="N686" s="49">
        <f>ROUND(L686/Summary!$C$3*Summary!$C$2,0)</f>
        <v>120714</v>
      </c>
      <c r="O686" s="44">
        <f t="shared" si="53"/>
        <v>0.40238000000000002</v>
      </c>
      <c r="P686" s="78">
        <v>24</v>
      </c>
      <c r="Q686" s="34">
        <v>4</v>
      </c>
      <c r="R686" s="35">
        <f t="shared" si="54"/>
        <v>0.16666666666666666</v>
      </c>
      <c r="S686" s="49">
        <f>ROUND(Q686/Summary!$C$3*Summary!$C$2,0)</f>
        <v>12</v>
      </c>
      <c r="T686" s="44">
        <f t="shared" si="55"/>
        <v>0.5</v>
      </c>
      <c r="U686" s="34">
        <v>0</v>
      </c>
      <c r="V686" s="34">
        <v>3</v>
      </c>
      <c r="W686" s="34">
        <v>0</v>
      </c>
      <c r="X686" s="34">
        <v>0</v>
      </c>
    </row>
    <row r="687" spans="1:24" hidden="1">
      <c r="A687" s="76" t="s">
        <v>3604</v>
      </c>
      <c r="B687" s="76" t="s">
        <v>3605</v>
      </c>
      <c r="C687" s="75" t="s">
        <v>138</v>
      </c>
      <c r="D687" s="75" t="s">
        <v>139</v>
      </c>
      <c r="E687" s="75" t="s">
        <v>0</v>
      </c>
      <c r="F687" s="76" t="s">
        <v>3606</v>
      </c>
      <c r="G687" s="71">
        <v>1716757929</v>
      </c>
      <c r="H687" s="54" t="s">
        <v>229</v>
      </c>
      <c r="I687" s="54" t="s">
        <v>3514</v>
      </c>
      <c r="J687" s="34" t="s">
        <v>3421</v>
      </c>
      <c r="K687" s="50">
        <v>130000</v>
      </c>
      <c r="L687" s="43">
        <v>38330</v>
      </c>
      <c r="M687" s="44">
        <f t="shared" si="52"/>
        <v>0.29484615384615387</v>
      </c>
      <c r="N687" s="49">
        <f>ROUND(L687/Summary!$C$3*Summary!$C$2,0)</f>
        <v>118823</v>
      </c>
      <c r="O687" s="44">
        <f t="shared" si="53"/>
        <v>0.91402307692307694</v>
      </c>
      <c r="P687" s="78">
        <v>10</v>
      </c>
      <c r="Q687" s="34">
        <v>2</v>
      </c>
      <c r="R687" s="35">
        <f t="shared" si="54"/>
        <v>0.2</v>
      </c>
      <c r="S687" s="49">
        <f>ROUND(Q687/Summary!$C$3*Summary!$C$2,0)</f>
        <v>6</v>
      </c>
      <c r="T687" s="44">
        <f t="shared" si="55"/>
        <v>0.6</v>
      </c>
      <c r="U687" s="34">
        <v>1</v>
      </c>
      <c r="V687" s="34">
        <v>0</v>
      </c>
      <c r="W687" s="34">
        <v>0</v>
      </c>
      <c r="X687" s="34">
        <v>0</v>
      </c>
    </row>
    <row r="688" spans="1:24" hidden="1">
      <c r="A688" s="54" t="s">
        <v>2718</v>
      </c>
      <c r="B688" s="54" t="s">
        <v>2719</v>
      </c>
      <c r="C688" s="54" t="s">
        <v>138</v>
      </c>
      <c r="D688" s="54" t="s">
        <v>139</v>
      </c>
      <c r="E688" s="54" t="s">
        <v>0</v>
      </c>
      <c r="F688" s="54" t="s">
        <v>2720</v>
      </c>
      <c r="G688" s="54">
        <v>1971513355</v>
      </c>
      <c r="H688" s="54" t="s">
        <v>229</v>
      </c>
      <c r="I688" s="54" t="s">
        <v>3518</v>
      </c>
      <c r="J688" s="34" t="s">
        <v>3419</v>
      </c>
      <c r="K688" s="50">
        <v>300000</v>
      </c>
      <c r="L688" s="43">
        <v>80080</v>
      </c>
      <c r="M688" s="44">
        <f t="shared" si="52"/>
        <v>0.26693333333333336</v>
      </c>
      <c r="N688" s="49">
        <f>ROUND(L688/Summary!$C$3*Summary!$C$2,0)</f>
        <v>248248</v>
      </c>
      <c r="O688" s="44">
        <f t="shared" si="53"/>
        <v>0.8274933333333333</v>
      </c>
      <c r="P688" s="78">
        <v>15</v>
      </c>
      <c r="Q688" s="34">
        <v>2</v>
      </c>
      <c r="R688" s="35">
        <f t="shared" si="54"/>
        <v>0.13333333333333333</v>
      </c>
      <c r="S688" s="49">
        <f>ROUND(Q688/Summary!$C$3*Summary!$C$2,0)</f>
        <v>6</v>
      </c>
      <c r="T688" s="44">
        <f t="shared" si="55"/>
        <v>0.4</v>
      </c>
      <c r="U688" s="34">
        <v>1</v>
      </c>
      <c r="V688" s="34">
        <v>0</v>
      </c>
      <c r="W688" s="34">
        <v>0</v>
      </c>
      <c r="X688" s="34">
        <v>0</v>
      </c>
    </row>
    <row r="689" spans="1:24" hidden="1">
      <c r="A689" s="54" t="s">
        <v>2454</v>
      </c>
      <c r="B689" s="54" t="s">
        <v>3147</v>
      </c>
      <c r="C689" s="54" t="s">
        <v>138</v>
      </c>
      <c r="D689" s="54" t="s">
        <v>139</v>
      </c>
      <c r="E689" s="54" t="s">
        <v>0</v>
      </c>
      <c r="F689" s="54" t="s">
        <v>2455</v>
      </c>
      <c r="G689" s="54">
        <v>1818333094</v>
      </c>
      <c r="H689" s="54" t="s">
        <v>229</v>
      </c>
      <c r="I689" s="54" t="s">
        <v>3518</v>
      </c>
      <c r="J689" s="34" t="s">
        <v>3419</v>
      </c>
      <c r="K689" s="50">
        <v>350553</v>
      </c>
      <c r="L689" s="43">
        <v>75640</v>
      </c>
      <c r="M689" s="44">
        <f t="shared" si="52"/>
        <v>0.21577336379948253</v>
      </c>
      <c r="N689" s="49">
        <f>ROUND(L689/Summary!$C$3*Summary!$C$2,0)</f>
        <v>234484</v>
      </c>
      <c r="O689" s="44">
        <f t="shared" si="53"/>
        <v>0.66889742777839589</v>
      </c>
      <c r="P689" s="78">
        <v>13</v>
      </c>
      <c r="Q689" s="34">
        <v>2</v>
      </c>
      <c r="R689" s="35">
        <f t="shared" si="54"/>
        <v>0.15384615384615385</v>
      </c>
      <c r="S689" s="49">
        <f>ROUND(Q689/Summary!$C$3*Summary!$C$2,0)</f>
        <v>6</v>
      </c>
      <c r="T689" s="44">
        <f t="shared" si="55"/>
        <v>0.46153846153846156</v>
      </c>
      <c r="U689" s="34">
        <v>0</v>
      </c>
      <c r="V689" s="34">
        <v>0</v>
      </c>
      <c r="W689" s="34">
        <v>0</v>
      </c>
      <c r="X689" s="34">
        <v>1</v>
      </c>
    </row>
    <row r="690" spans="1:24" hidden="1">
      <c r="A690" s="54" t="s">
        <v>3174</v>
      </c>
      <c r="B690" s="54" t="s">
        <v>3175</v>
      </c>
      <c r="C690" s="54" t="s">
        <v>167</v>
      </c>
      <c r="D690" s="54" t="s">
        <v>139</v>
      </c>
      <c r="E690" s="54" t="s">
        <v>0</v>
      </c>
      <c r="F690" s="54" t="s">
        <v>3176</v>
      </c>
      <c r="G690" s="54">
        <v>1712038272</v>
      </c>
      <c r="H690" s="54" t="s">
        <v>229</v>
      </c>
      <c r="I690" s="54" t="s">
        <v>3514</v>
      </c>
      <c r="J690" s="34" t="s">
        <v>3421</v>
      </c>
      <c r="K690" s="50">
        <v>130000</v>
      </c>
      <c r="L690" s="43">
        <v>12980</v>
      </c>
      <c r="M690" s="44">
        <f t="shared" si="52"/>
        <v>9.9846153846153848E-2</v>
      </c>
      <c r="N690" s="49">
        <f>ROUND(L690/Summary!$C$3*Summary!$C$2,0)</f>
        <v>40238</v>
      </c>
      <c r="O690" s="44">
        <f t="shared" si="53"/>
        <v>0.3095230769230769</v>
      </c>
      <c r="P690" s="78">
        <v>10</v>
      </c>
      <c r="Q690" s="34">
        <v>1</v>
      </c>
      <c r="R690" s="35">
        <f t="shared" si="54"/>
        <v>0.1</v>
      </c>
      <c r="S690" s="49">
        <f>ROUND(Q690/Summary!$C$3*Summary!$C$2,0)</f>
        <v>3</v>
      </c>
      <c r="T690" s="44">
        <f t="shared" si="55"/>
        <v>0.3</v>
      </c>
      <c r="U690" s="34">
        <v>0</v>
      </c>
      <c r="V690" s="34">
        <v>0</v>
      </c>
      <c r="W690" s="34">
        <v>1</v>
      </c>
      <c r="X690" s="34">
        <v>0</v>
      </c>
    </row>
    <row r="691" spans="1:24" hidden="1">
      <c r="A691" s="54" t="s">
        <v>2528</v>
      </c>
      <c r="B691" s="54" t="s">
        <v>2529</v>
      </c>
      <c r="C691" s="54" t="s">
        <v>167</v>
      </c>
      <c r="D691" s="54" t="s">
        <v>139</v>
      </c>
      <c r="E691" s="54" t="s">
        <v>0</v>
      </c>
      <c r="F691" s="54" t="s">
        <v>2530</v>
      </c>
      <c r="G691" s="54">
        <v>1683009690</v>
      </c>
      <c r="H691" s="54" t="s">
        <v>229</v>
      </c>
      <c r="I691" s="54" t="s">
        <v>3514</v>
      </c>
      <c r="J691" s="34" t="s">
        <v>3419</v>
      </c>
      <c r="K691" s="50">
        <v>130000</v>
      </c>
      <c r="L691" s="43">
        <v>9730</v>
      </c>
      <c r="M691" s="44">
        <f t="shared" si="52"/>
        <v>7.484615384615384E-2</v>
      </c>
      <c r="N691" s="49">
        <f>ROUND(L691/Summary!$C$3*Summary!$C$2,0)</f>
        <v>30163</v>
      </c>
      <c r="O691" s="44">
        <f t="shared" si="53"/>
        <v>0.23202307692307692</v>
      </c>
      <c r="P691" s="78">
        <v>10</v>
      </c>
      <c r="Q691" s="34">
        <v>0</v>
      </c>
      <c r="R691" s="35">
        <f t="shared" si="54"/>
        <v>0</v>
      </c>
      <c r="S691" s="49">
        <f>ROUND(Q691/Summary!$C$3*Summary!$C$2,0)</f>
        <v>0</v>
      </c>
      <c r="T691" s="44">
        <f t="shared" si="55"/>
        <v>0</v>
      </c>
      <c r="U691" s="34">
        <v>0</v>
      </c>
      <c r="V691" s="34">
        <v>0</v>
      </c>
      <c r="W691" s="34">
        <v>0</v>
      </c>
      <c r="X691" s="34">
        <v>0</v>
      </c>
    </row>
    <row r="692" spans="1:24" hidden="1">
      <c r="A692" s="54" t="s">
        <v>2525</v>
      </c>
      <c r="B692" s="54" t="s">
        <v>2526</v>
      </c>
      <c r="C692" s="54" t="s">
        <v>167</v>
      </c>
      <c r="D692" s="54" t="s">
        <v>139</v>
      </c>
      <c r="E692" s="54" t="s">
        <v>0</v>
      </c>
      <c r="F692" s="54" t="s">
        <v>2527</v>
      </c>
      <c r="G692" s="54">
        <v>1765008585</v>
      </c>
      <c r="H692" s="54" t="s">
        <v>229</v>
      </c>
      <c r="I692" s="54" t="s">
        <v>3514</v>
      </c>
      <c r="J692" s="34" t="s">
        <v>3515</v>
      </c>
      <c r="K692" s="50">
        <v>249286</v>
      </c>
      <c r="L692" s="43">
        <v>55600</v>
      </c>
      <c r="M692" s="44">
        <f t="shared" si="52"/>
        <v>0.22303699365387547</v>
      </c>
      <c r="N692" s="49">
        <f>ROUND(L692/Summary!$C$3*Summary!$C$2,0)</f>
        <v>172360</v>
      </c>
      <c r="O692" s="44">
        <f t="shared" si="53"/>
        <v>0.69141468032701392</v>
      </c>
      <c r="P692" s="78">
        <v>17</v>
      </c>
      <c r="Q692" s="34">
        <v>2</v>
      </c>
      <c r="R692" s="35">
        <f t="shared" si="54"/>
        <v>0.11764705882352941</v>
      </c>
      <c r="S692" s="49">
        <f>ROUND(Q692/Summary!$C$3*Summary!$C$2,0)</f>
        <v>6</v>
      </c>
      <c r="T692" s="44">
        <f t="shared" si="55"/>
        <v>0.35294117647058826</v>
      </c>
      <c r="U692" s="34">
        <v>1</v>
      </c>
      <c r="V692" s="34">
        <v>1</v>
      </c>
      <c r="W692" s="34">
        <v>0</v>
      </c>
      <c r="X692" s="34">
        <v>0</v>
      </c>
    </row>
    <row r="693" spans="1:24" hidden="1">
      <c r="A693" s="54" t="s">
        <v>2737</v>
      </c>
      <c r="B693" s="54" t="s">
        <v>2738</v>
      </c>
      <c r="C693" s="54" t="s">
        <v>167</v>
      </c>
      <c r="D693" s="54" t="s">
        <v>139</v>
      </c>
      <c r="E693" s="54" t="s">
        <v>0</v>
      </c>
      <c r="F693" s="54" t="s">
        <v>2739</v>
      </c>
      <c r="G693" s="54">
        <v>1924512279</v>
      </c>
      <c r="H693" s="54" t="s">
        <v>229</v>
      </c>
      <c r="I693" s="54" t="s">
        <v>3518</v>
      </c>
      <c r="J693" s="34" t="s">
        <v>3419</v>
      </c>
      <c r="K693" s="50">
        <v>319971</v>
      </c>
      <c r="L693" s="43">
        <v>152024</v>
      </c>
      <c r="M693" s="44">
        <f t="shared" si="52"/>
        <v>0.47511805757396763</v>
      </c>
      <c r="N693" s="49">
        <f>ROUND(L693/Summary!$C$3*Summary!$C$2,0)</f>
        <v>471274</v>
      </c>
      <c r="O693" s="44">
        <f t="shared" si="53"/>
        <v>1.4728647283660081</v>
      </c>
      <c r="P693" s="78">
        <v>25</v>
      </c>
      <c r="Q693" s="34">
        <v>10</v>
      </c>
      <c r="R693" s="35">
        <f t="shared" si="54"/>
        <v>0.4</v>
      </c>
      <c r="S693" s="49">
        <f>ROUND(Q693/Summary!$C$3*Summary!$C$2,0)</f>
        <v>31</v>
      </c>
      <c r="T693" s="44">
        <f t="shared" si="55"/>
        <v>1.24</v>
      </c>
      <c r="U693" s="34">
        <v>0</v>
      </c>
      <c r="V693" s="34">
        <v>1</v>
      </c>
      <c r="W693" s="34">
        <v>0</v>
      </c>
      <c r="X693" s="34">
        <v>0</v>
      </c>
    </row>
    <row r="694" spans="1:24" hidden="1">
      <c r="A694" s="54" t="s">
        <v>2449</v>
      </c>
      <c r="B694" s="54" t="s">
        <v>2450</v>
      </c>
      <c r="C694" s="54" t="s">
        <v>167</v>
      </c>
      <c r="D694" s="54" t="s">
        <v>139</v>
      </c>
      <c r="E694" s="54" t="s">
        <v>0</v>
      </c>
      <c r="F694" s="54" t="s">
        <v>2451</v>
      </c>
      <c r="G694" s="54">
        <v>1973217321</v>
      </c>
      <c r="H694" s="54" t="s">
        <v>229</v>
      </c>
      <c r="I694" s="54" t="s">
        <v>3522</v>
      </c>
      <c r="J694" s="34" t="s">
        <v>3419</v>
      </c>
      <c r="K694" s="50">
        <v>500000</v>
      </c>
      <c r="L694" s="43">
        <v>104870</v>
      </c>
      <c r="M694" s="44">
        <f t="shared" si="52"/>
        <v>0.20974000000000001</v>
      </c>
      <c r="N694" s="49">
        <f>ROUND(L694/Summary!$C$3*Summary!$C$2,0)</f>
        <v>325097</v>
      </c>
      <c r="O694" s="44">
        <f t="shared" si="53"/>
        <v>0.65019400000000005</v>
      </c>
      <c r="P694" s="78">
        <v>32</v>
      </c>
      <c r="Q694" s="34">
        <v>9</v>
      </c>
      <c r="R694" s="35">
        <f t="shared" si="54"/>
        <v>0.28125</v>
      </c>
      <c r="S694" s="49">
        <f>ROUND(Q694/Summary!$C$3*Summary!$C$2,0)</f>
        <v>28</v>
      </c>
      <c r="T694" s="44">
        <f t="shared" si="55"/>
        <v>0.875</v>
      </c>
      <c r="U694" s="34">
        <v>2</v>
      </c>
      <c r="V694" s="34">
        <v>2</v>
      </c>
      <c r="W694" s="34">
        <v>0</v>
      </c>
      <c r="X694" s="34">
        <v>3</v>
      </c>
    </row>
    <row r="695" spans="1:24" hidden="1">
      <c r="A695" s="54" t="s">
        <v>3172</v>
      </c>
      <c r="B695" s="54" t="s">
        <v>2222</v>
      </c>
      <c r="C695" s="54" t="s">
        <v>167</v>
      </c>
      <c r="D695" s="54" t="s">
        <v>139</v>
      </c>
      <c r="E695" s="54" t="s">
        <v>0</v>
      </c>
      <c r="F695" s="54" t="s">
        <v>3173</v>
      </c>
      <c r="G695" s="54">
        <v>1712290395</v>
      </c>
      <c r="H695" s="54" t="s">
        <v>229</v>
      </c>
      <c r="I695" s="54" t="s">
        <v>3514</v>
      </c>
      <c r="J695" s="34" t="s">
        <v>3421</v>
      </c>
      <c r="K695" s="50">
        <v>190432</v>
      </c>
      <c r="L695" s="43">
        <v>72265</v>
      </c>
      <c r="M695" s="44">
        <f t="shared" si="52"/>
        <v>0.37947928919509327</v>
      </c>
      <c r="N695" s="49">
        <f>ROUND(L695/Summary!$C$3*Summary!$C$2,0)</f>
        <v>224022</v>
      </c>
      <c r="O695" s="44">
        <f t="shared" si="53"/>
        <v>1.1763884221139305</v>
      </c>
      <c r="P695" s="78">
        <v>10</v>
      </c>
      <c r="Q695" s="34">
        <v>4</v>
      </c>
      <c r="R695" s="35">
        <f t="shared" si="54"/>
        <v>0.4</v>
      </c>
      <c r="S695" s="49">
        <f>ROUND(Q695/Summary!$C$3*Summary!$C$2,0)</f>
        <v>12</v>
      </c>
      <c r="T695" s="44">
        <f t="shared" si="55"/>
        <v>1.2</v>
      </c>
      <c r="U695" s="34">
        <v>0</v>
      </c>
      <c r="V695" s="34">
        <v>0</v>
      </c>
      <c r="W695" s="34">
        <v>0</v>
      </c>
      <c r="X695" s="34">
        <v>2</v>
      </c>
    </row>
    <row r="696" spans="1:24" hidden="1">
      <c r="A696" s="54" t="s">
        <v>2793</v>
      </c>
      <c r="B696" s="54" t="s">
        <v>2794</v>
      </c>
      <c r="C696" s="54" t="s">
        <v>167</v>
      </c>
      <c r="D696" s="54" t="s">
        <v>139</v>
      </c>
      <c r="E696" s="54" t="s">
        <v>0</v>
      </c>
      <c r="F696" s="54" t="s">
        <v>2795</v>
      </c>
      <c r="G696" s="54">
        <v>1935012700</v>
      </c>
      <c r="H696" s="54" t="s">
        <v>229</v>
      </c>
      <c r="I696" s="54" t="s">
        <v>3514</v>
      </c>
      <c r="J696" s="34" t="s">
        <v>3421</v>
      </c>
      <c r="K696" s="50">
        <v>201949</v>
      </c>
      <c r="L696" s="43">
        <v>37489</v>
      </c>
      <c r="M696" s="44">
        <f t="shared" si="52"/>
        <v>0.18563597740023471</v>
      </c>
      <c r="N696" s="49">
        <f>ROUND(L696/Summary!$C$3*Summary!$C$2,0)</f>
        <v>116216</v>
      </c>
      <c r="O696" s="44">
        <f t="shared" si="53"/>
        <v>0.57547202511525186</v>
      </c>
      <c r="P696" s="78">
        <v>10</v>
      </c>
      <c r="Q696" s="34">
        <v>1</v>
      </c>
      <c r="R696" s="35">
        <f t="shared" si="54"/>
        <v>0.1</v>
      </c>
      <c r="S696" s="49">
        <f>ROUND(Q696/Summary!$C$3*Summary!$C$2,0)</f>
        <v>3</v>
      </c>
      <c r="T696" s="44">
        <f t="shared" si="55"/>
        <v>0.3</v>
      </c>
      <c r="U696" s="34">
        <v>0</v>
      </c>
      <c r="V696" s="34">
        <v>0</v>
      </c>
      <c r="W696" s="34">
        <v>0</v>
      </c>
      <c r="X696" s="34">
        <v>0</v>
      </c>
    </row>
    <row r="697" spans="1:24" hidden="1">
      <c r="A697" s="54" t="s">
        <v>2724</v>
      </c>
      <c r="B697" s="54" t="s">
        <v>156</v>
      </c>
      <c r="C697" s="54" t="s">
        <v>167</v>
      </c>
      <c r="D697" s="54" t="s">
        <v>139</v>
      </c>
      <c r="E697" s="54" t="s">
        <v>0</v>
      </c>
      <c r="F697" s="54" t="s">
        <v>2725</v>
      </c>
      <c r="G697" s="54">
        <v>1751788580</v>
      </c>
      <c r="H697" s="54" t="s">
        <v>229</v>
      </c>
      <c r="I697" s="54" t="s">
        <v>3514</v>
      </c>
      <c r="J697" s="34" t="s">
        <v>3421</v>
      </c>
      <c r="K697" s="50">
        <v>130000</v>
      </c>
      <c r="L697" s="43">
        <v>20350</v>
      </c>
      <c r="M697" s="44">
        <f t="shared" si="52"/>
        <v>0.15653846153846154</v>
      </c>
      <c r="N697" s="49">
        <f>ROUND(L697/Summary!$C$3*Summary!$C$2,0)</f>
        <v>63085</v>
      </c>
      <c r="O697" s="44">
        <f t="shared" si="53"/>
        <v>0.48526923076923079</v>
      </c>
      <c r="P697" s="78">
        <v>10</v>
      </c>
      <c r="Q697" s="34">
        <v>0</v>
      </c>
      <c r="R697" s="35">
        <f t="shared" si="54"/>
        <v>0</v>
      </c>
      <c r="S697" s="49">
        <f>ROUND(Q697/Summary!$C$3*Summary!$C$2,0)</f>
        <v>0</v>
      </c>
      <c r="T697" s="44">
        <f t="shared" si="55"/>
        <v>0</v>
      </c>
      <c r="U697" s="34">
        <v>0</v>
      </c>
      <c r="V697" s="34">
        <v>0</v>
      </c>
      <c r="W697" s="34">
        <v>0</v>
      </c>
      <c r="X697" s="34">
        <v>0</v>
      </c>
    </row>
    <row r="698" spans="1:24" hidden="1">
      <c r="A698" s="75" t="s">
        <v>3607</v>
      </c>
      <c r="B698" s="75" t="s">
        <v>503</v>
      </c>
      <c r="C698" s="75" t="s">
        <v>167</v>
      </c>
      <c r="D698" s="75" t="s">
        <v>139</v>
      </c>
      <c r="E698" s="75" t="s">
        <v>0</v>
      </c>
      <c r="F698" s="76" t="s">
        <v>3608</v>
      </c>
      <c r="G698" s="71">
        <v>1925773102</v>
      </c>
      <c r="H698" s="54" t="s">
        <v>229</v>
      </c>
      <c r="I698" s="54" t="s">
        <v>3514</v>
      </c>
      <c r="J698" s="34" t="s">
        <v>3421</v>
      </c>
      <c r="K698" s="50">
        <v>130000</v>
      </c>
      <c r="L698" s="43">
        <v>57960</v>
      </c>
      <c r="M698" s="44">
        <f t="shared" si="52"/>
        <v>0.44584615384615384</v>
      </c>
      <c r="N698" s="49">
        <f>ROUND(L698/Summary!$C$3*Summary!$C$2,0)</f>
        <v>179676</v>
      </c>
      <c r="O698" s="44">
        <f t="shared" si="53"/>
        <v>1.382123076923077</v>
      </c>
      <c r="P698" s="78">
        <v>10</v>
      </c>
      <c r="Q698" s="34">
        <v>5</v>
      </c>
      <c r="R698" s="35">
        <f t="shared" si="54"/>
        <v>0.5</v>
      </c>
      <c r="S698" s="49">
        <f>ROUND(Q698/Summary!$C$3*Summary!$C$2,0)</f>
        <v>16</v>
      </c>
      <c r="T698" s="44">
        <f t="shared" si="55"/>
        <v>1.6</v>
      </c>
      <c r="U698" s="34">
        <v>1</v>
      </c>
      <c r="V698" s="34">
        <v>1</v>
      </c>
      <c r="W698" s="34">
        <v>0</v>
      </c>
      <c r="X698" s="34">
        <v>0</v>
      </c>
    </row>
    <row r="699" spans="1:24" hidden="1">
      <c r="A699" s="54" t="s">
        <v>2778</v>
      </c>
      <c r="B699" s="54" t="s">
        <v>2779</v>
      </c>
      <c r="C699" s="54" t="s">
        <v>167</v>
      </c>
      <c r="D699" s="54" t="s">
        <v>139</v>
      </c>
      <c r="E699" s="54" t="s">
        <v>0</v>
      </c>
      <c r="F699" s="54" t="s">
        <v>2780</v>
      </c>
      <c r="G699" s="54">
        <v>1722797979</v>
      </c>
      <c r="H699" s="54" t="s">
        <v>229</v>
      </c>
      <c r="I699" s="54" t="s">
        <v>3514</v>
      </c>
      <c r="J699" s="34" t="s">
        <v>3515</v>
      </c>
      <c r="K699" s="50">
        <v>130000</v>
      </c>
      <c r="L699" s="43">
        <v>24160</v>
      </c>
      <c r="M699" s="44">
        <f t="shared" si="52"/>
        <v>0.18584615384615386</v>
      </c>
      <c r="N699" s="49">
        <f>ROUND(L699/Summary!$C$3*Summary!$C$2,0)</f>
        <v>74896</v>
      </c>
      <c r="O699" s="44">
        <f t="shared" si="53"/>
        <v>0.57612307692307696</v>
      </c>
      <c r="P699" s="78">
        <v>10</v>
      </c>
      <c r="Q699" s="34">
        <v>3</v>
      </c>
      <c r="R699" s="35">
        <f t="shared" si="54"/>
        <v>0.3</v>
      </c>
      <c r="S699" s="49">
        <f>ROUND(Q699/Summary!$C$3*Summary!$C$2,0)</f>
        <v>9</v>
      </c>
      <c r="T699" s="44">
        <f t="shared" si="55"/>
        <v>0.9</v>
      </c>
      <c r="U699" s="34">
        <v>0</v>
      </c>
      <c r="V699" s="34">
        <v>2</v>
      </c>
      <c r="W699" s="34">
        <v>0</v>
      </c>
      <c r="X699" s="34">
        <v>0</v>
      </c>
    </row>
    <row r="700" spans="1:24" hidden="1">
      <c r="A700" s="54" t="s">
        <v>3075</v>
      </c>
      <c r="B700" s="54" t="s">
        <v>1687</v>
      </c>
      <c r="C700" s="54" t="s">
        <v>167</v>
      </c>
      <c r="D700" s="54" t="s">
        <v>139</v>
      </c>
      <c r="E700" s="54" t="s">
        <v>0</v>
      </c>
      <c r="F700" s="54" t="s">
        <v>3076</v>
      </c>
      <c r="G700" s="54">
        <v>1711676678</v>
      </c>
      <c r="H700" s="54" t="s">
        <v>229</v>
      </c>
      <c r="I700" s="54" t="s">
        <v>3514</v>
      </c>
      <c r="J700" s="34" t="s">
        <v>3421</v>
      </c>
      <c r="K700" s="50">
        <v>130000</v>
      </c>
      <c r="L700" s="43">
        <v>11280</v>
      </c>
      <c r="M700" s="44">
        <f t="shared" si="52"/>
        <v>8.6769230769230765E-2</v>
      </c>
      <c r="N700" s="49">
        <f>ROUND(L700/Summary!$C$3*Summary!$C$2,0)</f>
        <v>34968</v>
      </c>
      <c r="O700" s="44">
        <f t="shared" si="53"/>
        <v>0.26898461538461538</v>
      </c>
      <c r="P700" s="78">
        <v>10</v>
      </c>
      <c r="Q700" s="34">
        <v>1</v>
      </c>
      <c r="R700" s="35">
        <f t="shared" si="54"/>
        <v>0.1</v>
      </c>
      <c r="S700" s="49">
        <f>ROUND(Q700/Summary!$C$3*Summary!$C$2,0)</f>
        <v>3</v>
      </c>
      <c r="T700" s="44">
        <f t="shared" si="55"/>
        <v>0.3</v>
      </c>
      <c r="U700" s="34">
        <v>0</v>
      </c>
      <c r="V700" s="34">
        <v>1</v>
      </c>
      <c r="W700" s="34">
        <v>0</v>
      </c>
      <c r="X700" s="34">
        <v>0</v>
      </c>
    </row>
    <row r="701" spans="1:24" hidden="1">
      <c r="A701" s="54" t="s">
        <v>2443</v>
      </c>
      <c r="B701" s="54" t="s">
        <v>2444</v>
      </c>
      <c r="C701" s="54" t="s">
        <v>167</v>
      </c>
      <c r="D701" s="54" t="s">
        <v>139</v>
      </c>
      <c r="E701" s="54" t="s">
        <v>0</v>
      </c>
      <c r="F701" s="54" t="s">
        <v>2445</v>
      </c>
      <c r="G701" s="54">
        <v>1916718175</v>
      </c>
      <c r="H701" s="54" t="s">
        <v>229</v>
      </c>
      <c r="I701" s="54" t="s">
        <v>3514</v>
      </c>
      <c r="J701" s="34" t="s">
        <v>3419</v>
      </c>
      <c r="K701" s="50">
        <v>165998</v>
      </c>
      <c r="L701" s="43">
        <v>84750</v>
      </c>
      <c r="M701" s="44">
        <f t="shared" si="52"/>
        <v>0.5105483198592754</v>
      </c>
      <c r="N701" s="49">
        <f>ROUND(L701/Summary!$C$3*Summary!$C$2,0)</f>
        <v>262725</v>
      </c>
      <c r="O701" s="44">
        <f t="shared" si="53"/>
        <v>1.5826997915637537</v>
      </c>
      <c r="P701" s="78">
        <v>10</v>
      </c>
      <c r="Q701" s="34">
        <v>4</v>
      </c>
      <c r="R701" s="35">
        <f t="shared" si="54"/>
        <v>0.4</v>
      </c>
      <c r="S701" s="49">
        <f>ROUND(Q701/Summary!$C$3*Summary!$C$2,0)</f>
        <v>12</v>
      </c>
      <c r="T701" s="44">
        <f t="shared" si="55"/>
        <v>1.2</v>
      </c>
      <c r="U701" s="34">
        <v>1</v>
      </c>
      <c r="V701" s="34">
        <v>1</v>
      </c>
      <c r="W701" s="34">
        <v>1</v>
      </c>
      <c r="X701" s="34">
        <v>0</v>
      </c>
    </row>
    <row r="702" spans="1:24" hidden="1">
      <c r="A702" s="54" t="s">
        <v>2625</v>
      </c>
      <c r="B702" s="54" t="s">
        <v>175</v>
      </c>
      <c r="C702" s="54" t="s">
        <v>167</v>
      </c>
      <c r="D702" s="54" t="s">
        <v>139</v>
      </c>
      <c r="E702" s="54" t="s">
        <v>0</v>
      </c>
      <c r="F702" s="54" t="s">
        <v>2513</v>
      </c>
      <c r="G702" s="54">
        <v>1712011872</v>
      </c>
      <c r="H702" s="54" t="s">
        <v>229</v>
      </c>
      <c r="I702" s="54" t="s">
        <v>3514</v>
      </c>
      <c r="J702" s="34" t="s">
        <v>3421</v>
      </c>
      <c r="K702" s="50">
        <v>181087</v>
      </c>
      <c r="L702" s="43">
        <v>26750</v>
      </c>
      <c r="M702" s="44">
        <f t="shared" si="52"/>
        <v>0.14771905216829478</v>
      </c>
      <c r="N702" s="49">
        <f>ROUND(L702/Summary!$C$3*Summary!$C$2,0)</f>
        <v>82925</v>
      </c>
      <c r="O702" s="44">
        <f t="shared" si="53"/>
        <v>0.45792906172171388</v>
      </c>
      <c r="P702" s="78">
        <v>12</v>
      </c>
      <c r="Q702" s="34">
        <v>2</v>
      </c>
      <c r="R702" s="35">
        <f t="shared" si="54"/>
        <v>0.16666666666666666</v>
      </c>
      <c r="S702" s="49">
        <f>ROUND(Q702/Summary!$C$3*Summary!$C$2,0)</f>
        <v>6</v>
      </c>
      <c r="T702" s="44">
        <f t="shared" si="55"/>
        <v>0.5</v>
      </c>
      <c r="U702" s="34">
        <v>0</v>
      </c>
      <c r="V702" s="34">
        <v>1</v>
      </c>
      <c r="W702" s="34">
        <v>1</v>
      </c>
      <c r="X702" s="34">
        <v>0</v>
      </c>
    </row>
    <row r="703" spans="1:24" hidden="1">
      <c r="A703" s="54" t="s">
        <v>2514</v>
      </c>
      <c r="B703" s="54" t="s">
        <v>2515</v>
      </c>
      <c r="C703" s="54" t="s">
        <v>167</v>
      </c>
      <c r="D703" s="54" t="s">
        <v>139</v>
      </c>
      <c r="E703" s="54" t="s">
        <v>0</v>
      </c>
      <c r="F703" s="54" t="s">
        <v>2516</v>
      </c>
      <c r="G703" s="54">
        <v>1728202321</v>
      </c>
      <c r="H703" s="54" t="s">
        <v>229</v>
      </c>
      <c r="I703" s="54" t="s">
        <v>3514</v>
      </c>
      <c r="J703" s="34" t="s">
        <v>3419</v>
      </c>
      <c r="K703" s="50">
        <v>130000</v>
      </c>
      <c r="L703" s="43">
        <v>41420</v>
      </c>
      <c r="M703" s="44">
        <f t="shared" si="52"/>
        <v>0.31861538461538463</v>
      </c>
      <c r="N703" s="49">
        <f>ROUND(L703/Summary!$C$3*Summary!$C$2,0)</f>
        <v>128402</v>
      </c>
      <c r="O703" s="44">
        <f t="shared" si="53"/>
        <v>0.98770769230769229</v>
      </c>
      <c r="P703" s="78">
        <v>10</v>
      </c>
      <c r="Q703" s="34">
        <v>1</v>
      </c>
      <c r="R703" s="35">
        <f t="shared" si="54"/>
        <v>0.1</v>
      </c>
      <c r="S703" s="49">
        <f>ROUND(Q703/Summary!$C$3*Summary!$C$2,0)</f>
        <v>3</v>
      </c>
      <c r="T703" s="44">
        <f t="shared" si="55"/>
        <v>0.3</v>
      </c>
      <c r="U703" s="34">
        <v>2</v>
      </c>
      <c r="V703" s="34">
        <v>0</v>
      </c>
      <c r="W703" s="34">
        <v>0</v>
      </c>
      <c r="X703" s="34">
        <v>0</v>
      </c>
    </row>
    <row r="704" spans="1:24" hidden="1">
      <c r="A704" s="54" t="s">
        <v>2571</v>
      </c>
      <c r="B704" s="54" t="s">
        <v>2572</v>
      </c>
      <c r="C704" s="54" t="s">
        <v>167</v>
      </c>
      <c r="D704" s="54" t="s">
        <v>139</v>
      </c>
      <c r="E704" s="54" t="s">
        <v>0</v>
      </c>
      <c r="F704" s="54" t="s">
        <v>2573</v>
      </c>
      <c r="G704" s="54">
        <v>1738763428</v>
      </c>
      <c r="H704" s="54" t="s">
        <v>229</v>
      </c>
      <c r="I704" s="54" t="s">
        <v>3514</v>
      </c>
      <c r="J704" s="34" t="s">
        <v>3421</v>
      </c>
      <c r="K704" s="50">
        <v>130000</v>
      </c>
      <c r="L704" s="43">
        <v>39840</v>
      </c>
      <c r="M704" s="44">
        <f t="shared" si="52"/>
        <v>0.30646153846153845</v>
      </c>
      <c r="N704" s="49">
        <f>ROUND(L704/Summary!$C$3*Summary!$C$2,0)</f>
        <v>123504</v>
      </c>
      <c r="O704" s="44">
        <f t="shared" si="53"/>
        <v>0.95003076923076923</v>
      </c>
      <c r="P704" s="78">
        <v>10</v>
      </c>
      <c r="Q704" s="34">
        <v>3</v>
      </c>
      <c r="R704" s="35">
        <f t="shared" si="54"/>
        <v>0.3</v>
      </c>
      <c r="S704" s="49">
        <f>ROUND(Q704/Summary!$C$3*Summary!$C$2,0)</f>
        <v>9</v>
      </c>
      <c r="T704" s="44">
        <f t="shared" si="55"/>
        <v>0.9</v>
      </c>
      <c r="U704" s="34">
        <v>1</v>
      </c>
      <c r="V704" s="34">
        <v>0</v>
      </c>
      <c r="W704" s="34">
        <v>0</v>
      </c>
      <c r="X704" s="34">
        <v>0</v>
      </c>
    </row>
    <row r="705" spans="1:24" hidden="1">
      <c r="A705" s="54" t="s">
        <v>2706</v>
      </c>
      <c r="B705" s="54" t="s">
        <v>2707</v>
      </c>
      <c r="C705" s="54" t="s">
        <v>167</v>
      </c>
      <c r="D705" s="54" t="s">
        <v>139</v>
      </c>
      <c r="E705" s="54" t="s">
        <v>0</v>
      </c>
      <c r="F705" s="54" t="s">
        <v>1152</v>
      </c>
      <c r="G705" s="54">
        <v>1736983929</v>
      </c>
      <c r="H705" s="54" t="s">
        <v>229</v>
      </c>
      <c r="I705" s="54" t="s">
        <v>3514</v>
      </c>
      <c r="J705" s="34" t="s">
        <v>3421</v>
      </c>
      <c r="K705" s="50">
        <v>130000</v>
      </c>
      <c r="L705" s="43">
        <v>12990</v>
      </c>
      <c r="M705" s="44">
        <f t="shared" si="52"/>
        <v>9.992307692307692E-2</v>
      </c>
      <c r="N705" s="49">
        <f>ROUND(L705/Summary!$C$3*Summary!$C$2,0)</f>
        <v>40269</v>
      </c>
      <c r="O705" s="44">
        <f t="shared" si="53"/>
        <v>0.30976153846153848</v>
      </c>
      <c r="P705" s="78">
        <v>10</v>
      </c>
      <c r="Q705" s="34">
        <v>1</v>
      </c>
      <c r="R705" s="35">
        <f t="shared" si="54"/>
        <v>0.1</v>
      </c>
      <c r="S705" s="49">
        <f>ROUND(Q705/Summary!$C$3*Summary!$C$2,0)</f>
        <v>3</v>
      </c>
      <c r="T705" s="44">
        <f t="shared" si="55"/>
        <v>0.3</v>
      </c>
      <c r="U705" s="34">
        <v>0</v>
      </c>
      <c r="V705" s="34">
        <v>0</v>
      </c>
      <c r="W705" s="34">
        <v>0</v>
      </c>
      <c r="X705" s="34">
        <v>0</v>
      </c>
    </row>
    <row r="706" spans="1:24" hidden="1">
      <c r="A706" s="54" t="s">
        <v>2482</v>
      </c>
      <c r="B706" s="54" t="s">
        <v>2483</v>
      </c>
      <c r="C706" s="54" t="s">
        <v>167</v>
      </c>
      <c r="D706" s="54" t="s">
        <v>139</v>
      </c>
      <c r="E706" s="54" t="s">
        <v>0</v>
      </c>
      <c r="F706" s="54" t="s">
        <v>2484</v>
      </c>
      <c r="G706" s="54">
        <v>1714275612</v>
      </c>
      <c r="H706" s="54" t="s">
        <v>229</v>
      </c>
      <c r="I706" s="54" t="s">
        <v>3514</v>
      </c>
      <c r="J706" s="34" t="s">
        <v>3419</v>
      </c>
      <c r="K706" s="50">
        <v>207595</v>
      </c>
      <c r="L706" s="43">
        <v>28635</v>
      </c>
      <c r="M706" s="44">
        <f t="shared" si="52"/>
        <v>0.13793684818998531</v>
      </c>
      <c r="N706" s="49">
        <f>ROUND(L706/Summary!$C$3*Summary!$C$2,0)</f>
        <v>88769</v>
      </c>
      <c r="O706" s="44">
        <f t="shared" si="53"/>
        <v>0.42760663792480552</v>
      </c>
      <c r="P706" s="78">
        <v>10</v>
      </c>
      <c r="Q706" s="34">
        <v>2</v>
      </c>
      <c r="R706" s="35">
        <f t="shared" si="54"/>
        <v>0.2</v>
      </c>
      <c r="S706" s="49">
        <f>ROUND(Q706/Summary!$C$3*Summary!$C$2,0)</f>
        <v>6</v>
      </c>
      <c r="T706" s="44">
        <f t="shared" si="55"/>
        <v>0.6</v>
      </c>
      <c r="U706" s="34">
        <v>0</v>
      </c>
      <c r="V706" s="34">
        <v>0</v>
      </c>
      <c r="W706" s="34">
        <v>0</v>
      </c>
      <c r="X706" s="34">
        <v>0</v>
      </c>
    </row>
    <row r="707" spans="1:24" hidden="1">
      <c r="A707" s="54" t="s">
        <v>2846</v>
      </c>
      <c r="B707" s="54" t="s">
        <v>2847</v>
      </c>
      <c r="C707" s="54" t="s">
        <v>167</v>
      </c>
      <c r="D707" s="54" t="s">
        <v>139</v>
      </c>
      <c r="E707" s="54" t="s">
        <v>0</v>
      </c>
      <c r="F707" s="54" t="s">
        <v>511</v>
      </c>
      <c r="G707" s="54">
        <v>1776668885</v>
      </c>
      <c r="H707" s="54" t="s">
        <v>229</v>
      </c>
      <c r="I707" s="54" t="s">
        <v>3514</v>
      </c>
      <c r="J707" s="34" t="s">
        <v>3421</v>
      </c>
      <c r="K707" s="50">
        <v>130000</v>
      </c>
      <c r="L707" s="43">
        <v>13480</v>
      </c>
      <c r="M707" s="44">
        <f t="shared" si="52"/>
        <v>0.10369230769230769</v>
      </c>
      <c r="N707" s="49">
        <f>ROUND(L707/Summary!$C$3*Summary!$C$2,0)</f>
        <v>41788</v>
      </c>
      <c r="O707" s="44">
        <f t="shared" si="53"/>
        <v>0.32144615384615383</v>
      </c>
      <c r="P707" s="78">
        <v>10</v>
      </c>
      <c r="Q707" s="34">
        <v>1</v>
      </c>
      <c r="R707" s="35">
        <f t="shared" si="54"/>
        <v>0.1</v>
      </c>
      <c r="S707" s="49">
        <f>ROUND(Q707/Summary!$C$3*Summary!$C$2,0)</f>
        <v>3</v>
      </c>
      <c r="T707" s="44">
        <f t="shared" si="55"/>
        <v>0.3</v>
      </c>
      <c r="U707" s="34">
        <v>0</v>
      </c>
      <c r="V707" s="34">
        <v>0</v>
      </c>
      <c r="W707" s="34">
        <v>0</v>
      </c>
      <c r="X707" s="34">
        <v>0</v>
      </c>
    </row>
    <row r="708" spans="1:24" hidden="1">
      <c r="A708" s="54" t="s">
        <v>2818</v>
      </c>
      <c r="B708" s="54" t="s">
        <v>2819</v>
      </c>
      <c r="C708" s="54" t="s">
        <v>167</v>
      </c>
      <c r="D708" s="54" t="s">
        <v>139</v>
      </c>
      <c r="E708" s="54" t="s">
        <v>0</v>
      </c>
      <c r="F708" s="54" t="s">
        <v>2820</v>
      </c>
      <c r="G708" s="54">
        <v>1675800856</v>
      </c>
      <c r="H708" s="54" t="s">
        <v>229</v>
      </c>
      <c r="I708" s="54" t="s">
        <v>3514</v>
      </c>
      <c r="J708" s="34" t="s">
        <v>3419</v>
      </c>
      <c r="K708" s="50">
        <v>130000</v>
      </c>
      <c r="L708" s="43">
        <v>41780</v>
      </c>
      <c r="M708" s="44">
        <f t="shared" si="52"/>
        <v>0.32138461538461538</v>
      </c>
      <c r="N708" s="49">
        <f>ROUND(L708/Summary!$C$3*Summary!$C$2,0)</f>
        <v>129518</v>
      </c>
      <c r="O708" s="44">
        <f t="shared" si="53"/>
        <v>0.9962923076923077</v>
      </c>
      <c r="P708" s="78">
        <v>10</v>
      </c>
      <c r="Q708" s="34">
        <v>2</v>
      </c>
      <c r="R708" s="35">
        <f t="shared" si="54"/>
        <v>0.2</v>
      </c>
      <c r="S708" s="49">
        <f>ROUND(Q708/Summary!$C$3*Summary!$C$2,0)</f>
        <v>6</v>
      </c>
      <c r="T708" s="44">
        <f t="shared" si="55"/>
        <v>0.6</v>
      </c>
      <c r="U708" s="34">
        <v>0</v>
      </c>
      <c r="V708" s="34">
        <v>0</v>
      </c>
      <c r="W708" s="34">
        <v>0</v>
      </c>
      <c r="X708" s="34">
        <v>0</v>
      </c>
    </row>
    <row r="709" spans="1:24" hidden="1">
      <c r="A709" s="54" t="s">
        <v>2760</v>
      </c>
      <c r="B709" s="54" t="s">
        <v>2761</v>
      </c>
      <c r="C709" s="54" t="s">
        <v>167</v>
      </c>
      <c r="D709" s="54" t="s">
        <v>139</v>
      </c>
      <c r="E709" s="54" t="s">
        <v>0</v>
      </c>
      <c r="F709" s="54" t="s">
        <v>2762</v>
      </c>
      <c r="G709" s="54">
        <v>1834122522</v>
      </c>
      <c r="H709" s="54" t="s">
        <v>229</v>
      </c>
      <c r="I709" s="54" t="s">
        <v>3514</v>
      </c>
      <c r="J709" s="34" t="s">
        <v>3419</v>
      </c>
      <c r="K709" s="50">
        <v>130000</v>
      </c>
      <c r="L709" s="43">
        <v>13380</v>
      </c>
      <c r="M709" s="44">
        <f t="shared" si="52"/>
        <v>0.10292307692307692</v>
      </c>
      <c r="N709" s="49">
        <f>ROUND(L709/Summary!$C$3*Summary!$C$2,0)</f>
        <v>41478</v>
      </c>
      <c r="O709" s="44">
        <f t="shared" si="53"/>
        <v>0.31906153846153845</v>
      </c>
      <c r="P709" s="78">
        <v>10</v>
      </c>
      <c r="Q709" s="34">
        <v>2</v>
      </c>
      <c r="R709" s="35">
        <f t="shared" si="54"/>
        <v>0.2</v>
      </c>
      <c r="S709" s="49">
        <f>ROUND(Q709/Summary!$C$3*Summary!$C$2,0)</f>
        <v>6</v>
      </c>
      <c r="T709" s="44">
        <f t="shared" si="55"/>
        <v>0.6</v>
      </c>
      <c r="U709" s="34">
        <v>0</v>
      </c>
      <c r="V709" s="34">
        <v>2</v>
      </c>
      <c r="W709" s="34">
        <v>0</v>
      </c>
      <c r="X709" s="34">
        <v>0</v>
      </c>
    </row>
    <row r="710" spans="1:24" hidden="1">
      <c r="A710" s="54" t="s">
        <v>3077</v>
      </c>
      <c r="B710" s="54" t="s">
        <v>3078</v>
      </c>
      <c r="C710" s="54" t="s">
        <v>167</v>
      </c>
      <c r="D710" s="54" t="s">
        <v>139</v>
      </c>
      <c r="E710" s="54" t="s">
        <v>0</v>
      </c>
      <c r="F710" s="54" t="s">
        <v>3079</v>
      </c>
      <c r="G710" s="54">
        <v>1971514200</v>
      </c>
      <c r="H710" s="54" t="s">
        <v>229</v>
      </c>
      <c r="I710" s="54" t="s">
        <v>3514</v>
      </c>
      <c r="J710" s="34" t="s">
        <v>3419</v>
      </c>
      <c r="K710" s="50">
        <v>130000</v>
      </c>
      <c r="L710" s="43">
        <v>55589</v>
      </c>
      <c r="M710" s="44">
        <f t="shared" si="52"/>
        <v>0.4276076923076923</v>
      </c>
      <c r="N710" s="49">
        <f>ROUND(L710/Summary!$C$3*Summary!$C$2,0)</f>
        <v>172326</v>
      </c>
      <c r="O710" s="44">
        <f t="shared" si="53"/>
        <v>1.3255846153846154</v>
      </c>
      <c r="P710" s="78">
        <v>10</v>
      </c>
      <c r="Q710" s="34">
        <v>0</v>
      </c>
      <c r="R710" s="35">
        <f t="shared" si="54"/>
        <v>0</v>
      </c>
      <c r="S710" s="49">
        <f>ROUND(Q710/Summary!$C$3*Summary!$C$2,0)</f>
        <v>0</v>
      </c>
      <c r="T710" s="44">
        <f t="shared" si="55"/>
        <v>0</v>
      </c>
      <c r="U710" s="34">
        <v>2</v>
      </c>
      <c r="V710" s="34">
        <v>0</v>
      </c>
      <c r="W710" s="34">
        <v>0</v>
      </c>
      <c r="X710" s="34">
        <v>0</v>
      </c>
    </row>
    <row r="711" spans="1:24" hidden="1">
      <c r="A711" s="54" t="s">
        <v>2605</v>
      </c>
      <c r="B711" s="54" t="s">
        <v>2606</v>
      </c>
      <c r="C711" s="54" t="s">
        <v>167</v>
      </c>
      <c r="D711" s="54" t="s">
        <v>139</v>
      </c>
      <c r="E711" s="54" t="s">
        <v>0</v>
      </c>
      <c r="F711" s="54" t="s">
        <v>2607</v>
      </c>
      <c r="G711" s="54">
        <v>1912505005</v>
      </c>
      <c r="H711" s="54" t="s">
        <v>229</v>
      </c>
      <c r="I711" s="54" t="s">
        <v>3514</v>
      </c>
      <c r="J711" s="34" t="s">
        <v>3421</v>
      </c>
      <c r="K711" s="50">
        <v>130000</v>
      </c>
      <c r="L711" s="43">
        <v>14270</v>
      </c>
      <c r="M711" s="44">
        <f t="shared" si="52"/>
        <v>0.10976923076923077</v>
      </c>
      <c r="N711" s="49">
        <f>ROUND(L711/Summary!$C$3*Summary!$C$2,0)</f>
        <v>44237</v>
      </c>
      <c r="O711" s="44">
        <f t="shared" si="53"/>
        <v>0.34028461538461541</v>
      </c>
      <c r="P711" s="78">
        <v>10</v>
      </c>
      <c r="Q711" s="34">
        <v>0</v>
      </c>
      <c r="R711" s="35">
        <f t="shared" si="54"/>
        <v>0</v>
      </c>
      <c r="S711" s="49">
        <f>ROUND(Q711/Summary!$C$3*Summary!$C$2,0)</f>
        <v>0</v>
      </c>
      <c r="T711" s="44">
        <f t="shared" si="55"/>
        <v>0</v>
      </c>
      <c r="U711" s="34">
        <v>0</v>
      </c>
      <c r="V711" s="34">
        <v>0</v>
      </c>
      <c r="W711" s="34">
        <v>0</v>
      </c>
      <c r="X711" s="34">
        <v>0</v>
      </c>
    </row>
    <row r="712" spans="1:24" hidden="1">
      <c r="A712" s="54" t="s">
        <v>2664</v>
      </c>
      <c r="B712" s="54" t="s">
        <v>2665</v>
      </c>
      <c r="C712" s="54" t="s">
        <v>167</v>
      </c>
      <c r="D712" s="54" t="s">
        <v>139</v>
      </c>
      <c r="E712" s="54" t="s">
        <v>0</v>
      </c>
      <c r="F712" s="54" t="s">
        <v>2666</v>
      </c>
      <c r="G712" s="54">
        <v>1733270111</v>
      </c>
      <c r="H712" s="54" t="s">
        <v>229</v>
      </c>
      <c r="I712" s="54" t="s">
        <v>3514</v>
      </c>
      <c r="J712" s="34" t="s">
        <v>3419</v>
      </c>
      <c r="K712" s="50">
        <v>230702</v>
      </c>
      <c r="L712" s="43">
        <v>57414</v>
      </c>
      <c r="M712" s="44">
        <f t="shared" si="52"/>
        <v>0.24886650310790542</v>
      </c>
      <c r="N712" s="49">
        <f>ROUND(L712/Summary!$C$3*Summary!$C$2,0)</f>
        <v>177983</v>
      </c>
      <c r="O712" s="44">
        <f t="shared" si="53"/>
        <v>0.77148442579604859</v>
      </c>
      <c r="P712" s="78">
        <v>14</v>
      </c>
      <c r="Q712" s="34">
        <v>4</v>
      </c>
      <c r="R712" s="35">
        <f t="shared" si="54"/>
        <v>0.2857142857142857</v>
      </c>
      <c r="S712" s="49">
        <f>ROUND(Q712/Summary!$C$3*Summary!$C$2,0)</f>
        <v>12</v>
      </c>
      <c r="T712" s="44">
        <f t="shared" si="55"/>
        <v>0.8571428571428571</v>
      </c>
      <c r="U712" s="34">
        <v>1</v>
      </c>
      <c r="V712" s="34">
        <v>0</v>
      </c>
      <c r="W712" s="34">
        <v>0</v>
      </c>
      <c r="X712" s="34">
        <v>2</v>
      </c>
    </row>
    <row r="713" spans="1:24" hidden="1">
      <c r="A713" s="75" t="s">
        <v>3609</v>
      </c>
      <c r="B713" s="75" t="s">
        <v>3610</v>
      </c>
      <c r="C713" s="75" t="s">
        <v>167</v>
      </c>
      <c r="D713" s="75" t="s">
        <v>139</v>
      </c>
      <c r="E713" s="75" t="s">
        <v>0</v>
      </c>
      <c r="F713" s="76" t="s">
        <v>3611</v>
      </c>
      <c r="G713" s="71">
        <v>1862700600</v>
      </c>
      <c r="H713" s="54" t="s">
        <v>229</v>
      </c>
      <c r="I713" s="54" t="s">
        <v>3518</v>
      </c>
      <c r="J713" s="34" t="s">
        <v>3419</v>
      </c>
      <c r="K713" s="50">
        <v>300000</v>
      </c>
      <c r="L713" s="43">
        <v>79860</v>
      </c>
      <c r="M713" s="44">
        <f t="shared" si="52"/>
        <v>0.26619999999999999</v>
      </c>
      <c r="N713" s="49">
        <f>ROUND(L713/Summary!$C$3*Summary!$C$2,0)</f>
        <v>247566</v>
      </c>
      <c r="O713" s="44">
        <f t="shared" si="53"/>
        <v>0.82521999999999995</v>
      </c>
      <c r="P713" s="78">
        <v>15</v>
      </c>
      <c r="Q713" s="34">
        <v>3</v>
      </c>
      <c r="R713" s="35">
        <f t="shared" si="54"/>
        <v>0.2</v>
      </c>
      <c r="S713" s="49">
        <f>ROUND(Q713/Summary!$C$3*Summary!$C$2,0)</f>
        <v>9</v>
      </c>
      <c r="T713" s="44">
        <f t="shared" si="55"/>
        <v>0.6</v>
      </c>
      <c r="U713" s="34">
        <v>1</v>
      </c>
      <c r="V713" s="34">
        <v>0</v>
      </c>
      <c r="W713" s="34">
        <v>0</v>
      </c>
      <c r="X713" s="34">
        <v>0</v>
      </c>
    </row>
    <row r="714" spans="1:24" hidden="1">
      <c r="A714" s="54" t="s">
        <v>2584</v>
      </c>
      <c r="B714" s="54" t="s">
        <v>2585</v>
      </c>
      <c r="C714" s="54" t="s">
        <v>167</v>
      </c>
      <c r="D714" s="54" t="s">
        <v>139</v>
      </c>
      <c r="E714" s="54" t="s">
        <v>0</v>
      </c>
      <c r="F714" s="54" t="s">
        <v>2586</v>
      </c>
      <c r="G714" s="54">
        <v>1686472090</v>
      </c>
      <c r="H714" s="54" t="s">
        <v>229</v>
      </c>
      <c r="I714" s="54" t="s">
        <v>3514</v>
      </c>
      <c r="J714" s="34" t="s">
        <v>3419</v>
      </c>
      <c r="K714" s="50">
        <v>130000</v>
      </c>
      <c r="L714" s="43">
        <v>10530</v>
      </c>
      <c r="M714" s="44">
        <f t="shared" ref="M714:M777" si="60">L714/K714</f>
        <v>8.1000000000000003E-2</v>
      </c>
      <c r="N714" s="49">
        <f>ROUND(L714/Summary!$C$3*Summary!$C$2,0)</f>
        <v>32643</v>
      </c>
      <c r="O714" s="44">
        <f t="shared" ref="O714:O777" si="61">N714/K714</f>
        <v>0.25109999999999999</v>
      </c>
      <c r="P714" s="78">
        <v>10</v>
      </c>
      <c r="Q714" s="34">
        <v>0</v>
      </c>
      <c r="R714" s="35">
        <f t="shared" ref="R714:R777" si="62">Q714/P714</f>
        <v>0</v>
      </c>
      <c r="S714" s="49">
        <f>ROUND(Q714/Summary!$C$3*Summary!$C$2,0)</f>
        <v>0</v>
      </c>
      <c r="T714" s="44">
        <f t="shared" ref="T714:T777" si="63">S714/P714</f>
        <v>0</v>
      </c>
      <c r="U714" s="34">
        <v>1</v>
      </c>
      <c r="V714" s="34">
        <v>0</v>
      </c>
      <c r="W714" s="34">
        <v>0</v>
      </c>
      <c r="X714" s="34">
        <v>0</v>
      </c>
    </row>
    <row r="715" spans="1:24" hidden="1">
      <c r="A715" s="54" t="s">
        <v>2574</v>
      </c>
      <c r="B715" s="54" t="s">
        <v>2575</v>
      </c>
      <c r="C715" s="54" t="s">
        <v>167</v>
      </c>
      <c r="D715" s="54" t="s">
        <v>139</v>
      </c>
      <c r="E715" s="54" t="s">
        <v>0</v>
      </c>
      <c r="F715" s="54" t="s">
        <v>2576</v>
      </c>
      <c r="G715" s="54">
        <v>1719573602</v>
      </c>
      <c r="H715" s="54" t="s">
        <v>229</v>
      </c>
      <c r="I715" s="54" t="s">
        <v>3514</v>
      </c>
      <c r="J715" s="34" t="s">
        <v>3421</v>
      </c>
      <c r="K715" s="50">
        <v>175037</v>
      </c>
      <c r="L715" s="43">
        <v>57125</v>
      </c>
      <c r="M715" s="44">
        <f t="shared" si="60"/>
        <v>0.32635956969097962</v>
      </c>
      <c r="N715" s="49">
        <f>ROUND(L715/Summary!$C$3*Summary!$C$2,0)</f>
        <v>177088</v>
      </c>
      <c r="O715" s="44">
        <f t="shared" si="61"/>
        <v>1.0117175225809401</v>
      </c>
      <c r="P715" s="78">
        <v>10</v>
      </c>
      <c r="Q715" s="34">
        <v>2</v>
      </c>
      <c r="R715" s="35">
        <f t="shared" si="62"/>
        <v>0.2</v>
      </c>
      <c r="S715" s="49">
        <f>ROUND(Q715/Summary!$C$3*Summary!$C$2,0)</f>
        <v>6</v>
      </c>
      <c r="T715" s="44">
        <f t="shared" si="63"/>
        <v>0.6</v>
      </c>
      <c r="U715" s="34">
        <v>0</v>
      </c>
      <c r="V715" s="34">
        <v>1</v>
      </c>
      <c r="W715" s="34">
        <v>0</v>
      </c>
      <c r="X715" s="34">
        <v>0</v>
      </c>
    </row>
    <row r="716" spans="1:24" hidden="1">
      <c r="A716" s="54" t="s">
        <v>2775</v>
      </c>
      <c r="B716" s="54" t="s">
        <v>2776</v>
      </c>
      <c r="C716" s="54" t="s">
        <v>57</v>
      </c>
      <c r="D716" s="54" t="s">
        <v>58</v>
      </c>
      <c r="E716" s="54" t="s">
        <v>0</v>
      </c>
      <c r="F716" s="54" t="s">
        <v>2777</v>
      </c>
      <c r="G716" s="54">
        <v>1726403461</v>
      </c>
      <c r="H716" s="54" t="s">
        <v>229</v>
      </c>
      <c r="I716" s="54" t="s">
        <v>3514</v>
      </c>
      <c r="J716" s="34" t="s">
        <v>3421</v>
      </c>
      <c r="K716" s="50">
        <v>130000</v>
      </c>
      <c r="L716" s="43">
        <v>17870</v>
      </c>
      <c r="M716" s="44">
        <f t="shared" si="60"/>
        <v>0.13746153846153847</v>
      </c>
      <c r="N716" s="49">
        <f>ROUND(L716/Summary!$C$3*Summary!$C$2,0)</f>
        <v>55397</v>
      </c>
      <c r="O716" s="44">
        <f t="shared" si="61"/>
        <v>0.42613076923076926</v>
      </c>
      <c r="P716" s="78">
        <v>10</v>
      </c>
      <c r="Q716" s="34">
        <v>1</v>
      </c>
      <c r="R716" s="35">
        <f t="shared" si="62"/>
        <v>0.1</v>
      </c>
      <c r="S716" s="49">
        <f>ROUND(Q716/Summary!$C$3*Summary!$C$2,0)</f>
        <v>3</v>
      </c>
      <c r="T716" s="44">
        <f t="shared" si="63"/>
        <v>0.3</v>
      </c>
      <c r="U716" s="34">
        <v>0</v>
      </c>
      <c r="V716" s="34">
        <v>0</v>
      </c>
      <c r="W716" s="34">
        <v>0</v>
      </c>
      <c r="X716" s="34">
        <v>0</v>
      </c>
    </row>
    <row r="717" spans="1:24" hidden="1">
      <c r="A717" s="54" t="s">
        <v>2488</v>
      </c>
      <c r="B717" s="54" t="s">
        <v>2489</v>
      </c>
      <c r="C717" s="54" t="s">
        <v>57</v>
      </c>
      <c r="D717" s="54" t="s">
        <v>58</v>
      </c>
      <c r="E717" s="54" t="s">
        <v>0</v>
      </c>
      <c r="F717" s="54" t="s">
        <v>2490</v>
      </c>
      <c r="G717" s="54">
        <v>1824333333</v>
      </c>
      <c r="H717" s="54" t="s">
        <v>229</v>
      </c>
      <c r="I717" s="54" t="s">
        <v>3518</v>
      </c>
      <c r="J717" s="34" t="s">
        <v>3419</v>
      </c>
      <c r="K717" s="50">
        <v>451914</v>
      </c>
      <c r="L717" s="43">
        <v>102570</v>
      </c>
      <c r="M717" s="44">
        <f t="shared" si="60"/>
        <v>0.22696796293100013</v>
      </c>
      <c r="N717" s="49">
        <f>ROUND(L717/Summary!$C$3*Summary!$C$2,0)</f>
        <v>317967</v>
      </c>
      <c r="O717" s="44">
        <f t="shared" si="61"/>
        <v>0.70360068508610041</v>
      </c>
      <c r="P717" s="78">
        <v>22</v>
      </c>
      <c r="Q717" s="34">
        <v>4</v>
      </c>
      <c r="R717" s="35">
        <f t="shared" si="62"/>
        <v>0.18181818181818182</v>
      </c>
      <c r="S717" s="49">
        <f>ROUND(Q717/Summary!$C$3*Summary!$C$2,0)</f>
        <v>12</v>
      </c>
      <c r="T717" s="44">
        <f t="shared" si="63"/>
        <v>0.54545454545454541</v>
      </c>
      <c r="U717" s="34">
        <v>1</v>
      </c>
      <c r="V717" s="34">
        <v>1</v>
      </c>
      <c r="W717" s="34">
        <v>0</v>
      </c>
      <c r="X717" s="34">
        <v>0</v>
      </c>
    </row>
    <row r="718" spans="1:24" hidden="1">
      <c r="A718" s="54" t="s">
        <v>3480</v>
      </c>
      <c r="B718" s="54" t="s">
        <v>3481</v>
      </c>
      <c r="C718" s="54" t="s">
        <v>57</v>
      </c>
      <c r="D718" s="54" t="s">
        <v>58</v>
      </c>
      <c r="E718" s="54" t="s">
        <v>0</v>
      </c>
      <c r="F718" s="54" t="s">
        <v>3482</v>
      </c>
      <c r="G718" s="54">
        <v>1918263141</v>
      </c>
      <c r="H718" s="54" t="s">
        <v>229</v>
      </c>
      <c r="I718" s="54" t="s">
        <v>3514</v>
      </c>
      <c r="J718" s="34" t="s">
        <v>3421</v>
      </c>
      <c r="K718" s="50">
        <v>130000</v>
      </c>
      <c r="L718" s="43">
        <v>33435</v>
      </c>
      <c r="M718" s="44">
        <f t="shared" si="60"/>
        <v>0.25719230769230772</v>
      </c>
      <c r="N718" s="49">
        <f>ROUND(L718/Summary!$C$3*Summary!$C$2,0)</f>
        <v>103649</v>
      </c>
      <c r="O718" s="44">
        <f t="shared" si="61"/>
        <v>0.79730000000000001</v>
      </c>
      <c r="P718" s="78">
        <v>10</v>
      </c>
      <c r="Q718" s="34">
        <v>3</v>
      </c>
      <c r="R718" s="35">
        <f t="shared" si="62"/>
        <v>0.3</v>
      </c>
      <c r="S718" s="49">
        <f>ROUND(Q718/Summary!$C$3*Summary!$C$2,0)</f>
        <v>9</v>
      </c>
      <c r="T718" s="44">
        <f t="shared" si="63"/>
        <v>0.9</v>
      </c>
      <c r="U718" s="34">
        <v>1</v>
      </c>
      <c r="V718" s="34">
        <v>0</v>
      </c>
      <c r="W718" s="34">
        <v>0</v>
      </c>
      <c r="X718" s="34">
        <v>0</v>
      </c>
    </row>
    <row r="719" spans="1:24" hidden="1">
      <c r="A719" s="54" t="s">
        <v>2646</v>
      </c>
      <c r="B719" s="54" t="s">
        <v>2647</v>
      </c>
      <c r="C719" s="54" t="s">
        <v>57</v>
      </c>
      <c r="D719" s="54" t="s">
        <v>58</v>
      </c>
      <c r="E719" s="54" t="s">
        <v>0</v>
      </c>
      <c r="F719" s="54" t="s">
        <v>2648</v>
      </c>
      <c r="G719" s="54">
        <v>1712723165</v>
      </c>
      <c r="H719" s="54" t="s">
        <v>229</v>
      </c>
      <c r="I719" s="54" t="s">
        <v>3514</v>
      </c>
      <c r="J719" s="34" t="s">
        <v>3419</v>
      </c>
      <c r="K719" s="50">
        <v>151026</v>
      </c>
      <c r="L719" s="43">
        <v>44370</v>
      </c>
      <c r="M719" s="44">
        <f t="shared" si="60"/>
        <v>0.29379047316356122</v>
      </c>
      <c r="N719" s="49">
        <f>ROUND(L719/Summary!$C$3*Summary!$C$2,0)</f>
        <v>137547</v>
      </c>
      <c r="O719" s="44">
        <f t="shared" si="61"/>
        <v>0.91075046680703986</v>
      </c>
      <c r="P719" s="78">
        <v>10</v>
      </c>
      <c r="Q719" s="34">
        <v>2</v>
      </c>
      <c r="R719" s="35">
        <f t="shared" si="62"/>
        <v>0.2</v>
      </c>
      <c r="S719" s="49">
        <f>ROUND(Q719/Summary!$C$3*Summary!$C$2,0)</f>
        <v>6</v>
      </c>
      <c r="T719" s="44">
        <f t="shared" si="63"/>
        <v>0.6</v>
      </c>
      <c r="U719" s="34">
        <v>0</v>
      </c>
      <c r="V719" s="34">
        <v>1</v>
      </c>
      <c r="W719" s="34">
        <v>0</v>
      </c>
      <c r="X719" s="34">
        <v>0</v>
      </c>
    </row>
    <row r="720" spans="1:24" hidden="1">
      <c r="A720" s="54" t="s">
        <v>2511</v>
      </c>
      <c r="B720" s="54" t="s">
        <v>2512</v>
      </c>
      <c r="C720" s="54" t="s">
        <v>57</v>
      </c>
      <c r="D720" s="54" t="s">
        <v>58</v>
      </c>
      <c r="E720" s="54" t="s">
        <v>0</v>
      </c>
      <c r="F720" s="54" t="s">
        <v>2513</v>
      </c>
      <c r="G720" s="54">
        <v>1712011872</v>
      </c>
      <c r="H720" s="54" t="s">
        <v>229</v>
      </c>
      <c r="I720" s="54" t="s">
        <v>3514</v>
      </c>
      <c r="J720" s="34" t="s">
        <v>3421</v>
      </c>
      <c r="K720" s="50">
        <v>130000</v>
      </c>
      <c r="L720" s="43">
        <v>32590</v>
      </c>
      <c r="M720" s="44">
        <f t="shared" si="60"/>
        <v>0.25069230769230771</v>
      </c>
      <c r="N720" s="49">
        <f>ROUND(L720/Summary!$C$3*Summary!$C$2,0)</f>
        <v>101029</v>
      </c>
      <c r="O720" s="44">
        <f t="shared" si="61"/>
        <v>0.77714615384615382</v>
      </c>
      <c r="P720" s="78">
        <v>10</v>
      </c>
      <c r="Q720" s="34">
        <v>1</v>
      </c>
      <c r="R720" s="35">
        <f t="shared" si="62"/>
        <v>0.1</v>
      </c>
      <c r="S720" s="49">
        <f>ROUND(Q720/Summary!$C$3*Summary!$C$2,0)</f>
        <v>3</v>
      </c>
      <c r="T720" s="44">
        <f t="shared" si="63"/>
        <v>0.3</v>
      </c>
      <c r="U720" s="34">
        <v>1</v>
      </c>
      <c r="V720" s="34">
        <v>0</v>
      </c>
      <c r="W720" s="34">
        <v>0</v>
      </c>
      <c r="X720" s="34">
        <v>0</v>
      </c>
    </row>
    <row r="721" spans="1:24" hidden="1">
      <c r="A721" s="54" t="s">
        <v>2679</v>
      </c>
      <c r="B721" s="54" t="s">
        <v>59</v>
      </c>
      <c r="C721" s="54" t="s">
        <v>57</v>
      </c>
      <c r="D721" s="54" t="s">
        <v>58</v>
      </c>
      <c r="E721" s="54" t="s">
        <v>0</v>
      </c>
      <c r="F721" s="54" t="s">
        <v>2680</v>
      </c>
      <c r="G721" s="54">
        <v>1616956060</v>
      </c>
      <c r="H721" s="54" t="s">
        <v>229</v>
      </c>
      <c r="I721" s="54" t="s">
        <v>3514</v>
      </c>
      <c r="J721" s="34" t="s">
        <v>3419</v>
      </c>
      <c r="K721" s="50">
        <v>179121</v>
      </c>
      <c r="L721" s="43">
        <v>48760</v>
      </c>
      <c r="M721" s="44">
        <f t="shared" si="60"/>
        <v>0.27221822120242739</v>
      </c>
      <c r="N721" s="49">
        <f>ROUND(L721/Summary!$C$3*Summary!$C$2,0)</f>
        <v>151156</v>
      </c>
      <c r="O721" s="44">
        <f t="shared" si="61"/>
        <v>0.84387648572752494</v>
      </c>
      <c r="P721" s="78">
        <v>10</v>
      </c>
      <c r="Q721" s="34">
        <v>2</v>
      </c>
      <c r="R721" s="35">
        <f t="shared" si="62"/>
        <v>0.2</v>
      </c>
      <c r="S721" s="49">
        <f>ROUND(Q721/Summary!$C$3*Summary!$C$2,0)</f>
        <v>6</v>
      </c>
      <c r="T721" s="44">
        <f t="shared" si="63"/>
        <v>0.6</v>
      </c>
      <c r="U721" s="34">
        <v>0</v>
      </c>
      <c r="V721" s="34">
        <v>0</v>
      </c>
      <c r="W721" s="34">
        <v>0</v>
      </c>
      <c r="X721" s="34">
        <v>0</v>
      </c>
    </row>
    <row r="722" spans="1:24" hidden="1">
      <c r="A722" s="54" t="s">
        <v>2543</v>
      </c>
      <c r="B722" s="54" t="s">
        <v>269</v>
      </c>
      <c r="C722" s="54" t="s">
        <v>57</v>
      </c>
      <c r="D722" s="54" t="s">
        <v>58</v>
      </c>
      <c r="E722" s="54" t="s">
        <v>0</v>
      </c>
      <c r="F722" s="54" t="s">
        <v>2544</v>
      </c>
      <c r="G722" s="54">
        <v>1915690704</v>
      </c>
      <c r="H722" s="54" t="s">
        <v>229</v>
      </c>
      <c r="I722" s="54" t="s">
        <v>3514</v>
      </c>
      <c r="J722" s="34" t="s">
        <v>3419</v>
      </c>
      <c r="K722" s="50">
        <v>130000</v>
      </c>
      <c r="L722" s="43">
        <v>45970</v>
      </c>
      <c r="M722" s="44">
        <f t="shared" si="60"/>
        <v>0.35361538461538461</v>
      </c>
      <c r="N722" s="49">
        <f>ROUND(L722/Summary!$C$3*Summary!$C$2,0)</f>
        <v>142507</v>
      </c>
      <c r="O722" s="44">
        <f t="shared" si="61"/>
        <v>1.0962076923076922</v>
      </c>
      <c r="P722" s="78">
        <v>10</v>
      </c>
      <c r="Q722" s="34">
        <v>3</v>
      </c>
      <c r="R722" s="35">
        <f t="shared" si="62"/>
        <v>0.3</v>
      </c>
      <c r="S722" s="49">
        <f>ROUND(Q722/Summary!$C$3*Summary!$C$2,0)</f>
        <v>9</v>
      </c>
      <c r="T722" s="44">
        <f t="shared" si="63"/>
        <v>0.9</v>
      </c>
      <c r="U722" s="34">
        <v>1</v>
      </c>
      <c r="V722" s="34">
        <v>1</v>
      </c>
      <c r="W722" s="34">
        <v>0</v>
      </c>
      <c r="X722" s="34">
        <v>0</v>
      </c>
    </row>
    <row r="723" spans="1:24" hidden="1">
      <c r="A723" s="54" t="s">
        <v>2491</v>
      </c>
      <c r="B723" s="54" t="s">
        <v>2492</v>
      </c>
      <c r="C723" s="54" t="s">
        <v>57</v>
      </c>
      <c r="D723" s="54" t="s">
        <v>58</v>
      </c>
      <c r="E723" s="54" t="s">
        <v>0</v>
      </c>
      <c r="F723" s="54" t="s">
        <v>2493</v>
      </c>
      <c r="G723" s="54">
        <v>1771933839</v>
      </c>
      <c r="H723" s="54" t="s">
        <v>229</v>
      </c>
      <c r="I723" s="54" t="s">
        <v>3514</v>
      </c>
      <c r="J723" s="34" t="s">
        <v>3515</v>
      </c>
      <c r="K723" s="50">
        <v>205911</v>
      </c>
      <c r="L723" s="43">
        <v>62675</v>
      </c>
      <c r="M723" s="44">
        <f t="shared" si="60"/>
        <v>0.30437907639708417</v>
      </c>
      <c r="N723" s="49">
        <f>ROUND(L723/Summary!$C$3*Summary!$C$2,0)</f>
        <v>194293</v>
      </c>
      <c r="O723" s="44">
        <f t="shared" si="61"/>
        <v>0.94357756506451818</v>
      </c>
      <c r="P723" s="78">
        <v>10</v>
      </c>
      <c r="Q723" s="34">
        <v>3</v>
      </c>
      <c r="R723" s="35">
        <f t="shared" si="62"/>
        <v>0.3</v>
      </c>
      <c r="S723" s="49">
        <f>ROUND(Q723/Summary!$C$3*Summary!$C$2,0)</f>
        <v>9</v>
      </c>
      <c r="T723" s="44">
        <f t="shared" si="63"/>
        <v>0.9</v>
      </c>
      <c r="U723" s="34">
        <v>2</v>
      </c>
      <c r="V723" s="34">
        <v>2</v>
      </c>
      <c r="W723" s="34">
        <v>0</v>
      </c>
      <c r="X723" s="34">
        <v>0</v>
      </c>
    </row>
    <row r="724" spans="1:24" hidden="1">
      <c r="A724" s="54" t="s">
        <v>2462</v>
      </c>
      <c r="B724" s="54" t="s">
        <v>2463</v>
      </c>
      <c r="C724" s="54" t="s">
        <v>57</v>
      </c>
      <c r="D724" s="54" t="s">
        <v>58</v>
      </c>
      <c r="E724" s="54" t="s">
        <v>0</v>
      </c>
      <c r="F724" s="54" t="s">
        <v>2464</v>
      </c>
      <c r="G724" s="54">
        <v>1738918738</v>
      </c>
      <c r="H724" s="54" t="s">
        <v>229</v>
      </c>
      <c r="I724" s="54" t="s">
        <v>3514</v>
      </c>
      <c r="J724" s="34" t="s">
        <v>3515</v>
      </c>
      <c r="K724" s="50">
        <v>172361</v>
      </c>
      <c r="L724" s="43">
        <v>49160</v>
      </c>
      <c r="M724" s="44">
        <f t="shared" si="60"/>
        <v>0.28521533293494467</v>
      </c>
      <c r="N724" s="49">
        <f>ROUND(L724/Summary!$C$3*Summary!$C$2,0)</f>
        <v>152396</v>
      </c>
      <c r="O724" s="44">
        <f t="shared" si="61"/>
        <v>0.88416753209832855</v>
      </c>
      <c r="P724" s="78">
        <v>10</v>
      </c>
      <c r="Q724" s="34">
        <v>3</v>
      </c>
      <c r="R724" s="35">
        <f t="shared" si="62"/>
        <v>0.3</v>
      </c>
      <c r="S724" s="49">
        <f>ROUND(Q724/Summary!$C$3*Summary!$C$2,0)</f>
        <v>9</v>
      </c>
      <c r="T724" s="44">
        <f t="shared" si="63"/>
        <v>0.9</v>
      </c>
      <c r="U724" s="34">
        <v>0</v>
      </c>
      <c r="V724" s="34">
        <v>0</v>
      </c>
      <c r="W724" s="34">
        <v>0</v>
      </c>
      <c r="X724" s="34">
        <v>0</v>
      </c>
    </row>
    <row r="725" spans="1:24" hidden="1">
      <c r="A725" s="54" t="s">
        <v>2654</v>
      </c>
      <c r="B725" s="54" t="s">
        <v>1977</v>
      </c>
      <c r="C725" s="54" t="s">
        <v>57</v>
      </c>
      <c r="D725" s="54" t="s">
        <v>58</v>
      </c>
      <c r="E725" s="54" t="s">
        <v>0</v>
      </c>
      <c r="F725" s="54" t="s">
        <v>2655</v>
      </c>
      <c r="G725" s="54">
        <v>1911559383</v>
      </c>
      <c r="H725" s="54" t="s">
        <v>229</v>
      </c>
      <c r="I725" s="54" t="s">
        <v>3514</v>
      </c>
      <c r="J725" s="34" t="s">
        <v>3515</v>
      </c>
      <c r="K725" s="50">
        <v>226302</v>
      </c>
      <c r="L725" s="43">
        <v>59140</v>
      </c>
      <c r="M725" s="44">
        <f t="shared" si="60"/>
        <v>0.26133220210161645</v>
      </c>
      <c r="N725" s="49">
        <f>ROUND(L725/Summary!$C$3*Summary!$C$2,0)</f>
        <v>183334</v>
      </c>
      <c r="O725" s="44">
        <f t="shared" si="61"/>
        <v>0.81012982651501086</v>
      </c>
      <c r="P725" s="78">
        <v>10</v>
      </c>
      <c r="Q725" s="34">
        <v>3</v>
      </c>
      <c r="R725" s="35">
        <f t="shared" si="62"/>
        <v>0.3</v>
      </c>
      <c r="S725" s="49">
        <f>ROUND(Q725/Summary!$C$3*Summary!$C$2,0)</f>
        <v>9</v>
      </c>
      <c r="T725" s="44">
        <f t="shared" si="63"/>
        <v>0.9</v>
      </c>
      <c r="U725" s="34">
        <v>1</v>
      </c>
      <c r="V725" s="34">
        <v>2</v>
      </c>
      <c r="W725" s="34">
        <v>0</v>
      </c>
      <c r="X725" s="34">
        <v>0</v>
      </c>
    </row>
    <row r="726" spans="1:24" hidden="1">
      <c r="A726" s="54" t="s">
        <v>2577</v>
      </c>
      <c r="B726" s="54" t="s">
        <v>2578</v>
      </c>
      <c r="C726" s="54" t="s">
        <v>57</v>
      </c>
      <c r="D726" s="54" t="s">
        <v>58</v>
      </c>
      <c r="E726" s="54" t="s">
        <v>0</v>
      </c>
      <c r="F726" s="54" t="s">
        <v>2579</v>
      </c>
      <c r="G726" s="54">
        <v>1740602260</v>
      </c>
      <c r="H726" s="54" t="s">
        <v>229</v>
      </c>
      <c r="I726" s="54" t="s">
        <v>3514</v>
      </c>
      <c r="J726" s="34" t="s">
        <v>3515</v>
      </c>
      <c r="K726" s="50">
        <v>130000</v>
      </c>
      <c r="L726" s="43">
        <v>44010</v>
      </c>
      <c r="M726" s="44">
        <f t="shared" si="60"/>
        <v>0.33853846153846157</v>
      </c>
      <c r="N726" s="49">
        <f>ROUND(L726/Summary!$C$3*Summary!$C$2,0)</f>
        <v>136431</v>
      </c>
      <c r="O726" s="44">
        <f t="shared" si="61"/>
        <v>1.0494692307692308</v>
      </c>
      <c r="P726" s="78">
        <v>10</v>
      </c>
      <c r="Q726" s="34">
        <v>1</v>
      </c>
      <c r="R726" s="35">
        <f t="shared" si="62"/>
        <v>0.1</v>
      </c>
      <c r="S726" s="49">
        <f>ROUND(Q726/Summary!$C$3*Summary!$C$2,0)</f>
        <v>3</v>
      </c>
      <c r="T726" s="44">
        <f t="shared" si="63"/>
        <v>0.3</v>
      </c>
      <c r="U726" s="34">
        <v>1</v>
      </c>
      <c r="V726" s="34">
        <v>0</v>
      </c>
      <c r="W726" s="34">
        <v>0</v>
      </c>
      <c r="X726" s="34">
        <v>0</v>
      </c>
    </row>
    <row r="727" spans="1:24" hidden="1">
      <c r="A727" s="54" t="s">
        <v>2381</v>
      </c>
      <c r="B727" s="54" t="s">
        <v>2382</v>
      </c>
      <c r="C727" s="54" t="s">
        <v>57</v>
      </c>
      <c r="D727" s="54" t="s">
        <v>58</v>
      </c>
      <c r="E727" s="54" t="s">
        <v>0</v>
      </c>
      <c r="F727" s="54" t="s">
        <v>2383</v>
      </c>
      <c r="G727" s="54">
        <v>1911563014</v>
      </c>
      <c r="H727" s="54" t="s">
        <v>229</v>
      </c>
      <c r="I727" s="54" t="s">
        <v>3514</v>
      </c>
      <c r="J727" s="34" t="s">
        <v>3515</v>
      </c>
      <c r="K727" s="50">
        <v>130000</v>
      </c>
      <c r="L727" s="43">
        <v>24050</v>
      </c>
      <c r="M727" s="44">
        <f t="shared" si="60"/>
        <v>0.185</v>
      </c>
      <c r="N727" s="49">
        <f>ROUND(L727/Summary!$C$3*Summary!$C$2,0)</f>
        <v>74555</v>
      </c>
      <c r="O727" s="44">
        <f t="shared" si="61"/>
        <v>0.57350000000000001</v>
      </c>
      <c r="P727" s="78">
        <v>10</v>
      </c>
      <c r="Q727" s="34">
        <v>0</v>
      </c>
      <c r="R727" s="35">
        <f t="shared" si="62"/>
        <v>0</v>
      </c>
      <c r="S727" s="49">
        <f>ROUND(Q727/Summary!$C$3*Summary!$C$2,0)</f>
        <v>0</v>
      </c>
      <c r="T727" s="44">
        <f t="shared" si="63"/>
        <v>0</v>
      </c>
      <c r="U727" s="34">
        <v>0</v>
      </c>
      <c r="V727" s="34">
        <v>0</v>
      </c>
      <c r="W727" s="34">
        <v>0</v>
      </c>
      <c r="X727" s="34">
        <v>0</v>
      </c>
    </row>
    <row r="728" spans="1:24" hidden="1">
      <c r="A728" s="75" t="s">
        <v>3612</v>
      </c>
      <c r="B728" s="75" t="s">
        <v>3613</v>
      </c>
      <c r="C728" s="75" t="s">
        <v>108</v>
      </c>
      <c r="D728" s="75" t="s">
        <v>58</v>
      </c>
      <c r="E728" s="75" t="s">
        <v>0</v>
      </c>
      <c r="F728" s="75" t="s">
        <v>3614</v>
      </c>
      <c r="G728" s="67">
        <v>1965396476</v>
      </c>
      <c r="H728" s="54" t="s">
        <v>229</v>
      </c>
      <c r="I728" s="54" t="s">
        <v>3514</v>
      </c>
      <c r="J728" s="34" t="s">
        <v>3421</v>
      </c>
      <c r="K728" s="50">
        <v>130000</v>
      </c>
      <c r="L728" s="43">
        <v>21660</v>
      </c>
      <c r="M728" s="44">
        <f t="shared" si="60"/>
        <v>0.16661538461538461</v>
      </c>
      <c r="N728" s="49">
        <f>ROUND(L728/Summary!$C$3*Summary!$C$2,0)</f>
        <v>67146</v>
      </c>
      <c r="O728" s="44">
        <f t="shared" si="61"/>
        <v>0.51650769230769233</v>
      </c>
      <c r="P728" s="78">
        <v>10</v>
      </c>
      <c r="Q728" s="34">
        <v>0</v>
      </c>
      <c r="R728" s="35">
        <f t="shared" si="62"/>
        <v>0</v>
      </c>
      <c r="S728" s="49">
        <f>ROUND(Q728/Summary!$C$3*Summary!$C$2,0)</f>
        <v>0</v>
      </c>
      <c r="T728" s="44">
        <f t="shared" si="63"/>
        <v>0</v>
      </c>
      <c r="U728" s="34">
        <v>0</v>
      </c>
      <c r="V728" s="34">
        <v>0</v>
      </c>
      <c r="W728" s="34">
        <v>0</v>
      </c>
      <c r="X728" s="34">
        <v>0</v>
      </c>
    </row>
    <row r="729" spans="1:24" hidden="1">
      <c r="A729" s="54" t="s">
        <v>2933</v>
      </c>
      <c r="B729" s="54" t="s">
        <v>2934</v>
      </c>
      <c r="C729" s="54" t="s">
        <v>108</v>
      </c>
      <c r="D729" s="54" t="s">
        <v>58</v>
      </c>
      <c r="E729" s="54" t="s">
        <v>0</v>
      </c>
      <c r="F729" s="54" t="s">
        <v>2935</v>
      </c>
      <c r="G729" s="54">
        <v>1712861204</v>
      </c>
      <c r="H729" s="54" t="s">
        <v>229</v>
      </c>
      <c r="I729" s="54" t="s">
        <v>3514</v>
      </c>
      <c r="J729" s="34" t="s">
        <v>3421</v>
      </c>
      <c r="K729" s="50">
        <v>130000</v>
      </c>
      <c r="L729" s="43">
        <v>7990</v>
      </c>
      <c r="M729" s="44">
        <f t="shared" si="60"/>
        <v>6.1461538461538463E-2</v>
      </c>
      <c r="N729" s="49">
        <f>ROUND(L729/Summary!$C$3*Summary!$C$2,0)</f>
        <v>24769</v>
      </c>
      <c r="O729" s="44">
        <f t="shared" si="61"/>
        <v>0.19053076923076923</v>
      </c>
      <c r="P729" s="78">
        <v>10</v>
      </c>
      <c r="Q729" s="34">
        <v>1</v>
      </c>
      <c r="R729" s="35">
        <f t="shared" si="62"/>
        <v>0.1</v>
      </c>
      <c r="S729" s="49">
        <f>ROUND(Q729/Summary!$C$3*Summary!$C$2,0)</f>
        <v>3</v>
      </c>
      <c r="T729" s="44">
        <f t="shared" si="63"/>
        <v>0.3</v>
      </c>
      <c r="U729" s="34">
        <v>0</v>
      </c>
      <c r="V729" s="34">
        <v>0</v>
      </c>
      <c r="W729" s="34">
        <v>0</v>
      </c>
      <c r="X729" s="34">
        <v>0</v>
      </c>
    </row>
    <row r="730" spans="1:24" hidden="1">
      <c r="A730" s="75" t="s">
        <v>3615</v>
      </c>
      <c r="B730" s="75" t="s">
        <v>3616</v>
      </c>
      <c r="C730" s="75" t="s">
        <v>108</v>
      </c>
      <c r="D730" s="75" t="s">
        <v>58</v>
      </c>
      <c r="E730" s="75" t="s">
        <v>0</v>
      </c>
      <c r="F730" s="75" t="s">
        <v>3617</v>
      </c>
      <c r="G730" s="67">
        <v>1917498980</v>
      </c>
      <c r="H730" s="54" t="s">
        <v>229</v>
      </c>
      <c r="I730" s="54" t="s">
        <v>3514</v>
      </c>
      <c r="J730" s="34" t="s">
        <v>3421</v>
      </c>
      <c r="K730" s="50">
        <v>130000</v>
      </c>
      <c r="L730" s="43">
        <v>40805</v>
      </c>
      <c r="M730" s="44">
        <f t="shared" si="60"/>
        <v>0.31388461538461537</v>
      </c>
      <c r="N730" s="49">
        <f>ROUND(L730/Summary!$C$3*Summary!$C$2,0)</f>
        <v>126496</v>
      </c>
      <c r="O730" s="44">
        <f t="shared" si="61"/>
        <v>0.97304615384615389</v>
      </c>
      <c r="P730" s="78">
        <v>10</v>
      </c>
      <c r="Q730" s="34">
        <v>1</v>
      </c>
      <c r="R730" s="35">
        <f t="shared" si="62"/>
        <v>0.1</v>
      </c>
      <c r="S730" s="49">
        <f>ROUND(Q730/Summary!$C$3*Summary!$C$2,0)</f>
        <v>3</v>
      </c>
      <c r="T730" s="44">
        <f t="shared" si="63"/>
        <v>0.3</v>
      </c>
      <c r="U730" s="34">
        <v>0</v>
      </c>
      <c r="V730" s="34">
        <v>0</v>
      </c>
      <c r="W730" s="34">
        <v>0</v>
      </c>
      <c r="X730" s="34">
        <v>0</v>
      </c>
    </row>
    <row r="731" spans="1:24" hidden="1">
      <c r="A731" s="54" t="s">
        <v>2555</v>
      </c>
      <c r="B731" s="54" t="s">
        <v>2556</v>
      </c>
      <c r="C731" s="54" t="s">
        <v>108</v>
      </c>
      <c r="D731" s="54" t="s">
        <v>58</v>
      </c>
      <c r="E731" s="54" t="s">
        <v>0</v>
      </c>
      <c r="F731" s="54" t="s">
        <v>2557</v>
      </c>
      <c r="G731" s="54">
        <v>1706939394</v>
      </c>
      <c r="H731" s="54" t="s">
        <v>229</v>
      </c>
      <c r="I731" s="54" t="s">
        <v>3514</v>
      </c>
      <c r="J731" s="34" t="s">
        <v>3419</v>
      </c>
      <c r="K731" s="50">
        <v>170920</v>
      </c>
      <c r="L731" s="43">
        <v>60750</v>
      </c>
      <c r="M731" s="44">
        <f t="shared" si="60"/>
        <v>0.35542944067399951</v>
      </c>
      <c r="N731" s="49">
        <f>ROUND(L731/Summary!$C$3*Summary!$C$2,0)</f>
        <v>188325</v>
      </c>
      <c r="O731" s="44">
        <f t="shared" si="61"/>
        <v>1.1018312660893985</v>
      </c>
      <c r="P731" s="78">
        <v>10</v>
      </c>
      <c r="Q731" s="34">
        <v>4</v>
      </c>
      <c r="R731" s="35">
        <f t="shared" si="62"/>
        <v>0.4</v>
      </c>
      <c r="S731" s="49">
        <f>ROUND(Q731/Summary!$C$3*Summary!$C$2,0)</f>
        <v>12</v>
      </c>
      <c r="T731" s="44">
        <f t="shared" si="63"/>
        <v>1.2</v>
      </c>
      <c r="U731" s="34">
        <v>1</v>
      </c>
      <c r="V731" s="34">
        <v>2</v>
      </c>
      <c r="W731" s="34">
        <v>0</v>
      </c>
      <c r="X731" s="34">
        <v>0</v>
      </c>
    </row>
    <row r="732" spans="1:24" hidden="1">
      <c r="A732" s="54" t="s">
        <v>2656</v>
      </c>
      <c r="B732" s="54" t="s">
        <v>2657</v>
      </c>
      <c r="C732" s="54" t="s">
        <v>108</v>
      </c>
      <c r="D732" s="54" t="s">
        <v>58</v>
      </c>
      <c r="E732" s="54" t="s">
        <v>0</v>
      </c>
      <c r="F732" s="54" t="s">
        <v>2658</v>
      </c>
      <c r="G732" s="54">
        <v>1191112650</v>
      </c>
      <c r="H732" s="54" t="s">
        <v>229</v>
      </c>
      <c r="I732" s="54" t="s">
        <v>3514</v>
      </c>
      <c r="J732" s="34" t="s">
        <v>3419</v>
      </c>
      <c r="K732" s="50">
        <v>151236</v>
      </c>
      <c r="L732" s="43">
        <v>53020</v>
      </c>
      <c r="M732" s="44">
        <f t="shared" si="60"/>
        <v>0.35057790473167766</v>
      </c>
      <c r="N732" s="49">
        <f>ROUND(L732/Summary!$C$3*Summary!$C$2,0)</f>
        <v>164362</v>
      </c>
      <c r="O732" s="44">
        <f t="shared" si="61"/>
        <v>1.0867915046682006</v>
      </c>
      <c r="P732" s="78">
        <v>10</v>
      </c>
      <c r="Q732" s="34">
        <v>5</v>
      </c>
      <c r="R732" s="35">
        <f t="shared" si="62"/>
        <v>0.5</v>
      </c>
      <c r="S732" s="49">
        <f>ROUND(Q732/Summary!$C$3*Summary!$C$2,0)</f>
        <v>16</v>
      </c>
      <c r="T732" s="44">
        <f t="shared" si="63"/>
        <v>1.6</v>
      </c>
      <c r="U732" s="34">
        <v>0</v>
      </c>
      <c r="V732" s="34">
        <v>1</v>
      </c>
      <c r="W732" s="34">
        <v>0</v>
      </c>
      <c r="X732" s="34">
        <v>0</v>
      </c>
    </row>
    <row r="733" spans="1:24" hidden="1">
      <c r="A733" s="75" t="s">
        <v>3618</v>
      </c>
      <c r="B733" s="75" t="s">
        <v>3619</v>
      </c>
      <c r="C733" s="75" t="s">
        <v>108</v>
      </c>
      <c r="D733" s="75" t="s">
        <v>58</v>
      </c>
      <c r="E733" s="75" t="s">
        <v>0</v>
      </c>
      <c r="F733" s="75" t="s">
        <v>3620</v>
      </c>
      <c r="G733" s="67">
        <v>1671446436</v>
      </c>
      <c r="H733" s="54" t="s">
        <v>229</v>
      </c>
      <c r="I733" s="54" t="s">
        <v>3514</v>
      </c>
      <c r="J733" s="34" t="s">
        <v>3421</v>
      </c>
      <c r="K733" s="50">
        <v>130000</v>
      </c>
      <c r="L733" s="43">
        <v>46060</v>
      </c>
      <c r="M733" s="44">
        <f t="shared" si="60"/>
        <v>0.35430769230769232</v>
      </c>
      <c r="N733" s="49">
        <f>ROUND(L733/Summary!$C$3*Summary!$C$2,0)</f>
        <v>142786</v>
      </c>
      <c r="O733" s="44">
        <f t="shared" si="61"/>
        <v>1.0983538461538462</v>
      </c>
      <c r="P733" s="78">
        <v>10</v>
      </c>
      <c r="Q733" s="34">
        <v>1</v>
      </c>
      <c r="R733" s="35">
        <f t="shared" si="62"/>
        <v>0.1</v>
      </c>
      <c r="S733" s="49">
        <f>ROUND(Q733/Summary!$C$3*Summary!$C$2,0)</f>
        <v>3</v>
      </c>
      <c r="T733" s="44">
        <f t="shared" si="63"/>
        <v>0.3</v>
      </c>
      <c r="U733" s="34">
        <v>1</v>
      </c>
      <c r="V733" s="34">
        <v>0</v>
      </c>
      <c r="W733" s="34">
        <v>0</v>
      </c>
      <c r="X733" s="34">
        <v>0</v>
      </c>
    </row>
    <row r="734" spans="1:24" hidden="1">
      <c r="A734" s="54" t="s">
        <v>2626</v>
      </c>
      <c r="B734" s="54" t="s">
        <v>2627</v>
      </c>
      <c r="C734" s="54" t="s">
        <v>108</v>
      </c>
      <c r="D734" s="54" t="s">
        <v>58</v>
      </c>
      <c r="E734" s="54" t="s">
        <v>0</v>
      </c>
      <c r="F734" s="54" t="s">
        <v>2628</v>
      </c>
      <c r="G734" s="54">
        <v>1911850280</v>
      </c>
      <c r="H734" s="54" t="s">
        <v>229</v>
      </c>
      <c r="I734" s="54" t="s">
        <v>3514</v>
      </c>
      <c r="J734" s="34" t="s">
        <v>3421</v>
      </c>
      <c r="K734" s="50">
        <v>130000</v>
      </c>
      <c r="L734" s="43">
        <v>23850</v>
      </c>
      <c r="M734" s="44">
        <f t="shared" si="60"/>
        <v>0.18346153846153845</v>
      </c>
      <c r="N734" s="49">
        <f>ROUND(L734/Summary!$C$3*Summary!$C$2,0)</f>
        <v>73935</v>
      </c>
      <c r="O734" s="44">
        <f t="shared" si="61"/>
        <v>0.56873076923076926</v>
      </c>
      <c r="P734" s="78">
        <v>10</v>
      </c>
      <c r="Q734" s="34">
        <v>0</v>
      </c>
      <c r="R734" s="35">
        <f t="shared" si="62"/>
        <v>0</v>
      </c>
      <c r="S734" s="49">
        <f>ROUND(Q734/Summary!$C$3*Summary!$C$2,0)</f>
        <v>0</v>
      </c>
      <c r="T734" s="44">
        <f t="shared" si="63"/>
        <v>0</v>
      </c>
      <c r="U734" s="34">
        <v>0</v>
      </c>
      <c r="V734" s="34">
        <v>0</v>
      </c>
      <c r="W734" s="34">
        <v>0</v>
      </c>
      <c r="X734" s="34">
        <v>0</v>
      </c>
    </row>
    <row r="735" spans="1:24" hidden="1">
      <c r="A735" s="54" t="s">
        <v>2763</v>
      </c>
      <c r="B735" s="54" t="s">
        <v>2764</v>
      </c>
      <c r="C735" s="54" t="s">
        <v>108</v>
      </c>
      <c r="D735" s="54" t="s">
        <v>58</v>
      </c>
      <c r="E735" s="54" t="s">
        <v>0</v>
      </c>
      <c r="F735" s="54" t="s">
        <v>2765</v>
      </c>
      <c r="G735" s="54">
        <v>1763519085</v>
      </c>
      <c r="H735" s="54" t="s">
        <v>229</v>
      </c>
      <c r="I735" s="54" t="s">
        <v>3514</v>
      </c>
      <c r="J735" s="34" t="s">
        <v>3419</v>
      </c>
      <c r="K735" s="50">
        <v>174075</v>
      </c>
      <c r="L735" s="43">
        <v>34200</v>
      </c>
      <c r="M735" s="44">
        <f t="shared" si="60"/>
        <v>0.19646704006893581</v>
      </c>
      <c r="N735" s="49">
        <f>ROUND(L735/Summary!$C$3*Summary!$C$2,0)</f>
        <v>106020</v>
      </c>
      <c r="O735" s="44">
        <f t="shared" si="61"/>
        <v>0.60904782421370096</v>
      </c>
      <c r="P735" s="78">
        <v>10</v>
      </c>
      <c r="Q735" s="34">
        <v>2</v>
      </c>
      <c r="R735" s="35">
        <f t="shared" si="62"/>
        <v>0.2</v>
      </c>
      <c r="S735" s="49">
        <f>ROUND(Q735/Summary!$C$3*Summary!$C$2,0)</f>
        <v>6</v>
      </c>
      <c r="T735" s="44">
        <f t="shared" si="63"/>
        <v>0.6</v>
      </c>
      <c r="U735" s="34">
        <v>1</v>
      </c>
      <c r="V735" s="34">
        <v>0</v>
      </c>
      <c r="W735" s="34">
        <v>0</v>
      </c>
      <c r="X735" s="34">
        <v>1</v>
      </c>
    </row>
    <row r="736" spans="1:24" hidden="1">
      <c r="A736" s="54" t="s">
        <v>3179</v>
      </c>
      <c r="B736" s="54" t="s">
        <v>3180</v>
      </c>
      <c r="C736" s="54" t="s">
        <v>108</v>
      </c>
      <c r="D736" s="54" t="s">
        <v>58</v>
      </c>
      <c r="E736" s="54" t="s">
        <v>0</v>
      </c>
      <c r="F736" s="54" t="s">
        <v>3181</v>
      </c>
      <c r="G736" s="54">
        <v>1718216334</v>
      </c>
      <c r="H736" s="54" t="s">
        <v>229</v>
      </c>
      <c r="I736" s="54" t="s">
        <v>3514</v>
      </c>
      <c r="J736" s="34" t="s">
        <v>3421</v>
      </c>
      <c r="K736" s="50">
        <v>130000</v>
      </c>
      <c r="L736" s="43">
        <v>40040</v>
      </c>
      <c r="M736" s="44">
        <f t="shared" si="60"/>
        <v>0.308</v>
      </c>
      <c r="N736" s="49">
        <f>ROUND(L736/Summary!$C$3*Summary!$C$2,0)</f>
        <v>124124</v>
      </c>
      <c r="O736" s="44">
        <f t="shared" si="61"/>
        <v>0.95479999999999998</v>
      </c>
      <c r="P736" s="78">
        <v>10</v>
      </c>
      <c r="Q736" s="34">
        <v>3</v>
      </c>
      <c r="R736" s="35">
        <f t="shared" si="62"/>
        <v>0.3</v>
      </c>
      <c r="S736" s="49">
        <f>ROUND(Q736/Summary!$C$3*Summary!$C$2,0)</f>
        <v>9</v>
      </c>
      <c r="T736" s="44">
        <f t="shared" si="63"/>
        <v>0.9</v>
      </c>
      <c r="U736" s="34">
        <v>0</v>
      </c>
      <c r="V736" s="34">
        <v>1</v>
      </c>
      <c r="W736" s="34">
        <v>0</v>
      </c>
      <c r="X736" s="34">
        <v>0</v>
      </c>
    </row>
    <row r="737" spans="1:24" hidden="1">
      <c r="A737" s="75" t="s">
        <v>3621</v>
      </c>
      <c r="B737" s="75" t="s">
        <v>3622</v>
      </c>
      <c r="C737" s="75" t="s">
        <v>108</v>
      </c>
      <c r="D737" s="75" t="s">
        <v>58</v>
      </c>
      <c r="E737" s="75" t="s">
        <v>0</v>
      </c>
      <c r="F737" s="75" t="s">
        <v>2702</v>
      </c>
      <c r="G737" s="67">
        <v>1712377448</v>
      </c>
      <c r="H737" s="54" t="s">
        <v>229</v>
      </c>
      <c r="I737" s="54" t="s">
        <v>3514</v>
      </c>
      <c r="J737" s="34" t="s">
        <v>3421</v>
      </c>
      <c r="K737" s="50">
        <v>130000</v>
      </c>
      <c r="L737" s="43">
        <v>30750</v>
      </c>
      <c r="M737" s="44">
        <f t="shared" si="60"/>
        <v>0.23653846153846153</v>
      </c>
      <c r="N737" s="49">
        <f>ROUND(L737/Summary!$C$3*Summary!$C$2,0)</f>
        <v>95325</v>
      </c>
      <c r="O737" s="44">
        <f t="shared" si="61"/>
        <v>0.73326923076923078</v>
      </c>
      <c r="P737" s="78">
        <v>10</v>
      </c>
      <c r="Q737" s="34">
        <v>2</v>
      </c>
      <c r="R737" s="35">
        <f t="shared" si="62"/>
        <v>0.2</v>
      </c>
      <c r="S737" s="49">
        <f>ROUND(Q737/Summary!$C$3*Summary!$C$2,0)</f>
        <v>6</v>
      </c>
      <c r="T737" s="44">
        <f t="shared" si="63"/>
        <v>0.6</v>
      </c>
      <c r="U737" s="34">
        <v>1</v>
      </c>
      <c r="V737" s="34">
        <v>0</v>
      </c>
      <c r="W737" s="34">
        <v>0</v>
      </c>
      <c r="X737" s="34">
        <v>0</v>
      </c>
    </row>
    <row r="738" spans="1:24" hidden="1">
      <c r="A738" s="75" t="s">
        <v>3623</v>
      </c>
      <c r="B738" s="75" t="s">
        <v>3624</v>
      </c>
      <c r="C738" s="75" t="s">
        <v>108</v>
      </c>
      <c r="D738" s="75" t="s">
        <v>58</v>
      </c>
      <c r="E738" s="75" t="s">
        <v>0</v>
      </c>
      <c r="F738" s="75" t="s">
        <v>3614</v>
      </c>
      <c r="G738" s="67">
        <v>1916218004</v>
      </c>
      <c r="H738" s="54" t="s">
        <v>229</v>
      </c>
      <c r="I738" s="54" t="s">
        <v>3514</v>
      </c>
      <c r="J738" s="34" t="s">
        <v>3421</v>
      </c>
      <c r="K738" s="50">
        <v>130000</v>
      </c>
      <c r="L738" s="43">
        <v>14670</v>
      </c>
      <c r="M738" s="44">
        <f t="shared" si="60"/>
        <v>0.11284615384615385</v>
      </c>
      <c r="N738" s="49">
        <f>ROUND(L738/Summary!$C$3*Summary!$C$2,0)</f>
        <v>45477</v>
      </c>
      <c r="O738" s="44">
        <f t="shared" si="61"/>
        <v>0.3498230769230769</v>
      </c>
      <c r="P738" s="78">
        <v>10</v>
      </c>
      <c r="Q738" s="34">
        <v>1</v>
      </c>
      <c r="R738" s="35">
        <f t="shared" si="62"/>
        <v>0.1</v>
      </c>
      <c r="S738" s="49">
        <f>ROUND(Q738/Summary!$C$3*Summary!$C$2,0)</f>
        <v>3</v>
      </c>
      <c r="T738" s="44">
        <f t="shared" si="63"/>
        <v>0.3</v>
      </c>
      <c r="U738" s="34">
        <v>0</v>
      </c>
      <c r="V738" s="34">
        <v>0</v>
      </c>
      <c r="W738" s="34">
        <v>0</v>
      </c>
      <c r="X738" s="34">
        <v>0</v>
      </c>
    </row>
    <row r="739" spans="1:24" hidden="1">
      <c r="A739" s="54" t="s">
        <v>2508</v>
      </c>
      <c r="B739" s="54" t="s">
        <v>2509</v>
      </c>
      <c r="C739" s="54" t="s">
        <v>108</v>
      </c>
      <c r="D739" s="54" t="s">
        <v>58</v>
      </c>
      <c r="E739" s="54" t="s">
        <v>0</v>
      </c>
      <c r="F739" s="54" t="s">
        <v>2510</v>
      </c>
      <c r="G739" s="54">
        <v>1715840306</v>
      </c>
      <c r="H739" s="54" t="s">
        <v>229</v>
      </c>
      <c r="I739" s="54" t="s">
        <v>3514</v>
      </c>
      <c r="J739" s="34" t="s">
        <v>3515</v>
      </c>
      <c r="K739" s="50">
        <v>189289</v>
      </c>
      <c r="L739" s="43">
        <v>51700</v>
      </c>
      <c r="M739" s="44">
        <f t="shared" si="60"/>
        <v>0.27312733439344072</v>
      </c>
      <c r="N739" s="49">
        <f>ROUND(L739/Summary!$C$3*Summary!$C$2,0)</f>
        <v>160270</v>
      </c>
      <c r="O739" s="44">
        <f t="shared" si="61"/>
        <v>0.84669473661966621</v>
      </c>
      <c r="P739" s="78">
        <v>10</v>
      </c>
      <c r="Q739" s="34">
        <v>2</v>
      </c>
      <c r="R739" s="35">
        <f t="shared" si="62"/>
        <v>0.2</v>
      </c>
      <c r="S739" s="49">
        <f>ROUND(Q739/Summary!$C$3*Summary!$C$2,0)</f>
        <v>6</v>
      </c>
      <c r="T739" s="44">
        <f t="shared" si="63"/>
        <v>0.6</v>
      </c>
      <c r="U739" s="34">
        <v>0</v>
      </c>
      <c r="V739" s="34">
        <v>1</v>
      </c>
      <c r="W739" s="34">
        <v>0</v>
      </c>
      <c r="X739" s="34">
        <v>0</v>
      </c>
    </row>
    <row r="740" spans="1:24" hidden="1">
      <c r="A740" s="54" t="s">
        <v>2479</v>
      </c>
      <c r="B740" s="54" t="s">
        <v>2480</v>
      </c>
      <c r="C740" s="54" t="s">
        <v>108</v>
      </c>
      <c r="D740" s="54" t="s">
        <v>58</v>
      </c>
      <c r="E740" s="54" t="s">
        <v>0</v>
      </c>
      <c r="F740" s="54" t="s">
        <v>2481</v>
      </c>
      <c r="G740" s="54">
        <v>1921666077</v>
      </c>
      <c r="H740" s="54" t="s">
        <v>229</v>
      </c>
      <c r="I740" s="54" t="s">
        <v>3514</v>
      </c>
      <c r="J740" s="34" t="s">
        <v>3419</v>
      </c>
      <c r="K740" s="50">
        <v>227086</v>
      </c>
      <c r="L740" s="43">
        <v>85404</v>
      </c>
      <c r="M740" s="44">
        <f t="shared" si="60"/>
        <v>0.37608659274459894</v>
      </c>
      <c r="N740" s="49">
        <f>ROUND(L740/Summary!$C$3*Summary!$C$2,0)</f>
        <v>264752</v>
      </c>
      <c r="O740" s="44">
        <f t="shared" si="61"/>
        <v>1.1658666760610517</v>
      </c>
      <c r="P740" s="78">
        <v>15</v>
      </c>
      <c r="Q740" s="34">
        <v>8</v>
      </c>
      <c r="R740" s="35">
        <f t="shared" si="62"/>
        <v>0.53333333333333333</v>
      </c>
      <c r="S740" s="49">
        <f>ROUND(Q740/Summary!$C$3*Summary!$C$2,0)</f>
        <v>25</v>
      </c>
      <c r="T740" s="44">
        <f t="shared" si="63"/>
        <v>1.6666666666666667</v>
      </c>
      <c r="U740" s="34">
        <v>0</v>
      </c>
      <c r="V740" s="34">
        <v>2</v>
      </c>
      <c r="W740" s="34">
        <v>1</v>
      </c>
      <c r="X740" s="34">
        <v>0</v>
      </c>
    </row>
    <row r="741" spans="1:24" hidden="1">
      <c r="A741" s="54" t="s">
        <v>2545</v>
      </c>
      <c r="B741" s="54" t="s">
        <v>2064</v>
      </c>
      <c r="C741" s="54" t="s">
        <v>108</v>
      </c>
      <c r="D741" s="54" t="s">
        <v>58</v>
      </c>
      <c r="E741" s="54" t="s">
        <v>0</v>
      </c>
      <c r="F741" s="54" t="s">
        <v>2546</v>
      </c>
      <c r="G741" s="54">
        <v>1735993663</v>
      </c>
      <c r="H741" s="54" t="s">
        <v>229</v>
      </c>
      <c r="I741" s="54" t="s">
        <v>3514</v>
      </c>
      <c r="J741" s="34" t="s">
        <v>3515</v>
      </c>
      <c r="K741" s="50">
        <v>158027</v>
      </c>
      <c r="L741" s="43">
        <v>25750</v>
      </c>
      <c r="M741" s="44">
        <f t="shared" si="60"/>
        <v>0.1629468381985357</v>
      </c>
      <c r="N741" s="49">
        <f>ROUND(L741/Summary!$C$3*Summary!$C$2,0)</f>
        <v>79825</v>
      </c>
      <c r="O741" s="44">
        <f t="shared" si="61"/>
        <v>0.50513519841546062</v>
      </c>
      <c r="P741" s="78">
        <v>10</v>
      </c>
      <c r="Q741" s="34">
        <v>0</v>
      </c>
      <c r="R741" s="35">
        <f t="shared" si="62"/>
        <v>0</v>
      </c>
      <c r="S741" s="49">
        <f>ROUND(Q741/Summary!$C$3*Summary!$C$2,0)</f>
        <v>0</v>
      </c>
      <c r="T741" s="44">
        <f t="shared" si="63"/>
        <v>0</v>
      </c>
      <c r="U741" s="34">
        <v>1</v>
      </c>
      <c r="V741" s="34">
        <v>0</v>
      </c>
      <c r="W741" s="34">
        <v>0</v>
      </c>
      <c r="X741" s="34">
        <v>0</v>
      </c>
    </row>
    <row r="742" spans="1:24" hidden="1">
      <c r="A742" s="54" t="s">
        <v>2930</v>
      </c>
      <c r="B742" s="54" t="s">
        <v>2931</v>
      </c>
      <c r="C742" s="54" t="s">
        <v>108</v>
      </c>
      <c r="D742" s="54" t="s">
        <v>58</v>
      </c>
      <c r="E742" s="54" t="s">
        <v>0</v>
      </c>
      <c r="F742" s="54" t="s">
        <v>2932</v>
      </c>
      <c r="G742" s="54">
        <v>1906734269</v>
      </c>
      <c r="H742" s="54" t="s">
        <v>229</v>
      </c>
      <c r="I742" s="54" t="s">
        <v>3514</v>
      </c>
      <c r="J742" s="34" t="s">
        <v>3419</v>
      </c>
      <c r="K742" s="50">
        <v>195049</v>
      </c>
      <c r="L742" s="43">
        <v>34000</v>
      </c>
      <c r="M742" s="44">
        <f t="shared" si="60"/>
        <v>0.17431517208496328</v>
      </c>
      <c r="N742" s="49">
        <f>ROUND(L742/Summary!$C$3*Summary!$C$2,0)</f>
        <v>105400</v>
      </c>
      <c r="O742" s="44">
        <f t="shared" si="61"/>
        <v>0.54037703346338617</v>
      </c>
      <c r="P742" s="78">
        <v>13</v>
      </c>
      <c r="Q742" s="34">
        <v>3</v>
      </c>
      <c r="R742" s="35">
        <f t="shared" si="62"/>
        <v>0.23076923076923078</v>
      </c>
      <c r="S742" s="49">
        <f>ROUND(Q742/Summary!$C$3*Summary!$C$2,0)</f>
        <v>9</v>
      </c>
      <c r="T742" s="44">
        <f t="shared" si="63"/>
        <v>0.69230769230769229</v>
      </c>
      <c r="U742" s="34">
        <v>0</v>
      </c>
      <c r="V742" s="34">
        <v>0</v>
      </c>
      <c r="W742" s="34">
        <v>0</v>
      </c>
      <c r="X742" s="34">
        <v>0</v>
      </c>
    </row>
    <row r="743" spans="1:24" hidden="1">
      <c r="A743" s="54" t="s">
        <v>2456</v>
      </c>
      <c r="B743" s="54" t="s">
        <v>2457</v>
      </c>
      <c r="C743" s="54" t="s">
        <v>108</v>
      </c>
      <c r="D743" s="54" t="s">
        <v>58</v>
      </c>
      <c r="E743" s="54" t="s">
        <v>0</v>
      </c>
      <c r="F743" s="54" t="s">
        <v>2458</v>
      </c>
      <c r="G743" s="54">
        <v>1725864490</v>
      </c>
      <c r="H743" s="54" t="s">
        <v>229</v>
      </c>
      <c r="I743" s="54" t="s">
        <v>3514</v>
      </c>
      <c r="J743" s="34" t="s">
        <v>3419</v>
      </c>
      <c r="K743" s="50">
        <v>277935</v>
      </c>
      <c r="L743" s="43">
        <v>119153</v>
      </c>
      <c r="M743" s="44">
        <f t="shared" si="60"/>
        <v>0.42870815118642847</v>
      </c>
      <c r="N743" s="49">
        <f>ROUND(L743/Summary!$C$3*Summary!$C$2,0)</f>
        <v>369374</v>
      </c>
      <c r="O743" s="44">
        <f t="shared" si="61"/>
        <v>1.3289941892888626</v>
      </c>
      <c r="P743" s="78">
        <v>15</v>
      </c>
      <c r="Q743" s="34">
        <v>7</v>
      </c>
      <c r="R743" s="35">
        <f t="shared" si="62"/>
        <v>0.46666666666666667</v>
      </c>
      <c r="S743" s="49">
        <f>ROUND(Q743/Summary!$C$3*Summary!$C$2,0)</f>
        <v>22</v>
      </c>
      <c r="T743" s="44">
        <f t="shared" si="63"/>
        <v>1.4666666666666666</v>
      </c>
      <c r="U743" s="34">
        <v>3</v>
      </c>
      <c r="V743" s="34">
        <v>1</v>
      </c>
      <c r="W743" s="34">
        <v>0</v>
      </c>
      <c r="X743" s="34">
        <v>0</v>
      </c>
    </row>
    <row r="744" spans="1:24" hidden="1">
      <c r="A744" s="54" t="s">
        <v>2643</v>
      </c>
      <c r="B744" s="54" t="s">
        <v>2644</v>
      </c>
      <c r="C744" s="54" t="s">
        <v>108</v>
      </c>
      <c r="D744" s="54" t="s">
        <v>58</v>
      </c>
      <c r="E744" s="54" t="s">
        <v>0</v>
      </c>
      <c r="F744" s="54" t="s">
        <v>2645</v>
      </c>
      <c r="G744" s="54">
        <v>1727533877</v>
      </c>
      <c r="H744" s="54" t="s">
        <v>229</v>
      </c>
      <c r="I744" s="54" t="s">
        <v>3514</v>
      </c>
      <c r="J744" s="34" t="s">
        <v>3419</v>
      </c>
      <c r="K744" s="50">
        <v>130000</v>
      </c>
      <c r="L744" s="43">
        <v>42270</v>
      </c>
      <c r="M744" s="44">
        <f t="shared" si="60"/>
        <v>0.32515384615384613</v>
      </c>
      <c r="N744" s="49">
        <f>ROUND(L744/Summary!$C$3*Summary!$C$2,0)</f>
        <v>131037</v>
      </c>
      <c r="O744" s="44">
        <f t="shared" si="61"/>
        <v>1.0079769230769231</v>
      </c>
      <c r="P744" s="78">
        <v>10</v>
      </c>
      <c r="Q744" s="34">
        <v>1</v>
      </c>
      <c r="R744" s="35">
        <f t="shared" si="62"/>
        <v>0.1</v>
      </c>
      <c r="S744" s="49">
        <f>ROUND(Q744/Summary!$C$3*Summary!$C$2,0)</f>
        <v>3</v>
      </c>
      <c r="T744" s="44">
        <f t="shared" si="63"/>
        <v>0.3</v>
      </c>
      <c r="U744" s="34">
        <v>1</v>
      </c>
      <c r="V744" s="34">
        <v>0</v>
      </c>
      <c r="W744" s="34">
        <v>0</v>
      </c>
      <c r="X744" s="34">
        <v>0</v>
      </c>
    </row>
    <row r="745" spans="1:24" hidden="1">
      <c r="A745" s="54" t="s">
        <v>2673</v>
      </c>
      <c r="B745" s="54" t="s">
        <v>2674</v>
      </c>
      <c r="C745" s="54" t="s">
        <v>108</v>
      </c>
      <c r="D745" s="54" t="s">
        <v>58</v>
      </c>
      <c r="E745" s="54" t="s">
        <v>0</v>
      </c>
      <c r="F745" s="54" t="s">
        <v>2675</v>
      </c>
      <c r="G745" s="54">
        <v>1912325852</v>
      </c>
      <c r="H745" s="54" t="s">
        <v>229</v>
      </c>
      <c r="I745" s="54" t="s">
        <v>3514</v>
      </c>
      <c r="J745" s="34" t="s">
        <v>3419</v>
      </c>
      <c r="K745" s="50">
        <v>152853</v>
      </c>
      <c r="L745" s="43">
        <v>52819</v>
      </c>
      <c r="M745" s="44">
        <f t="shared" si="60"/>
        <v>0.34555422530143343</v>
      </c>
      <c r="N745" s="49">
        <f>ROUND(L745/Summary!$C$3*Summary!$C$2,0)</f>
        <v>163739</v>
      </c>
      <c r="O745" s="44">
        <f t="shared" si="61"/>
        <v>1.0712187526577823</v>
      </c>
      <c r="P745" s="78">
        <v>10</v>
      </c>
      <c r="Q745" s="34">
        <v>3</v>
      </c>
      <c r="R745" s="35">
        <f t="shared" si="62"/>
        <v>0.3</v>
      </c>
      <c r="S745" s="49">
        <f>ROUND(Q745/Summary!$C$3*Summary!$C$2,0)</f>
        <v>9</v>
      </c>
      <c r="T745" s="44">
        <f t="shared" si="63"/>
        <v>0.9</v>
      </c>
      <c r="U745" s="34">
        <v>0</v>
      </c>
      <c r="V745" s="34">
        <v>1</v>
      </c>
      <c r="W745" s="34">
        <v>0</v>
      </c>
      <c r="X745" s="34">
        <v>0</v>
      </c>
    </row>
    <row r="746" spans="1:24" hidden="1">
      <c r="A746" s="75" t="s">
        <v>3625</v>
      </c>
      <c r="B746" s="75" t="s">
        <v>3626</v>
      </c>
      <c r="C746" s="75" t="s">
        <v>108</v>
      </c>
      <c r="D746" s="75" t="s">
        <v>58</v>
      </c>
      <c r="E746" s="75" t="s">
        <v>0</v>
      </c>
      <c r="F746" s="75" t="s">
        <v>3627</v>
      </c>
      <c r="G746" s="67">
        <v>1712395130</v>
      </c>
      <c r="H746" s="54" t="s">
        <v>229</v>
      </c>
      <c r="I746" s="54" t="s">
        <v>3514</v>
      </c>
      <c r="J746" s="34" t="s">
        <v>3421</v>
      </c>
      <c r="K746" s="50">
        <v>130000</v>
      </c>
      <c r="L746" s="43">
        <v>65125</v>
      </c>
      <c r="M746" s="44">
        <f t="shared" si="60"/>
        <v>0.50096153846153846</v>
      </c>
      <c r="N746" s="49">
        <f>ROUND(L746/Summary!$C$3*Summary!$C$2,0)</f>
        <v>201888</v>
      </c>
      <c r="O746" s="44">
        <f t="shared" si="61"/>
        <v>1.5529846153846154</v>
      </c>
      <c r="P746" s="78">
        <v>10</v>
      </c>
      <c r="Q746" s="34">
        <v>5</v>
      </c>
      <c r="R746" s="35">
        <f t="shared" si="62"/>
        <v>0.5</v>
      </c>
      <c r="S746" s="49">
        <f>ROUND(Q746/Summary!$C$3*Summary!$C$2,0)</f>
        <v>16</v>
      </c>
      <c r="T746" s="44">
        <f t="shared" si="63"/>
        <v>1.6</v>
      </c>
      <c r="U746" s="34">
        <v>0</v>
      </c>
      <c r="V746" s="34">
        <v>2</v>
      </c>
      <c r="W746" s="34">
        <v>0</v>
      </c>
      <c r="X746" s="34">
        <v>0</v>
      </c>
    </row>
    <row r="747" spans="1:24" hidden="1">
      <c r="A747" s="54" t="s">
        <v>3083</v>
      </c>
      <c r="B747" s="54" t="s">
        <v>3084</v>
      </c>
      <c r="C747" s="54" t="s">
        <v>108</v>
      </c>
      <c r="D747" s="54" t="s">
        <v>58</v>
      </c>
      <c r="E747" s="54" t="s">
        <v>0</v>
      </c>
      <c r="F747" s="54" t="s">
        <v>3085</v>
      </c>
      <c r="G747" s="54">
        <v>1715625181</v>
      </c>
      <c r="H747" s="54" t="s">
        <v>229</v>
      </c>
      <c r="I747" s="54" t="s">
        <v>3514</v>
      </c>
      <c r="J747" s="34" t="s">
        <v>3419</v>
      </c>
      <c r="K747" s="50">
        <v>130000</v>
      </c>
      <c r="L747" s="43">
        <v>17420</v>
      </c>
      <c r="M747" s="44">
        <f t="shared" si="60"/>
        <v>0.13400000000000001</v>
      </c>
      <c r="N747" s="49">
        <f>ROUND(L747/Summary!$C$3*Summary!$C$2,0)</f>
        <v>54002</v>
      </c>
      <c r="O747" s="44">
        <f t="shared" si="61"/>
        <v>0.41539999999999999</v>
      </c>
      <c r="P747" s="78">
        <v>10</v>
      </c>
      <c r="Q747" s="34">
        <v>1</v>
      </c>
      <c r="R747" s="35">
        <f t="shared" si="62"/>
        <v>0.1</v>
      </c>
      <c r="S747" s="49">
        <f>ROUND(Q747/Summary!$C$3*Summary!$C$2,0)</f>
        <v>3</v>
      </c>
      <c r="T747" s="44">
        <f t="shared" si="63"/>
        <v>0.3</v>
      </c>
      <c r="U747" s="34">
        <v>0</v>
      </c>
      <c r="V747" s="34">
        <v>0</v>
      </c>
      <c r="W747" s="34">
        <v>0</v>
      </c>
      <c r="X747" s="34">
        <v>0</v>
      </c>
    </row>
    <row r="748" spans="1:24" hidden="1">
      <c r="A748" s="54" t="s">
        <v>2517</v>
      </c>
      <c r="B748" s="54" t="s">
        <v>2518</v>
      </c>
      <c r="C748" s="54" t="s">
        <v>108</v>
      </c>
      <c r="D748" s="54" t="s">
        <v>58</v>
      </c>
      <c r="E748" s="54" t="s">
        <v>0</v>
      </c>
      <c r="F748" s="54" t="s">
        <v>2519</v>
      </c>
      <c r="G748" s="54">
        <v>1927187263</v>
      </c>
      <c r="H748" s="54" t="s">
        <v>229</v>
      </c>
      <c r="I748" s="54" t="s">
        <v>3514</v>
      </c>
      <c r="J748" s="34" t="s">
        <v>3419</v>
      </c>
      <c r="K748" s="50">
        <v>186118</v>
      </c>
      <c r="L748" s="43">
        <v>53595</v>
      </c>
      <c r="M748" s="44">
        <f t="shared" si="60"/>
        <v>0.28796247541882031</v>
      </c>
      <c r="N748" s="49">
        <f>ROUND(L748/Summary!$C$3*Summary!$C$2,0)</f>
        <v>166145</v>
      </c>
      <c r="O748" s="44">
        <f t="shared" si="61"/>
        <v>0.89268636026606774</v>
      </c>
      <c r="P748" s="78">
        <v>10</v>
      </c>
      <c r="Q748" s="34">
        <v>2</v>
      </c>
      <c r="R748" s="35">
        <f t="shared" si="62"/>
        <v>0.2</v>
      </c>
      <c r="S748" s="49">
        <f>ROUND(Q748/Summary!$C$3*Summary!$C$2,0)</f>
        <v>6</v>
      </c>
      <c r="T748" s="44">
        <f t="shared" si="63"/>
        <v>0.6</v>
      </c>
      <c r="U748" s="34">
        <v>1</v>
      </c>
      <c r="V748" s="34">
        <v>0</v>
      </c>
      <c r="W748" s="34">
        <v>0</v>
      </c>
      <c r="X748" s="34">
        <v>0</v>
      </c>
    </row>
    <row r="749" spans="1:24" hidden="1">
      <c r="A749" s="54" t="s">
        <v>2998</v>
      </c>
      <c r="B749" s="54" t="s">
        <v>2999</v>
      </c>
      <c r="C749" s="54" t="s">
        <v>108</v>
      </c>
      <c r="D749" s="54" t="s">
        <v>58</v>
      </c>
      <c r="E749" s="54" t="s">
        <v>0</v>
      </c>
      <c r="F749" s="54" t="s">
        <v>3000</v>
      </c>
      <c r="G749" s="54">
        <v>1812407763</v>
      </c>
      <c r="H749" s="54" t="s">
        <v>229</v>
      </c>
      <c r="I749" s="54" t="s">
        <v>3514</v>
      </c>
      <c r="J749" s="34" t="s">
        <v>3421</v>
      </c>
      <c r="K749" s="50">
        <v>130000</v>
      </c>
      <c r="L749" s="43">
        <v>15770</v>
      </c>
      <c r="M749" s="44">
        <f t="shared" si="60"/>
        <v>0.12130769230769231</v>
      </c>
      <c r="N749" s="49">
        <f>ROUND(L749/Summary!$C$3*Summary!$C$2,0)</f>
        <v>48887</v>
      </c>
      <c r="O749" s="44">
        <f t="shared" si="61"/>
        <v>0.37605384615384613</v>
      </c>
      <c r="P749" s="78">
        <v>10</v>
      </c>
      <c r="Q749" s="34">
        <v>0</v>
      </c>
      <c r="R749" s="35">
        <f t="shared" si="62"/>
        <v>0</v>
      </c>
      <c r="S749" s="49">
        <f>ROUND(Q749/Summary!$C$3*Summary!$C$2,0)</f>
        <v>0</v>
      </c>
      <c r="T749" s="44">
        <f t="shared" si="63"/>
        <v>0</v>
      </c>
      <c r="U749" s="34">
        <v>1</v>
      </c>
      <c r="V749" s="34">
        <v>0</v>
      </c>
      <c r="W749" s="34">
        <v>0</v>
      </c>
      <c r="X749" s="34">
        <v>0</v>
      </c>
    </row>
    <row r="750" spans="1:24" hidden="1">
      <c r="A750" s="54" t="s">
        <v>2617</v>
      </c>
      <c r="B750" s="54" t="s">
        <v>2618</v>
      </c>
      <c r="C750" s="54" t="s">
        <v>108</v>
      </c>
      <c r="D750" s="54" t="s">
        <v>58</v>
      </c>
      <c r="E750" s="54" t="s">
        <v>0</v>
      </c>
      <c r="F750" s="54" t="s">
        <v>2619</v>
      </c>
      <c r="G750" s="54">
        <v>1704476779</v>
      </c>
      <c r="H750" s="54" t="s">
        <v>229</v>
      </c>
      <c r="I750" s="54" t="s">
        <v>3518</v>
      </c>
      <c r="J750" s="34" t="s">
        <v>3419</v>
      </c>
      <c r="K750" s="50">
        <v>412090</v>
      </c>
      <c r="L750" s="43">
        <v>108660</v>
      </c>
      <c r="M750" s="44">
        <f t="shared" si="60"/>
        <v>0.26368026401999561</v>
      </c>
      <c r="N750" s="49">
        <f>ROUND(L750/Summary!$C$3*Summary!$C$2,0)</f>
        <v>336846</v>
      </c>
      <c r="O750" s="44">
        <f t="shared" si="61"/>
        <v>0.81740881846198643</v>
      </c>
      <c r="P750" s="78">
        <v>28</v>
      </c>
      <c r="Q750" s="34">
        <v>11</v>
      </c>
      <c r="R750" s="35">
        <f t="shared" si="62"/>
        <v>0.39285714285714285</v>
      </c>
      <c r="S750" s="49">
        <f>ROUND(Q750/Summary!$C$3*Summary!$C$2,0)</f>
        <v>34</v>
      </c>
      <c r="T750" s="44">
        <f t="shared" si="63"/>
        <v>1.2142857142857142</v>
      </c>
      <c r="U750" s="34">
        <v>1</v>
      </c>
      <c r="V750" s="34">
        <v>5</v>
      </c>
      <c r="W750" s="34">
        <v>0</v>
      </c>
      <c r="X750" s="34">
        <v>0</v>
      </c>
    </row>
    <row r="751" spans="1:24" hidden="1">
      <c r="A751" s="54" t="s">
        <v>2712</v>
      </c>
      <c r="B751" s="54" t="s">
        <v>2713</v>
      </c>
      <c r="C751" s="54" t="s">
        <v>108</v>
      </c>
      <c r="D751" s="54" t="s">
        <v>58</v>
      </c>
      <c r="E751" s="54" t="s">
        <v>0</v>
      </c>
      <c r="F751" s="54" t="s">
        <v>2714</v>
      </c>
      <c r="G751" s="54">
        <v>1627296541</v>
      </c>
      <c r="H751" s="54" t="s">
        <v>229</v>
      </c>
      <c r="I751" s="54" t="s">
        <v>3514</v>
      </c>
      <c r="J751" s="34" t="s">
        <v>3421</v>
      </c>
      <c r="K751" s="50">
        <v>130000</v>
      </c>
      <c r="L751" s="43">
        <v>14979</v>
      </c>
      <c r="M751" s="44">
        <f t="shared" si="60"/>
        <v>0.11522307692307693</v>
      </c>
      <c r="N751" s="49">
        <f>ROUND(L751/Summary!$C$3*Summary!$C$2,0)</f>
        <v>46435</v>
      </c>
      <c r="O751" s="44">
        <f t="shared" si="61"/>
        <v>0.3571923076923077</v>
      </c>
      <c r="P751" s="78">
        <v>10</v>
      </c>
      <c r="Q751" s="34">
        <v>0</v>
      </c>
      <c r="R751" s="35">
        <f t="shared" si="62"/>
        <v>0</v>
      </c>
      <c r="S751" s="49">
        <f>ROUND(Q751/Summary!$C$3*Summary!$C$2,0)</f>
        <v>0</v>
      </c>
      <c r="T751" s="44">
        <f t="shared" si="63"/>
        <v>0</v>
      </c>
      <c r="U751" s="34">
        <v>1</v>
      </c>
      <c r="V751" s="34">
        <v>0</v>
      </c>
      <c r="W751" s="34">
        <v>0</v>
      </c>
      <c r="X751" s="34">
        <v>0</v>
      </c>
    </row>
    <row r="752" spans="1:24" hidden="1">
      <c r="A752" s="54" t="s">
        <v>2569</v>
      </c>
      <c r="B752" s="54" t="s">
        <v>2307</v>
      </c>
      <c r="C752" s="54" t="s">
        <v>108</v>
      </c>
      <c r="D752" s="54" t="s">
        <v>58</v>
      </c>
      <c r="E752" s="54" t="s">
        <v>0</v>
      </c>
      <c r="F752" s="54" t="s">
        <v>2570</v>
      </c>
      <c r="G752" s="54">
        <v>1716523902</v>
      </c>
      <c r="H752" s="54" t="s">
        <v>229</v>
      </c>
      <c r="I752" s="54" t="s">
        <v>3514</v>
      </c>
      <c r="J752" s="34" t="s">
        <v>3515</v>
      </c>
      <c r="K752" s="50">
        <v>130000</v>
      </c>
      <c r="L752" s="43">
        <v>32190</v>
      </c>
      <c r="M752" s="44">
        <f t="shared" si="60"/>
        <v>0.24761538461538463</v>
      </c>
      <c r="N752" s="49">
        <f>ROUND(L752/Summary!$C$3*Summary!$C$2,0)</f>
        <v>99789</v>
      </c>
      <c r="O752" s="44">
        <f t="shared" si="61"/>
        <v>0.76760769230769232</v>
      </c>
      <c r="P752" s="78">
        <v>10</v>
      </c>
      <c r="Q752" s="34">
        <v>1</v>
      </c>
      <c r="R752" s="35">
        <f t="shared" si="62"/>
        <v>0.1</v>
      </c>
      <c r="S752" s="49">
        <f>ROUND(Q752/Summary!$C$3*Summary!$C$2,0)</f>
        <v>3</v>
      </c>
      <c r="T752" s="44">
        <f t="shared" si="63"/>
        <v>0.3</v>
      </c>
      <c r="U752" s="34">
        <v>1</v>
      </c>
      <c r="V752" s="34">
        <v>0</v>
      </c>
      <c r="W752" s="34">
        <v>0</v>
      </c>
      <c r="X752" s="34">
        <v>0</v>
      </c>
    </row>
    <row r="753" spans="1:24" hidden="1">
      <c r="A753" s="54" t="s">
        <v>2798</v>
      </c>
      <c r="B753" s="54" t="s">
        <v>2799</v>
      </c>
      <c r="C753" s="54" t="s">
        <v>108</v>
      </c>
      <c r="D753" s="54" t="s">
        <v>58</v>
      </c>
      <c r="E753" s="54" t="s">
        <v>0</v>
      </c>
      <c r="F753" s="54" t="s">
        <v>2800</v>
      </c>
      <c r="G753" s="54">
        <v>1730169481</v>
      </c>
      <c r="H753" s="54" t="s">
        <v>229</v>
      </c>
      <c r="I753" s="54" t="s">
        <v>3514</v>
      </c>
      <c r="J753" s="34" t="s">
        <v>3419</v>
      </c>
      <c r="K753" s="50">
        <v>130000</v>
      </c>
      <c r="L753" s="43">
        <v>24250</v>
      </c>
      <c r="M753" s="44">
        <f t="shared" si="60"/>
        <v>0.18653846153846154</v>
      </c>
      <c r="N753" s="49">
        <f>ROUND(L753/Summary!$C$3*Summary!$C$2,0)</f>
        <v>75175</v>
      </c>
      <c r="O753" s="44">
        <f t="shared" si="61"/>
        <v>0.57826923076923076</v>
      </c>
      <c r="P753" s="78">
        <v>10</v>
      </c>
      <c r="Q753" s="34">
        <v>1</v>
      </c>
      <c r="R753" s="35">
        <f t="shared" si="62"/>
        <v>0.1</v>
      </c>
      <c r="S753" s="49">
        <f>ROUND(Q753/Summary!$C$3*Summary!$C$2,0)</f>
        <v>3</v>
      </c>
      <c r="T753" s="44">
        <f t="shared" si="63"/>
        <v>0.3</v>
      </c>
      <c r="U753" s="34">
        <v>0</v>
      </c>
      <c r="V753" s="34">
        <v>0</v>
      </c>
      <c r="W753" s="34">
        <v>0</v>
      </c>
      <c r="X753" s="34">
        <v>0</v>
      </c>
    </row>
    <row r="754" spans="1:24" hidden="1">
      <c r="A754" s="54" t="s">
        <v>3001</v>
      </c>
      <c r="B754" s="54" t="s">
        <v>818</v>
      </c>
      <c r="C754" s="54" t="s">
        <v>112</v>
      </c>
      <c r="D754" s="54" t="s">
        <v>58</v>
      </c>
      <c r="E754" s="54" t="s">
        <v>0</v>
      </c>
      <c r="F754" s="54" t="s">
        <v>3002</v>
      </c>
      <c r="G754" s="54">
        <v>1751636330</v>
      </c>
      <c r="H754" s="54" t="s">
        <v>229</v>
      </c>
      <c r="I754" s="54" t="s">
        <v>3514</v>
      </c>
      <c r="J754" s="34" t="s">
        <v>3419</v>
      </c>
      <c r="K754" s="50">
        <v>130000</v>
      </c>
      <c r="L754" s="43">
        <v>20160</v>
      </c>
      <c r="M754" s="44">
        <f t="shared" si="60"/>
        <v>0.15507692307692308</v>
      </c>
      <c r="N754" s="49">
        <f>ROUND(L754/Summary!$C$3*Summary!$C$2,0)</f>
        <v>62496</v>
      </c>
      <c r="O754" s="44">
        <f t="shared" si="61"/>
        <v>0.48073846153846156</v>
      </c>
      <c r="P754" s="78">
        <v>10</v>
      </c>
      <c r="Q754" s="34">
        <v>0</v>
      </c>
      <c r="R754" s="35">
        <f t="shared" si="62"/>
        <v>0</v>
      </c>
      <c r="S754" s="49">
        <f>ROUND(Q754/Summary!$C$3*Summary!$C$2,0)</f>
        <v>0</v>
      </c>
      <c r="T754" s="44">
        <f t="shared" si="63"/>
        <v>0</v>
      </c>
      <c r="U754" s="34">
        <v>0</v>
      </c>
      <c r="V754" s="34">
        <v>0</v>
      </c>
      <c r="W754" s="34">
        <v>0</v>
      </c>
      <c r="X754" s="34">
        <v>0</v>
      </c>
    </row>
    <row r="755" spans="1:24" hidden="1">
      <c r="A755" s="54" t="s">
        <v>2499</v>
      </c>
      <c r="B755" s="54" t="s">
        <v>2500</v>
      </c>
      <c r="C755" s="54" t="s">
        <v>112</v>
      </c>
      <c r="D755" s="54" t="s">
        <v>58</v>
      </c>
      <c r="E755" s="54" t="s">
        <v>0</v>
      </c>
      <c r="F755" s="54" t="s">
        <v>2501</v>
      </c>
      <c r="G755" s="54">
        <v>1927050272</v>
      </c>
      <c r="H755" s="54" t="s">
        <v>229</v>
      </c>
      <c r="I755" s="54" t="s">
        <v>3514</v>
      </c>
      <c r="J755" s="34" t="s">
        <v>3421</v>
      </c>
      <c r="K755" s="50">
        <v>130000</v>
      </c>
      <c r="L755" s="43">
        <v>16170</v>
      </c>
      <c r="M755" s="44">
        <f t="shared" si="60"/>
        <v>0.12438461538461539</v>
      </c>
      <c r="N755" s="49">
        <f>ROUND(L755/Summary!$C$3*Summary!$C$2,0)</f>
        <v>50127</v>
      </c>
      <c r="O755" s="44">
        <f t="shared" si="61"/>
        <v>0.38559230769230768</v>
      </c>
      <c r="P755" s="78">
        <v>10</v>
      </c>
      <c r="Q755" s="34">
        <v>0</v>
      </c>
      <c r="R755" s="35">
        <f t="shared" si="62"/>
        <v>0</v>
      </c>
      <c r="S755" s="49">
        <f>ROUND(Q755/Summary!$C$3*Summary!$C$2,0)</f>
        <v>0</v>
      </c>
      <c r="T755" s="44">
        <f t="shared" si="63"/>
        <v>0</v>
      </c>
      <c r="U755" s="34">
        <v>2</v>
      </c>
      <c r="V755" s="34">
        <v>0</v>
      </c>
      <c r="W755" s="34">
        <v>0</v>
      </c>
      <c r="X755" s="34">
        <v>0</v>
      </c>
    </row>
    <row r="756" spans="1:24" hidden="1">
      <c r="A756" s="54" t="s">
        <v>2661</v>
      </c>
      <c r="B756" s="54" t="s">
        <v>2662</v>
      </c>
      <c r="C756" s="54" t="s">
        <v>112</v>
      </c>
      <c r="D756" s="54" t="s">
        <v>58</v>
      </c>
      <c r="E756" s="54" t="s">
        <v>0</v>
      </c>
      <c r="F756" s="54" t="s">
        <v>2663</v>
      </c>
      <c r="G756" s="54">
        <v>1954072653</v>
      </c>
      <c r="H756" s="54" t="s">
        <v>229</v>
      </c>
      <c r="I756" s="54" t="s">
        <v>3514</v>
      </c>
      <c r="J756" s="34" t="s">
        <v>3421</v>
      </c>
      <c r="K756" s="50">
        <v>130000</v>
      </c>
      <c r="L756" s="43">
        <v>11380</v>
      </c>
      <c r="M756" s="44">
        <f t="shared" si="60"/>
        <v>8.7538461538461537E-2</v>
      </c>
      <c r="N756" s="49">
        <f>ROUND(L756/Summary!$C$3*Summary!$C$2,0)</f>
        <v>35278</v>
      </c>
      <c r="O756" s="44">
        <f t="shared" si="61"/>
        <v>0.27136923076923075</v>
      </c>
      <c r="P756" s="78">
        <v>10</v>
      </c>
      <c r="Q756" s="34">
        <v>0</v>
      </c>
      <c r="R756" s="35">
        <f t="shared" si="62"/>
        <v>0</v>
      </c>
      <c r="S756" s="49">
        <f>ROUND(Q756/Summary!$C$3*Summary!$C$2,0)</f>
        <v>0</v>
      </c>
      <c r="T756" s="44">
        <f t="shared" si="63"/>
        <v>0</v>
      </c>
      <c r="U756" s="34">
        <v>0</v>
      </c>
      <c r="V756" s="34">
        <v>0</v>
      </c>
      <c r="W756" s="34">
        <v>0</v>
      </c>
      <c r="X756" s="34">
        <v>0</v>
      </c>
    </row>
    <row r="757" spans="1:24" hidden="1">
      <c r="A757" s="54" t="s">
        <v>2701</v>
      </c>
      <c r="B757" s="54" t="s">
        <v>73</v>
      </c>
      <c r="C757" s="54" t="s">
        <v>112</v>
      </c>
      <c r="D757" s="54" t="s">
        <v>58</v>
      </c>
      <c r="E757" s="54" t="s">
        <v>0</v>
      </c>
      <c r="F757" s="54" t="s">
        <v>2702</v>
      </c>
      <c r="G757" s="54">
        <v>1689468151</v>
      </c>
      <c r="H757" s="54" t="s">
        <v>229</v>
      </c>
      <c r="I757" s="54" t="s">
        <v>3514</v>
      </c>
      <c r="J757" s="34" t="s">
        <v>3419</v>
      </c>
      <c r="K757" s="50">
        <v>130000</v>
      </c>
      <c r="L757" s="43">
        <v>20210</v>
      </c>
      <c r="M757" s="44">
        <f t="shared" si="60"/>
        <v>0.15546153846153846</v>
      </c>
      <c r="N757" s="49">
        <f>ROUND(L757/Summary!$C$3*Summary!$C$2,0)</f>
        <v>62651</v>
      </c>
      <c r="O757" s="44">
        <f t="shared" si="61"/>
        <v>0.48193076923076922</v>
      </c>
      <c r="P757" s="78">
        <v>10</v>
      </c>
      <c r="Q757" s="34">
        <v>0</v>
      </c>
      <c r="R757" s="35">
        <f t="shared" si="62"/>
        <v>0</v>
      </c>
      <c r="S757" s="49">
        <f>ROUND(Q757/Summary!$C$3*Summary!$C$2,0)</f>
        <v>0</v>
      </c>
      <c r="T757" s="44">
        <f t="shared" si="63"/>
        <v>0</v>
      </c>
      <c r="U757" s="34">
        <v>0</v>
      </c>
      <c r="V757" s="34">
        <v>0</v>
      </c>
      <c r="W757" s="34">
        <v>0</v>
      </c>
      <c r="X757" s="34">
        <v>0</v>
      </c>
    </row>
    <row r="758" spans="1:24" hidden="1">
      <c r="A758" s="54" t="s">
        <v>2757</v>
      </c>
      <c r="B758" s="54" t="s">
        <v>2758</v>
      </c>
      <c r="C758" s="54" t="s">
        <v>112</v>
      </c>
      <c r="D758" s="54" t="s">
        <v>58</v>
      </c>
      <c r="E758" s="54" t="s">
        <v>0</v>
      </c>
      <c r="F758" s="54" t="s">
        <v>2759</v>
      </c>
      <c r="G758" s="54">
        <v>1797040658</v>
      </c>
      <c r="H758" s="54" t="s">
        <v>229</v>
      </c>
      <c r="I758" s="54" t="s">
        <v>3514</v>
      </c>
      <c r="J758" s="34" t="s">
        <v>3419</v>
      </c>
      <c r="K758" s="50">
        <v>293827</v>
      </c>
      <c r="L758" s="43">
        <v>85054</v>
      </c>
      <c r="M758" s="44">
        <f t="shared" si="60"/>
        <v>0.28946965391199586</v>
      </c>
      <c r="N758" s="49">
        <f>ROUND(L758/Summary!$C$3*Summary!$C$2,0)</f>
        <v>263667</v>
      </c>
      <c r="O758" s="44">
        <f t="shared" si="61"/>
        <v>0.89735456578190564</v>
      </c>
      <c r="P758" s="78">
        <v>15</v>
      </c>
      <c r="Q758" s="34">
        <v>6</v>
      </c>
      <c r="R758" s="35">
        <f t="shared" si="62"/>
        <v>0.4</v>
      </c>
      <c r="S758" s="49">
        <f>ROUND(Q758/Summary!$C$3*Summary!$C$2,0)</f>
        <v>19</v>
      </c>
      <c r="T758" s="44">
        <f t="shared" si="63"/>
        <v>1.2666666666666666</v>
      </c>
      <c r="U758" s="34">
        <v>1</v>
      </c>
      <c r="V758" s="34">
        <v>3</v>
      </c>
      <c r="W758" s="34">
        <v>0</v>
      </c>
      <c r="X758" s="34">
        <v>0</v>
      </c>
    </row>
    <row r="759" spans="1:24" hidden="1">
      <c r="A759" s="54" t="s">
        <v>2580</v>
      </c>
      <c r="B759" s="54" t="s">
        <v>59</v>
      </c>
      <c r="C759" s="54" t="s">
        <v>112</v>
      </c>
      <c r="D759" s="54" t="s">
        <v>58</v>
      </c>
      <c r="E759" s="54" t="s">
        <v>0</v>
      </c>
      <c r="F759" s="54" t="s">
        <v>517</v>
      </c>
      <c r="G759" s="54">
        <v>1858151677</v>
      </c>
      <c r="H759" s="54" t="s">
        <v>229</v>
      </c>
      <c r="I759" s="54" t="s">
        <v>3514</v>
      </c>
      <c r="J759" s="34" t="s">
        <v>3421</v>
      </c>
      <c r="K759" s="50">
        <v>188896</v>
      </c>
      <c r="L759" s="43">
        <v>37180</v>
      </c>
      <c r="M759" s="44">
        <f t="shared" si="60"/>
        <v>0.19682788412671523</v>
      </c>
      <c r="N759" s="49">
        <f>ROUND(L759/Summary!$C$3*Summary!$C$2,0)</f>
        <v>115258</v>
      </c>
      <c r="O759" s="44">
        <f t="shared" si="61"/>
        <v>0.61016644079281723</v>
      </c>
      <c r="P759" s="78">
        <v>13</v>
      </c>
      <c r="Q759" s="34">
        <v>1</v>
      </c>
      <c r="R759" s="35">
        <f t="shared" si="62"/>
        <v>7.6923076923076927E-2</v>
      </c>
      <c r="S759" s="49">
        <f>ROUND(Q759/Summary!$C$3*Summary!$C$2,0)</f>
        <v>3</v>
      </c>
      <c r="T759" s="44">
        <f t="shared" si="63"/>
        <v>0.23076923076923078</v>
      </c>
      <c r="U759" s="34">
        <v>0</v>
      </c>
      <c r="V759" s="34">
        <v>0</v>
      </c>
      <c r="W759" s="34">
        <v>0</v>
      </c>
      <c r="X759" s="34">
        <v>1</v>
      </c>
    </row>
    <row r="760" spans="1:24" hidden="1">
      <c r="A760" s="54" t="s">
        <v>2614</v>
      </c>
      <c r="B760" s="54" t="s">
        <v>2615</v>
      </c>
      <c r="C760" s="54" t="s">
        <v>112</v>
      </c>
      <c r="D760" s="54" t="s">
        <v>58</v>
      </c>
      <c r="E760" s="54" t="s">
        <v>0</v>
      </c>
      <c r="F760" s="54" t="s">
        <v>2616</v>
      </c>
      <c r="G760" s="54">
        <v>1919022192</v>
      </c>
      <c r="H760" s="54" t="s">
        <v>229</v>
      </c>
      <c r="I760" s="54" t="s">
        <v>3514</v>
      </c>
      <c r="J760" s="34" t="s">
        <v>3419</v>
      </c>
      <c r="K760" s="50">
        <v>176333</v>
      </c>
      <c r="L760" s="43">
        <v>26250</v>
      </c>
      <c r="M760" s="44">
        <f t="shared" si="60"/>
        <v>0.14886606590938736</v>
      </c>
      <c r="N760" s="49">
        <f>ROUND(L760/Summary!$C$3*Summary!$C$2,0)</f>
        <v>81375</v>
      </c>
      <c r="O760" s="44">
        <f t="shared" si="61"/>
        <v>0.46148480431910077</v>
      </c>
      <c r="P760" s="78">
        <v>10</v>
      </c>
      <c r="Q760" s="34">
        <v>1</v>
      </c>
      <c r="R760" s="35">
        <f t="shared" si="62"/>
        <v>0.1</v>
      </c>
      <c r="S760" s="49">
        <f>ROUND(Q760/Summary!$C$3*Summary!$C$2,0)</f>
        <v>3</v>
      </c>
      <c r="T760" s="44">
        <f t="shared" si="63"/>
        <v>0.3</v>
      </c>
      <c r="U760" s="34">
        <v>1</v>
      </c>
      <c r="V760" s="34">
        <v>0</v>
      </c>
      <c r="W760" s="34">
        <v>0</v>
      </c>
      <c r="X760" s="34">
        <v>0</v>
      </c>
    </row>
    <row r="761" spans="1:24" hidden="1">
      <c r="A761" s="54" t="s">
        <v>2667</v>
      </c>
      <c r="B761" s="54" t="s">
        <v>2668</v>
      </c>
      <c r="C761" s="54" t="s">
        <v>112</v>
      </c>
      <c r="D761" s="54" t="s">
        <v>58</v>
      </c>
      <c r="E761" s="54" t="s">
        <v>0</v>
      </c>
      <c r="F761" s="54" t="s">
        <v>2669</v>
      </c>
      <c r="G761" s="54">
        <v>1919973766</v>
      </c>
      <c r="H761" s="54" t="s">
        <v>229</v>
      </c>
      <c r="I761" s="54" t="s">
        <v>3514</v>
      </c>
      <c r="J761" s="34" t="s">
        <v>3421</v>
      </c>
      <c r="K761" s="50">
        <v>130000</v>
      </c>
      <c r="L761" s="43">
        <v>4999</v>
      </c>
      <c r="M761" s="44">
        <f t="shared" si="60"/>
        <v>3.8453846153846151E-2</v>
      </c>
      <c r="N761" s="49">
        <f>ROUND(L761/Summary!$C$3*Summary!$C$2,0)</f>
        <v>15497</v>
      </c>
      <c r="O761" s="44">
        <f t="shared" si="61"/>
        <v>0.11920769230769231</v>
      </c>
      <c r="P761" s="78">
        <v>10</v>
      </c>
      <c r="Q761" s="34">
        <v>0</v>
      </c>
      <c r="R761" s="35">
        <f t="shared" si="62"/>
        <v>0</v>
      </c>
      <c r="S761" s="49">
        <f>ROUND(Q761/Summary!$C$3*Summary!$C$2,0)</f>
        <v>0</v>
      </c>
      <c r="T761" s="44">
        <f t="shared" si="63"/>
        <v>0</v>
      </c>
      <c r="U761" s="34">
        <v>0</v>
      </c>
      <c r="V761" s="34">
        <v>0</v>
      </c>
      <c r="W761" s="34">
        <v>0</v>
      </c>
      <c r="X761" s="34">
        <v>0</v>
      </c>
    </row>
    <row r="762" spans="1:24" hidden="1">
      <c r="A762" s="54" t="s">
        <v>3003</v>
      </c>
      <c r="B762" s="54" t="s">
        <v>3004</v>
      </c>
      <c r="C762" s="54" t="s">
        <v>112</v>
      </c>
      <c r="D762" s="54" t="s">
        <v>58</v>
      </c>
      <c r="E762" s="54" t="s">
        <v>0</v>
      </c>
      <c r="F762" s="54" t="s">
        <v>3005</v>
      </c>
      <c r="G762" s="54">
        <v>1714893133</v>
      </c>
      <c r="H762" s="54" t="s">
        <v>229</v>
      </c>
      <c r="I762" s="54" t="s">
        <v>3514</v>
      </c>
      <c r="J762" s="34" t="s">
        <v>3421</v>
      </c>
      <c r="K762" s="50">
        <v>130000</v>
      </c>
      <c r="L762" s="43">
        <v>14720</v>
      </c>
      <c r="M762" s="44">
        <f t="shared" si="60"/>
        <v>0.11323076923076923</v>
      </c>
      <c r="N762" s="49">
        <f>ROUND(L762/Summary!$C$3*Summary!$C$2,0)</f>
        <v>45632</v>
      </c>
      <c r="O762" s="44">
        <f t="shared" si="61"/>
        <v>0.35101538461538462</v>
      </c>
      <c r="P762" s="78">
        <v>10</v>
      </c>
      <c r="Q762" s="34">
        <v>0</v>
      </c>
      <c r="R762" s="35">
        <f t="shared" si="62"/>
        <v>0</v>
      </c>
      <c r="S762" s="49">
        <f>ROUND(Q762/Summary!$C$3*Summary!$C$2,0)</f>
        <v>0</v>
      </c>
      <c r="T762" s="44">
        <f t="shared" si="63"/>
        <v>0</v>
      </c>
      <c r="U762" s="34">
        <v>0</v>
      </c>
      <c r="V762" s="34">
        <v>0</v>
      </c>
      <c r="W762" s="34">
        <v>0</v>
      </c>
      <c r="X762" s="34">
        <v>0</v>
      </c>
    </row>
    <row r="763" spans="1:24" hidden="1">
      <c r="A763" s="54" t="s">
        <v>2502</v>
      </c>
      <c r="B763" s="54" t="s">
        <v>2503</v>
      </c>
      <c r="C763" s="54" t="s">
        <v>112</v>
      </c>
      <c r="D763" s="54" t="s">
        <v>58</v>
      </c>
      <c r="E763" s="54" t="s">
        <v>0</v>
      </c>
      <c r="F763" s="54" t="s">
        <v>2504</v>
      </c>
      <c r="G763" s="54">
        <v>1712421978</v>
      </c>
      <c r="H763" s="54" t="s">
        <v>229</v>
      </c>
      <c r="I763" s="54" t="s">
        <v>3514</v>
      </c>
      <c r="J763" s="34" t="s">
        <v>3515</v>
      </c>
      <c r="K763" s="50">
        <v>173897</v>
      </c>
      <c r="L763" s="43">
        <v>57049</v>
      </c>
      <c r="M763" s="44">
        <f t="shared" si="60"/>
        <v>0.32806201372076577</v>
      </c>
      <c r="N763" s="49">
        <f>ROUND(L763/Summary!$C$3*Summary!$C$2,0)</f>
        <v>176852</v>
      </c>
      <c r="O763" s="44">
        <f t="shared" si="61"/>
        <v>1.0169928175874225</v>
      </c>
      <c r="P763" s="78">
        <v>10</v>
      </c>
      <c r="Q763" s="34">
        <v>1</v>
      </c>
      <c r="R763" s="35">
        <f t="shared" si="62"/>
        <v>0.1</v>
      </c>
      <c r="S763" s="49">
        <f>ROUND(Q763/Summary!$C$3*Summary!$C$2,0)</f>
        <v>3</v>
      </c>
      <c r="T763" s="44">
        <f t="shared" si="63"/>
        <v>0.3</v>
      </c>
      <c r="U763" s="34">
        <v>2</v>
      </c>
      <c r="V763" s="34">
        <v>0</v>
      </c>
      <c r="W763" s="34">
        <v>0</v>
      </c>
      <c r="X763" s="34">
        <v>0</v>
      </c>
    </row>
    <row r="764" spans="1:24" hidden="1">
      <c r="A764" s="54" t="s">
        <v>2806</v>
      </c>
      <c r="B764" s="54" t="s">
        <v>2807</v>
      </c>
      <c r="C764" s="54" t="s">
        <v>2535</v>
      </c>
      <c r="D764" s="54" t="s">
        <v>148</v>
      </c>
      <c r="E764" s="54" t="s">
        <v>0</v>
      </c>
      <c r="F764" s="54" t="s">
        <v>2808</v>
      </c>
      <c r="G764" s="54">
        <v>1711455538</v>
      </c>
      <c r="H764" s="54" t="s">
        <v>229</v>
      </c>
      <c r="I764" s="54" t="s">
        <v>3514</v>
      </c>
      <c r="J764" s="34" t="s">
        <v>3421</v>
      </c>
      <c r="K764" s="50">
        <v>130000</v>
      </c>
      <c r="L764" s="43">
        <v>17460</v>
      </c>
      <c r="M764" s="44">
        <f t="shared" si="60"/>
        <v>0.13430769230769229</v>
      </c>
      <c r="N764" s="49">
        <f>ROUND(L764/Summary!$C$3*Summary!$C$2,0)</f>
        <v>54126</v>
      </c>
      <c r="O764" s="44">
        <f t="shared" si="61"/>
        <v>0.41635384615384613</v>
      </c>
      <c r="P764" s="78">
        <v>10</v>
      </c>
      <c r="Q764" s="34">
        <v>1</v>
      </c>
      <c r="R764" s="35">
        <f t="shared" si="62"/>
        <v>0.1</v>
      </c>
      <c r="S764" s="49">
        <f>ROUND(Q764/Summary!$C$3*Summary!$C$2,0)</f>
        <v>3</v>
      </c>
      <c r="T764" s="44">
        <f t="shared" si="63"/>
        <v>0.3</v>
      </c>
      <c r="U764" s="34">
        <v>0</v>
      </c>
      <c r="V764" s="34">
        <v>1</v>
      </c>
      <c r="W764" s="34">
        <v>0</v>
      </c>
      <c r="X764" s="34">
        <v>0</v>
      </c>
    </row>
    <row r="765" spans="1:24" hidden="1">
      <c r="A765" s="54" t="s">
        <v>2684</v>
      </c>
      <c r="B765" s="54" t="s">
        <v>2685</v>
      </c>
      <c r="C765" s="54" t="s">
        <v>2535</v>
      </c>
      <c r="D765" s="54" t="s">
        <v>148</v>
      </c>
      <c r="E765" s="54" t="s">
        <v>0</v>
      </c>
      <c r="F765" s="54" t="s">
        <v>2686</v>
      </c>
      <c r="G765" s="54">
        <v>1714798618</v>
      </c>
      <c r="H765" s="54" t="s">
        <v>229</v>
      </c>
      <c r="I765" s="54" t="s">
        <v>3514</v>
      </c>
      <c r="J765" s="34" t="s">
        <v>3421</v>
      </c>
      <c r="K765" s="50">
        <v>130000</v>
      </c>
      <c r="L765" s="43">
        <v>24800</v>
      </c>
      <c r="M765" s="44">
        <f t="shared" si="60"/>
        <v>0.19076923076923077</v>
      </c>
      <c r="N765" s="49">
        <f>ROUND(L765/Summary!$C$3*Summary!$C$2,0)</f>
        <v>76880</v>
      </c>
      <c r="O765" s="44">
        <f t="shared" si="61"/>
        <v>0.5913846153846154</v>
      </c>
      <c r="P765" s="78">
        <v>10</v>
      </c>
      <c r="Q765" s="34">
        <v>0</v>
      </c>
      <c r="R765" s="35">
        <f t="shared" si="62"/>
        <v>0</v>
      </c>
      <c r="S765" s="49">
        <f>ROUND(Q765/Summary!$C$3*Summary!$C$2,0)</f>
        <v>0</v>
      </c>
      <c r="T765" s="44">
        <f t="shared" si="63"/>
        <v>0</v>
      </c>
      <c r="U765" s="34">
        <v>1</v>
      </c>
      <c r="V765" s="34">
        <v>0</v>
      </c>
      <c r="W765" s="34">
        <v>0</v>
      </c>
      <c r="X765" s="34">
        <v>0</v>
      </c>
    </row>
    <row r="766" spans="1:24" hidden="1">
      <c r="A766" s="54" t="s">
        <v>2863</v>
      </c>
      <c r="B766" s="54" t="s">
        <v>2864</v>
      </c>
      <c r="C766" s="54" t="s">
        <v>2535</v>
      </c>
      <c r="D766" s="54" t="s">
        <v>148</v>
      </c>
      <c r="E766" s="54" t="s">
        <v>0</v>
      </c>
      <c r="F766" s="54" t="s">
        <v>2865</v>
      </c>
      <c r="G766" s="54">
        <v>1818717171</v>
      </c>
      <c r="H766" s="54" t="s">
        <v>229</v>
      </c>
      <c r="I766" s="54" t="s">
        <v>3514</v>
      </c>
      <c r="J766" s="34" t="s">
        <v>3421</v>
      </c>
      <c r="K766" s="50">
        <v>130000</v>
      </c>
      <c r="L766" s="43">
        <v>9480</v>
      </c>
      <c r="M766" s="44">
        <f t="shared" si="60"/>
        <v>7.2923076923076924E-2</v>
      </c>
      <c r="N766" s="49">
        <f>ROUND(L766/Summary!$C$3*Summary!$C$2,0)</f>
        <v>29388</v>
      </c>
      <c r="O766" s="44">
        <f t="shared" si="61"/>
        <v>0.22606153846153845</v>
      </c>
      <c r="P766" s="78">
        <v>10</v>
      </c>
      <c r="Q766" s="34">
        <v>0</v>
      </c>
      <c r="R766" s="35">
        <f t="shared" si="62"/>
        <v>0</v>
      </c>
      <c r="S766" s="49">
        <f>ROUND(Q766/Summary!$C$3*Summary!$C$2,0)</f>
        <v>0</v>
      </c>
      <c r="T766" s="44">
        <f t="shared" si="63"/>
        <v>0</v>
      </c>
      <c r="U766" s="34">
        <v>0</v>
      </c>
      <c r="V766" s="34">
        <v>0</v>
      </c>
      <c r="W766" s="34">
        <v>0</v>
      </c>
      <c r="X766" s="34">
        <v>0</v>
      </c>
    </row>
    <row r="767" spans="1:24" hidden="1">
      <c r="A767" s="54" t="s">
        <v>2534</v>
      </c>
      <c r="B767" s="54" t="s">
        <v>2535</v>
      </c>
      <c r="C767" s="54" t="s">
        <v>2535</v>
      </c>
      <c r="D767" s="54" t="s">
        <v>148</v>
      </c>
      <c r="E767" s="54" t="s">
        <v>0</v>
      </c>
      <c r="F767" s="54" t="s">
        <v>2536</v>
      </c>
      <c r="G767" s="54">
        <v>1753182977</v>
      </c>
      <c r="H767" s="54" t="s">
        <v>229</v>
      </c>
      <c r="I767" s="54" t="s">
        <v>3514</v>
      </c>
      <c r="J767" s="34" t="s">
        <v>3419</v>
      </c>
      <c r="K767" s="50">
        <v>299322</v>
      </c>
      <c r="L767" s="43">
        <v>59090</v>
      </c>
      <c r="M767" s="44">
        <f t="shared" si="60"/>
        <v>0.19741281963905091</v>
      </c>
      <c r="N767" s="49">
        <f>ROUND(L767/Summary!$C$3*Summary!$C$2,0)</f>
        <v>183179</v>
      </c>
      <c r="O767" s="44">
        <f t="shared" si="61"/>
        <v>0.61197974088105789</v>
      </c>
      <c r="P767" s="78">
        <v>12</v>
      </c>
      <c r="Q767" s="34">
        <v>2</v>
      </c>
      <c r="R767" s="35">
        <f t="shared" si="62"/>
        <v>0.16666666666666666</v>
      </c>
      <c r="S767" s="49">
        <f>ROUND(Q767/Summary!$C$3*Summary!$C$2,0)</f>
        <v>6</v>
      </c>
      <c r="T767" s="44">
        <f t="shared" si="63"/>
        <v>0.5</v>
      </c>
      <c r="U767" s="34">
        <v>2</v>
      </c>
      <c r="V767" s="34">
        <v>0</v>
      </c>
      <c r="W767" s="34">
        <v>0</v>
      </c>
      <c r="X767" s="34">
        <v>1</v>
      </c>
    </row>
    <row r="768" spans="1:24" hidden="1">
      <c r="A768" s="54" t="s">
        <v>2840</v>
      </c>
      <c r="B768" s="54" t="s">
        <v>2841</v>
      </c>
      <c r="C768" s="54" t="s">
        <v>2535</v>
      </c>
      <c r="D768" s="54" t="s">
        <v>148</v>
      </c>
      <c r="E768" s="54" t="s">
        <v>0</v>
      </c>
      <c r="F768" s="54" t="s">
        <v>2842</v>
      </c>
      <c r="G768" s="54">
        <v>1779216000</v>
      </c>
      <c r="H768" s="54" t="s">
        <v>229</v>
      </c>
      <c r="I768" s="54" t="s">
        <v>3514</v>
      </c>
      <c r="J768" s="34" t="s">
        <v>3515</v>
      </c>
      <c r="K768" s="50">
        <v>130000</v>
      </c>
      <c r="L768" s="43">
        <v>4990</v>
      </c>
      <c r="M768" s="44">
        <f t="shared" si="60"/>
        <v>3.8384615384615385E-2</v>
      </c>
      <c r="N768" s="49">
        <f>ROUND(L768/Summary!$C$3*Summary!$C$2,0)</f>
        <v>15469</v>
      </c>
      <c r="O768" s="44">
        <f t="shared" si="61"/>
        <v>0.11899230769230769</v>
      </c>
      <c r="P768" s="78">
        <v>10</v>
      </c>
      <c r="Q768" s="34">
        <v>0</v>
      </c>
      <c r="R768" s="35">
        <f t="shared" si="62"/>
        <v>0</v>
      </c>
      <c r="S768" s="49">
        <f>ROUND(Q768/Summary!$C$3*Summary!$C$2,0)</f>
        <v>0</v>
      </c>
      <c r="T768" s="44">
        <f t="shared" si="63"/>
        <v>0</v>
      </c>
      <c r="U768" s="34">
        <v>0</v>
      </c>
      <c r="V768" s="34">
        <v>0</v>
      </c>
      <c r="W768" s="34">
        <v>0</v>
      </c>
      <c r="X768" s="34">
        <v>0</v>
      </c>
    </row>
    <row r="769" spans="1:24" hidden="1">
      <c r="A769" s="54" t="s">
        <v>2830</v>
      </c>
      <c r="B769" s="54" t="s">
        <v>2831</v>
      </c>
      <c r="C769" s="54" t="s">
        <v>2535</v>
      </c>
      <c r="D769" s="54" t="s">
        <v>148</v>
      </c>
      <c r="E769" s="54" t="s">
        <v>0</v>
      </c>
      <c r="F769" s="54" t="s">
        <v>2832</v>
      </c>
      <c r="G769" s="54">
        <v>1716213901</v>
      </c>
      <c r="H769" s="54" t="s">
        <v>229</v>
      </c>
      <c r="I769" s="54" t="s">
        <v>3514</v>
      </c>
      <c r="J769" s="34" t="s">
        <v>3419</v>
      </c>
      <c r="K769" s="50">
        <v>130000</v>
      </c>
      <c r="L769" s="43">
        <v>30785</v>
      </c>
      <c r="M769" s="44">
        <f t="shared" si="60"/>
        <v>0.2368076923076923</v>
      </c>
      <c r="N769" s="49">
        <f>ROUND(L769/Summary!$C$3*Summary!$C$2,0)</f>
        <v>95434</v>
      </c>
      <c r="O769" s="44">
        <f t="shared" si="61"/>
        <v>0.73410769230769235</v>
      </c>
      <c r="P769" s="78">
        <v>10</v>
      </c>
      <c r="Q769" s="34">
        <v>2</v>
      </c>
      <c r="R769" s="35">
        <f t="shared" si="62"/>
        <v>0.2</v>
      </c>
      <c r="S769" s="49">
        <f>ROUND(Q769/Summary!$C$3*Summary!$C$2,0)</f>
        <v>6</v>
      </c>
      <c r="T769" s="44">
        <f t="shared" si="63"/>
        <v>0.6</v>
      </c>
      <c r="U769" s="34">
        <v>0</v>
      </c>
      <c r="V769" s="34">
        <v>0</v>
      </c>
      <c r="W769" s="34">
        <v>0</v>
      </c>
      <c r="X769" s="34">
        <v>0</v>
      </c>
    </row>
    <row r="770" spans="1:24" hidden="1">
      <c r="A770" s="54" t="s">
        <v>2740</v>
      </c>
      <c r="B770" s="54" t="s">
        <v>296</v>
      </c>
      <c r="C770" s="54" t="s">
        <v>2535</v>
      </c>
      <c r="D770" s="54" t="s">
        <v>148</v>
      </c>
      <c r="E770" s="54" t="s">
        <v>0</v>
      </c>
      <c r="F770" s="54" t="s">
        <v>2741</v>
      </c>
      <c r="G770" s="54">
        <v>1718077059</v>
      </c>
      <c r="H770" s="54" t="s">
        <v>229</v>
      </c>
      <c r="I770" s="54" t="s">
        <v>3514</v>
      </c>
      <c r="J770" s="34" t="s">
        <v>3419</v>
      </c>
      <c r="K770" s="50">
        <v>130000</v>
      </c>
      <c r="L770" s="43">
        <v>24200</v>
      </c>
      <c r="M770" s="44">
        <f t="shared" si="60"/>
        <v>0.18615384615384614</v>
      </c>
      <c r="N770" s="49">
        <f>ROUND(L770/Summary!$C$3*Summary!$C$2,0)</f>
        <v>75020</v>
      </c>
      <c r="O770" s="44">
        <f t="shared" si="61"/>
        <v>0.57707692307692304</v>
      </c>
      <c r="P770" s="78">
        <v>10</v>
      </c>
      <c r="Q770" s="34">
        <v>1</v>
      </c>
      <c r="R770" s="35">
        <f t="shared" si="62"/>
        <v>0.1</v>
      </c>
      <c r="S770" s="49">
        <f>ROUND(Q770/Summary!$C$3*Summary!$C$2,0)</f>
        <v>3</v>
      </c>
      <c r="T770" s="44">
        <f t="shared" si="63"/>
        <v>0.3</v>
      </c>
      <c r="U770" s="34">
        <v>0</v>
      </c>
      <c r="V770" s="34">
        <v>0</v>
      </c>
      <c r="W770" s="34">
        <v>0</v>
      </c>
      <c r="X770" s="34">
        <v>0</v>
      </c>
    </row>
    <row r="771" spans="1:24" hidden="1">
      <c r="A771" s="54" t="s">
        <v>2801</v>
      </c>
      <c r="B771" s="54" t="s">
        <v>2802</v>
      </c>
      <c r="C771" s="54" t="s">
        <v>2535</v>
      </c>
      <c r="D771" s="54" t="s">
        <v>148</v>
      </c>
      <c r="E771" s="54" t="s">
        <v>0</v>
      </c>
      <c r="F771" s="54" t="s">
        <v>2803</v>
      </c>
      <c r="G771" s="54">
        <v>1711952155</v>
      </c>
      <c r="H771" s="54" t="s">
        <v>229</v>
      </c>
      <c r="I771" s="54" t="s">
        <v>3514</v>
      </c>
      <c r="J771" s="34" t="s">
        <v>3419</v>
      </c>
      <c r="K771" s="50">
        <v>197715</v>
      </c>
      <c r="L771" s="43">
        <v>13220</v>
      </c>
      <c r="M771" s="44">
        <f t="shared" si="60"/>
        <v>6.6863920289305309E-2</v>
      </c>
      <c r="N771" s="49">
        <f>ROUND(L771/Summary!$C$3*Summary!$C$2,0)</f>
        <v>40982</v>
      </c>
      <c r="O771" s="44">
        <f t="shared" si="61"/>
        <v>0.20727815289684648</v>
      </c>
      <c r="P771" s="78">
        <v>10</v>
      </c>
      <c r="Q771" s="34">
        <v>0</v>
      </c>
      <c r="R771" s="35">
        <f t="shared" si="62"/>
        <v>0</v>
      </c>
      <c r="S771" s="49">
        <f>ROUND(Q771/Summary!$C$3*Summary!$C$2,0)</f>
        <v>0</v>
      </c>
      <c r="T771" s="44">
        <f t="shared" si="63"/>
        <v>0</v>
      </c>
      <c r="U771" s="34">
        <v>0</v>
      </c>
      <c r="V771" s="34">
        <v>0</v>
      </c>
      <c r="W771" s="34">
        <v>0</v>
      </c>
      <c r="X771" s="34">
        <v>0</v>
      </c>
    </row>
    <row r="772" spans="1:24" hidden="1">
      <c r="A772" s="54" t="s">
        <v>2687</v>
      </c>
      <c r="B772" s="54" t="s">
        <v>2688</v>
      </c>
      <c r="C772" s="54" t="s">
        <v>2535</v>
      </c>
      <c r="D772" s="54" t="s">
        <v>148</v>
      </c>
      <c r="E772" s="54" t="s">
        <v>0</v>
      </c>
      <c r="F772" s="54" t="s">
        <v>2689</v>
      </c>
      <c r="G772" s="54">
        <v>1712980982</v>
      </c>
      <c r="H772" s="54" t="s">
        <v>229</v>
      </c>
      <c r="I772" s="54" t="s">
        <v>3514</v>
      </c>
      <c r="J772" s="34" t="s">
        <v>3419</v>
      </c>
      <c r="K772" s="50">
        <v>159541</v>
      </c>
      <c r="L772" s="43">
        <v>37379</v>
      </c>
      <c r="M772" s="44">
        <f t="shared" si="60"/>
        <v>0.23429087193887466</v>
      </c>
      <c r="N772" s="49">
        <f>ROUND(L772/Summary!$C$3*Summary!$C$2,0)</f>
        <v>115875</v>
      </c>
      <c r="O772" s="44">
        <f t="shared" si="61"/>
        <v>0.72630232980863851</v>
      </c>
      <c r="P772" s="78">
        <v>10</v>
      </c>
      <c r="Q772" s="34">
        <v>0</v>
      </c>
      <c r="R772" s="35">
        <f t="shared" si="62"/>
        <v>0</v>
      </c>
      <c r="S772" s="49">
        <f>ROUND(Q772/Summary!$C$3*Summary!$C$2,0)</f>
        <v>0</v>
      </c>
      <c r="T772" s="44">
        <f t="shared" si="63"/>
        <v>0</v>
      </c>
      <c r="U772" s="34">
        <v>0</v>
      </c>
      <c r="V772" s="34">
        <v>0</v>
      </c>
      <c r="W772" s="34">
        <v>0</v>
      </c>
      <c r="X772" s="34">
        <v>0</v>
      </c>
    </row>
    <row r="773" spans="1:24" hidden="1">
      <c r="A773" s="54" t="s">
        <v>2837</v>
      </c>
      <c r="B773" s="54" t="s">
        <v>2838</v>
      </c>
      <c r="C773" s="54" t="s">
        <v>2535</v>
      </c>
      <c r="D773" s="54" t="s">
        <v>148</v>
      </c>
      <c r="E773" s="54" t="s">
        <v>0</v>
      </c>
      <c r="F773" s="54" t="s">
        <v>2839</v>
      </c>
      <c r="G773" s="54">
        <v>1714204035</v>
      </c>
      <c r="H773" s="54" t="s">
        <v>229</v>
      </c>
      <c r="I773" s="54" t="s">
        <v>3514</v>
      </c>
      <c r="J773" s="34" t="s">
        <v>3419</v>
      </c>
      <c r="K773" s="50">
        <v>130000</v>
      </c>
      <c r="L773" s="43">
        <v>9480</v>
      </c>
      <c r="M773" s="44">
        <f t="shared" si="60"/>
        <v>7.2923076923076924E-2</v>
      </c>
      <c r="N773" s="49">
        <f>ROUND(L773/Summary!$C$3*Summary!$C$2,0)</f>
        <v>29388</v>
      </c>
      <c r="O773" s="44">
        <f t="shared" si="61"/>
        <v>0.22606153846153845</v>
      </c>
      <c r="P773" s="78">
        <v>10</v>
      </c>
      <c r="Q773" s="34">
        <v>0</v>
      </c>
      <c r="R773" s="35">
        <f t="shared" si="62"/>
        <v>0</v>
      </c>
      <c r="S773" s="49">
        <f>ROUND(Q773/Summary!$C$3*Summary!$C$2,0)</f>
        <v>0</v>
      </c>
      <c r="T773" s="44">
        <f t="shared" si="63"/>
        <v>0</v>
      </c>
      <c r="U773" s="34">
        <v>0</v>
      </c>
      <c r="V773" s="34">
        <v>0</v>
      </c>
      <c r="W773" s="34">
        <v>0</v>
      </c>
      <c r="X773" s="34">
        <v>0</v>
      </c>
    </row>
    <row r="774" spans="1:24" hidden="1">
      <c r="A774" s="54" t="s">
        <v>2376</v>
      </c>
      <c r="B774" s="54" t="s">
        <v>2377</v>
      </c>
      <c r="C774" s="54" t="s">
        <v>169</v>
      </c>
      <c r="D774" s="54" t="s">
        <v>148</v>
      </c>
      <c r="E774" s="54" t="s">
        <v>0</v>
      </c>
      <c r="F774" s="54" t="s">
        <v>2378</v>
      </c>
      <c r="G774" s="54">
        <v>1922825529</v>
      </c>
      <c r="H774" s="54" t="s">
        <v>229</v>
      </c>
      <c r="I774" s="54" t="s">
        <v>3514</v>
      </c>
      <c r="J774" s="34" t="s">
        <v>3421</v>
      </c>
      <c r="K774" s="50">
        <v>130000</v>
      </c>
      <c r="L774" s="43">
        <v>17510</v>
      </c>
      <c r="M774" s="44">
        <f t="shared" si="60"/>
        <v>0.13469230769230769</v>
      </c>
      <c r="N774" s="49">
        <f>ROUND(L774/Summary!$C$3*Summary!$C$2,0)</f>
        <v>54281</v>
      </c>
      <c r="O774" s="44">
        <f t="shared" si="61"/>
        <v>0.41754615384615384</v>
      </c>
      <c r="P774" s="78">
        <v>10</v>
      </c>
      <c r="Q774" s="34">
        <v>0</v>
      </c>
      <c r="R774" s="35">
        <f t="shared" si="62"/>
        <v>0</v>
      </c>
      <c r="S774" s="49">
        <f>ROUND(Q774/Summary!$C$3*Summary!$C$2,0)</f>
        <v>0</v>
      </c>
      <c r="T774" s="44">
        <f t="shared" si="63"/>
        <v>0</v>
      </c>
      <c r="U774" s="34">
        <v>1</v>
      </c>
      <c r="V774" s="34">
        <v>0</v>
      </c>
      <c r="W774" s="34">
        <v>0</v>
      </c>
      <c r="X774" s="34">
        <v>0</v>
      </c>
    </row>
    <row r="775" spans="1:24" hidden="1">
      <c r="A775" s="54" t="s">
        <v>2403</v>
      </c>
      <c r="B775" s="54" t="s">
        <v>2404</v>
      </c>
      <c r="C775" s="54" t="s">
        <v>169</v>
      </c>
      <c r="D775" s="54" t="s">
        <v>148</v>
      </c>
      <c r="E775" s="54" t="s">
        <v>0</v>
      </c>
      <c r="F775" s="54" t="s">
        <v>2405</v>
      </c>
      <c r="G775" s="54">
        <v>1711475878</v>
      </c>
      <c r="H775" s="54" t="s">
        <v>229</v>
      </c>
      <c r="I775" s="54" t="s">
        <v>3514</v>
      </c>
      <c r="J775" s="34" t="s">
        <v>3515</v>
      </c>
      <c r="K775" s="50">
        <v>221546</v>
      </c>
      <c r="L775" s="43">
        <v>41570</v>
      </c>
      <c r="M775" s="44">
        <f t="shared" si="60"/>
        <v>0.18763597627580728</v>
      </c>
      <c r="N775" s="49">
        <f>ROUND(L775/Summary!$C$3*Summary!$C$2,0)</f>
        <v>128867</v>
      </c>
      <c r="O775" s="44">
        <f t="shared" si="61"/>
        <v>0.58167152645500253</v>
      </c>
      <c r="P775" s="78">
        <v>10</v>
      </c>
      <c r="Q775" s="34">
        <v>1</v>
      </c>
      <c r="R775" s="35">
        <f t="shared" si="62"/>
        <v>0.1</v>
      </c>
      <c r="S775" s="49">
        <f>ROUND(Q775/Summary!$C$3*Summary!$C$2,0)</f>
        <v>3</v>
      </c>
      <c r="T775" s="44">
        <f t="shared" si="63"/>
        <v>0.3</v>
      </c>
      <c r="U775" s="34">
        <v>0</v>
      </c>
      <c r="V775" s="34">
        <v>0</v>
      </c>
      <c r="W775" s="34">
        <v>1</v>
      </c>
      <c r="X775" s="34">
        <v>0</v>
      </c>
    </row>
    <row r="776" spans="1:24" hidden="1">
      <c r="A776" s="54" t="s">
        <v>2772</v>
      </c>
      <c r="B776" s="54" t="s">
        <v>2773</v>
      </c>
      <c r="C776" s="54" t="s">
        <v>169</v>
      </c>
      <c r="D776" s="54" t="s">
        <v>148</v>
      </c>
      <c r="E776" s="54" t="s">
        <v>0</v>
      </c>
      <c r="F776" s="54" t="s">
        <v>2774</v>
      </c>
      <c r="G776" s="54">
        <v>1767859939</v>
      </c>
      <c r="H776" s="54" t="s">
        <v>229</v>
      </c>
      <c r="I776" s="54" t="s">
        <v>3514</v>
      </c>
      <c r="J776" s="34" t="s">
        <v>3421</v>
      </c>
      <c r="K776" s="50">
        <v>130000</v>
      </c>
      <c r="L776" s="43">
        <v>23559</v>
      </c>
      <c r="M776" s="44">
        <f t="shared" si="60"/>
        <v>0.18122307692307693</v>
      </c>
      <c r="N776" s="49">
        <f>ROUND(L776/Summary!$C$3*Summary!$C$2,0)</f>
        <v>73033</v>
      </c>
      <c r="O776" s="44">
        <f t="shared" si="61"/>
        <v>0.5617923076923077</v>
      </c>
      <c r="P776" s="78">
        <v>10</v>
      </c>
      <c r="Q776" s="34">
        <v>0</v>
      </c>
      <c r="R776" s="35">
        <f t="shared" si="62"/>
        <v>0</v>
      </c>
      <c r="S776" s="49">
        <f>ROUND(Q776/Summary!$C$3*Summary!$C$2,0)</f>
        <v>0</v>
      </c>
      <c r="T776" s="44">
        <f t="shared" si="63"/>
        <v>0</v>
      </c>
      <c r="U776" s="34">
        <v>1</v>
      </c>
      <c r="V776" s="34">
        <v>0</v>
      </c>
      <c r="W776" s="34">
        <v>0</v>
      </c>
      <c r="X776" s="34">
        <v>0</v>
      </c>
    </row>
    <row r="777" spans="1:24" hidden="1">
      <c r="A777" s="34" t="s">
        <v>3628</v>
      </c>
      <c r="B777" s="34" t="s">
        <v>3629</v>
      </c>
      <c r="C777" s="34" t="s">
        <v>169</v>
      </c>
      <c r="D777" s="34" t="s">
        <v>148</v>
      </c>
      <c r="E777" s="34" t="s">
        <v>0</v>
      </c>
      <c r="F777" s="34" t="s">
        <v>3630</v>
      </c>
      <c r="G777" s="54">
        <v>1720545767</v>
      </c>
      <c r="H777" s="54" t="s">
        <v>229</v>
      </c>
      <c r="I777" s="54" t="s">
        <v>3518</v>
      </c>
      <c r="J777" s="34" t="s">
        <v>3419</v>
      </c>
      <c r="K777" s="80">
        <v>310000</v>
      </c>
      <c r="L777" s="43">
        <v>198460</v>
      </c>
      <c r="M777" s="44">
        <f t="shared" si="60"/>
        <v>0.64019354838709674</v>
      </c>
      <c r="N777" s="49">
        <f>ROUND(L777/Summary!$C$3*Summary!$C$2,0)</f>
        <v>615226</v>
      </c>
      <c r="O777" s="44">
        <f t="shared" si="61"/>
        <v>1.9845999999999999</v>
      </c>
      <c r="P777" s="78">
        <v>16</v>
      </c>
      <c r="Q777" s="34">
        <v>9</v>
      </c>
      <c r="R777" s="35">
        <f t="shared" si="62"/>
        <v>0.5625</v>
      </c>
      <c r="S777" s="49">
        <f>ROUND(Q777/Summary!$C$3*Summary!$C$2,0)</f>
        <v>28</v>
      </c>
      <c r="T777" s="44">
        <f t="shared" si="63"/>
        <v>1.75</v>
      </c>
      <c r="U777" s="34">
        <v>3</v>
      </c>
      <c r="V777" s="34">
        <v>2</v>
      </c>
      <c r="W777" s="34">
        <v>0</v>
      </c>
      <c r="X777" s="34">
        <v>1</v>
      </c>
    </row>
    <row r="778" spans="1:24" hidden="1">
      <c r="A778" s="54" t="s">
        <v>3382</v>
      </c>
      <c r="B778" s="54" t="s">
        <v>3383</v>
      </c>
      <c r="C778" s="54" t="s">
        <v>169</v>
      </c>
      <c r="D778" s="54" t="s">
        <v>148</v>
      </c>
      <c r="E778" s="54" t="s">
        <v>0</v>
      </c>
      <c r="F778" s="54" t="s">
        <v>3381</v>
      </c>
      <c r="G778" s="54">
        <v>1913209678</v>
      </c>
      <c r="H778" s="54" t="s">
        <v>229</v>
      </c>
      <c r="I778" s="54" t="s">
        <v>3514</v>
      </c>
      <c r="J778" s="34" t="s">
        <v>3419</v>
      </c>
      <c r="K778" s="50">
        <v>253949</v>
      </c>
      <c r="L778" s="43">
        <v>84528</v>
      </c>
      <c r="M778" s="44">
        <f t="shared" ref="M778:M841" si="64">L778/K778</f>
        <v>0.33285423451165391</v>
      </c>
      <c r="N778" s="49">
        <f>ROUND(L778/Summary!$C$3*Summary!$C$2,0)</f>
        <v>262037</v>
      </c>
      <c r="O778" s="44">
        <f t="shared" ref="O778:O841" si="65">N778/K778</f>
        <v>1.0318489145458341</v>
      </c>
      <c r="P778" s="78">
        <v>10</v>
      </c>
      <c r="Q778" s="34">
        <v>5</v>
      </c>
      <c r="R778" s="35">
        <f t="shared" ref="R778:R841" si="66">Q778/P778</f>
        <v>0.5</v>
      </c>
      <c r="S778" s="49">
        <f>ROUND(Q778/Summary!$C$3*Summary!$C$2,0)</f>
        <v>16</v>
      </c>
      <c r="T778" s="44">
        <f t="shared" ref="T778:T841" si="67">S778/P778</f>
        <v>1.6</v>
      </c>
      <c r="U778" s="34">
        <v>1</v>
      </c>
      <c r="V778" s="34">
        <v>2</v>
      </c>
      <c r="W778" s="34">
        <v>0</v>
      </c>
      <c r="X778" s="34">
        <v>0</v>
      </c>
    </row>
    <row r="779" spans="1:24">
      <c r="A779" s="54" t="s">
        <v>2708</v>
      </c>
      <c r="B779" s="54" t="s">
        <v>117</v>
      </c>
      <c r="C779" s="54" t="s">
        <v>169</v>
      </c>
      <c r="D779" s="54" t="s">
        <v>148</v>
      </c>
      <c r="E779" s="54" t="s">
        <v>0</v>
      </c>
      <c r="F779" s="54" t="s">
        <v>2709</v>
      </c>
      <c r="G779" s="54">
        <v>1719983230</v>
      </c>
      <c r="H779" s="54" t="s">
        <v>229</v>
      </c>
      <c r="I779" s="54" t="s">
        <v>3514</v>
      </c>
      <c r="J779" s="34" t="s">
        <v>3421</v>
      </c>
      <c r="K779" s="50">
        <v>130000</v>
      </c>
      <c r="L779" s="43">
        <v>0</v>
      </c>
      <c r="M779" s="44">
        <f t="shared" si="64"/>
        <v>0</v>
      </c>
      <c r="N779" s="49">
        <f>ROUND(L779/Summary!$C$3*Summary!$C$2,0)</f>
        <v>0</v>
      </c>
      <c r="O779" s="44">
        <f t="shared" si="65"/>
        <v>0</v>
      </c>
      <c r="P779" s="78">
        <v>10</v>
      </c>
      <c r="Q779" s="34">
        <v>0</v>
      </c>
      <c r="R779" s="35">
        <f t="shared" si="66"/>
        <v>0</v>
      </c>
      <c r="S779" s="49">
        <f>ROUND(Q779/Summary!$C$3*Summary!$C$2,0)</f>
        <v>0</v>
      </c>
      <c r="T779" s="44">
        <f t="shared" si="67"/>
        <v>0</v>
      </c>
      <c r="U779" s="34">
        <v>0</v>
      </c>
      <c r="V779" s="34">
        <v>0</v>
      </c>
      <c r="W779" s="34">
        <v>0</v>
      </c>
      <c r="X779" s="34">
        <v>0</v>
      </c>
    </row>
    <row r="780" spans="1:24" hidden="1">
      <c r="A780" s="54" t="s">
        <v>2699</v>
      </c>
      <c r="B780" s="54" t="s">
        <v>837</v>
      </c>
      <c r="C780" s="54" t="s">
        <v>169</v>
      </c>
      <c r="D780" s="54" t="s">
        <v>148</v>
      </c>
      <c r="E780" s="54" t="s">
        <v>0</v>
      </c>
      <c r="F780" s="54" t="s">
        <v>2700</v>
      </c>
      <c r="G780" s="54">
        <v>1717259590</v>
      </c>
      <c r="H780" s="54" t="s">
        <v>229</v>
      </c>
      <c r="I780" s="54" t="s">
        <v>3514</v>
      </c>
      <c r="J780" s="34" t="s">
        <v>3419</v>
      </c>
      <c r="K780" s="50">
        <v>130000</v>
      </c>
      <c r="L780" s="43">
        <v>29990</v>
      </c>
      <c r="M780" s="44">
        <f t="shared" si="64"/>
        <v>0.2306923076923077</v>
      </c>
      <c r="N780" s="49">
        <f>ROUND(L780/Summary!$C$3*Summary!$C$2,0)</f>
        <v>92969</v>
      </c>
      <c r="O780" s="44">
        <f t="shared" si="65"/>
        <v>0.71514615384615388</v>
      </c>
      <c r="P780" s="78">
        <v>10</v>
      </c>
      <c r="Q780" s="34">
        <v>2</v>
      </c>
      <c r="R780" s="35">
        <f t="shared" si="66"/>
        <v>0.2</v>
      </c>
      <c r="S780" s="49">
        <f>ROUND(Q780/Summary!$C$3*Summary!$C$2,0)</f>
        <v>6</v>
      </c>
      <c r="T780" s="44">
        <f t="shared" si="67"/>
        <v>0.6</v>
      </c>
      <c r="U780" s="34">
        <v>0</v>
      </c>
      <c r="V780" s="34">
        <v>0</v>
      </c>
      <c r="W780" s="34">
        <v>0</v>
      </c>
      <c r="X780" s="34">
        <v>0</v>
      </c>
    </row>
    <row r="781" spans="1:24" hidden="1">
      <c r="A781" s="54" t="s">
        <v>2411</v>
      </c>
      <c r="B781" s="54" t="s">
        <v>2412</v>
      </c>
      <c r="C781" s="54" t="s">
        <v>169</v>
      </c>
      <c r="D781" s="54" t="s">
        <v>148</v>
      </c>
      <c r="E781" s="54" t="s">
        <v>0</v>
      </c>
      <c r="F781" s="54" t="s">
        <v>2413</v>
      </c>
      <c r="G781" s="54">
        <v>1712347436</v>
      </c>
      <c r="H781" s="54" t="s">
        <v>229</v>
      </c>
      <c r="I781" s="54" t="s">
        <v>3514</v>
      </c>
      <c r="J781" s="34" t="s">
        <v>3419</v>
      </c>
      <c r="K781" s="50">
        <v>130000</v>
      </c>
      <c r="L781" s="43">
        <v>28900</v>
      </c>
      <c r="M781" s="44">
        <f t="shared" si="64"/>
        <v>0.22230769230769232</v>
      </c>
      <c r="N781" s="49">
        <f>ROUND(L781/Summary!$C$3*Summary!$C$2,0)</f>
        <v>89590</v>
      </c>
      <c r="O781" s="44">
        <f t="shared" si="65"/>
        <v>0.68915384615384612</v>
      </c>
      <c r="P781" s="78">
        <v>10</v>
      </c>
      <c r="Q781" s="34">
        <v>1</v>
      </c>
      <c r="R781" s="35">
        <f t="shared" si="66"/>
        <v>0.1</v>
      </c>
      <c r="S781" s="49">
        <f>ROUND(Q781/Summary!$C$3*Summary!$C$2,0)</f>
        <v>3</v>
      </c>
      <c r="T781" s="44">
        <f t="shared" si="67"/>
        <v>0.3</v>
      </c>
      <c r="U781" s="34">
        <v>1</v>
      </c>
      <c r="V781" s="34">
        <v>0</v>
      </c>
      <c r="W781" s="34">
        <v>0</v>
      </c>
      <c r="X781" s="34">
        <v>0</v>
      </c>
    </row>
    <row r="782" spans="1:24" hidden="1">
      <c r="A782" s="54" t="s">
        <v>2561</v>
      </c>
      <c r="B782" s="54" t="s">
        <v>2562</v>
      </c>
      <c r="C782" s="54" t="s">
        <v>169</v>
      </c>
      <c r="D782" s="54" t="s">
        <v>148</v>
      </c>
      <c r="E782" s="54" t="s">
        <v>0</v>
      </c>
      <c r="F782" s="54" t="s">
        <v>2563</v>
      </c>
      <c r="G782" s="54">
        <v>1711227842</v>
      </c>
      <c r="H782" s="54" t="s">
        <v>229</v>
      </c>
      <c r="I782" s="54" t="s">
        <v>3514</v>
      </c>
      <c r="J782" s="34" t="s">
        <v>3419</v>
      </c>
      <c r="K782" s="50">
        <v>207767</v>
      </c>
      <c r="L782" s="43">
        <v>30540</v>
      </c>
      <c r="M782" s="44">
        <f t="shared" si="64"/>
        <v>0.14699158191628123</v>
      </c>
      <c r="N782" s="49">
        <f>ROUND(L782/Summary!$C$3*Summary!$C$2,0)</f>
        <v>94674</v>
      </c>
      <c r="O782" s="44">
        <f t="shared" si="65"/>
        <v>0.4556739039404718</v>
      </c>
      <c r="P782" s="78">
        <v>10</v>
      </c>
      <c r="Q782" s="34">
        <v>0</v>
      </c>
      <c r="R782" s="35">
        <f t="shared" si="66"/>
        <v>0</v>
      </c>
      <c r="S782" s="49">
        <f>ROUND(Q782/Summary!$C$3*Summary!$C$2,0)</f>
        <v>0</v>
      </c>
      <c r="T782" s="44">
        <f t="shared" si="67"/>
        <v>0</v>
      </c>
      <c r="U782" s="34">
        <v>0</v>
      </c>
      <c r="V782" s="34">
        <v>0</v>
      </c>
      <c r="W782" s="34">
        <v>0</v>
      </c>
      <c r="X782" s="34">
        <v>0</v>
      </c>
    </row>
    <row r="783" spans="1:24" hidden="1">
      <c r="A783" s="54" t="s">
        <v>2465</v>
      </c>
      <c r="B783" s="54" t="s">
        <v>2466</v>
      </c>
      <c r="C783" s="54" t="s">
        <v>169</v>
      </c>
      <c r="D783" s="54" t="s">
        <v>148</v>
      </c>
      <c r="E783" s="54" t="s">
        <v>0</v>
      </c>
      <c r="F783" s="54" t="s">
        <v>1712</v>
      </c>
      <c r="G783" s="54">
        <v>1718801319</v>
      </c>
      <c r="H783" s="54" t="s">
        <v>229</v>
      </c>
      <c r="I783" s="54" t="s">
        <v>3514</v>
      </c>
      <c r="J783" s="34" t="s">
        <v>3515</v>
      </c>
      <c r="K783" s="50">
        <v>130000</v>
      </c>
      <c r="L783" s="43">
        <v>21260</v>
      </c>
      <c r="M783" s="44">
        <f t="shared" si="64"/>
        <v>0.16353846153846155</v>
      </c>
      <c r="N783" s="49">
        <f>ROUND(L783/Summary!$C$3*Summary!$C$2,0)</f>
        <v>65906</v>
      </c>
      <c r="O783" s="44">
        <f t="shared" si="65"/>
        <v>0.50696923076923073</v>
      </c>
      <c r="P783" s="78">
        <v>10</v>
      </c>
      <c r="Q783" s="34">
        <v>0</v>
      </c>
      <c r="R783" s="35">
        <f t="shared" si="66"/>
        <v>0</v>
      </c>
      <c r="S783" s="49">
        <f>ROUND(Q783/Summary!$C$3*Summary!$C$2,0)</f>
        <v>0</v>
      </c>
      <c r="T783" s="44">
        <f t="shared" si="67"/>
        <v>0</v>
      </c>
      <c r="U783" s="34">
        <v>0</v>
      </c>
      <c r="V783" s="34">
        <v>0</v>
      </c>
      <c r="W783" s="34">
        <v>0</v>
      </c>
      <c r="X783" s="34">
        <v>0</v>
      </c>
    </row>
    <row r="784" spans="1:24" hidden="1">
      <c r="A784" s="54" t="s">
        <v>2726</v>
      </c>
      <c r="B784" s="54" t="s">
        <v>2727</v>
      </c>
      <c r="C784" s="54" t="s">
        <v>169</v>
      </c>
      <c r="D784" s="54" t="s">
        <v>148</v>
      </c>
      <c r="E784" s="54" t="s">
        <v>0</v>
      </c>
      <c r="F784" s="54" t="s">
        <v>2728</v>
      </c>
      <c r="G784" s="54">
        <v>1611189429</v>
      </c>
      <c r="H784" s="54" t="s">
        <v>229</v>
      </c>
      <c r="I784" s="54" t="s">
        <v>3514</v>
      </c>
      <c r="J784" s="34" t="s">
        <v>3421</v>
      </c>
      <c r="K784" s="50">
        <v>130000</v>
      </c>
      <c r="L784" s="43">
        <v>30875</v>
      </c>
      <c r="M784" s="44">
        <f t="shared" si="64"/>
        <v>0.23749999999999999</v>
      </c>
      <c r="N784" s="49">
        <f>ROUND(L784/Summary!$C$3*Summary!$C$2,0)</f>
        <v>95713</v>
      </c>
      <c r="O784" s="44">
        <f t="shared" si="65"/>
        <v>0.73625384615384615</v>
      </c>
      <c r="P784" s="78">
        <v>10</v>
      </c>
      <c r="Q784" s="34">
        <v>1</v>
      </c>
      <c r="R784" s="35">
        <f t="shared" si="66"/>
        <v>0.1</v>
      </c>
      <c r="S784" s="49">
        <f>ROUND(Q784/Summary!$C$3*Summary!$C$2,0)</f>
        <v>3</v>
      </c>
      <c r="T784" s="44">
        <f t="shared" si="67"/>
        <v>0.3</v>
      </c>
      <c r="U784" s="34">
        <v>0</v>
      </c>
      <c r="V784" s="34">
        <v>0</v>
      </c>
      <c r="W784" s="34">
        <v>0</v>
      </c>
      <c r="X784" s="34">
        <v>0</v>
      </c>
    </row>
    <row r="785" spans="1:24" hidden="1">
      <c r="A785" s="54" t="s">
        <v>3384</v>
      </c>
      <c r="B785" s="54" t="s">
        <v>296</v>
      </c>
      <c r="C785" s="54" t="s">
        <v>169</v>
      </c>
      <c r="D785" s="54" t="s">
        <v>148</v>
      </c>
      <c r="E785" s="54" t="s">
        <v>0</v>
      </c>
      <c r="F785" s="54" t="s">
        <v>2836</v>
      </c>
      <c r="G785" s="54">
        <v>1623954363</v>
      </c>
      <c r="H785" s="54" t="s">
        <v>229</v>
      </c>
      <c r="I785" s="54" t="s">
        <v>3514</v>
      </c>
      <c r="J785" s="34" t="s">
        <v>3419</v>
      </c>
      <c r="K785" s="50">
        <v>189525</v>
      </c>
      <c r="L785" s="43">
        <v>52569</v>
      </c>
      <c r="M785" s="44">
        <f t="shared" si="64"/>
        <v>0.27737237831420658</v>
      </c>
      <c r="N785" s="49">
        <f>ROUND(L785/Summary!$C$3*Summary!$C$2,0)</f>
        <v>162964</v>
      </c>
      <c r="O785" s="44">
        <f t="shared" si="65"/>
        <v>0.85985490040891699</v>
      </c>
      <c r="P785" s="78">
        <v>10</v>
      </c>
      <c r="Q785" s="34">
        <v>2</v>
      </c>
      <c r="R785" s="35">
        <f t="shared" si="66"/>
        <v>0.2</v>
      </c>
      <c r="S785" s="49">
        <f>ROUND(Q785/Summary!$C$3*Summary!$C$2,0)</f>
        <v>6</v>
      </c>
      <c r="T785" s="44">
        <f t="shared" si="67"/>
        <v>0.6</v>
      </c>
      <c r="U785" s="34">
        <v>1</v>
      </c>
      <c r="V785" s="34">
        <v>0</v>
      </c>
      <c r="W785" s="34">
        <v>0</v>
      </c>
      <c r="X785" s="34">
        <v>0</v>
      </c>
    </row>
    <row r="786" spans="1:24" hidden="1">
      <c r="A786" s="54" t="s">
        <v>2715</v>
      </c>
      <c r="B786" s="54" t="s">
        <v>2716</v>
      </c>
      <c r="C786" s="54" t="s">
        <v>169</v>
      </c>
      <c r="D786" s="54" t="s">
        <v>148</v>
      </c>
      <c r="E786" s="54" t="s">
        <v>0</v>
      </c>
      <c r="F786" s="54" t="s">
        <v>2717</v>
      </c>
      <c r="G786" s="54">
        <v>1924182828</v>
      </c>
      <c r="H786" s="54" t="s">
        <v>229</v>
      </c>
      <c r="I786" s="54" t="s">
        <v>3514</v>
      </c>
      <c r="J786" s="34" t="s">
        <v>3421</v>
      </c>
      <c r="K786" s="50">
        <v>130000</v>
      </c>
      <c r="L786" s="43">
        <v>5290</v>
      </c>
      <c r="M786" s="44">
        <f t="shared" si="64"/>
        <v>4.0692307692307694E-2</v>
      </c>
      <c r="N786" s="49">
        <f>ROUND(L786/Summary!$C$3*Summary!$C$2,0)</f>
        <v>16399</v>
      </c>
      <c r="O786" s="44">
        <f t="shared" si="65"/>
        <v>0.12614615384615385</v>
      </c>
      <c r="P786" s="78">
        <v>10</v>
      </c>
      <c r="Q786" s="34">
        <v>0</v>
      </c>
      <c r="R786" s="35">
        <f t="shared" si="66"/>
        <v>0</v>
      </c>
      <c r="S786" s="49">
        <f>ROUND(Q786/Summary!$C$3*Summary!$C$2,0)</f>
        <v>0</v>
      </c>
      <c r="T786" s="44">
        <f t="shared" si="67"/>
        <v>0</v>
      </c>
      <c r="U786" s="34">
        <v>0</v>
      </c>
      <c r="V786" s="34">
        <v>0</v>
      </c>
      <c r="W786" s="34">
        <v>0</v>
      </c>
      <c r="X786" s="34">
        <v>0</v>
      </c>
    </row>
    <row r="787" spans="1:24" hidden="1">
      <c r="A787" s="54" t="s">
        <v>2540</v>
      </c>
      <c r="B787" s="54" t="s">
        <v>2541</v>
      </c>
      <c r="C787" s="54" t="s">
        <v>169</v>
      </c>
      <c r="D787" s="54" t="s">
        <v>148</v>
      </c>
      <c r="E787" s="54" t="s">
        <v>0</v>
      </c>
      <c r="F787" s="54" t="s">
        <v>2542</v>
      </c>
      <c r="G787" s="54">
        <v>1711585633</v>
      </c>
      <c r="H787" s="54" t="s">
        <v>229</v>
      </c>
      <c r="I787" s="54" t="s">
        <v>3514</v>
      </c>
      <c r="J787" s="34" t="s">
        <v>3515</v>
      </c>
      <c r="K787" s="50">
        <v>130000</v>
      </c>
      <c r="L787" s="43">
        <v>44219</v>
      </c>
      <c r="M787" s="44">
        <f t="shared" si="64"/>
        <v>0.34014615384615382</v>
      </c>
      <c r="N787" s="49">
        <f>ROUND(L787/Summary!$C$3*Summary!$C$2,0)</f>
        <v>137079</v>
      </c>
      <c r="O787" s="44">
        <f t="shared" si="65"/>
        <v>1.0544538461538462</v>
      </c>
      <c r="P787" s="78">
        <v>10</v>
      </c>
      <c r="Q787" s="34">
        <v>1</v>
      </c>
      <c r="R787" s="35">
        <f t="shared" si="66"/>
        <v>0.1</v>
      </c>
      <c r="S787" s="49">
        <f>ROUND(Q787/Summary!$C$3*Summary!$C$2,0)</f>
        <v>3</v>
      </c>
      <c r="T787" s="44">
        <f t="shared" si="67"/>
        <v>0.3</v>
      </c>
      <c r="U787" s="34">
        <v>1</v>
      </c>
      <c r="V787" s="34">
        <v>0</v>
      </c>
      <c r="W787" s="34">
        <v>1</v>
      </c>
      <c r="X787" s="34">
        <v>0</v>
      </c>
    </row>
    <row r="788" spans="1:24" hidden="1">
      <c r="A788" s="54" t="s">
        <v>2590</v>
      </c>
      <c r="B788" s="54" t="s">
        <v>2591</v>
      </c>
      <c r="C788" s="54" t="s">
        <v>169</v>
      </c>
      <c r="D788" s="54" t="s">
        <v>148</v>
      </c>
      <c r="E788" s="54" t="s">
        <v>0</v>
      </c>
      <c r="F788" s="54" t="s">
        <v>2592</v>
      </c>
      <c r="G788" s="54">
        <v>1701084717</v>
      </c>
      <c r="H788" s="54" t="s">
        <v>229</v>
      </c>
      <c r="I788" s="54" t="s">
        <v>3514</v>
      </c>
      <c r="J788" s="34" t="s">
        <v>3419</v>
      </c>
      <c r="K788" s="50">
        <v>130000</v>
      </c>
      <c r="L788" s="43">
        <v>24569</v>
      </c>
      <c r="M788" s="44">
        <f t="shared" si="64"/>
        <v>0.18899230769230768</v>
      </c>
      <c r="N788" s="49">
        <f>ROUND(L788/Summary!$C$3*Summary!$C$2,0)</f>
        <v>76164</v>
      </c>
      <c r="O788" s="44">
        <f t="shared" si="65"/>
        <v>0.58587692307692307</v>
      </c>
      <c r="P788" s="78">
        <v>10</v>
      </c>
      <c r="Q788" s="34">
        <v>2</v>
      </c>
      <c r="R788" s="35">
        <f t="shared" si="66"/>
        <v>0.2</v>
      </c>
      <c r="S788" s="49">
        <f>ROUND(Q788/Summary!$C$3*Summary!$C$2,0)</f>
        <v>6</v>
      </c>
      <c r="T788" s="44">
        <f t="shared" si="67"/>
        <v>0.6</v>
      </c>
      <c r="U788" s="34">
        <v>0</v>
      </c>
      <c r="V788" s="34">
        <v>0</v>
      </c>
      <c r="W788" s="34">
        <v>0</v>
      </c>
      <c r="X788" s="34">
        <v>0</v>
      </c>
    </row>
    <row r="789" spans="1:24" hidden="1">
      <c r="A789" s="54" t="s">
        <v>2824</v>
      </c>
      <c r="B789" s="54" t="s">
        <v>2761</v>
      </c>
      <c r="C789" s="54" t="s">
        <v>169</v>
      </c>
      <c r="D789" s="54" t="s">
        <v>148</v>
      </c>
      <c r="E789" s="54" t="s">
        <v>0</v>
      </c>
      <c r="F789" s="54" t="s">
        <v>2513</v>
      </c>
      <c r="G789" s="54">
        <v>1712011872</v>
      </c>
      <c r="H789" s="54" t="s">
        <v>229</v>
      </c>
      <c r="I789" s="54" t="s">
        <v>3514</v>
      </c>
      <c r="J789" s="34" t="s">
        <v>3421</v>
      </c>
      <c r="K789" s="50">
        <v>130000</v>
      </c>
      <c r="L789" s="43">
        <v>16270</v>
      </c>
      <c r="M789" s="44">
        <f t="shared" si="64"/>
        <v>0.12515384615384614</v>
      </c>
      <c r="N789" s="49">
        <f>ROUND(L789/Summary!$C$3*Summary!$C$2,0)</f>
        <v>50437</v>
      </c>
      <c r="O789" s="44">
        <f t="shared" si="65"/>
        <v>0.38797692307692305</v>
      </c>
      <c r="P789" s="78">
        <v>10</v>
      </c>
      <c r="Q789" s="34">
        <v>1</v>
      </c>
      <c r="R789" s="35">
        <f t="shared" si="66"/>
        <v>0.1</v>
      </c>
      <c r="S789" s="49">
        <f>ROUND(Q789/Summary!$C$3*Summary!$C$2,0)</f>
        <v>3</v>
      </c>
      <c r="T789" s="44">
        <f t="shared" si="67"/>
        <v>0.3</v>
      </c>
      <c r="U789" s="34">
        <v>0</v>
      </c>
      <c r="V789" s="34">
        <v>0</v>
      </c>
      <c r="W789" s="34">
        <v>0</v>
      </c>
      <c r="X789" s="34">
        <v>0</v>
      </c>
    </row>
    <row r="790" spans="1:24" hidden="1">
      <c r="A790" s="54" t="s">
        <v>2886</v>
      </c>
      <c r="B790" s="54" t="s">
        <v>2887</v>
      </c>
      <c r="C790" s="54" t="s">
        <v>169</v>
      </c>
      <c r="D790" s="54" t="s">
        <v>148</v>
      </c>
      <c r="E790" s="54" t="s">
        <v>0</v>
      </c>
      <c r="F790" s="54" t="s">
        <v>2888</v>
      </c>
      <c r="G790" s="54">
        <v>1717404749</v>
      </c>
      <c r="H790" s="54" t="s">
        <v>229</v>
      </c>
      <c r="I790" s="54" t="s">
        <v>3514</v>
      </c>
      <c r="J790" s="34" t="s">
        <v>3421</v>
      </c>
      <c r="K790" s="50">
        <v>130000</v>
      </c>
      <c r="L790" s="43">
        <v>11070</v>
      </c>
      <c r="M790" s="44">
        <f t="shared" si="64"/>
        <v>8.5153846153846149E-2</v>
      </c>
      <c r="N790" s="49">
        <f>ROUND(L790/Summary!$C$3*Summary!$C$2,0)</f>
        <v>34317</v>
      </c>
      <c r="O790" s="44">
        <f t="shared" si="65"/>
        <v>0.26397692307692305</v>
      </c>
      <c r="P790" s="78">
        <v>10</v>
      </c>
      <c r="Q790" s="34">
        <v>0</v>
      </c>
      <c r="R790" s="35">
        <f t="shared" si="66"/>
        <v>0</v>
      </c>
      <c r="S790" s="49">
        <f>ROUND(Q790/Summary!$C$3*Summary!$C$2,0)</f>
        <v>0</v>
      </c>
      <c r="T790" s="44">
        <f t="shared" si="67"/>
        <v>0</v>
      </c>
      <c r="U790" s="34">
        <v>0</v>
      </c>
      <c r="V790" s="34">
        <v>0</v>
      </c>
      <c r="W790" s="34">
        <v>0</v>
      </c>
      <c r="X790" s="34">
        <v>0</v>
      </c>
    </row>
    <row r="791" spans="1:24" hidden="1">
      <c r="A791" s="54" t="s">
        <v>2640</v>
      </c>
      <c r="B791" s="54" t="s">
        <v>2641</v>
      </c>
      <c r="C791" s="54" t="s">
        <v>169</v>
      </c>
      <c r="D791" s="54" t="s">
        <v>148</v>
      </c>
      <c r="E791" s="54" t="s">
        <v>0</v>
      </c>
      <c r="F791" s="54" t="s">
        <v>2642</v>
      </c>
      <c r="G791" s="54">
        <v>1983136807</v>
      </c>
      <c r="H791" s="54" t="s">
        <v>229</v>
      </c>
      <c r="I791" s="54" t="s">
        <v>3514</v>
      </c>
      <c r="J791" s="34" t="s">
        <v>3419</v>
      </c>
      <c r="K791" s="50">
        <v>151048</v>
      </c>
      <c r="L791" s="43">
        <v>29850</v>
      </c>
      <c r="M791" s="44">
        <f t="shared" si="64"/>
        <v>0.19761929982522111</v>
      </c>
      <c r="N791" s="49">
        <f>ROUND(L791/Summary!$C$3*Summary!$C$2,0)</f>
        <v>92535</v>
      </c>
      <c r="O791" s="44">
        <f t="shared" si="65"/>
        <v>0.61261982945818549</v>
      </c>
      <c r="P791" s="78">
        <v>10</v>
      </c>
      <c r="Q791" s="34">
        <v>3</v>
      </c>
      <c r="R791" s="35">
        <f t="shared" si="66"/>
        <v>0.3</v>
      </c>
      <c r="S791" s="49">
        <f>ROUND(Q791/Summary!$C$3*Summary!$C$2,0)</f>
        <v>9</v>
      </c>
      <c r="T791" s="44">
        <f t="shared" si="67"/>
        <v>0.9</v>
      </c>
      <c r="U791" s="34">
        <v>0</v>
      </c>
      <c r="V791" s="34">
        <v>1</v>
      </c>
      <c r="W791" s="34">
        <v>0</v>
      </c>
      <c r="X791" s="34">
        <v>0</v>
      </c>
    </row>
    <row r="792" spans="1:24" hidden="1">
      <c r="A792" s="54" t="s">
        <v>2395</v>
      </c>
      <c r="B792" s="54" t="s">
        <v>2396</v>
      </c>
      <c r="C792" s="54" t="s">
        <v>169</v>
      </c>
      <c r="D792" s="54" t="s">
        <v>148</v>
      </c>
      <c r="E792" s="54" t="s">
        <v>0</v>
      </c>
      <c r="F792" s="54" t="s">
        <v>2397</v>
      </c>
      <c r="G792" s="54">
        <v>1914794205</v>
      </c>
      <c r="H792" s="54" t="s">
        <v>229</v>
      </c>
      <c r="I792" s="54" t="s">
        <v>3514</v>
      </c>
      <c r="J792" s="34" t="s">
        <v>3515</v>
      </c>
      <c r="K792" s="50">
        <v>130000</v>
      </c>
      <c r="L792" s="43">
        <v>17770</v>
      </c>
      <c r="M792" s="44">
        <f t="shared" si="64"/>
        <v>0.1366923076923077</v>
      </c>
      <c r="N792" s="49">
        <f>ROUND(L792/Summary!$C$3*Summary!$C$2,0)</f>
        <v>55087</v>
      </c>
      <c r="O792" s="44">
        <f t="shared" si="65"/>
        <v>0.42374615384615383</v>
      </c>
      <c r="P792" s="78">
        <v>10</v>
      </c>
      <c r="Q792" s="34">
        <v>1</v>
      </c>
      <c r="R792" s="35">
        <f t="shared" si="66"/>
        <v>0.1</v>
      </c>
      <c r="S792" s="49">
        <f>ROUND(Q792/Summary!$C$3*Summary!$C$2,0)</f>
        <v>3</v>
      </c>
      <c r="T792" s="44">
        <f t="shared" si="67"/>
        <v>0.3</v>
      </c>
      <c r="U792" s="34">
        <v>1</v>
      </c>
      <c r="V792" s="34">
        <v>0</v>
      </c>
      <c r="W792" s="34">
        <v>0</v>
      </c>
      <c r="X792" s="34">
        <v>0</v>
      </c>
    </row>
    <row r="793" spans="1:24" hidden="1">
      <c r="A793" s="54" t="s">
        <v>2352</v>
      </c>
      <c r="B793" s="54" t="s">
        <v>2353</v>
      </c>
      <c r="C793" s="54" t="s">
        <v>169</v>
      </c>
      <c r="D793" s="54" t="s">
        <v>148</v>
      </c>
      <c r="E793" s="54" t="s">
        <v>0</v>
      </c>
      <c r="F793" s="54" t="s">
        <v>2354</v>
      </c>
      <c r="G793" s="54">
        <v>1711933788</v>
      </c>
      <c r="H793" s="54" t="s">
        <v>229</v>
      </c>
      <c r="I793" s="54" t="s">
        <v>3514</v>
      </c>
      <c r="J793" s="34" t="s">
        <v>3515</v>
      </c>
      <c r="K793" s="50">
        <v>130000</v>
      </c>
      <c r="L793" s="43">
        <v>20810</v>
      </c>
      <c r="M793" s="44">
        <f t="shared" si="64"/>
        <v>0.16007692307692309</v>
      </c>
      <c r="N793" s="49">
        <f>ROUND(L793/Summary!$C$3*Summary!$C$2,0)</f>
        <v>64511</v>
      </c>
      <c r="O793" s="44">
        <f t="shared" si="65"/>
        <v>0.49623846153846152</v>
      </c>
      <c r="P793" s="78">
        <v>10</v>
      </c>
      <c r="Q793" s="34">
        <v>1</v>
      </c>
      <c r="R793" s="35">
        <f t="shared" si="66"/>
        <v>0.1</v>
      </c>
      <c r="S793" s="49">
        <f>ROUND(Q793/Summary!$C$3*Summary!$C$2,0)</f>
        <v>3</v>
      </c>
      <c r="T793" s="44">
        <f t="shared" si="67"/>
        <v>0.3</v>
      </c>
      <c r="U793" s="34">
        <v>0</v>
      </c>
      <c r="V793" s="34">
        <v>0</v>
      </c>
      <c r="W793" s="34">
        <v>1</v>
      </c>
      <c r="X793" s="34">
        <v>0</v>
      </c>
    </row>
    <row r="794" spans="1:24" hidden="1">
      <c r="A794" s="54" t="s">
        <v>3277</v>
      </c>
      <c r="B794" s="54" t="s">
        <v>3177</v>
      </c>
      <c r="C794" s="54" t="s">
        <v>3178</v>
      </c>
      <c r="D794" s="54" t="s">
        <v>0</v>
      </c>
      <c r="E794" s="54" t="s">
        <v>0</v>
      </c>
      <c r="F794" s="54" t="s">
        <v>1819</v>
      </c>
      <c r="G794" s="54">
        <v>1716278961</v>
      </c>
      <c r="H794" s="54" t="s">
        <v>229</v>
      </c>
      <c r="I794" s="54" t="s">
        <v>3514</v>
      </c>
      <c r="J794" s="34" t="s">
        <v>3421</v>
      </c>
      <c r="K794" s="50">
        <v>140000</v>
      </c>
      <c r="L794" s="43">
        <v>25645</v>
      </c>
      <c r="M794" s="44">
        <f t="shared" si="64"/>
        <v>0.18317857142857144</v>
      </c>
      <c r="N794" s="49">
        <f>ROUND(L794/Summary!$C$3*Summary!$C$2,0)</f>
        <v>79500</v>
      </c>
      <c r="O794" s="44">
        <f t="shared" si="65"/>
        <v>0.56785714285714284</v>
      </c>
      <c r="P794" s="78">
        <v>10</v>
      </c>
      <c r="Q794" s="34">
        <v>2</v>
      </c>
      <c r="R794" s="35">
        <f t="shared" si="66"/>
        <v>0.2</v>
      </c>
      <c r="S794" s="49">
        <f>ROUND(Q794/Summary!$C$3*Summary!$C$2,0)</f>
        <v>6</v>
      </c>
      <c r="T794" s="44">
        <f t="shared" si="67"/>
        <v>0.6</v>
      </c>
      <c r="U794" s="34">
        <v>0</v>
      </c>
      <c r="V794" s="34">
        <v>0</v>
      </c>
      <c r="W794" s="34">
        <v>0</v>
      </c>
      <c r="X794" s="34">
        <v>1</v>
      </c>
    </row>
    <row r="795" spans="1:24" hidden="1">
      <c r="A795" s="54" t="s">
        <v>3386</v>
      </c>
      <c r="B795" s="54" t="s">
        <v>3387</v>
      </c>
      <c r="C795" s="54" t="s">
        <v>109</v>
      </c>
      <c r="D795" s="54" t="s">
        <v>0</v>
      </c>
      <c r="E795" s="54" t="s">
        <v>0</v>
      </c>
      <c r="F795" s="54" t="s">
        <v>3385</v>
      </c>
      <c r="G795" s="54">
        <v>1711363420</v>
      </c>
      <c r="H795" s="54" t="s">
        <v>229</v>
      </c>
      <c r="I795" s="54" t="s">
        <v>3514</v>
      </c>
      <c r="J795" s="34" t="s">
        <v>3421</v>
      </c>
      <c r="K795" s="50">
        <v>130000</v>
      </c>
      <c r="L795" s="43">
        <v>12230</v>
      </c>
      <c r="M795" s="44">
        <f t="shared" si="64"/>
        <v>9.4076923076923072E-2</v>
      </c>
      <c r="N795" s="49">
        <f>ROUND(L795/Summary!$C$3*Summary!$C$2,0)</f>
        <v>37913</v>
      </c>
      <c r="O795" s="44">
        <f t="shared" si="65"/>
        <v>0.29163846153846151</v>
      </c>
      <c r="P795" s="78">
        <v>10</v>
      </c>
      <c r="Q795" s="34">
        <v>0</v>
      </c>
      <c r="R795" s="35">
        <f t="shared" si="66"/>
        <v>0</v>
      </c>
      <c r="S795" s="49">
        <f>ROUND(Q795/Summary!$C$3*Summary!$C$2,0)</f>
        <v>0</v>
      </c>
      <c r="T795" s="44">
        <f t="shared" si="67"/>
        <v>0</v>
      </c>
      <c r="U795" s="34">
        <v>0</v>
      </c>
      <c r="V795" s="34">
        <v>0</v>
      </c>
      <c r="W795" s="34">
        <v>0</v>
      </c>
      <c r="X795" s="34">
        <v>0</v>
      </c>
    </row>
    <row r="796" spans="1:24" hidden="1">
      <c r="A796" s="54" t="s">
        <v>3389</v>
      </c>
      <c r="B796" s="54" t="s">
        <v>3390</v>
      </c>
      <c r="C796" s="54" t="s">
        <v>109</v>
      </c>
      <c r="D796" s="54" t="s">
        <v>0</v>
      </c>
      <c r="E796" s="54" t="s">
        <v>0</v>
      </c>
      <c r="F796" s="54" t="s">
        <v>3388</v>
      </c>
      <c r="G796" s="54">
        <v>1711519857</v>
      </c>
      <c r="H796" s="54" t="s">
        <v>229</v>
      </c>
      <c r="I796" s="54" t="s">
        <v>3514</v>
      </c>
      <c r="J796" s="34" t="s">
        <v>3421</v>
      </c>
      <c r="K796" s="50">
        <v>130000</v>
      </c>
      <c r="L796" s="43">
        <v>43437</v>
      </c>
      <c r="M796" s="44">
        <f t="shared" si="64"/>
        <v>0.33413076923076923</v>
      </c>
      <c r="N796" s="49">
        <f>ROUND(L796/Summary!$C$3*Summary!$C$2,0)</f>
        <v>134655</v>
      </c>
      <c r="O796" s="44">
        <f t="shared" si="65"/>
        <v>1.0358076923076922</v>
      </c>
      <c r="P796" s="78">
        <v>10</v>
      </c>
      <c r="Q796" s="34">
        <v>0</v>
      </c>
      <c r="R796" s="35">
        <f t="shared" si="66"/>
        <v>0</v>
      </c>
      <c r="S796" s="49">
        <f>ROUND(Q796/Summary!$C$3*Summary!$C$2,0)</f>
        <v>0</v>
      </c>
      <c r="T796" s="44">
        <f t="shared" si="67"/>
        <v>0</v>
      </c>
      <c r="U796" s="34">
        <v>1</v>
      </c>
      <c r="V796" s="34">
        <v>0</v>
      </c>
      <c r="W796" s="34">
        <v>0</v>
      </c>
      <c r="X796" s="34">
        <v>0</v>
      </c>
    </row>
    <row r="797" spans="1:24" hidden="1">
      <c r="A797" s="54" t="s">
        <v>2355</v>
      </c>
      <c r="B797" s="54" t="s">
        <v>2356</v>
      </c>
      <c r="C797" s="54" t="s">
        <v>109</v>
      </c>
      <c r="D797" s="54" t="s">
        <v>0</v>
      </c>
      <c r="E797" s="54" t="s">
        <v>0</v>
      </c>
      <c r="F797" s="54" t="s">
        <v>2357</v>
      </c>
      <c r="G797" s="54">
        <v>1716037141</v>
      </c>
      <c r="H797" s="54" t="s">
        <v>229</v>
      </c>
      <c r="I797" s="54" t="s">
        <v>3514</v>
      </c>
      <c r="J797" s="34" t="s">
        <v>3515</v>
      </c>
      <c r="K797" s="50">
        <v>147454</v>
      </c>
      <c r="L797" s="43">
        <v>72640</v>
      </c>
      <c r="M797" s="44">
        <f t="shared" si="64"/>
        <v>0.49262820947549746</v>
      </c>
      <c r="N797" s="49">
        <f>ROUND(L797/Summary!$C$3*Summary!$C$2,0)</f>
        <v>225184</v>
      </c>
      <c r="O797" s="44">
        <f t="shared" si="65"/>
        <v>1.527147449374042</v>
      </c>
      <c r="P797" s="78">
        <v>10</v>
      </c>
      <c r="Q797" s="34">
        <v>5</v>
      </c>
      <c r="R797" s="35">
        <f t="shared" si="66"/>
        <v>0.5</v>
      </c>
      <c r="S797" s="49">
        <f>ROUND(Q797/Summary!$C$3*Summary!$C$2,0)</f>
        <v>16</v>
      </c>
      <c r="T797" s="44">
        <f t="shared" si="67"/>
        <v>1.6</v>
      </c>
      <c r="U797" s="34">
        <v>2</v>
      </c>
      <c r="V797" s="34">
        <v>3</v>
      </c>
      <c r="W797" s="34">
        <v>0</v>
      </c>
      <c r="X797" s="34">
        <v>0</v>
      </c>
    </row>
    <row r="798" spans="1:24" hidden="1">
      <c r="A798" s="54" t="s">
        <v>2729</v>
      </c>
      <c r="B798" s="54" t="s">
        <v>2730</v>
      </c>
      <c r="C798" s="54" t="s">
        <v>109</v>
      </c>
      <c r="D798" s="54" t="s">
        <v>0</v>
      </c>
      <c r="E798" s="54" t="s">
        <v>0</v>
      </c>
      <c r="F798" s="54" t="s">
        <v>2731</v>
      </c>
      <c r="G798" s="54">
        <v>1939823433</v>
      </c>
      <c r="H798" s="54" t="s">
        <v>229</v>
      </c>
      <c r="I798" s="54" t="s">
        <v>3514</v>
      </c>
      <c r="J798" s="34" t="s">
        <v>3421</v>
      </c>
      <c r="K798" s="50">
        <v>130000</v>
      </c>
      <c r="L798" s="43">
        <v>18388</v>
      </c>
      <c r="M798" s="44">
        <f t="shared" si="64"/>
        <v>0.14144615384615383</v>
      </c>
      <c r="N798" s="49">
        <f>ROUND(L798/Summary!$C$3*Summary!$C$2,0)</f>
        <v>57003</v>
      </c>
      <c r="O798" s="44">
        <f t="shared" si="65"/>
        <v>0.43848461538461536</v>
      </c>
      <c r="P798" s="78">
        <v>10</v>
      </c>
      <c r="Q798" s="34">
        <v>1</v>
      </c>
      <c r="R798" s="35">
        <f t="shared" si="66"/>
        <v>0.1</v>
      </c>
      <c r="S798" s="49">
        <f>ROUND(Q798/Summary!$C$3*Summary!$C$2,0)</f>
        <v>3</v>
      </c>
      <c r="T798" s="44">
        <f t="shared" si="67"/>
        <v>0.3</v>
      </c>
      <c r="U798" s="34">
        <v>0</v>
      </c>
      <c r="V798" s="34">
        <v>0</v>
      </c>
      <c r="W798" s="34">
        <v>0</v>
      </c>
      <c r="X798" s="34">
        <v>0</v>
      </c>
    </row>
    <row r="799" spans="1:24" hidden="1">
      <c r="A799" s="54" t="s">
        <v>2369</v>
      </c>
      <c r="B799" s="54" t="s">
        <v>2370</v>
      </c>
      <c r="C799" s="54" t="s">
        <v>109</v>
      </c>
      <c r="D799" s="54" t="s">
        <v>0</v>
      </c>
      <c r="E799" s="54" t="s">
        <v>0</v>
      </c>
      <c r="F799" s="54" t="s">
        <v>2371</v>
      </c>
      <c r="G799" s="54">
        <v>1711517315</v>
      </c>
      <c r="H799" s="54" t="s">
        <v>229</v>
      </c>
      <c r="I799" s="54" t="s">
        <v>3514</v>
      </c>
      <c r="J799" s="34" t="s">
        <v>3515</v>
      </c>
      <c r="K799" s="50">
        <v>160130</v>
      </c>
      <c r="L799" s="43">
        <v>20850</v>
      </c>
      <c r="M799" s="44">
        <f t="shared" si="64"/>
        <v>0.13020670705052145</v>
      </c>
      <c r="N799" s="49">
        <f>ROUND(L799/Summary!$C$3*Summary!$C$2,0)</f>
        <v>64635</v>
      </c>
      <c r="O799" s="44">
        <f t="shared" si="65"/>
        <v>0.4036407918566165</v>
      </c>
      <c r="P799" s="78">
        <v>10</v>
      </c>
      <c r="Q799" s="34">
        <v>0</v>
      </c>
      <c r="R799" s="35">
        <f t="shared" si="66"/>
        <v>0</v>
      </c>
      <c r="S799" s="49">
        <f>ROUND(Q799/Summary!$C$3*Summary!$C$2,0)</f>
        <v>0</v>
      </c>
      <c r="T799" s="44">
        <f t="shared" si="67"/>
        <v>0</v>
      </c>
      <c r="U799" s="34">
        <v>0</v>
      </c>
      <c r="V799" s="34">
        <v>0</v>
      </c>
      <c r="W799" s="34">
        <v>0</v>
      </c>
      <c r="X799" s="34">
        <v>0</v>
      </c>
    </row>
    <row r="800" spans="1:24" hidden="1">
      <c r="A800" s="54" t="s">
        <v>3278</v>
      </c>
      <c r="B800" s="54" t="s">
        <v>3279</v>
      </c>
      <c r="C800" s="54" t="s">
        <v>109</v>
      </c>
      <c r="D800" s="54" t="s">
        <v>0</v>
      </c>
      <c r="E800" s="54" t="s">
        <v>0</v>
      </c>
      <c r="F800" s="54" t="s">
        <v>3280</v>
      </c>
      <c r="G800" s="54">
        <v>1731208135</v>
      </c>
      <c r="H800" s="54" t="s">
        <v>229</v>
      </c>
      <c r="I800" s="54" t="s">
        <v>3514</v>
      </c>
      <c r="J800" s="34" t="s">
        <v>3421</v>
      </c>
      <c r="K800" s="50">
        <v>130000</v>
      </c>
      <c r="L800" s="43">
        <v>13679</v>
      </c>
      <c r="M800" s="44">
        <f t="shared" si="64"/>
        <v>0.10522307692307692</v>
      </c>
      <c r="N800" s="49">
        <f>ROUND(L800/Summary!$C$3*Summary!$C$2,0)</f>
        <v>42405</v>
      </c>
      <c r="O800" s="44">
        <f t="shared" si="65"/>
        <v>0.32619230769230767</v>
      </c>
      <c r="P800" s="78">
        <v>10</v>
      </c>
      <c r="Q800" s="34">
        <v>0</v>
      </c>
      <c r="R800" s="35">
        <f t="shared" si="66"/>
        <v>0</v>
      </c>
      <c r="S800" s="49">
        <f>ROUND(Q800/Summary!$C$3*Summary!$C$2,0)</f>
        <v>0</v>
      </c>
      <c r="T800" s="44">
        <f t="shared" si="67"/>
        <v>0</v>
      </c>
      <c r="U800" s="34">
        <v>0</v>
      </c>
      <c r="V800" s="34">
        <v>0</v>
      </c>
      <c r="W800" s="34">
        <v>0</v>
      </c>
      <c r="X800" s="34">
        <v>0</v>
      </c>
    </row>
    <row r="801" spans="1:24" hidden="1">
      <c r="A801" s="83" t="s">
        <v>3631</v>
      </c>
      <c r="B801" s="84" t="s">
        <v>3632</v>
      </c>
      <c r="C801" s="84" t="s">
        <v>109</v>
      </c>
      <c r="D801" s="84" t="s">
        <v>0</v>
      </c>
      <c r="E801" s="83" t="s">
        <v>0</v>
      </c>
      <c r="F801" s="34" t="s">
        <v>2383</v>
      </c>
      <c r="G801" s="54">
        <v>1713535565</v>
      </c>
      <c r="H801" s="54" t="s">
        <v>229</v>
      </c>
      <c r="I801" s="54" t="s">
        <v>3522</v>
      </c>
      <c r="J801" s="34" t="s">
        <v>3419</v>
      </c>
      <c r="K801" s="80">
        <v>130000</v>
      </c>
      <c r="L801" s="43">
        <v>83375</v>
      </c>
      <c r="M801" s="44">
        <f t="shared" si="64"/>
        <v>0.6413461538461539</v>
      </c>
      <c r="N801" s="49">
        <f>ROUND(L801/Summary!$C$3*Summary!$C$2,0)</f>
        <v>258463</v>
      </c>
      <c r="O801" s="44">
        <f t="shared" si="65"/>
        <v>1.9881769230769231</v>
      </c>
      <c r="P801" s="78">
        <v>10</v>
      </c>
      <c r="Q801" s="34">
        <v>2</v>
      </c>
      <c r="R801" s="35">
        <f t="shared" si="66"/>
        <v>0.2</v>
      </c>
      <c r="S801" s="49">
        <f>ROUND(Q801/Summary!$C$3*Summary!$C$2,0)</f>
        <v>6</v>
      </c>
      <c r="T801" s="44">
        <f t="shared" si="67"/>
        <v>0.6</v>
      </c>
      <c r="U801" s="34">
        <v>1</v>
      </c>
      <c r="V801" s="34">
        <v>0</v>
      </c>
      <c r="W801" s="34">
        <v>0</v>
      </c>
      <c r="X801" s="34">
        <v>0</v>
      </c>
    </row>
    <row r="802" spans="1:24" hidden="1">
      <c r="A802" s="54" t="s">
        <v>2825</v>
      </c>
      <c r="B802" s="54" t="s">
        <v>2826</v>
      </c>
      <c r="C802" s="54" t="s">
        <v>109</v>
      </c>
      <c r="D802" s="54" t="s">
        <v>0</v>
      </c>
      <c r="E802" s="54" t="s">
        <v>0</v>
      </c>
      <c r="F802" s="54" t="s">
        <v>2827</v>
      </c>
      <c r="G802" s="54">
        <v>1711164708</v>
      </c>
      <c r="H802" s="54" t="s">
        <v>229</v>
      </c>
      <c r="I802" s="54" t="s">
        <v>3514</v>
      </c>
      <c r="J802" s="34" t="s">
        <v>3515</v>
      </c>
      <c r="K802" s="50">
        <v>130000</v>
      </c>
      <c r="L802" s="43">
        <v>41170</v>
      </c>
      <c r="M802" s="44">
        <f t="shared" si="64"/>
        <v>0.31669230769230772</v>
      </c>
      <c r="N802" s="49">
        <f>ROUND(L802/Summary!$C$3*Summary!$C$2,0)</f>
        <v>127627</v>
      </c>
      <c r="O802" s="44">
        <f t="shared" si="65"/>
        <v>0.98174615384615382</v>
      </c>
      <c r="P802" s="78">
        <v>10</v>
      </c>
      <c r="Q802" s="34">
        <v>1</v>
      </c>
      <c r="R802" s="35">
        <f t="shared" si="66"/>
        <v>0.1</v>
      </c>
      <c r="S802" s="49">
        <f>ROUND(Q802/Summary!$C$3*Summary!$C$2,0)</f>
        <v>3</v>
      </c>
      <c r="T802" s="44">
        <f t="shared" si="67"/>
        <v>0.3</v>
      </c>
      <c r="U802" s="34">
        <v>0</v>
      </c>
      <c r="V802" s="34">
        <v>0</v>
      </c>
      <c r="W802" s="34">
        <v>0</v>
      </c>
      <c r="X802" s="34">
        <v>0</v>
      </c>
    </row>
    <row r="803" spans="1:24" hidden="1">
      <c r="A803" s="54" t="s">
        <v>2426</v>
      </c>
      <c r="B803" s="54" t="s">
        <v>2427</v>
      </c>
      <c r="C803" s="54" t="s">
        <v>109</v>
      </c>
      <c r="D803" s="54" t="s">
        <v>0</v>
      </c>
      <c r="E803" s="54" t="s">
        <v>0</v>
      </c>
      <c r="F803" s="54" t="s">
        <v>2428</v>
      </c>
      <c r="G803" s="54">
        <v>1789439373</v>
      </c>
      <c r="H803" s="54" t="s">
        <v>229</v>
      </c>
      <c r="I803" s="54" t="s">
        <v>3514</v>
      </c>
      <c r="J803" s="34" t="s">
        <v>3419</v>
      </c>
      <c r="K803" s="50">
        <v>244941</v>
      </c>
      <c r="L803" s="43">
        <v>93100</v>
      </c>
      <c r="M803" s="44">
        <f t="shared" si="64"/>
        <v>0.38009153224654102</v>
      </c>
      <c r="N803" s="49">
        <f>ROUND(L803/Summary!$C$3*Summary!$C$2,0)</f>
        <v>288610</v>
      </c>
      <c r="O803" s="44">
        <f t="shared" si="65"/>
        <v>1.1782837499642771</v>
      </c>
      <c r="P803" s="78">
        <v>18</v>
      </c>
      <c r="Q803" s="34">
        <v>7</v>
      </c>
      <c r="R803" s="35">
        <f t="shared" si="66"/>
        <v>0.3888888888888889</v>
      </c>
      <c r="S803" s="49">
        <f>ROUND(Q803/Summary!$C$3*Summary!$C$2,0)</f>
        <v>22</v>
      </c>
      <c r="T803" s="44">
        <f t="shared" si="67"/>
        <v>1.2222222222222223</v>
      </c>
      <c r="U803" s="34">
        <v>1</v>
      </c>
      <c r="V803" s="34">
        <v>2</v>
      </c>
      <c r="W803" s="34">
        <v>1</v>
      </c>
      <c r="X803" s="34">
        <v>0</v>
      </c>
    </row>
    <row r="804" spans="1:24" hidden="1">
      <c r="A804" s="54" t="s">
        <v>2366</v>
      </c>
      <c r="B804" s="54" t="s">
        <v>2367</v>
      </c>
      <c r="C804" s="54" t="s">
        <v>109</v>
      </c>
      <c r="D804" s="54" t="s">
        <v>0</v>
      </c>
      <c r="E804" s="54" t="s">
        <v>0</v>
      </c>
      <c r="F804" s="54" t="s">
        <v>2368</v>
      </c>
      <c r="G804" s="54">
        <v>1717787425</v>
      </c>
      <c r="H804" s="54" t="s">
        <v>229</v>
      </c>
      <c r="I804" s="54" t="s">
        <v>3514</v>
      </c>
      <c r="J804" s="34" t="s">
        <v>3515</v>
      </c>
      <c r="K804" s="50">
        <v>191878</v>
      </c>
      <c r="L804" s="43">
        <v>67680</v>
      </c>
      <c r="M804" s="44">
        <f t="shared" si="64"/>
        <v>0.35272412678889709</v>
      </c>
      <c r="N804" s="49">
        <f>ROUND(L804/Summary!$C$3*Summary!$C$2,0)</f>
        <v>209808</v>
      </c>
      <c r="O804" s="44">
        <f t="shared" si="65"/>
        <v>1.0934447930455811</v>
      </c>
      <c r="P804" s="78">
        <v>10</v>
      </c>
      <c r="Q804" s="34">
        <v>2</v>
      </c>
      <c r="R804" s="35">
        <f t="shared" si="66"/>
        <v>0.2</v>
      </c>
      <c r="S804" s="49">
        <f>ROUND(Q804/Summary!$C$3*Summary!$C$2,0)</f>
        <v>6</v>
      </c>
      <c r="T804" s="44">
        <f t="shared" si="67"/>
        <v>0.6</v>
      </c>
      <c r="U804" s="34">
        <v>1</v>
      </c>
      <c r="V804" s="34">
        <v>0</v>
      </c>
      <c r="W804" s="34">
        <v>0</v>
      </c>
      <c r="X804" s="34">
        <v>0</v>
      </c>
    </row>
    <row r="805" spans="1:24" hidden="1">
      <c r="A805" s="54" t="s">
        <v>3508</v>
      </c>
      <c r="B805" s="54" t="s">
        <v>3509</v>
      </c>
      <c r="C805" s="54" t="s">
        <v>109</v>
      </c>
      <c r="D805" s="54" t="s">
        <v>0</v>
      </c>
      <c r="E805" s="54" t="s">
        <v>0</v>
      </c>
      <c r="F805" s="54" t="s">
        <v>3510</v>
      </c>
      <c r="G805" s="54">
        <v>1672278860</v>
      </c>
      <c r="H805" s="54" t="s">
        <v>229</v>
      </c>
      <c r="I805" s="54" t="s">
        <v>3522</v>
      </c>
      <c r="J805" s="34" t="s">
        <v>3420</v>
      </c>
      <c r="K805" s="50">
        <v>508282</v>
      </c>
      <c r="L805" s="43">
        <v>123229</v>
      </c>
      <c r="M805" s="44">
        <f t="shared" si="64"/>
        <v>0.24244218760451874</v>
      </c>
      <c r="N805" s="49">
        <f>ROUND(L805/Summary!$C$3*Summary!$C$2,0)</f>
        <v>382010</v>
      </c>
      <c r="O805" s="44">
        <f t="shared" si="65"/>
        <v>0.75157097831518727</v>
      </c>
      <c r="P805" s="78">
        <v>17</v>
      </c>
      <c r="Q805" s="34">
        <v>6</v>
      </c>
      <c r="R805" s="35">
        <f t="shared" si="66"/>
        <v>0.35294117647058826</v>
      </c>
      <c r="S805" s="49">
        <f>ROUND(Q805/Summary!$C$3*Summary!$C$2,0)</f>
        <v>19</v>
      </c>
      <c r="T805" s="44">
        <f t="shared" si="67"/>
        <v>1.1176470588235294</v>
      </c>
      <c r="U805" s="34">
        <v>1</v>
      </c>
      <c r="V805" s="34">
        <v>2</v>
      </c>
      <c r="W805" s="34">
        <v>1</v>
      </c>
      <c r="X805" s="34">
        <v>0</v>
      </c>
    </row>
    <row r="806" spans="1:24" hidden="1">
      <c r="A806" s="54" t="s">
        <v>2547</v>
      </c>
      <c r="B806" s="54" t="s">
        <v>2548</v>
      </c>
      <c r="C806" s="54" t="s">
        <v>109</v>
      </c>
      <c r="D806" s="54" t="s">
        <v>0</v>
      </c>
      <c r="E806" s="54" t="s">
        <v>0</v>
      </c>
      <c r="F806" s="54" t="s">
        <v>2549</v>
      </c>
      <c r="G806" s="54">
        <v>1863443800</v>
      </c>
      <c r="H806" s="54" t="s">
        <v>229</v>
      </c>
      <c r="I806" s="54" t="s">
        <v>3514</v>
      </c>
      <c r="J806" s="34" t="s">
        <v>3419</v>
      </c>
      <c r="K806" s="50">
        <v>299721</v>
      </c>
      <c r="L806" s="43">
        <v>73130</v>
      </c>
      <c r="M806" s="44">
        <f t="shared" si="64"/>
        <v>0.24399358069671462</v>
      </c>
      <c r="N806" s="49">
        <f>ROUND(L806/Summary!$C$3*Summary!$C$2,0)</f>
        <v>226703</v>
      </c>
      <c r="O806" s="44">
        <f t="shared" si="65"/>
        <v>0.75638010015981527</v>
      </c>
      <c r="P806" s="78">
        <v>14</v>
      </c>
      <c r="Q806" s="34">
        <v>5</v>
      </c>
      <c r="R806" s="35">
        <f t="shared" si="66"/>
        <v>0.35714285714285715</v>
      </c>
      <c r="S806" s="49">
        <f>ROUND(Q806/Summary!$C$3*Summary!$C$2,0)</f>
        <v>16</v>
      </c>
      <c r="T806" s="44">
        <f t="shared" si="67"/>
        <v>1.1428571428571428</v>
      </c>
      <c r="U806" s="34">
        <v>2</v>
      </c>
      <c r="V806" s="34">
        <v>3</v>
      </c>
      <c r="W806" s="34">
        <v>0</v>
      </c>
      <c r="X806" s="34">
        <v>1</v>
      </c>
    </row>
    <row r="807" spans="1:24">
      <c r="A807" s="75" t="s">
        <v>3633</v>
      </c>
      <c r="B807" s="75" t="s">
        <v>3634</v>
      </c>
      <c r="C807" s="75" t="s">
        <v>109</v>
      </c>
      <c r="D807" s="75" t="s">
        <v>0</v>
      </c>
      <c r="E807" s="75" t="s">
        <v>0</v>
      </c>
      <c r="F807" s="75" t="s">
        <v>3635</v>
      </c>
      <c r="G807" s="67">
        <v>1924151958</v>
      </c>
      <c r="H807" s="54" t="s">
        <v>229</v>
      </c>
      <c r="I807" s="54" t="s">
        <v>3514</v>
      </c>
      <c r="J807" s="34" t="s">
        <v>3421</v>
      </c>
      <c r="K807" s="50">
        <v>130000</v>
      </c>
      <c r="L807" s="43">
        <v>0</v>
      </c>
      <c r="M807" s="44">
        <f t="shared" si="64"/>
        <v>0</v>
      </c>
      <c r="N807" s="49">
        <f>ROUND(L807/Summary!$C$3*Summary!$C$2,0)</f>
        <v>0</v>
      </c>
      <c r="O807" s="44">
        <f t="shared" si="65"/>
        <v>0</v>
      </c>
      <c r="P807" s="78">
        <v>10</v>
      </c>
      <c r="Q807" s="34">
        <v>0</v>
      </c>
      <c r="R807" s="35">
        <f t="shared" si="66"/>
        <v>0</v>
      </c>
      <c r="S807" s="49">
        <f>ROUND(Q807/Summary!$C$3*Summary!$C$2,0)</f>
        <v>0</v>
      </c>
      <c r="T807" s="44">
        <f t="shared" si="67"/>
        <v>0</v>
      </c>
      <c r="U807" s="34">
        <v>0</v>
      </c>
      <c r="V807" s="34">
        <v>0</v>
      </c>
      <c r="W807" s="34">
        <v>0</v>
      </c>
      <c r="X807" s="34">
        <v>0</v>
      </c>
    </row>
    <row r="808" spans="1:24" hidden="1">
      <c r="A808" s="54" t="s">
        <v>2690</v>
      </c>
      <c r="B808" s="54" t="s">
        <v>2691</v>
      </c>
      <c r="C808" s="54" t="s">
        <v>109</v>
      </c>
      <c r="D808" s="54" t="s">
        <v>0</v>
      </c>
      <c r="E808" s="54" t="s">
        <v>0</v>
      </c>
      <c r="F808" s="54" t="s">
        <v>2692</v>
      </c>
      <c r="G808" s="54">
        <v>1796351653</v>
      </c>
      <c r="H808" s="54" t="s">
        <v>229</v>
      </c>
      <c r="I808" s="54" t="s">
        <v>3514</v>
      </c>
      <c r="J808" s="34" t="s">
        <v>3419</v>
      </c>
      <c r="K808" s="50">
        <v>225836</v>
      </c>
      <c r="L808" s="43">
        <v>60640</v>
      </c>
      <c r="M808" s="44">
        <f t="shared" si="64"/>
        <v>0.26851343452771037</v>
      </c>
      <c r="N808" s="49">
        <f>ROUND(L808/Summary!$C$3*Summary!$C$2,0)</f>
        <v>187984</v>
      </c>
      <c r="O808" s="44">
        <f t="shared" si="65"/>
        <v>0.83239164703590218</v>
      </c>
      <c r="P808" s="78">
        <v>10</v>
      </c>
      <c r="Q808" s="34">
        <v>1</v>
      </c>
      <c r="R808" s="35">
        <f t="shared" si="66"/>
        <v>0.1</v>
      </c>
      <c r="S808" s="49">
        <f>ROUND(Q808/Summary!$C$3*Summary!$C$2,0)</f>
        <v>3</v>
      </c>
      <c r="T808" s="44">
        <f t="shared" si="67"/>
        <v>0.3</v>
      </c>
      <c r="U808" s="34">
        <v>0</v>
      </c>
      <c r="V808" s="34">
        <v>0</v>
      </c>
      <c r="W808" s="34">
        <v>0</v>
      </c>
      <c r="X808" s="34">
        <v>1</v>
      </c>
    </row>
    <row r="809" spans="1:24" hidden="1">
      <c r="A809" s="54" t="s">
        <v>3006</v>
      </c>
      <c r="B809" s="54" t="s">
        <v>3007</v>
      </c>
      <c r="C809" s="54" t="s">
        <v>109</v>
      </c>
      <c r="D809" s="54" t="s">
        <v>0</v>
      </c>
      <c r="E809" s="54" t="s">
        <v>0</v>
      </c>
      <c r="F809" s="54" t="s">
        <v>3008</v>
      </c>
      <c r="G809" s="54">
        <v>1725517296</v>
      </c>
      <c r="H809" s="54" t="s">
        <v>229</v>
      </c>
      <c r="I809" s="54" t="s">
        <v>3514</v>
      </c>
      <c r="J809" s="34" t="s">
        <v>3421</v>
      </c>
      <c r="K809" s="50">
        <v>130000</v>
      </c>
      <c r="L809" s="43">
        <v>27850</v>
      </c>
      <c r="M809" s="44">
        <f t="shared" si="64"/>
        <v>0.21423076923076922</v>
      </c>
      <c r="N809" s="49">
        <f>ROUND(L809/Summary!$C$3*Summary!$C$2,0)</f>
        <v>86335</v>
      </c>
      <c r="O809" s="44">
        <f t="shared" si="65"/>
        <v>0.66411538461538466</v>
      </c>
      <c r="P809" s="78">
        <v>10</v>
      </c>
      <c r="Q809" s="34">
        <v>1</v>
      </c>
      <c r="R809" s="35">
        <f t="shared" si="66"/>
        <v>0.1</v>
      </c>
      <c r="S809" s="49">
        <f>ROUND(Q809/Summary!$C$3*Summary!$C$2,0)</f>
        <v>3</v>
      </c>
      <c r="T809" s="44">
        <f t="shared" si="67"/>
        <v>0.3</v>
      </c>
      <c r="U809" s="34">
        <v>0</v>
      </c>
      <c r="V809" s="34">
        <v>0</v>
      </c>
      <c r="W809" s="34">
        <v>0</v>
      </c>
      <c r="X809" s="34">
        <v>0</v>
      </c>
    </row>
    <row r="810" spans="1:24" hidden="1">
      <c r="A810" s="54" t="s">
        <v>2379</v>
      </c>
      <c r="B810" s="54" t="s">
        <v>2380</v>
      </c>
      <c r="C810" s="54" t="s">
        <v>109</v>
      </c>
      <c r="D810" s="54" t="s">
        <v>0</v>
      </c>
      <c r="E810" s="54" t="s">
        <v>0</v>
      </c>
      <c r="F810" s="54" t="s">
        <v>219</v>
      </c>
      <c r="G810" s="54">
        <v>1717838353</v>
      </c>
      <c r="H810" s="54" t="s">
        <v>229</v>
      </c>
      <c r="I810" s="54" t="s">
        <v>3514</v>
      </c>
      <c r="J810" s="34" t="s">
        <v>3515</v>
      </c>
      <c r="K810" s="50">
        <v>246080</v>
      </c>
      <c r="L810" s="43">
        <v>41430</v>
      </c>
      <c r="M810" s="44">
        <f t="shared" si="64"/>
        <v>0.16835988296488946</v>
      </c>
      <c r="N810" s="49">
        <f>ROUND(L810/Summary!$C$3*Summary!$C$2,0)</f>
        <v>128433</v>
      </c>
      <c r="O810" s="44">
        <f t="shared" si="65"/>
        <v>0.5219156371911573</v>
      </c>
      <c r="P810" s="78">
        <v>14</v>
      </c>
      <c r="Q810" s="34">
        <v>3</v>
      </c>
      <c r="R810" s="35">
        <f t="shared" si="66"/>
        <v>0.21428571428571427</v>
      </c>
      <c r="S810" s="49">
        <f>ROUND(Q810/Summary!$C$3*Summary!$C$2,0)</f>
        <v>9</v>
      </c>
      <c r="T810" s="44">
        <f t="shared" si="67"/>
        <v>0.6428571428571429</v>
      </c>
      <c r="U810" s="34">
        <v>0</v>
      </c>
      <c r="V810" s="34">
        <v>2</v>
      </c>
      <c r="W810" s="34">
        <v>0</v>
      </c>
      <c r="X810" s="34">
        <v>0</v>
      </c>
    </row>
    <row r="811" spans="1:24" hidden="1">
      <c r="A811" s="54" t="s">
        <v>3391</v>
      </c>
      <c r="B811" s="54" t="s">
        <v>3392</v>
      </c>
      <c r="C811" s="54" t="s">
        <v>123</v>
      </c>
      <c r="D811" s="54" t="s">
        <v>0</v>
      </c>
      <c r="E811" s="54" t="s">
        <v>0</v>
      </c>
      <c r="F811" s="54" t="s">
        <v>1869</v>
      </c>
      <c r="G811" s="54">
        <v>1711178941</v>
      </c>
      <c r="H811" s="54" t="s">
        <v>229</v>
      </c>
      <c r="I811" s="54" t="s">
        <v>3514</v>
      </c>
      <c r="J811" s="34" t="s">
        <v>3421</v>
      </c>
      <c r="K811" s="50">
        <v>130000</v>
      </c>
      <c r="L811" s="43">
        <v>12820</v>
      </c>
      <c r="M811" s="44">
        <f t="shared" si="64"/>
        <v>9.8615384615384619E-2</v>
      </c>
      <c r="N811" s="49">
        <f>ROUND(L811/Summary!$C$3*Summary!$C$2,0)</f>
        <v>39742</v>
      </c>
      <c r="O811" s="44">
        <f t="shared" si="65"/>
        <v>0.30570769230769229</v>
      </c>
      <c r="P811" s="78">
        <v>10</v>
      </c>
      <c r="Q811" s="34">
        <v>0</v>
      </c>
      <c r="R811" s="35">
        <f t="shared" si="66"/>
        <v>0</v>
      </c>
      <c r="S811" s="49">
        <f>ROUND(Q811/Summary!$C$3*Summary!$C$2,0)</f>
        <v>0</v>
      </c>
      <c r="T811" s="44">
        <f t="shared" si="67"/>
        <v>0</v>
      </c>
      <c r="U811" s="34">
        <v>0</v>
      </c>
      <c r="V811" s="34">
        <v>0</v>
      </c>
      <c r="W811" s="34">
        <v>0</v>
      </c>
      <c r="X811" s="34">
        <v>0</v>
      </c>
    </row>
    <row r="812" spans="1:24" hidden="1">
      <c r="A812" s="54" t="s">
        <v>2436</v>
      </c>
      <c r="B812" s="54" t="s">
        <v>2437</v>
      </c>
      <c r="C812" s="54" t="s">
        <v>123</v>
      </c>
      <c r="D812" s="54" t="s">
        <v>0</v>
      </c>
      <c r="E812" s="54" t="s">
        <v>0</v>
      </c>
      <c r="F812" s="54" t="s">
        <v>2438</v>
      </c>
      <c r="G812" s="54">
        <v>1717507933</v>
      </c>
      <c r="H812" s="54" t="s">
        <v>229</v>
      </c>
      <c r="I812" s="54" t="s">
        <v>3514</v>
      </c>
      <c r="J812" s="34" t="s">
        <v>3419</v>
      </c>
      <c r="K812" s="50">
        <v>215025</v>
      </c>
      <c r="L812" s="43">
        <v>97865</v>
      </c>
      <c r="M812" s="44">
        <f t="shared" si="64"/>
        <v>0.4551331240553424</v>
      </c>
      <c r="N812" s="49">
        <f>ROUND(L812/Summary!$C$3*Summary!$C$2,0)</f>
        <v>303382</v>
      </c>
      <c r="O812" s="44">
        <f t="shared" si="65"/>
        <v>1.4109150098825718</v>
      </c>
      <c r="P812" s="78">
        <v>10</v>
      </c>
      <c r="Q812" s="34">
        <v>4</v>
      </c>
      <c r="R812" s="35">
        <f t="shared" si="66"/>
        <v>0.4</v>
      </c>
      <c r="S812" s="49">
        <f>ROUND(Q812/Summary!$C$3*Summary!$C$2,0)</f>
        <v>12</v>
      </c>
      <c r="T812" s="44">
        <f t="shared" si="67"/>
        <v>1.2</v>
      </c>
      <c r="U812" s="34">
        <v>1</v>
      </c>
      <c r="V812" s="34">
        <v>1</v>
      </c>
      <c r="W812" s="34">
        <v>0</v>
      </c>
      <c r="X812" s="34">
        <v>0</v>
      </c>
    </row>
    <row r="813" spans="1:24" hidden="1">
      <c r="A813" s="54" t="s">
        <v>3394</v>
      </c>
      <c r="B813" s="54" t="s">
        <v>3395</v>
      </c>
      <c r="C813" s="54" t="s">
        <v>104</v>
      </c>
      <c r="D813" s="54" t="s">
        <v>105</v>
      </c>
      <c r="E813" s="54" t="s">
        <v>0</v>
      </c>
      <c r="F813" s="54" t="s">
        <v>3393</v>
      </c>
      <c r="G813" s="54">
        <v>1947573512</v>
      </c>
      <c r="H813" s="54" t="s">
        <v>229</v>
      </c>
      <c r="I813" s="54" t="s">
        <v>3514</v>
      </c>
      <c r="J813" s="34" t="s">
        <v>3421</v>
      </c>
      <c r="K813" s="50">
        <v>130000</v>
      </c>
      <c r="L813" s="43">
        <v>25260</v>
      </c>
      <c r="M813" s="44">
        <f t="shared" si="64"/>
        <v>0.19430769230769232</v>
      </c>
      <c r="N813" s="49">
        <f>ROUND(L813/Summary!$C$3*Summary!$C$2,0)</f>
        <v>78306</v>
      </c>
      <c r="O813" s="44">
        <f t="shared" si="65"/>
        <v>0.60235384615384613</v>
      </c>
      <c r="P813" s="78">
        <v>12</v>
      </c>
      <c r="Q813" s="34">
        <v>3</v>
      </c>
      <c r="R813" s="35">
        <f t="shared" si="66"/>
        <v>0.25</v>
      </c>
      <c r="S813" s="49">
        <f>ROUND(Q813/Summary!$C$3*Summary!$C$2,0)</f>
        <v>9</v>
      </c>
      <c r="T813" s="44">
        <f t="shared" si="67"/>
        <v>0.75</v>
      </c>
      <c r="U813" s="34">
        <v>0</v>
      </c>
      <c r="V813" s="34">
        <v>1</v>
      </c>
      <c r="W813" s="34">
        <v>0</v>
      </c>
      <c r="X813" s="34">
        <v>0</v>
      </c>
    </row>
    <row r="814" spans="1:24" hidden="1">
      <c r="A814" s="54" t="s">
        <v>2634</v>
      </c>
      <c r="B814" s="54" t="s">
        <v>2635</v>
      </c>
      <c r="C814" s="54" t="s">
        <v>104</v>
      </c>
      <c r="D814" s="54" t="s">
        <v>105</v>
      </c>
      <c r="E814" s="54" t="s">
        <v>0</v>
      </c>
      <c r="F814" s="54" t="s">
        <v>2636</v>
      </c>
      <c r="G814" s="54">
        <v>1720391966</v>
      </c>
      <c r="H814" s="54" t="s">
        <v>229</v>
      </c>
      <c r="I814" s="54" t="s">
        <v>3514</v>
      </c>
      <c r="J814" s="34" t="s">
        <v>3419</v>
      </c>
      <c r="K814" s="50">
        <v>196217</v>
      </c>
      <c r="L814" s="43">
        <v>60708</v>
      </c>
      <c r="M814" s="44">
        <f t="shared" si="64"/>
        <v>0.30939215256578179</v>
      </c>
      <c r="N814" s="49">
        <f>ROUND(L814/Summary!$C$3*Summary!$C$2,0)</f>
        <v>188195</v>
      </c>
      <c r="O814" s="44">
        <f t="shared" si="65"/>
        <v>0.95911669223359852</v>
      </c>
      <c r="P814" s="78">
        <v>10</v>
      </c>
      <c r="Q814" s="34">
        <v>3</v>
      </c>
      <c r="R814" s="35">
        <f t="shared" si="66"/>
        <v>0.3</v>
      </c>
      <c r="S814" s="49">
        <f>ROUND(Q814/Summary!$C$3*Summary!$C$2,0)</f>
        <v>9</v>
      </c>
      <c r="T814" s="44">
        <f t="shared" si="67"/>
        <v>0.9</v>
      </c>
      <c r="U814" s="34">
        <v>1</v>
      </c>
      <c r="V814" s="34">
        <v>1</v>
      </c>
      <c r="W814" s="34">
        <v>0</v>
      </c>
      <c r="X814" s="34">
        <v>0</v>
      </c>
    </row>
    <row r="815" spans="1:24" hidden="1">
      <c r="A815" s="54" t="s">
        <v>2766</v>
      </c>
      <c r="B815" s="54" t="s">
        <v>2767</v>
      </c>
      <c r="C815" s="54" t="s">
        <v>104</v>
      </c>
      <c r="D815" s="54" t="s">
        <v>105</v>
      </c>
      <c r="E815" s="54" t="s">
        <v>0</v>
      </c>
      <c r="F815" s="54" t="s">
        <v>2768</v>
      </c>
      <c r="G815" s="54">
        <v>1717172074</v>
      </c>
      <c r="H815" s="54" t="s">
        <v>229</v>
      </c>
      <c r="I815" s="54" t="s">
        <v>3514</v>
      </c>
      <c r="J815" s="34" t="s">
        <v>3515</v>
      </c>
      <c r="K815" s="50">
        <v>130000</v>
      </c>
      <c r="L815" s="43">
        <v>48555</v>
      </c>
      <c r="M815" s="44">
        <f t="shared" si="64"/>
        <v>0.3735</v>
      </c>
      <c r="N815" s="49">
        <f>ROUND(L815/Summary!$C$3*Summary!$C$2,0)</f>
        <v>150521</v>
      </c>
      <c r="O815" s="44">
        <f t="shared" si="65"/>
        <v>1.1578538461538461</v>
      </c>
      <c r="P815" s="78">
        <v>10</v>
      </c>
      <c r="Q815" s="34">
        <v>4</v>
      </c>
      <c r="R815" s="35">
        <f t="shared" si="66"/>
        <v>0.4</v>
      </c>
      <c r="S815" s="49">
        <f>ROUND(Q815/Summary!$C$3*Summary!$C$2,0)</f>
        <v>12</v>
      </c>
      <c r="T815" s="44">
        <f t="shared" si="67"/>
        <v>1.2</v>
      </c>
      <c r="U815" s="34">
        <v>0</v>
      </c>
      <c r="V815" s="34">
        <v>1</v>
      </c>
      <c r="W815" s="34">
        <v>0</v>
      </c>
      <c r="X815" s="34">
        <v>0</v>
      </c>
    </row>
    <row r="816" spans="1:24" hidden="1">
      <c r="A816" s="54" t="s">
        <v>2854</v>
      </c>
      <c r="B816" s="54" t="s">
        <v>2855</v>
      </c>
      <c r="C816" s="54" t="s">
        <v>104</v>
      </c>
      <c r="D816" s="54" t="s">
        <v>105</v>
      </c>
      <c r="E816" s="54" t="s">
        <v>0</v>
      </c>
      <c r="F816" s="54" t="s">
        <v>2856</v>
      </c>
      <c r="G816" s="54">
        <v>1711182408</v>
      </c>
      <c r="H816" s="54" t="s">
        <v>229</v>
      </c>
      <c r="I816" s="54" t="s">
        <v>3514</v>
      </c>
      <c r="J816" s="34" t="s">
        <v>3515</v>
      </c>
      <c r="K816" s="50">
        <v>130000</v>
      </c>
      <c r="L816" s="43">
        <v>33040</v>
      </c>
      <c r="M816" s="44">
        <f t="shared" si="64"/>
        <v>0.25415384615384617</v>
      </c>
      <c r="N816" s="49">
        <f>ROUND(L816/Summary!$C$3*Summary!$C$2,0)</f>
        <v>102424</v>
      </c>
      <c r="O816" s="44">
        <f t="shared" si="65"/>
        <v>0.78787692307692303</v>
      </c>
      <c r="P816" s="78">
        <v>10</v>
      </c>
      <c r="Q816" s="34">
        <v>2</v>
      </c>
      <c r="R816" s="35">
        <f t="shared" si="66"/>
        <v>0.2</v>
      </c>
      <c r="S816" s="49">
        <f>ROUND(Q816/Summary!$C$3*Summary!$C$2,0)</f>
        <v>6</v>
      </c>
      <c r="T816" s="44">
        <f t="shared" si="67"/>
        <v>0.6</v>
      </c>
      <c r="U816" s="34">
        <v>0</v>
      </c>
      <c r="V816" s="34">
        <v>0</v>
      </c>
      <c r="W816" s="34">
        <v>0</v>
      </c>
      <c r="X816" s="34">
        <v>0</v>
      </c>
    </row>
    <row r="817" spans="1:24" hidden="1">
      <c r="A817" s="54" t="s">
        <v>2387</v>
      </c>
      <c r="B817" s="54" t="s">
        <v>2388</v>
      </c>
      <c r="C817" s="54" t="s">
        <v>104</v>
      </c>
      <c r="D817" s="54" t="s">
        <v>105</v>
      </c>
      <c r="E817" s="54" t="s">
        <v>0</v>
      </c>
      <c r="F817" s="54" t="s">
        <v>2389</v>
      </c>
      <c r="G817" s="54">
        <v>1712366267</v>
      </c>
      <c r="H817" s="54" t="s">
        <v>229</v>
      </c>
      <c r="I817" s="54" t="s">
        <v>3514</v>
      </c>
      <c r="J817" s="34" t="s">
        <v>3419</v>
      </c>
      <c r="K817" s="50">
        <v>256381</v>
      </c>
      <c r="L817" s="43">
        <v>32240</v>
      </c>
      <c r="M817" s="44">
        <f t="shared" si="64"/>
        <v>0.12575034811471988</v>
      </c>
      <c r="N817" s="49">
        <f>ROUND(L817/Summary!$C$3*Summary!$C$2,0)</f>
        <v>99944</v>
      </c>
      <c r="O817" s="44">
        <f t="shared" si="65"/>
        <v>0.38982607915563167</v>
      </c>
      <c r="P817" s="78">
        <v>12</v>
      </c>
      <c r="Q817" s="34">
        <v>1</v>
      </c>
      <c r="R817" s="35">
        <f t="shared" si="66"/>
        <v>8.3333333333333329E-2</v>
      </c>
      <c r="S817" s="49">
        <f>ROUND(Q817/Summary!$C$3*Summary!$C$2,0)</f>
        <v>3</v>
      </c>
      <c r="T817" s="44">
        <f t="shared" si="67"/>
        <v>0.25</v>
      </c>
      <c r="U817" s="34">
        <v>0</v>
      </c>
      <c r="V817" s="34">
        <v>0</v>
      </c>
      <c r="W817" s="34">
        <v>0</v>
      </c>
      <c r="X817" s="34">
        <v>0</v>
      </c>
    </row>
    <row r="818" spans="1:24" hidden="1">
      <c r="A818" s="54" t="s">
        <v>2420</v>
      </c>
      <c r="B818" s="54" t="s">
        <v>2421</v>
      </c>
      <c r="C818" s="54" t="s">
        <v>104</v>
      </c>
      <c r="D818" s="54" t="s">
        <v>105</v>
      </c>
      <c r="E818" s="54" t="s">
        <v>0</v>
      </c>
      <c r="F818" s="54" t="s">
        <v>2422</v>
      </c>
      <c r="G818" s="54">
        <v>1716932256</v>
      </c>
      <c r="H818" s="54" t="s">
        <v>229</v>
      </c>
      <c r="I818" s="54" t="s">
        <v>3514</v>
      </c>
      <c r="J818" s="34" t="s">
        <v>3419</v>
      </c>
      <c r="K818" s="50">
        <v>154240</v>
      </c>
      <c r="L818" s="43">
        <v>59040</v>
      </c>
      <c r="M818" s="44">
        <f t="shared" si="64"/>
        <v>0.38278008298755184</v>
      </c>
      <c r="N818" s="49">
        <f>ROUND(L818/Summary!$C$3*Summary!$C$2,0)</f>
        <v>183024</v>
      </c>
      <c r="O818" s="44">
        <f t="shared" si="65"/>
        <v>1.1866182572614108</v>
      </c>
      <c r="P818" s="78">
        <v>10</v>
      </c>
      <c r="Q818" s="34">
        <v>2</v>
      </c>
      <c r="R818" s="35">
        <f t="shared" si="66"/>
        <v>0.2</v>
      </c>
      <c r="S818" s="49">
        <f>ROUND(Q818/Summary!$C$3*Summary!$C$2,0)</f>
        <v>6</v>
      </c>
      <c r="T818" s="44">
        <f t="shared" si="67"/>
        <v>0.6</v>
      </c>
      <c r="U818" s="34">
        <v>1</v>
      </c>
      <c r="V818" s="34">
        <v>2</v>
      </c>
      <c r="W818" s="34">
        <v>0</v>
      </c>
      <c r="X818" s="34">
        <v>0</v>
      </c>
    </row>
    <row r="819" spans="1:24" hidden="1">
      <c r="A819" s="54" t="s">
        <v>2523</v>
      </c>
      <c r="B819" s="54" t="s">
        <v>1420</v>
      </c>
      <c r="C819" s="54" t="s">
        <v>104</v>
      </c>
      <c r="D819" s="54" t="s">
        <v>105</v>
      </c>
      <c r="E819" s="54" t="s">
        <v>0</v>
      </c>
      <c r="F819" s="54" t="s">
        <v>2524</v>
      </c>
      <c r="G819" s="54">
        <v>1711280484</v>
      </c>
      <c r="H819" s="54" t="s">
        <v>229</v>
      </c>
      <c r="I819" s="54" t="s">
        <v>3514</v>
      </c>
      <c r="J819" s="34" t="s">
        <v>3421</v>
      </c>
      <c r="K819" s="50">
        <v>130000</v>
      </c>
      <c r="L819" s="43">
        <v>49895</v>
      </c>
      <c r="M819" s="44">
        <f t="shared" si="64"/>
        <v>0.38380769230769229</v>
      </c>
      <c r="N819" s="49">
        <f>ROUND(L819/Summary!$C$3*Summary!$C$2,0)</f>
        <v>154675</v>
      </c>
      <c r="O819" s="44">
        <f t="shared" si="65"/>
        <v>1.1898076923076923</v>
      </c>
      <c r="P819" s="78">
        <v>10</v>
      </c>
      <c r="Q819" s="34">
        <v>3</v>
      </c>
      <c r="R819" s="35">
        <f t="shared" si="66"/>
        <v>0.3</v>
      </c>
      <c r="S819" s="49">
        <f>ROUND(Q819/Summary!$C$3*Summary!$C$2,0)</f>
        <v>9</v>
      </c>
      <c r="T819" s="44">
        <f t="shared" si="67"/>
        <v>0.9</v>
      </c>
      <c r="U819" s="34">
        <v>0</v>
      </c>
      <c r="V819" s="34">
        <v>1</v>
      </c>
      <c r="W819" s="34">
        <v>0</v>
      </c>
      <c r="X819" s="34">
        <v>0</v>
      </c>
    </row>
    <row r="820" spans="1:24" hidden="1">
      <c r="A820" s="54" t="s">
        <v>2406</v>
      </c>
      <c r="B820" s="54" t="s">
        <v>2407</v>
      </c>
      <c r="C820" s="54" t="s">
        <v>104</v>
      </c>
      <c r="D820" s="54" t="s">
        <v>105</v>
      </c>
      <c r="E820" s="54" t="s">
        <v>0</v>
      </c>
      <c r="F820" s="54" t="s">
        <v>2408</v>
      </c>
      <c r="G820" s="54">
        <v>1718186154</v>
      </c>
      <c r="H820" s="54" t="s">
        <v>229</v>
      </c>
      <c r="I820" s="54" t="s">
        <v>3514</v>
      </c>
      <c r="J820" s="34" t="s">
        <v>3515</v>
      </c>
      <c r="K820" s="50">
        <v>160263</v>
      </c>
      <c r="L820" s="43">
        <v>81745</v>
      </c>
      <c r="M820" s="44">
        <f t="shared" si="64"/>
        <v>0.51006782601099443</v>
      </c>
      <c r="N820" s="49">
        <f>ROUND(L820/Summary!$C$3*Summary!$C$2,0)</f>
        <v>253410</v>
      </c>
      <c r="O820" s="44">
        <f t="shared" si="65"/>
        <v>1.5812133805057935</v>
      </c>
      <c r="P820" s="78">
        <v>10</v>
      </c>
      <c r="Q820" s="34">
        <v>6</v>
      </c>
      <c r="R820" s="35">
        <f t="shared" si="66"/>
        <v>0.6</v>
      </c>
      <c r="S820" s="49">
        <f>ROUND(Q820/Summary!$C$3*Summary!$C$2,0)</f>
        <v>19</v>
      </c>
      <c r="T820" s="44">
        <f t="shared" si="67"/>
        <v>1.9</v>
      </c>
      <c r="U820" s="34">
        <v>1</v>
      </c>
      <c r="V820" s="34">
        <v>2</v>
      </c>
      <c r="W820" s="34">
        <v>0</v>
      </c>
      <c r="X820" s="34">
        <v>0</v>
      </c>
    </row>
    <row r="821" spans="1:24" hidden="1">
      <c r="A821" s="54" t="s">
        <v>2390</v>
      </c>
      <c r="B821" s="54" t="s">
        <v>2391</v>
      </c>
      <c r="C821" s="54" t="s">
        <v>104</v>
      </c>
      <c r="D821" s="54" t="s">
        <v>105</v>
      </c>
      <c r="E821" s="54" t="s">
        <v>0</v>
      </c>
      <c r="F821" s="54" t="s">
        <v>2392</v>
      </c>
      <c r="G821" s="54">
        <v>1734678853</v>
      </c>
      <c r="H821" s="54" t="s">
        <v>229</v>
      </c>
      <c r="I821" s="54" t="s">
        <v>3514</v>
      </c>
      <c r="J821" s="34" t="s">
        <v>3419</v>
      </c>
      <c r="K821" s="50">
        <v>254933</v>
      </c>
      <c r="L821" s="43">
        <v>104920</v>
      </c>
      <c r="M821" s="44">
        <f t="shared" si="64"/>
        <v>0.41155911553231633</v>
      </c>
      <c r="N821" s="49">
        <f>ROUND(L821/Summary!$C$3*Summary!$C$2,0)</f>
        <v>325252</v>
      </c>
      <c r="O821" s="44">
        <f t="shared" si="65"/>
        <v>1.2758332581501806</v>
      </c>
      <c r="P821" s="78">
        <v>14</v>
      </c>
      <c r="Q821" s="34">
        <v>7</v>
      </c>
      <c r="R821" s="35">
        <f t="shared" si="66"/>
        <v>0.5</v>
      </c>
      <c r="S821" s="49">
        <f>ROUND(Q821/Summary!$C$3*Summary!$C$2,0)</f>
        <v>22</v>
      </c>
      <c r="T821" s="44">
        <f t="shared" si="67"/>
        <v>1.5714285714285714</v>
      </c>
      <c r="U821" s="34">
        <v>2</v>
      </c>
      <c r="V821" s="34">
        <v>3</v>
      </c>
      <c r="W821" s="34">
        <v>0</v>
      </c>
      <c r="X821" s="34">
        <v>0</v>
      </c>
    </row>
    <row r="822" spans="1:24" hidden="1">
      <c r="A822" s="54" t="s">
        <v>3080</v>
      </c>
      <c r="B822" s="54" t="s">
        <v>3081</v>
      </c>
      <c r="C822" s="54" t="s">
        <v>104</v>
      </c>
      <c r="D822" s="54" t="s">
        <v>105</v>
      </c>
      <c r="E822" s="54" t="s">
        <v>0</v>
      </c>
      <c r="F822" s="54" t="s">
        <v>3082</v>
      </c>
      <c r="G822" s="54">
        <v>1734202070</v>
      </c>
      <c r="H822" s="54" t="s">
        <v>229</v>
      </c>
      <c r="I822" s="54" t="s">
        <v>3514</v>
      </c>
      <c r="J822" s="34" t="s">
        <v>3515</v>
      </c>
      <c r="K822" s="50">
        <v>243724</v>
      </c>
      <c r="L822" s="43">
        <v>64780</v>
      </c>
      <c r="M822" s="44">
        <f t="shared" si="64"/>
        <v>0.26579245375917021</v>
      </c>
      <c r="N822" s="49">
        <f>ROUND(L822/Summary!$C$3*Summary!$C$2,0)</f>
        <v>200818</v>
      </c>
      <c r="O822" s="44">
        <f t="shared" si="65"/>
        <v>0.82395660665342763</v>
      </c>
      <c r="P822" s="78">
        <v>10</v>
      </c>
      <c r="Q822" s="34">
        <v>2</v>
      </c>
      <c r="R822" s="35">
        <f t="shared" si="66"/>
        <v>0.2</v>
      </c>
      <c r="S822" s="49">
        <f>ROUND(Q822/Summary!$C$3*Summary!$C$2,0)</f>
        <v>6</v>
      </c>
      <c r="T822" s="44">
        <f t="shared" si="67"/>
        <v>0.6</v>
      </c>
      <c r="U822" s="34">
        <v>2</v>
      </c>
      <c r="V822" s="34">
        <v>1</v>
      </c>
      <c r="W822" s="34">
        <v>0</v>
      </c>
      <c r="X822" s="34">
        <v>0</v>
      </c>
    </row>
    <row r="823" spans="1:24" hidden="1">
      <c r="A823" s="54" t="s">
        <v>3397</v>
      </c>
      <c r="B823" s="54" t="s">
        <v>3398</v>
      </c>
      <c r="C823" s="54" t="s">
        <v>190</v>
      </c>
      <c r="D823" s="54" t="s">
        <v>105</v>
      </c>
      <c r="E823" s="54" t="s">
        <v>0</v>
      </c>
      <c r="F823" s="54" t="s">
        <v>3396</v>
      </c>
      <c r="G823" s="54">
        <v>1740943753</v>
      </c>
      <c r="H823" s="54" t="s">
        <v>229</v>
      </c>
      <c r="I823" s="54" t="s">
        <v>3514</v>
      </c>
      <c r="J823" s="34" t="s">
        <v>3421</v>
      </c>
      <c r="K823" s="50">
        <v>130000</v>
      </c>
      <c r="L823" s="43">
        <v>4290</v>
      </c>
      <c r="M823" s="44">
        <f t="shared" si="64"/>
        <v>3.3000000000000002E-2</v>
      </c>
      <c r="N823" s="49">
        <f>ROUND(L823/Summary!$C$3*Summary!$C$2,0)</f>
        <v>13299</v>
      </c>
      <c r="O823" s="44">
        <f t="shared" si="65"/>
        <v>0.1023</v>
      </c>
      <c r="P823" s="78">
        <v>10</v>
      </c>
      <c r="Q823" s="34">
        <v>0</v>
      </c>
      <c r="R823" s="35">
        <f t="shared" si="66"/>
        <v>0</v>
      </c>
      <c r="S823" s="49">
        <f>ROUND(Q823/Summary!$C$3*Summary!$C$2,0)</f>
        <v>0</v>
      </c>
      <c r="T823" s="44">
        <f t="shared" si="67"/>
        <v>0</v>
      </c>
      <c r="U823" s="34">
        <v>0</v>
      </c>
      <c r="V823" s="34">
        <v>0</v>
      </c>
      <c r="W823" s="34">
        <v>0</v>
      </c>
      <c r="X823" s="34">
        <v>0</v>
      </c>
    </row>
    <row r="824" spans="1:24" hidden="1">
      <c r="A824" s="54" t="s">
        <v>2637</v>
      </c>
      <c r="B824" s="54" t="s">
        <v>2638</v>
      </c>
      <c r="C824" s="54" t="s">
        <v>190</v>
      </c>
      <c r="D824" s="54" t="s">
        <v>105</v>
      </c>
      <c r="E824" s="54" t="s">
        <v>0</v>
      </c>
      <c r="F824" s="54" t="s">
        <v>2639</v>
      </c>
      <c r="G824" s="54">
        <v>1733253472</v>
      </c>
      <c r="H824" s="54" t="s">
        <v>229</v>
      </c>
      <c r="I824" s="54" t="s">
        <v>3514</v>
      </c>
      <c r="J824" s="34" t="s">
        <v>3419</v>
      </c>
      <c r="K824" s="50">
        <v>160137</v>
      </c>
      <c r="L824" s="43">
        <v>47070</v>
      </c>
      <c r="M824" s="44">
        <f t="shared" si="64"/>
        <v>0.29393581745630304</v>
      </c>
      <c r="N824" s="49">
        <f>ROUND(L824/Summary!$C$3*Summary!$C$2,0)</f>
        <v>145917</v>
      </c>
      <c r="O824" s="44">
        <f t="shared" si="65"/>
        <v>0.91120103411453945</v>
      </c>
      <c r="P824" s="78">
        <v>10</v>
      </c>
      <c r="Q824" s="34">
        <v>3</v>
      </c>
      <c r="R824" s="35">
        <f t="shared" si="66"/>
        <v>0.3</v>
      </c>
      <c r="S824" s="49">
        <f>ROUND(Q824/Summary!$C$3*Summary!$C$2,0)</f>
        <v>9</v>
      </c>
      <c r="T824" s="44">
        <f t="shared" si="67"/>
        <v>0.9</v>
      </c>
      <c r="U824" s="34">
        <v>0</v>
      </c>
      <c r="V824" s="34">
        <v>2</v>
      </c>
      <c r="W824" s="34">
        <v>0</v>
      </c>
      <c r="X824" s="34">
        <v>0</v>
      </c>
    </row>
    <row r="825" spans="1:24" hidden="1">
      <c r="A825" s="54" t="s">
        <v>2874</v>
      </c>
      <c r="B825" s="54" t="s">
        <v>2875</v>
      </c>
      <c r="C825" s="54" t="s">
        <v>190</v>
      </c>
      <c r="D825" s="54" t="s">
        <v>105</v>
      </c>
      <c r="E825" s="54" t="s">
        <v>0</v>
      </c>
      <c r="F825" s="54" t="s">
        <v>2876</v>
      </c>
      <c r="G825" s="54">
        <v>1930945900</v>
      </c>
      <c r="H825" s="54" t="s">
        <v>229</v>
      </c>
      <c r="I825" s="54" t="s">
        <v>3514</v>
      </c>
      <c r="J825" s="34" t="s">
        <v>3421</v>
      </c>
      <c r="K825" s="50">
        <v>130000</v>
      </c>
      <c r="L825" s="43">
        <v>23200</v>
      </c>
      <c r="M825" s="44">
        <f t="shared" si="64"/>
        <v>0.17846153846153845</v>
      </c>
      <c r="N825" s="49">
        <f>ROUND(L825/Summary!$C$3*Summary!$C$2,0)</f>
        <v>71920</v>
      </c>
      <c r="O825" s="44">
        <f t="shared" si="65"/>
        <v>0.55323076923076919</v>
      </c>
      <c r="P825" s="78">
        <v>10</v>
      </c>
      <c r="Q825" s="34">
        <v>0</v>
      </c>
      <c r="R825" s="35">
        <f t="shared" si="66"/>
        <v>0</v>
      </c>
      <c r="S825" s="49">
        <f>ROUND(Q825/Summary!$C$3*Summary!$C$2,0)</f>
        <v>0</v>
      </c>
      <c r="T825" s="44">
        <f t="shared" si="67"/>
        <v>0</v>
      </c>
      <c r="U825" s="34">
        <v>0</v>
      </c>
      <c r="V825" s="34">
        <v>0</v>
      </c>
      <c r="W825" s="34">
        <v>0</v>
      </c>
      <c r="X825" s="34">
        <v>0</v>
      </c>
    </row>
    <row r="826" spans="1:24" hidden="1">
      <c r="A826" s="75" t="s">
        <v>3636</v>
      </c>
      <c r="B826" s="75" t="s">
        <v>77</v>
      </c>
      <c r="C826" s="75" t="s">
        <v>190</v>
      </c>
      <c r="D826" s="75" t="s">
        <v>105</v>
      </c>
      <c r="E826" s="75" t="s">
        <v>0</v>
      </c>
      <c r="F826" s="75" t="s">
        <v>3637</v>
      </c>
      <c r="G826" s="67">
        <v>1712287460</v>
      </c>
      <c r="H826" s="54" t="s">
        <v>229</v>
      </c>
      <c r="I826" s="54" t="s">
        <v>3514</v>
      </c>
      <c r="J826" s="34" t="s">
        <v>3419</v>
      </c>
      <c r="K826" s="50">
        <v>130000</v>
      </c>
      <c r="L826" s="43">
        <v>50755</v>
      </c>
      <c r="M826" s="44">
        <f t="shared" si="64"/>
        <v>0.39042307692307693</v>
      </c>
      <c r="N826" s="49">
        <f>ROUND(L826/Summary!$C$3*Summary!$C$2,0)</f>
        <v>157341</v>
      </c>
      <c r="O826" s="44">
        <f t="shared" si="65"/>
        <v>1.2103153846153847</v>
      </c>
      <c r="P826" s="78">
        <v>10</v>
      </c>
      <c r="Q826" s="34">
        <v>2</v>
      </c>
      <c r="R826" s="35">
        <f t="shared" si="66"/>
        <v>0.2</v>
      </c>
      <c r="S826" s="49">
        <f>ROUND(Q826/Summary!$C$3*Summary!$C$2,0)</f>
        <v>6</v>
      </c>
      <c r="T826" s="44">
        <f t="shared" si="67"/>
        <v>0.6</v>
      </c>
      <c r="U826" s="34">
        <v>3</v>
      </c>
      <c r="V826" s="34">
        <v>0</v>
      </c>
      <c r="W826" s="34">
        <v>0</v>
      </c>
      <c r="X826" s="34">
        <v>0</v>
      </c>
    </row>
    <row r="827" spans="1:24" hidden="1">
      <c r="A827" s="54" t="s">
        <v>2851</v>
      </c>
      <c r="B827" s="54" t="s">
        <v>2852</v>
      </c>
      <c r="C827" s="54" t="s">
        <v>190</v>
      </c>
      <c r="D827" s="54" t="s">
        <v>105</v>
      </c>
      <c r="E827" s="54" t="s">
        <v>0</v>
      </c>
      <c r="F827" s="54" t="s">
        <v>2853</v>
      </c>
      <c r="G827" s="54">
        <v>1734225522</v>
      </c>
      <c r="H827" s="54" t="s">
        <v>229</v>
      </c>
      <c r="I827" s="54" t="s">
        <v>3514</v>
      </c>
      <c r="J827" s="34" t="s">
        <v>3515</v>
      </c>
      <c r="K827" s="50">
        <v>130000</v>
      </c>
      <c r="L827" s="43">
        <v>53190</v>
      </c>
      <c r="M827" s="44">
        <f t="shared" si="64"/>
        <v>0.40915384615384615</v>
      </c>
      <c r="N827" s="49">
        <f>ROUND(L827/Summary!$C$3*Summary!$C$2,0)</f>
        <v>164889</v>
      </c>
      <c r="O827" s="44">
        <f t="shared" si="65"/>
        <v>1.2683769230769231</v>
      </c>
      <c r="P827" s="78">
        <v>10</v>
      </c>
      <c r="Q827" s="34">
        <v>1</v>
      </c>
      <c r="R827" s="35">
        <f t="shared" si="66"/>
        <v>0.1</v>
      </c>
      <c r="S827" s="49">
        <f>ROUND(Q827/Summary!$C$3*Summary!$C$2,0)</f>
        <v>3</v>
      </c>
      <c r="T827" s="44">
        <f t="shared" si="67"/>
        <v>0.3</v>
      </c>
      <c r="U827" s="34">
        <v>1</v>
      </c>
      <c r="V827" s="34">
        <v>1</v>
      </c>
      <c r="W827" s="34">
        <v>0</v>
      </c>
      <c r="X827" s="34">
        <v>0</v>
      </c>
    </row>
    <row r="828" spans="1:24" hidden="1">
      <c r="A828" s="54" t="s">
        <v>2649</v>
      </c>
      <c r="B828" s="54" t="s">
        <v>845</v>
      </c>
      <c r="C828" s="54" t="s">
        <v>190</v>
      </c>
      <c r="D828" s="54" t="s">
        <v>105</v>
      </c>
      <c r="E828" s="54" t="s">
        <v>0</v>
      </c>
      <c r="F828" s="54" t="s">
        <v>2650</v>
      </c>
      <c r="G828" s="54">
        <v>1714876702</v>
      </c>
      <c r="H828" s="54" t="s">
        <v>229</v>
      </c>
      <c r="I828" s="54" t="s">
        <v>3514</v>
      </c>
      <c r="J828" s="34" t="s">
        <v>3419</v>
      </c>
      <c r="K828" s="50">
        <v>130000</v>
      </c>
      <c r="L828" s="43">
        <v>26749</v>
      </c>
      <c r="M828" s="44">
        <f t="shared" si="64"/>
        <v>0.20576153846153847</v>
      </c>
      <c r="N828" s="49">
        <f>ROUND(L828/Summary!$C$3*Summary!$C$2,0)</f>
        <v>82922</v>
      </c>
      <c r="O828" s="44">
        <f t="shared" si="65"/>
        <v>0.63786153846153848</v>
      </c>
      <c r="P828" s="78">
        <v>10</v>
      </c>
      <c r="Q828" s="34">
        <v>0</v>
      </c>
      <c r="R828" s="35">
        <f t="shared" si="66"/>
        <v>0</v>
      </c>
      <c r="S828" s="49">
        <f>ROUND(Q828/Summary!$C$3*Summary!$C$2,0)</f>
        <v>0</v>
      </c>
      <c r="T828" s="44">
        <f t="shared" si="67"/>
        <v>0</v>
      </c>
      <c r="U828" s="34">
        <v>0</v>
      </c>
      <c r="V828" s="34">
        <v>0</v>
      </c>
      <c r="W828" s="34">
        <v>0</v>
      </c>
      <c r="X828" s="34">
        <v>0</v>
      </c>
    </row>
    <row r="829" spans="1:24" hidden="1">
      <c r="A829" s="54" t="s">
        <v>2564</v>
      </c>
      <c r="B829" s="54" t="s">
        <v>1236</v>
      </c>
      <c r="C829" s="54" t="s">
        <v>121</v>
      </c>
      <c r="D829" s="54" t="s">
        <v>122</v>
      </c>
      <c r="E829" s="54" t="s">
        <v>0</v>
      </c>
      <c r="F829" s="54" t="s">
        <v>2565</v>
      </c>
      <c r="G829" s="54">
        <v>1728161866</v>
      </c>
      <c r="H829" s="54" t="s">
        <v>229</v>
      </c>
      <c r="I829" s="54" t="s">
        <v>3514</v>
      </c>
      <c r="J829" s="34" t="s">
        <v>3421</v>
      </c>
      <c r="K829" s="50">
        <v>130000</v>
      </c>
      <c r="L829" s="43">
        <v>21060</v>
      </c>
      <c r="M829" s="44">
        <f t="shared" si="64"/>
        <v>0.16200000000000001</v>
      </c>
      <c r="N829" s="49">
        <f>ROUND(L829/Summary!$C$3*Summary!$C$2,0)</f>
        <v>65286</v>
      </c>
      <c r="O829" s="44">
        <f t="shared" si="65"/>
        <v>0.50219999999999998</v>
      </c>
      <c r="P829" s="78">
        <v>10</v>
      </c>
      <c r="Q829" s="34">
        <v>1</v>
      </c>
      <c r="R829" s="35">
        <f t="shared" si="66"/>
        <v>0.1</v>
      </c>
      <c r="S829" s="49">
        <f>ROUND(Q829/Summary!$C$3*Summary!$C$2,0)</f>
        <v>3</v>
      </c>
      <c r="T829" s="44">
        <f t="shared" si="67"/>
        <v>0.3</v>
      </c>
      <c r="U829" s="34">
        <v>1</v>
      </c>
      <c r="V829" s="34">
        <v>1</v>
      </c>
      <c r="W829" s="34">
        <v>0</v>
      </c>
      <c r="X829" s="34">
        <v>0</v>
      </c>
    </row>
    <row r="830" spans="1:24" hidden="1">
      <c r="A830" s="54" t="s">
        <v>2927</v>
      </c>
      <c r="B830" s="54" t="s">
        <v>2928</v>
      </c>
      <c r="C830" s="54" t="s">
        <v>121</v>
      </c>
      <c r="D830" s="54" t="s">
        <v>122</v>
      </c>
      <c r="E830" s="54" t="s">
        <v>0</v>
      </c>
      <c r="F830" s="54" t="s">
        <v>2929</v>
      </c>
      <c r="G830" s="54">
        <v>1911095850</v>
      </c>
      <c r="H830" s="54" t="s">
        <v>229</v>
      </c>
      <c r="I830" s="54" t="s">
        <v>3514</v>
      </c>
      <c r="J830" s="34" t="s">
        <v>3421</v>
      </c>
      <c r="K830" s="50">
        <v>241406</v>
      </c>
      <c r="L830" s="43">
        <v>30240</v>
      </c>
      <c r="M830" s="44">
        <f t="shared" si="64"/>
        <v>0.12526614914293763</v>
      </c>
      <c r="N830" s="49">
        <f>ROUND(L830/Summary!$C$3*Summary!$C$2,0)</f>
        <v>93744</v>
      </c>
      <c r="O830" s="44">
        <f t="shared" si="65"/>
        <v>0.38832506234310665</v>
      </c>
      <c r="P830" s="78">
        <v>15</v>
      </c>
      <c r="Q830" s="34">
        <v>2</v>
      </c>
      <c r="R830" s="35">
        <f t="shared" si="66"/>
        <v>0.13333333333333333</v>
      </c>
      <c r="S830" s="49">
        <f>ROUND(Q830/Summary!$C$3*Summary!$C$2,0)</f>
        <v>6</v>
      </c>
      <c r="T830" s="44">
        <f t="shared" si="67"/>
        <v>0.4</v>
      </c>
      <c r="U830" s="34">
        <v>0</v>
      </c>
      <c r="V830" s="34">
        <v>0</v>
      </c>
      <c r="W830" s="34">
        <v>0</v>
      </c>
      <c r="X830" s="34">
        <v>0</v>
      </c>
    </row>
    <row r="831" spans="1:24" hidden="1">
      <c r="A831" s="54" t="s">
        <v>2531</v>
      </c>
      <c r="B831" s="54" t="s">
        <v>2532</v>
      </c>
      <c r="C831" s="54" t="s">
        <v>121</v>
      </c>
      <c r="D831" s="54" t="s">
        <v>122</v>
      </c>
      <c r="E831" s="54" t="s">
        <v>0</v>
      </c>
      <c r="F831" s="54" t="s">
        <v>2533</v>
      </c>
      <c r="G831" s="54">
        <v>1963174770</v>
      </c>
      <c r="H831" s="54" t="s">
        <v>229</v>
      </c>
      <c r="I831" s="54" t="s">
        <v>3514</v>
      </c>
      <c r="J831" s="34" t="s">
        <v>3419</v>
      </c>
      <c r="K831" s="50">
        <v>130000</v>
      </c>
      <c r="L831" s="43">
        <v>11680</v>
      </c>
      <c r="M831" s="44">
        <f t="shared" si="64"/>
        <v>8.9846153846153839E-2</v>
      </c>
      <c r="N831" s="49">
        <f>ROUND(L831/Summary!$C$3*Summary!$C$2,0)</f>
        <v>36208</v>
      </c>
      <c r="O831" s="44">
        <f t="shared" si="65"/>
        <v>0.27852307692307693</v>
      </c>
      <c r="P831" s="78">
        <v>10</v>
      </c>
      <c r="Q831" s="34">
        <v>1</v>
      </c>
      <c r="R831" s="35">
        <f t="shared" si="66"/>
        <v>0.1</v>
      </c>
      <c r="S831" s="49">
        <f>ROUND(Q831/Summary!$C$3*Summary!$C$2,0)</f>
        <v>3</v>
      </c>
      <c r="T831" s="44">
        <f t="shared" si="67"/>
        <v>0.3</v>
      </c>
      <c r="U831" s="34">
        <v>0</v>
      </c>
      <c r="V831" s="34">
        <v>1</v>
      </c>
      <c r="W831" s="34">
        <v>0</v>
      </c>
      <c r="X831" s="34">
        <v>0</v>
      </c>
    </row>
    <row r="832" spans="1:24" hidden="1">
      <c r="A832" s="54" t="s">
        <v>2581</v>
      </c>
      <c r="B832" s="54" t="s">
        <v>2582</v>
      </c>
      <c r="C832" s="54" t="s">
        <v>121</v>
      </c>
      <c r="D832" s="54" t="s">
        <v>122</v>
      </c>
      <c r="E832" s="54" t="s">
        <v>0</v>
      </c>
      <c r="F832" s="54" t="s">
        <v>2583</v>
      </c>
      <c r="G832" s="54">
        <v>1778714668</v>
      </c>
      <c r="H832" s="54" t="s">
        <v>229</v>
      </c>
      <c r="I832" s="54" t="s">
        <v>3514</v>
      </c>
      <c r="J832" s="34" t="s">
        <v>3419</v>
      </c>
      <c r="K832" s="50">
        <v>221707</v>
      </c>
      <c r="L832" s="43">
        <v>71680</v>
      </c>
      <c r="M832" s="44">
        <f t="shared" si="64"/>
        <v>0.32330959329204761</v>
      </c>
      <c r="N832" s="49">
        <f>ROUND(L832/Summary!$C$3*Summary!$C$2,0)</f>
        <v>222208</v>
      </c>
      <c r="O832" s="44">
        <f t="shared" si="65"/>
        <v>1.0022597392053476</v>
      </c>
      <c r="P832" s="78">
        <v>10</v>
      </c>
      <c r="Q832" s="34">
        <v>7</v>
      </c>
      <c r="R832" s="35">
        <f t="shared" si="66"/>
        <v>0.7</v>
      </c>
      <c r="S832" s="49">
        <f>ROUND(Q832/Summary!$C$3*Summary!$C$2,0)</f>
        <v>22</v>
      </c>
      <c r="T832" s="44">
        <f t="shared" si="67"/>
        <v>2.2000000000000002</v>
      </c>
      <c r="U832" s="34">
        <v>0</v>
      </c>
      <c r="V832" s="34">
        <v>6</v>
      </c>
      <c r="W832" s="34">
        <v>0</v>
      </c>
      <c r="X832" s="34">
        <v>0</v>
      </c>
    </row>
    <row r="833" spans="1:24" hidden="1">
      <c r="A833" s="54" t="s">
        <v>2431</v>
      </c>
      <c r="B833" s="54" t="s">
        <v>2432</v>
      </c>
      <c r="C833" s="54" t="s">
        <v>187</v>
      </c>
      <c r="D833" s="54" t="s">
        <v>122</v>
      </c>
      <c r="E833" s="54" t="s">
        <v>0</v>
      </c>
      <c r="F833" s="54" t="s">
        <v>2433</v>
      </c>
      <c r="G833" s="54">
        <v>1715740779</v>
      </c>
      <c r="H833" s="54" t="s">
        <v>229</v>
      </c>
      <c r="I833" s="54" t="s">
        <v>3518</v>
      </c>
      <c r="J833" s="34" t="s">
        <v>3419</v>
      </c>
      <c r="K833" s="50">
        <v>337015</v>
      </c>
      <c r="L833" s="43">
        <v>137160</v>
      </c>
      <c r="M833" s="44">
        <f t="shared" si="64"/>
        <v>0.40698485230627718</v>
      </c>
      <c r="N833" s="49">
        <f>ROUND(L833/Summary!$C$3*Summary!$C$2,0)</f>
        <v>425196</v>
      </c>
      <c r="O833" s="44">
        <f t="shared" si="65"/>
        <v>1.2616530421494592</v>
      </c>
      <c r="P833" s="78">
        <v>18</v>
      </c>
      <c r="Q833" s="34">
        <v>8</v>
      </c>
      <c r="R833" s="35">
        <f t="shared" si="66"/>
        <v>0.44444444444444442</v>
      </c>
      <c r="S833" s="49">
        <f>ROUND(Q833/Summary!$C$3*Summary!$C$2,0)</f>
        <v>25</v>
      </c>
      <c r="T833" s="44">
        <f t="shared" si="67"/>
        <v>1.3888888888888888</v>
      </c>
      <c r="U833" s="34">
        <v>0</v>
      </c>
      <c r="V833" s="34">
        <v>5</v>
      </c>
      <c r="W833" s="34">
        <v>0</v>
      </c>
      <c r="X833" s="34">
        <v>0</v>
      </c>
    </row>
    <row r="834" spans="1:24" hidden="1">
      <c r="A834" s="54" t="s">
        <v>3483</v>
      </c>
      <c r="B834" s="54" t="s">
        <v>3484</v>
      </c>
      <c r="C834" s="54" t="s">
        <v>187</v>
      </c>
      <c r="D834" s="54" t="s">
        <v>122</v>
      </c>
      <c r="E834" s="54" t="s">
        <v>0</v>
      </c>
      <c r="F834" s="54" t="s">
        <v>3485</v>
      </c>
      <c r="G834" s="54">
        <v>1725137274</v>
      </c>
      <c r="H834" s="54" t="s">
        <v>229</v>
      </c>
      <c r="I834" s="54" t="s">
        <v>3514</v>
      </c>
      <c r="J834" s="34" t="s">
        <v>3421</v>
      </c>
      <c r="K834" s="50">
        <v>130000</v>
      </c>
      <c r="L834" s="43">
        <v>12370</v>
      </c>
      <c r="M834" s="44">
        <f t="shared" si="64"/>
        <v>9.5153846153846158E-2</v>
      </c>
      <c r="N834" s="49">
        <f>ROUND(L834/Summary!$C$3*Summary!$C$2,0)</f>
        <v>38347</v>
      </c>
      <c r="O834" s="44">
        <f t="shared" si="65"/>
        <v>0.29497692307692308</v>
      </c>
      <c r="P834" s="78">
        <v>10</v>
      </c>
      <c r="Q834" s="34">
        <v>0</v>
      </c>
      <c r="R834" s="35">
        <f t="shared" si="66"/>
        <v>0</v>
      </c>
      <c r="S834" s="49">
        <f>ROUND(Q834/Summary!$C$3*Summary!$C$2,0)</f>
        <v>0</v>
      </c>
      <c r="T834" s="44">
        <f t="shared" si="67"/>
        <v>0</v>
      </c>
      <c r="U834" s="34">
        <v>0</v>
      </c>
      <c r="V834" s="34">
        <v>0</v>
      </c>
      <c r="W834" s="34">
        <v>0</v>
      </c>
      <c r="X834" s="34">
        <v>0</v>
      </c>
    </row>
    <row r="835" spans="1:24" hidden="1">
      <c r="A835" s="54" t="s">
        <v>2384</v>
      </c>
      <c r="B835" s="54" t="s">
        <v>2385</v>
      </c>
      <c r="C835" s="54" t="s">
        <v>187</v>
      </c>
      <c r="D835" s="54" t="s">
        <v>122</v>
      </c>
      <c r="E835" s="54" t="s">
        <v>0</v>
      </c>
      <c r="F835" s="54" t="s">
        <v>2386</v>
      </c>
      <c r="G835" s="54">
        <v>1919722711</v>
      </c>
      <c r="H835" s="54" t="s">
        <v>229</v>
      </c>
      <c r="I835" s="54" t="s">
        <v>3518</v>
      </c>
      <c r="J835" s="34" t="s">
        <v>3419</v>
      </c>
      <c r="K835" s="50">
        <v>343506</v>
      </c>
      <c r="L835" s="43">
        <v>46020</v>
      </c>
      <c r="M835" s="44">
        <f t="shared" si="64"/>
        <v>0.13397145901381635</v>
      </c>
      <c r="N835" s="49">
        <f>ROUND(L835/Summary!$C$3*Summary!$C$2,0)</f>
        <v>142662</v>
      </c>
      <c r="O835" s="44">
        <f t="shared" si="65"/>
        <v>0.41531152294283069</v>
      </c>
      <c r="P835" s="78">
        <v>13</v>
      </c>
      <c r="Q835" s="34">
        <v>2</v>
      </c>
      <c r="R835" s="35">
        <f t="shared" si="66"/>
        <v>0.15384615384615385</v>
      </c>
      <c r="S835" s="49">
        <f>ROUND(Q835/Summary!$C$3*Summary!$C$2,0)</f>
        <v>6</v>
      </c>
      <c r="T835" s="44">
        <f t="shared" si="67"/>
        <v>0.46153846153846156</v>
      </c>
      <c r="U835" s="34">
        <v>0</v>
      </c>
      <c r="V835" s="34">
        <v>1</v>
      </c>
      <c r="W835" s="34">
        <v>0</v>
      </c>
      <c r="X835" s="34">
        <v>0</v>
      </c>
    </row>
    <row r="836" spans="1:24" hidden="1">
      <c r="A836" s="54" t="s">
        <v>3486</v>
      </c>
      <c r="B836" s="54" t="s">
        <v>2730</v>
      </c>
      <c r="C836" s="54" t="s">
        <v>187</v>
      </c>
      <c r="D836" s="54" t="s">
        <v>122</v>
      </c>
      <c r="E836" s="54" t="s">
        <v>0</v>
      </c>
      <c r="F836" s="54" t="s">
        <v>3487</v>
      </c>
      <c r="G836" s="54">
        <v>1729796895</v>
      </c>
      <c r="H836" s="54" t="s">
        <v>229</v>
      </c>
      <c r="I836" s="54" t="s">
        <v>3514</v>
      </c>
      <c r="J836" s="34" t="s">
        <v>3421</v>
      </c>
      <c r="K836" s="50">
        <v>130000</v>
      </c>
      <c r="L836" s="43">
        <v>30040</v>
      </c>
      <c r="M836" s="44">
        <f t="shared" si="64"/>
        <v>0.23107692307692307</v>
      </c>
      <c r="N836" s="49">
        <f>ROUND(L836/Summary!$C$3*Summary!$C$2,0)</f>
        <v>93124</v>
      </c>
      <c r="O836" s="44">
        <f t="shared" si="65"/>
        <v>0.71633846153846159</v>
      </c>
      <c r="P836" s="78">
        <v>10</v>
      </c>
      <c r="Q836" s="34">
        <v>1</v>
      </c>
      <c r="R836" s="35">
        <f t="shared" si="66"/>
        <v>0.1</v>
      </c>
      <c r="S836" s="49">
        <f>ROUND(Q836/Summary!$C$3*Summary!$C$2,0)</f>
        <v>3</v>
      </c>
      <c r="T836" s="44">
        <f t="shared" si="67"/>
        <v>0.3</v>
      </c>
      <c r="U836" s="34">
        <v>0</v>
      </c>
      <c r="V836" s="34">
        <v>0</v>
      </c>
      <c r="W836" s="34">
        <v>0</v>
      </c>
      <c r="X836" s="34">
        <v>0</v>
      </c>
    </row>
    <row r="837" spans="1:24" hidden="1">
      <c r="A837" s="34" t="s">
        <v>3638</v>
      </c>
      <c r="B837" s="34" t="s">
        <v>3241</v>
      </c>
      <c r="C837" s="34" t="s">
        <v>187</v>
      </c>
      <c r="D837" s="34" t="s">
        <v>122</v>
      </c>
      <c r="E837" s="34" t="s">
        <v>0</v>
      </c>
      <c r="F837" s="34" t="s">
        <v>3639</v>
      </c>
      <c r="G837" s="54">
        <v>1758731975</v>
      </c>
      <c r="H837" s="54" t="s">
        <v>229</v>
      </c>
      <c r="I837" s="54" t="s">
        <v>3518</v>
      </c>
      <c r="J837" s="34" t="s">
        <v>3419</v>
      </c>
      <c r="K837" s="80">
        <v>350000</v>
      </c>
      <c r="L837" s="43">
        <v>96530</v>
      </c>
      <c r="M837" s="44">
        <f t="shared" si="64"/>
        <v>0.27579999999999999</v>
      </c>
      <c r="N837" s="49">
        <f>ROUND(L837/Summary!$C$3*Summary!$C$2,0)</f>
        <v>299243</v>
      </c>
      <c r="O837" s="44">
        <f t="shared" si="65"/>
        <v>0.85497999999999996</v>
      </c>
      <c r="P837" s="78">
        <v>15</v>
      </c>
      <c r="Q837" s="34">
        <v>6</v>
      </c>
      <c r="R837" s="35">
        <f t="shared" si="66"/>
        <v>0.4</v>
      </c>
      <c r="S837" s="49">
        <f>ROUND(Q837/Summary!$C$3*Summary!$C$2,0)</f>
        <v>19</v>
      </c>
      <c r="T837" s="44">
        <f t="shared" si="67"/>
        <v>1.2666666666666666</v>
      </c>
      <c r="U837" s="34">
        <v>0</v>
      </c>
      <c r="V837" s="34">
        <v>2</v>
      </c>
      <c r="W837" s="34">
        <v>0</v>
      </c>
      <c r="X837" s="34">
        <v>0</v>
      </c>
    </row>
    <row r="838" spans="1:24" hidden="1">
      <c r="A838" s="54" t="s">
        <v>2473</v>
      </c>
      <c r="B838" s="54" t="s">
        <v>2474</v>
      </c>
      <c r="C838" s="54" t="s">
        <v>187</v>
      </c>
      <c r="D838" s="54" t="s">
        <v>122</v>
      </c>
      <c r="E838" s="54" t="s">
        <v>0</v>
      </c>
      <c r="F838" s="54" t="s">
        <v>2475</v>
      </c>
      <c r="G838" s="54">
        <v>1762444495</v>
      </c>
      <c r="H838" s="54" t="s">
        <v>229</v>
      </c>
      <c r="I838" s="54" t="s">
        <v>3514</v>
      </c>
      <c r="J838" s="34" t="s">
        <v>3421</v>
      </c>
      <c r="K838" s="50">
        <v>130000</v>
      </c>
      <c r="L838" s="43">
        <v>14779</v>
      </c>
      <c r="M838" s="44">
        <f t="shared" si="64"/>
        <v>0.11368461538461538</v>
      </c>
      <c r="N838" s="49">
        <f>ROUND(L838/Summary!$C$3*Summary!$C$2,0)</f>
        <v>45815</v>
      </c>
      <c r="O838" s="44">
        <f t="shared" si="65"/>
        <v>0.35242307692307695</v>
      </c>
      <c r="P838" s="78">
        <v>10</v>
      </c>
      <c r="Q838" s="34">
        <v>1</v>
      </c>
      <c r="R838" s="35">
        <f t="shared" si="66"/>
        <v>0.1</v>
      </c>
      <c r="S838" s="49">
        <f>ROUND(Q838/Summary!$C$3*Summary!$C$2,0)</f>
        <v>3</v>
      </c>
      <c r="T838" s="44">
        <f t="shared" si="67"/>
        <v>0.3</v>
      </c>
      <c r="U838" s="34">
        <v>0</v>
      </c>
      <c r="V838" s="34">
        <v>1</v>
      </c>
      <c r="W838" s="34">
        <v>0</v>
      </c>
      <c r="X838" s="34">
        <v>0</v>
      </c>
    </row>
    <row r="839" spans="1:24" hidden="1">
      <c r="A839" s="54" t="s">
        <v>2358</v>
      </c>
      <c r="B839" s="54" t="s">
        <v>2359</v>
      </c>
      <c r="C839" s="54" t="s">
        <v>187</v>
      </c>
      <c r="D839" s="54" t="s">
        <v>122</v>
      </c>
      <c r="E839" s="54" t="s">
        <v>0</v>
      </c>
      <c r="F839" s="54" t="s">
        <v>2360</v>
      </c>
      <c r="G839" s="54">
        <v>1724728448</v>
      </c>
      <c r="H839" s="54" t="s">
        <v>229</v>
      </c>
      <c r="I839" s="54" t="s">
        <v>3514</v>
      </c>
      <c r="J839" s="34" t="s">
        <v>3419</v>
      </c>
      <c r="K839" s="50">
        <v>278039</v>
      </c>
      <c r="L839" s="43">
        <v>93474</v>
      </c>
      <c r="M839" s="44">
        <f t="shared" si="64"/>
        <v>0.33619024669201081</v>
      </c>
      <c r="N839" s="49">
        <f>ROUND(L839/Summary!$C$3*Summary!$C$2,0)</f>
        <v>289769</v>
      </c>
      <c r="O839" s="44">
        <f t="shared" si="65"/>
        <v>1.0421883260981373</v>
      </c>
      <c r="P839" s="78">
        <v>10</v>
      </c>
      <c r="Q839" s="34">
        <v>4</v>
      </c>
      <c r="R839" s="35">
        <f t="shared" si="66"/>
        <v>0.4</v>
      </c>
      <c r="S839" s="49">
        <f>ROUND(Q839/Summary!$C$3*Summary!$C$2,0)</f>
        <v>12</v>
      </c>
      <c r="T839" s="44">
        <f t="shared" si="67"/>
        <v>1.2</v>
      </c>
      <c r="U839" s="34">
        <v>1</v>
      </c>
      <c r="V839" s="34">
        <v>0</v>
      </c>
      <c r="W839" s="34">
        <v>0</v>
      </c>
      <c r="X839" s="34">
        <v>0</v>
      </c>
    </row>
    <row r="840" spans="1:24" hidden="1">
      <c r="A840" s="54" t="s">
        <v>2393</v>
      </c>
      <c r="B840" s="54" t="s">
        <v>476</v>
      </c>
      <c r="C840" s="54" t="s">
        <v>187</v>
      </c>
      <c r="D840" s="54" t="s">
        <v>122</v>
      </c>
      <c r="E840" s="54" t="s">
        <v>0</v>
      </c>
      <c r="F840" s="54" t="s">
        <v>2394</v>
      </c>
      <c r="G840" s="54">
        <v>1743100070</v>
      </c>
      <c r="H840" s="54" t="s">
        <v>229</v>
      </c>
      <c r="I840" s="54" t="s">
        <v>3514</v>
      </c>
      <c r="J840" s="34" t="s">
        <v>3419</v>
      </c>
      <c r="K840" s="50">
        <v>167592</v>
      </c>
      <c r="L840" s="43">
        <v>25450</v>
      </c>
      <c r="M840" s="44">
        <f t="shared" si="64"/>
        <v>0.15185689054370138</v>
      </c>
      <c r="N840" s="49">
        <f>ROUND(L840/Summary!$C$3*Summary!$C$2,0)</f>
        <v>78895</v>
      </c>
      <c r="O840" s="44">
        <f t="shared" si="65"/>
        <v>0.47075636068547427</v>
      </c>
      <c r="P840" s="78">
        <v>10</v>
      </c>
      <c r="Q840" s="34">
        <v>0</v>
      </c>
      <c r="R840" s="35">
        <f t="shared" si="66"/>
        <v>0</v>
      </c>
      <c r="S840" s="49">
        <f>ROUND(Q840/Summary!$C$3*Summary!$C$2,0)</f>
        <v>0</v>
      </c>
      <c r="T840" s="44">
        <f t="shared" si="67"/>
        <v>0</v>
      </c>
      <c r="U840" s="34">
        <v>1</v>
      </c>
      <c r="V840" s="34">
        <v>0</v>
      </c>
      <c r="W840" s="34">
        <v>0</v>
      </c>
      <c r="X840" s="34">
        <v>0</v>
      </c>
    </row>
    <row r="841" spans="1:24" hidden="1">
      <c r="A841" s="54" t="s">
        <v>2446</v>
      </c>
      <c r="B841" s="54" t="s">
        <v>2447</v>
      </c>
      <c r="C841" s="54" t="s">
        <v>187</v>
      </c>
      <c r="D841" s="54" t="s">
        <v>122</v>
      </c>
      <c r="E841" s="54" t="s">
        <v>0</v>
      </c>
      <c r="F841" s="54" t="s">
        <v>2448</v>
      </c>
      <c r="G841" s="54">
        <v>1777216669</v>
      </c>
      <c r="H841" s="54" t="s">
        <v>229</v>
      </c>
      <c r="I841" s="54" t="s">
        <v>3514</v>
      </c>
      <c r="J841" s="34" t="s">
        <v>3421</v>
      </c>
      <c r="K841" s="50">
        <v>130000</v>
      </c>
      <c r="L841" s="43">
        <v>44910</v>
      </c>
      <c r="M841" s="44">
        <f t="shared" si="64"/>
        <v>0.34546153846153849</v>
      </c>
      <c r="N841" s="49">
        <f>ROUND(L841/Summary!$C$3*Summary!$C$2,0)</f>
        <v>139221</v>
      </c>
      <c r="O841" s="44">
        <f t="shared" si="65"/>
        <v>1.0709307692307692</v>
      </c>
      <c r="P841" s="78">
        <v>10</v>
      </c>
      <c r="Q841" s="34">
        <v>2</v>
      </c>
      <c r="R841" s="35">
        <f t="shared" si="66"/>
        <v>0.2</v>
      </c>
      <c r="S841" s="49">
        <f>ROUND(Q841/Summary!$C$3*Summary!$C$2,0)</f>
        <v>6</v>
      </c>
      <c r="T841" s="44">
        <f t="shared" si="67"/>
        <v>0.6</v>
      </c>
      <c r="U841" s="34">
        <v>0</v>
      </c>
      <c r="V841" s="34">
        <v>0</v>
      </c>
      <c r="W841" s="34">
        <v>0</v>
      </c>
      <c r="X841" s="34">
        <v>0</v>
      </c>
    </row>
    <row r="842" spans="1:24" hidden="1">
      <c r="A842" s="54" t="s">
        <v>2520</v>
      </c>
      <c r="B842" s="54" t="s">
        <v>2521</v>
      </c>
      <c r="C842" s="54" t="s">
        <v>187</v>
      </c>
      <c r="D842" s="54" t="s">
        <v>122</v>
      </c>
      <c r="E842" s="54" t="s">
        <v>0</v>
      </c>
      <c r="F842" s="54" t="s">
        <v>2522</v>
      </c>
      <c r="G842" s="54">
        <v>1722004499</v>
      </c>
      <c r="H842" s="54" t="s">
        <v>229</v>
      </c>
      <c r="I842" s="54" t="s">
        <v>3514</v>
      </c>
      <c r="J842" s="34" t="s">
        <v>3515</v>
      </c>
      <c r="K842" s="50">
        <v>209942</v>
      </c>
      <c r="L842" s="43">
        <v>33430</v>
      </c>
      <c r="M842" s="44">
        <f t="shared" ref="M842:M905" si="68">L842/K842</f>
        <v>0.15923445523049223</v>
      </c>
      <c r="N842" s="49">
        <f>ROUND(L842/Summary!$C$3*Summary!$C$2,0)</f>
        <v>103633</v>
      </c>
      <c r="O842" s="44">
        <f t="shared" ref="O842:O905" si="69">N842/K842</f>
        <v>0.4936268112145259</v>
      </c>
      <c r="P842" s="78">
        <v>10</v>
      </c>
      <c r="Q842" s="34">
        <v>0</v>
      </c>
      <c r="R842" s="35">
        <f t="shared" ref="R842:R905" si="70">Q842/P842</f>
        <v>0</v>
      </c>
      <c r="S842" s="49">
        <f>ROUND(Q842/Summary!$C$3*Summary!$C$2,0)</f>
        <v>0</v>
      </c>
      <c r="T842" s="44">
        <f t="shared" ref="T842:T905" si="71">S842/P842</f>
        <v>0</v>
      </c>
      <c r="U842" s="34">
        <v>0</v>
      </c>
      <c r="V842" s="34">
        <v>0</v>
      </c>
      <c r="W842" s="34">
        <v>0</v>
      </c>
      <c r="X842" s="34">
        <v>0</v>
      </c>
    </row>
    <row r="843" spans="1:24" hidden="1">
      <c r="A843" s="54" t="s">
        <v>2485</v>
      </c>
      <c r="B843" s="54" t="s">
        <v>2486</v>
      </c>
      <c r="C843" s="54" t="s">
        <v>187</v>
      </c>
      <c r="D843" s="54" t="s">
        <v>122</v>
      </c>
      <c r="E843" s="54" t="s">
        <v>0</v>
      </c>
      <c r="F843" s="54" t="s">
        <v>2487</v>
      </c>
      <c r="G843" s="54">
        <v>1723450605</v>
      </c>
      <c r="H843" s="54" t="s">
        <v>229</v>
      </c>
      <c r="I843" s="54" t="s">
        <v>3514</v>
      </c>
      <c r="J843" s="34" t="s">
        <v>3515</v>
      </c>
      <c r="K843" s="50">
        <v>130000</v>
      </c>
      <c r="L843" s="43">
        <v>45670</v>
      </c>
      <c r="M843" s="44">
        <f t="shared" si="68"/>
        <v>0.35130769230769232</v>
      </c>
      <c r="N843" s="49">
        <f>ROUND(L843/Summary!$C$3*Summary!$C$2,0)</f>
        <v>141577</v>
      </c>
      <c r="O843" s="44">
        <f t="shared" si="69"/>
        <v>1.0890538461538462</v>
      </c>
      <c r="P843" s="78">
        <v>10</v>
      </c>
      <c r="Q843" s="34">
        <v>3</v>
      </c>
      <c r="R843" s="35">
        <f t="shared" si="70"/>
        <v>0.3</v>
      </c>
      <c r="S843" s="49">
        <f>ROUND(Q843/Summary!$C$3*Summary!$C$2,0)</f>
        <v>9</v>
      </c>
      <c r="T843" s="44">
        <f t="shared" si="71"/>
        <v>0.9</v>
      </c>
      <c r="U843" s="34">
        <v>0</v>
      </c>
      <c r="V843" s="34">
        <v>1</v>
      </c>
      <c r="W843" s="34">
        <v>0</v>
      </c>
      <c r="X843" s="34">
        <v>0</v>
      </c>
    </row>
    <row r="844" spans="1:24" hidden="1">
      <c r="A844" s="54" t="s">
        <v>2620</v>
      </c>
      <c r="B844" s="54" t="s">
        <v>523</v>
      </c>
      <c r="C844" s="54" t="s">
        <v>187</v>
      </c>
      <c r="D844" s="54" t="s">
        <v>122</v>
      </c>
      <c r="E844" s="54" t="s">
        <v>0</v>
      </c>
      <c r="F844" s="54" t="s">
        <v>2621</v>
      </c>
      <c r="G844" s="54">
        <v>1788355354</v>
      </c>
      <c r="H844" s="54" t="s">
        <v>229</v>
      </c>
      <c r="I844" s="54" t="s">
        <v>3514</v>
      </c>
      <c r="J844" s="34" t="s">
        <v>3515</v>
      </c>
      <c r="K844" s="50">
        <v>206351</v>
      </c>
      <c r="L844" s="43">
        <v>60830</v>
      </c>
      <c r="M844" s="44">
        <f t="shared" si="68"/>
        <v>0.29478897606505422</v>
      </c>
      <c r="N844" s="49">
        <f>ROUND(L844/Summary!$C$3*Summary!$C$2,0)</f>
        <v>188573</v>
      </c>
      <c r="O844" s="44">
        <f t="shared" si="69"/>
        <v>0.91384582580166807</v>
      </c>
      <c r="P844" s="78">
        <v>10</v>
      </c>
      <c r="Q844" s="34">
        <v>1</v>
      </c>
      <c r="R844" s="35">
        <f t="shared" si="70"/>
        <v>0.1</v>
      </c>
      <c r="S844" s="49">
        <f>ROUND(Q844/Summary!$C$3*Summary!$C$2,0)</f>
        <v>3</v>
      </c>
      <c r="T844" s="44">
        <f t="shared" si="71"/>
        <v>0.3</v>
      </c>
      <c r="U844" s="34">
        <v>1</v>
      </c>
      <c r="V844" s="34">
        <v>0</v>
      </c>
      <c r="W844" s="34">
        <v>0</v>
      </c>
      <c r="X844" s="34">
        <v>0</v>
      </c>
    </row>
    <row r="845" spans="1:24" hidden="1">
      <c r="A845" s="54" t="s">
        <v>2423</v>
      </c>
      <c r="B845" s="54" t="s">
        <v>2424</v>
      </c>
      <c r="C845" s="54" t="s">
        <v>187</v>
      </c>
      <c r="D845" s="54" t="s">
        <v>122</v>
      </c>
      <c r="E845" s="54" t="s">
        <v>0</v>
      </c>
      <c r="F845" s="54" t="s">
        <v>2425</v>
      </c>
      <c r="G845" s="54">
        <v>1758202122</v>
      </c>
      <c r="H845" s="54" t="s">
        <v>229</v>
      </c>
      <c r="I845" s="54" t="s">
        <v>3514</v>
      </c>
      <c r="J845" s="34" t="s">
        <v>3419</v>
      </c>
      <c r="K845" s="50">
        <v>130000</v>
      </c>
      <c r="L845" s="43">
        <v>14170</v>
      </c>
      <c r="M845" s="44">
        <f t="shared" si="68"/>
        <v>0.109</v>
      </c>
      <c r="N845" s="49">
        <f>ROUND(L845/Summary!$C$3*Summary!$C$2,0)</f>
        <v>43927</v>
      </c>
      <c r="O845" s="44">
        <f t="shared" si="69"/>
        <v>0.33789999999999998</v>
      </c>
      <c r="P845" s="78">
        <v>10</v>
      </c>
      <c r="Q845" s="34">
        <v>0</v>
      </c>
      <c r="R845" s="35">
        <f t="shared" si="70"/>
        <v>0</v>
      </c>
      <c r="S845" s="49">
        <f>ROUND(Q845/Summary!$C$3*Summary!$C$2,0)</f>
        <v>0</v>
      </c>
      <c r="T845" s="44">
        <f t="shared" si="71"/>
        <v>0</v>
      </c>
      <c r="U845" s="34">
        <v>0</v>
      </c>
      <c r="V845" s="34">
        <v>0</v>
      </c>
      <c r="W845" s="34">
        <v>0</v>
      </c>
      <c r="X845" s="34">
        <v>0</v>
      </c>
    </row>
    <row r="846" spans="1:24" hidden="1">
      <c r="A846" s="54" t="s">
        <v>2754</v>
      </c>
      <c r="B846" s="54" t="s">
        <v>2755</v>
      </c>
      <c r="C846" s="54" t="s">
        <v>2374</v>
      </c>
      <c r="D846" s="54" t="s">
        <v>172</v>
      </c>
      <c r="E846" s="54" t="s">
        <v>0</v>
      </c>
      <c r="F846" s="54" t="s">
        <v>1442</v>
      </c>
      <c r="G846" s="54">
        <v>1710067814</v>
      </c>
      <c r="H846" s="54" t="s">
        <v>229</v>
      </c>
      <c r="I846" s="54" t="s">
        <v>3514</v>
      </c>
      <c r="J846" s="34" t="s">
        <v>3515</v>
      </c>
      <c r="K846" s="50">
        <v>130000</v>
      </c>
      <c r="L846" s="43">
        <v>68785</v>
      </c>
      <c r="M846" s="44">
        <f t="shared" si="68"/>
        <v>0.52911538461538465</v>
      </c>
      <c r="N846" s="49">
        <f>ROUND(L846/Summary!$C$3*Summary!$C$2,0)</f>
        <v>213234</v>
      </c>
      <c r="O846" s="44">
        <f t="shared" si="69"/>
        <v>1.6402615384615384</v>
      </c>
      <c r="P846" s="78">
        <v>10</v>
      </c>
      <c r="Q846" s="34">
        <v>4</v>
      </c>
      <c r="R846" s="35">
        <f t="shared" si="70"/>
        <v>0.4</v>
      </c>
      <c r="S846" s="49">
        <f>ROUND(Q846/Summary!$C$3*Summary!$C$2,0)</f>
        <v>12</v>
      </c>
      <c r="T846" s="44">
        <f t="shared" si="71"/>
        <v>1.2</v>
      </c>
      <c r="U846" s="34">
        <v>0</v>
      </c>
      <c r="V846" s="34">
        <v>0</v>
      </c>
      <c r="W846" s="34">
        <v>0</v>
      </c>
      <c r="X846" s="34">
        <v>0</v>
      </c>
    </row>
    <row r="847" spans="1:24" hidden="1">
      <c r="A847" s="54" t="s">
        <v>2611</v>
      </c>
      <c r="B847" s="54" t="s">
        <v>2612</v>
      </c>
      <c r="C847" s="54" t="s">
        <v>2374</v>
      </c>
      <c r="D847" s="54" t="s">
        <v>172</v>
      </c>
      <c r="E847" s="54" t="s">
        <v>0</v>
      </c>
      <c r="F847" s="54" t="s">
        <v>2613</v>
      </c>
      <c r="G847" s="54">
        <v>1716461689</v>
      </c>
      <c r="H847" s="54" t="s">
        <v>229</v>
      </c>
      <c r="I847" s="54" t="s">
        <v>3514</v>
      </c>
      <c r="J847" s="34" t="s">
        <v>3419</v>
      </c>
      <c r="K847" s="50">
        <v>130000</v>
      </c>
      <c r="L847" s="43">
        <v>30200</v>
      </c>
      <c r="M847" s="44">
        <f t="shared" si="68"/>
        <v>0.2323076923076923</v>
      </c>
      <c r="N847" s="49">
        <f>ROUND(L847/Summary!$C$3*Summary!$C$2,0)</f>
        <v>93620</v>
      </c>
      <c r="O847" s="44">
        <f t="shared" si="69"/>
        <v>0.72015384615384614</v>
      </c>
      <c r="P847" s="78">
        <v>10</v>
      </c>
      <c r="Q847" s="34">
        <v>2</v>
      </c>
      <c r="R847" s="35">
        <f t="shared" si="70"/>
        <v>0.2</v>
      </c>
      <c r="S847" s="49">
        <f>ROUND(Q847/Summary!$C$3*Summary!$C$2,0)</f>
        <v>6</v>
      </c>
      <c r="T847" s="44">
        <f t="shared" si="71"/>
        <v>0.6</v>
      </c>
      <c r="U847" s="34">
        <v>1</v>
      </c>
      <c r="V847" s="34">
        <v>1</v>
      </c>
      <c r="W847" s="34">
        <v>0</v>
      </c>
      <c r="X847" s="34">
        <v>0</v>
      </c>
    </row>
    <row r="848" spans="1:24" hidden="1">
      <c r="A848" s="54" t="s">
        <v>2599</v>
      </c>
      <c r="B848" s="54" t="s">
        <v>2600</v>
      </c>
      <c r="C848" s="54" t="s">
        <v>2374</v>
      </c>
      <c r="D848" s="54" t="s">
        <v>172</v>
      </c>
      <c r="E848" s="54" t="s">
        <v>0</v>
      </c>
      <c r="F848" s="54" t="s">
        <v>2601</v>
      </c>
      <c r="G848" s="54">
        <v>1711514147</v>
      </c>
      <c r="H848" s="54" t="s">
        <v>229</v>
      </c>
      <c r="I848" s="54" t="s">
        <v>3518</v>
      </c>
      <c r="J848" s="34" t="s">
        <v>3419</v>
      </c>
      <c r="K848" s="50">
        <v>339622</v>
      </c>
      <c r="L848" s="43">
        <v>51750</v>
      </c>
      <c r="M848" s="44">
        <f t="shared" si="68"/>
        <v>0.1523752878199881</v>
      </c>
      <c r="N848" s="49">
        <f>ROUND(L848/Summary!$C$3*Summary!$C$2,0)</f>
        <v>160425</v>
      </c>
      <c r="O848" s="44">
        <f t="shared" si="69"/>
        <v>0.47236339224196311</v>
      </c>
      <c r="P848" s="78">
        <v>22</v>
      </c>
      <c r="Q848" s="34">
        <v>4</v>
      </c>
      <c r="R848" s="35">
        <f t="shared" si="70"/>
        <v>0.18181818181818182</v>
      </c>
      <c r="S848" s="49">
        <f>ROUND(Q848/Summary!$C$3*Summary!$C$2,0)</f>
        <v>12</v>
      </c>
      <c r="T848" s="44">
        <f t="shared" si="71"/>
        <v>0.54545454545454541</v>
      </c>
      <c r="U848" s="34">
        <v>0</v>
      </c>
      <c r="V848" s="34">
        <v>2</v>
      </c>
      <c r="W848" s="34">
        <v>0</v>
      </c>
      <c r="X848" s="34">
        <v>0</v>
      </c>
    </row>
    <row r="849" spans="1:24" hidden="1">
      <c r="A849" s="54" t="s">
        <v>2788</v>
      </c>
      <c r="B849" s="54" t="s">
        <v>2789</v>
      </c>
      <c r="C849" s="54" t="s">
        <v>2374</v>
      </c>
      <c r="D849" s="54" t="s">
        <v>172</v>
      </c>
      <c r="E849" s="54" t="s">
        <v>0</v>
      </c>
      <c r="F849" s="54" t="s">
        <v>2790</v>
      </c>
      <c r="G849" s="54">
        <v>1758737115</v>
      </c>
      <c r="H849" s="54" t="s">
        <v>229</v>
      </c>
      <c r="I849" s="54" t="s">
        <v>3514</v>
      </c>
      <c r="J849" s="34" t="s">
        <v>3421</v>
      </c>
      <c r="K849" s="50">
        <v>170913</v>
      </c>
      <c r="L849" s="43">
        <v>43980</v>
      </c>
      <c r="M849" s="44">
        <f t="shared" si="68"/>
        <v>0.25732390163416474</v>
      </c>
      <c r="N849" s="49">
        <f>ROUND(L849/Summary!$C$3*Summary!$C$2,0)</f>
        <v>136338</v>
      </c>
      <c r="O849" s="44">
        <f t="shared" si="69"/>
        <v>0.79770409506591078</v>
      </c>
      <c r="P849" s="78">
        <v>10</v>
      </c>
      <c r="Q849" s="34">
        <v>3</v>
      </c>
      <c r="R849" s="35">
        <f t="shared" si="70"/>
        <v>0.3</v>
      </c>
      <c r="S849" s="49">
        <f>ROUND(Q849/Summary!$C$3*Summary!$C$2,0)</f>
        <v>9</v>
      </c>
      <c r="T849" s="44">
        <f t="shared" si="71"/>
        <v>0.9</v>
      </c>
      <c r="U849" s="34">
        <v>0</v>
      </c>
      <c r="V849" s="34">
        <v>0</v>
      </c>
      <c r="W849" s="34">
        <v>0</v>
      </c>
      <c r="X849" s="34">
        <v>0</v>
      </c>
    </row>
    <row r="850" spans="1:24" hidden="1">
      <c r="A850" s="54" t="s">
        <v>2495</v>
      </c>
      <c r="B850" s="54" t="s">
        <v>2496</v>
      </c>
      <c r="C850" s="54" t="s">
        <v>2374</v>
      </c>
      <c r="D850" s="54" t="s">
        <v>172</v>
      </c>
      <c r="E850" s="54" t="s">
        <v>0</v>
      </c>
      <c r="F850" s="54" t="s">
        <v>1155</v>
      </c>
      <c r="G850" s="54">
        <v>1716678905</v>
      </c>
      <c r="H850" s="54" t="s">
        <v>229</v>
      </c>
      <c r="I850" s="54" t="s">
        <v>3514</v>
      </c>
      <c r="J850" s="34" t="s">
        <v>3421</v>
      </c>
      <c r="K850" s="50">
        <v>130000</v>
      </c>
      <c r="L850" s="43">
        <v>18770</v>
      </c>
      <c r="M850" s="44">
        <f t="shared" si="68"/>
        <v>0.14438461538461539</v>
      </c>
      <c r="N850" s="49">
        <f>ROUND(L850/Summary!$C$3*Summary!$C$2,0)</f>
        <v>58187</v>
      </c>
      <c r="O850" s="44">
        <f t="shared" si="69"/>
        <v>0.44759230769230768</v>
      </c>
      <c r="P850" s="78">
        <v>10</v>
      </c>
      <c r="Q850" s="34">
        <v>1</v>
      </c>
      <c r="R850" s="35">
        <f t="shared" si="70"/>
        <v>0.1</v>
      </c>
      <c r="S850" s="49">
        <f>ROUND(Q850/Summary!$C$3*Summary!$C$2,0)</f>
        <v>3</v>
      </c>
      <c r="T850" s="44">
        <f t="shared" si="71"/>
        <v>0.3</v>
      </c>
      <c r="U850" s="34">
        <v>0</v>
      </c>
      <c r="V850" s="34">
        <v>0</v>
      </c>
      <c r="W850" s="34">
        <v>0</v>
      </c>
      <c r="X850" s="34">
        <v>0</v>
      </c>
    </row>
    <row r="851" spans="1:24" hidden="1">
      <c r="A851" s="54" t="s">
        <v>2372</v>
      </c>
      <c r="B851" s="54" t="s">
        <v>2373</v>
      </c>
      <c r="C851" s="54" t="s">
        <v>2374</v>
      </c>
      <c r="D851" s="54" t="s">
        <v>172</v>
      </c>
      <c r="E851" s="54" t="s">
        <v>0</v>
      </c>
      <c r="F851" s="54" t="s">
        <v>2375</v>
      </c>
      <c r="G851" s="54">
        <v>1775773077</v>
      </c>
      <c r="H851" s="54" t="s">
        <v>229</v>
      </c>
      <c r="I851" s="54" t="s">
        <v>3514</v>
      </c>
      <c r="J851" s="34" t="s">
        <v>3421</v>
      </c>
      <c r="K851" s="50">
        <v>130000</v>
      </c>
      <c r="L851" s="43">
        <v>53670</v>
      </c>
      <c r="M851" s="44">
        <f t="shared" si="68"/>
        <v>0.41284615384615386</v>
      </c>
      <c r="N851" s="49">
        <f>ROUND(L851/Summary!$C$3*Summary!$C$2,0)</f>
        <v>166377</v>
      </c>
      <c r="O851" s="44">
        <f t="shared" si="69"/>
        <v>1.279823076923077</v>
      </c>
      <c r="P851" s="78">
        <v>10</v>
      </c>
      <c r="Q851" s="34">
        <v>2</v>
      </c>
      <c r="R851" s="35">
        <f t="shared" si="70"/>
        <v>0.2</v>
      </c>
      <c r="S851" s="49">
        <f>ROUND(Q851/Summary!$C$3*Summary!$C$2,0)</f>
        <v>6</v>
      </c>
      <c r="T851" s="44">
        <f t="shared" si="71"/>
        <v>0.6</v>
      </c>
      <c r="U851" s="34">
        <v>0</v>
      </c>
      <c r="V851" s="34">
        <v>0</v>
      </c>
      <c r="W851" s="34">
        <v>0</v>
      </c>
      <c r="X851" s="34">
        <v>0</v>
      </c>
    </row>
    <row r="852" spans="1:24" hidden="1">
      <c r="A852" s="54" t="s">
        <v>2828</v>
      </c>
      <c r="B852" s="54" t="s">
        <v>916</v>
      </c>
      <c r="C852" s="54" t="s">
        <v>2374</v>
      </c>
      <c r="D852" s="54" t="s">
        <v>172</v>
      </c>
      <c r="E852" s="54" t="s">
        <v>0</v>
      </c>
      <c r="F852" s="54" t="s">
        <v>2829</v>
      </c>
      <c r="G852" s="54">
        <v>1748484333</v>
      </c>
      <c r="H852" s="54" t="s">
        <v>229</v>
      </c>
      <c r="I852" s="54" t="s">
        <v>3514</v>
      </c>
      <c r="J852" s="34" t="s">
        <v>3421</v>
      </c>
      <c r="K852" s="50">
        <v>130000</v>
      </c>
      <c r="L852" s="43">
        <v>45930</v>
      </c>
      <c r="M852" s="44">
        <f t="shared" si="68"/>
        <v>0.35330769230769232</v>
      </c>
      <c r="N852" s="49">
        <f>ROUND(L852/Summary!$C$3*Summary!$C$2,0)</f>
        <v>142383</v>
      </c>
      <c r="O852" s="44">
        <f t="shared" si="69"/>
        <v>1.0952538461538461</v>
      </c>
      <c r="P852" s="78">
        <v>10</v>
      </c>
      <c r="Q852" s="34">
        <v>2</v>
      </c>
      <c r="R852" s="35">
        <f t="shared" si="70"/>
        <v>0.2</v>
      </c>
      <c r="S852" s="49">
        <f>ROUND(Q852/Summary!$C$3*Summary!$C$2,0)</f>
        <v>6</v>
      </c>
      <c r="T852" s="44">
        <f t="shared" si="71"/>
        <v>0.6</v>
      </c>
      <c r="U852" s="34">
        <v>0</v>
      </c>
      <c r="V852" s="34">
        <v>0</v>
      </c>
      <c r="W852" s="34">
        <v>0</v>
      </c>
      <c r="X852" s="34">
        <v>1</v>
      </c>
    </row>
    <row r="853" spans="1:24" hidden="1">
      <c r="A853" s="54" t="s">
        <v>2869</v>
      </c>
      <c r="B853" s="54" t="s">
        <v>2870</v>
      </c>
      <c r="C853" s="54" t="s">
        <v>171</v>
      </c>
      <c r="D853" s="54" t="s">
        <v>172</v>
      </c>
      <c r="E853" s="54" t="s">
        <v>0</v>
      </c>
      <c r="F853" s="54" t="s">
        <v>608</v>
      </c>
      <c r="G853" s="54">
        <v>1674473173</v>
      </c>
      <c r="H853" s="54" t="s">
        <v>229</v>
      </c>
      <c r="I853" s="54" t="s">
        <v>3514</v>
      </c>
      <c r="J853" s="34" t="s">
        <v>3421</v>
      </c>
      <c r="K853" s="50">
        <v>130000</v>
      </c>
      <c r="L853" s="43">
        <v>12580</v>
      </c>
      <c r="M853" s="44">
        <f t="shared" si="68"/>
        <v>9.6769230769230774E-2</v>
      </c>
      <c r="N853" s="49">
        <f>ROUND(L853/Summary!$C$3*Summary!$C$2,0)</f>
        <v>38998</v>
      </c>
      <c r="O853" s="44">
        <f t="shared" si="69"/>
        <v>0.29998461538461541</v>
      </c>
      <c r="P853" s="78">
        <v>10</v>
      </c>
      <c r="Q853" s="34">
        <v>1</v>
      </c>
      <c r="R853" s="35">
        <f t="shared" si="70"/>
        <v>0.1</v>
      </c>
      <c r="S853" s="49">
        <f>ROUND(Q853/Summary!$C$3*Summary!$C$2,0)</f>
        <v>3</v>
      </c>
      <c r="T853" s="44">
        <f t="shared" si="71"/>
        <v>0.3</v>
      </c>
      <c r="U853" s="34">
        <v>0</v>
      </c>
      <c r="V853" s="34">
        <v>0</v>
      </c>
      <c r="W853" s="34">
        <v>1</v>
      </c>
      <c r="X853" s="34">
        <v>0</v>
      </c>
    </row>
    <row r="854" spans="1:24" hidden="1">
      <c r="A854" s="54" t="s">
        <v>2434</v>
      </c>
      <c r="B854" s="54" t="s">
        <v>2009</v>
      </c>
      <c r="C854" s="54" t="s">
        <v>171</v>
      </c>
      <c r="D854" s="54" t="s">
        <v>172</v>
      </c>
      <c r="E854" s="54" t="s">
        <v>0</v>
      </c>
      <c r="F854" s="54" t="s">
        <v>2435</v>
      </c>
      <c r="G854" s="54">
        <v>1711962241</v>
      </c>
      <c r="H854" s="54" t="s">
        <v>229</v>
      </c>
      <c r="I854" s="54" t="s">
        <v>3514</v>
      </c>
      <c r="J854" s="34" t="s">
        <v>3419</v>
      </c>
      <c r="K854" s="50">
        <v>130000</v>
      </c>
      <c r="L854" s="43">
        <v>49595</v>
      </c>
      <c r="M854" s="44">
        <f t="shared" si="68"/>
        <v>0.38150000000000001</v>
      </c>
      <c r="N854" s="49">
        <f>ROUND(L854/Summary!$C$3*Summary!$C$2,0)</f>
        <v>153745</v>
      </c>
      <c r="O854" s="44">
        <f t="shared" si="69"/>
        <v>1.1826538461538461</v>
      </c>
      <c r="P854" s="78">
        <v>10</v>
      </c>
      <c r="Q854" s="34">
        <v>3</v>
      </c>
      <c r="R854" s="35">
        <f t="shared" si="70"/>
        <v>0.3</v>
      </c>
      <c r="S854" s="49">
        <f>ROUND(Q854/Summary!$C$3*Summary!$C$2,0)</f>
        <v>9</v>
      </c>
      <c r="T854" s="44">
        <f t="shared" si="71"/>
        <v>0.9</v>
      </c>
      <c r="U854" s="34">
        <v>1</v>
      </c>
      <c r="V854" s="34">
        <v>1</v>
      </c>
      <c r="W854" s="34">
        <v>0</v>
      </c>
      <c r="X854" s="34">
        <v>0</v>
      </c>
    </row>
    <row r="855" spans="1:24" hidden="1">
      <c r="A855" s="54" t="s">
        <v>2676</v>
      </c>
      <c r="B855" s="54" t="s">
        <v>2677</v>
      </c>
      <c r="C855" s="54" t="s">
        <v>171</v>
      </c>
      <c r="D855" s="54" t="s">
        <v>172</v>
      </c>
      <c r="E855" s="54" t="s">
        <v>0</v>
      </c>
      <c r="F855" s="54" t="s">
        <v>2678</v>
      </c>
      <c r="G855" s="54">
        <v>1766251112</v>
      </c>
      <c r="H855" s="54" t="s">
        <v>229</v>
      </c>
      <c r="I855" s="54" t="s">
        <v>3514</v>
      </c>
      <c r="J855" s="34" t="s">
        <v>3419</v>
      </c>
      <c r="K855" s="50">
        <v>241443</v>
      </c>
      <c r="L855" s="43">
        <v>55830</v>
      </c>
      <c r="M855" s="44">
        <f t="shared" si="68"/>
        <v>0.23123470135808452</v>
      </c>
      <c r="N855" s="49">
        <f>ROUND(L855/Summary!$C$3*Summary!$C$2,0)</f>
        <v>173073</v>
      </c>
      <c r="O855" s="44">
        <f t="shared" si="69"/>
        <v>0.71682757421006205</v>
      </c>
      <c r="P855" s="78">
        <v>10</v>
      </c>
      <c r="Q855" s="34">
        <v>0</v>
      </c>
      <c r="R855" s="35">
        <f t="shared" si="70"/>
        <v>0</v>
      </c>
      <c r="S855" s="49">
        <f>ROUND(Q855/Summary!$C$3*Summary!$C$2,0)</f>
        <v>0</v>
      </c>
      <c r="T855" s="44">
        <f t="shared" si="71"/>
        <v>0</v>
      </c>
      <c r="U855" s="34">
        <v>0</v>
      </c>
      <c r="V855" s="34">
        <v>0</v>
      </c>
      <c r="W855" s="34">
        <v>0</v>
      </c>
      <c r="X855" s="34">
        <v>0</v>
      </c>
    </row>
    <row r="856" spans="1:24" hidden="1">
      <c r="A856" s="54" t="s">
        <v>2494</v>
      </c>
      <c r="B856" s="54" t="s">
        <v>792</v>
      </c>
      <c r="C856" s="54" t="s">
        <v>171</v>
      </c>
      <c r="D856" s="54" t="s">
        <v>172</v>
      </c>
      <c r="E856" s="54" t="s">
        <v>0</v>
      </c>
      <c r="F856" s="54" t="s">
        <v>462</v>
      </c>
      <c r="G856" s="54">
        <v>1811704042</v>
      </c>
      <c r="H856" s="54" t="s">
        <v>229</v>
      </c>
      <c r="I856" s="54" t="s">
        <v>3514</v>
      </c>
      <c r="J856" s="34" t="s">
        <v>3419</v>
      </c>
      <c r="K856" s="50">
        <v>130000</v>
      </c>
      <c r="L856" s="43">
        <v>30040</v>
      </c>
      <c r="M856" s="44">
        <f t="shared" si="68"/>
        <v>0.23107692307692307</v>
      </c>
      <c r="N856" s="49">
        <f>ROUND(L856/Summary!$C$3*Summary!$C$2,0)</f>
        <v>93124</v>
      </c>
      <c r="O856" s="44">
        <f t="shared" si="69"/>
        <v>0.71633846153846159</v>
      </c>
      <c r="P856" s="78">
        <v>10</v>
      </c>
      <c r="Q856" s="34">
        <v>0</v>
      </c>
      <c r="R856" s="35">
        <f t="shared" si="70"/>
        <v>0</v>
      </c>
      <c r="S856" s="49">
        <f>ROUND(Q856/Summary!$C$3*Summary!$C$2,0)</f>
        <v>0</v>
      </c>
      <c r="T856" s="44">
        <f t="shared" si="71"/>
        <v>0</v>
      </c>
      <c r="U856" s="34">
        <v>0</v>
      </c>
      <c r="V856" s="34">
        <v>0</v>
      </c>
      <c r="W856" s="34">
        <v>0</v>
      </c>
      <c r="X856" s="34">
        <v>0</v>
      </c>
    </row>
    <row r="857" spans="1:24" hidden="1">
      <c r="A857" s="54" t="s">
        <v>2781</v>
      </c>
      <c r="B857" s="54" t="s">
        <v>2782</v>
      </c>
      <c r="C857" s="54" t="s">
        <v>171</v>
      </c>
      <c r="D857" s="54" t="s">
        <v>172</v>
      </c>
      <c r="E857" s="54" t="s">
        <v>0</v>
      </c>
      <c r="F857" s="54" t="s">
        <v>462</v>
      </c>
      <c r="G857" s="54">
        <v>1687111263</v>
      </c>
      <c r="H857" s="54" t="s">
        <v>229</v>
      </c>
      <c r="I857" s="54" t="s">
        <v>3514</v>
      </c>
      <c r="J857" s="34" t="s">
        <v>3421</v>
      </c>
      <c r="K857" s="50">
        <v>130000</v>
      </c>
      <c r="L857" s="43">
        <v>14770</v>
      </c>
      <c r="M857" s="44">
        <f t="shared" si="68"/>
        <v>0.11361538461538462</v>
      </c>
      <c r="N857" s="49">
        <f>ROUND(L857/Summary!$C$3*Summary!$C$2,0)</f>
        <v>45787</v>
      </c>
      <c r="O857" s="44">
        <f t="shared" si="69"/>
        <v>0.35220769230769233</v>
      </c>
      <c r="P857" s="78">
        <v>10</v>
      </c>
      <c r="Q857" s="34">
        <v>0</v>
      </c>
      <c r="R857" s="35">
        <f t="shared" si="70"/>
        <v>0</v>
      </c>
      <c r="S857" s="49">
        <f>ROUND(Q857/Summary!$C$3*Summary!$C$2,0)</f>
        <v>0</v>
      </c>
      <c r="T857" s="44">
        <f t="shared" si="71"/>
        <v>0</v>
      </c>
      <c r="U857" s="34">
        <v>0</v>
      </c>
      <c r="V857" s="34">
        <v>0</v>
      </c>
      <c r="W857" s="34">
        <v>0</v>
      </c>
      <c r="X857" s="34">
        <v>0</v>
      </c>
    </row>
    <row r="858" spans="1:24">
      <c r="A858" s="54" t="s">
        <v>2670</v>
      </c>
      <c r="B858" s="54" t="s">
        <v>2671</v>
      </c>
      <c r="C858" s="54" t="s">
        <v>171</v>
      </c>
      <c r="D858" s="54" t="s">
        <v>172</v>
      </c>
      <c r="E858" s="54" t="s">
        <v>0</v>
      </c>
      <c r="F858" s="54" t="s">
        <v>2672</v>
      </c>
      <c r="G858" s="54">
        <v>1711137409</v>
      </c>
      <c r="H858" s="54" t="s">
        <v>229</v>
      </c>
      <c r="I858" s="54" t="s">
        <v>3514</v>
      </c>
      <c r="J858" s="34" t="s">
        <v>3421</v>
      </c>
      <c r="K858" s="50">
        <v>130000</v>
      </c>
      <c r="L858" s="43">
        <v>0</v>
      </c>
      <c r="M858" s="44">
        <f t="shared" si="68"/>
        <v>0</v>
      </c>
      <c r="N858" s="49">
        <f>ROUND(L858/Summary!$C$3*Summary!$C$2,0)</f>
        <v>0</v>
      </c>
      <c r="O858" s="44">
        <f t="shared" si="69"/>
        <v>0</v>
      </c>
      <c r="P858" s="78">
        <v>10</v>
      </c>
      <c r="Q858" s="34">
        <v>0</v>
      </c>
      <c r="R858" s="35">
        <f t="shared" si="70"/>
        <v>0</v>
      </c>
      <c r="S858" s="49">
        <f>ROUND(Q858/Summary!$C$3*Summary!$C$2,0)</f>
        <v>0</v>
      </c>
      <c r="T858" s="44">
        <f t="shared" si="71"/>
        <v>0</v>
      </c>
      <c r="U858" s="34">
        <v>0</v>
      </c>
      <c r="V858" s="34">
        <v>0</v>
      </c>
      <c r="W858" s="34">
        <v>0</v>
      </c>
      <c r="X858" s="34">
        <v>0</v>
      </c>
    </row>
    <row r="859" spans="1:24" hidden="1">
      <c r="A859" s="54" t="s">
        <v>2470</v>
      </c>
      <c r="B859" s="54" t="s">
        <v>2471</v>
      </c>
      <c r="C859" s="54" t="s">
        <v>171</v>
      </c>
      <c r="D859" s="54" t="s">
        <v>172</v>
      </c>
      <c r="E859" s="54" t="s">
        <v>0</v>
      </c>
      <c r="F859" s="54" t="s">
        <v>2472</v>
      </c>
      <c r="G859" s="54">
        <v>1715867373</v>
      </c>
      <c r="H859" s="54" t="s">
        <v>229</v>
      </c>
      <c r="I859" s="54" t="s">
        <v>3514</v>
      </c>
      <c r="J859" s="34" t="s">
        <v>3419</v>
      </c>
      <c r="K859" s="50">
        <v>170605</v>
      </c>
      <c r="L859" s="43">
        <v>25700</v>
      </c>
      <c r="M859" s="44">
        <f t="shared" si="68"/>
        <v>0.15064036810175552</v>
      </c>
      <c r="N859" s="49">
        <f>ROUND(L859/Summary!$C$3*Summary!$C$2,0)</f>
        <v>79670</v>
      </c>
      <c r="O859" s="44">
        <f t="shared" si="69"/>
        <v>0.46698514111544209</v>
      </c>
      <c r="P859" s="78">
        <v>10</v>
      </c>
      <c r="Q859" s="34">
        <v>2</v>
      </c>
      <c r="R859" s="35">
        <f t="shared" si="70"/>
        <v>0.2</v>
      </c>
      <c r="S859" s="49">
        <f>ROUND(Q859/Summary!$C$3*Summary!$C$2,0)</f>
        <v>6</v>
      </c>
      <c r="T859" s="44">
        <f t="shared" si="71"/>
        <v>0.6</v>
      </c>
      <c r="U859" s="34">
        <v>0</v>
      </c>
      <c r="V859" s="34">
        <v>0</v>
      </c>
      <c r="W859" s="34">
        <v>0</v>
      </c>
      <c r="X859" s="34">
        <v>0</v>
      </c>
    </row>
    <row r="860" spans="1:24" hidden="1">
      <c r="A860" s="54" t="s">
        <v>2696</v>
      </c>
      <c r="B860" s="54" t="s">
        <v>2697</v>
      </c>
      <c r="C860" s="54" t="s">
        <v>171</v>
      </c>
      <c r="D860" s="54" t="s">
        <v>172</v>
      </c>
      <c r="E860" s="54" t="s">
        <v>0</v>
      </c>
      <c r="F860" s="54" t="s">
        <v>2698</v>
      </c>
      <c r="G860" s="54">
        <v>1734711811</v>
      </c>
      <c r="H860" s="54" t="s">
        <v>229</v>
      </c>
      <c r="I860" s="54" t="s">
        <v>3514</v>
      </c>
      <c r="J860" s="34" t="s">
        <v>3421</v>
      </c>
      <c r="K860" s="50">
        <v>208749</v>
      </c>
      <c r="L860" s="43">
        <v>65189</v>
      </c>
      <c r="M860" s="44">
        <f t="shared" si="68"/>
        <v>0.3122841307024225</v>
      </c>
      <c r="N860" s="49">
        <f>ROUND(L860/Summary!$C$3*Summary!$C$2,0)</f>
        <v>202086</v>
      </c>
      <c r="O860" s="44">
        <f t="shared" si="69"/>
        <v>0.96808128422172079</v>
      </c>
      <c r="P860" s="78">
        <v>10</v>
      </c>
      <c r="Q860" s="34">
        <v>3</v>
      </c>
      <c r="R860" s="35">
        <f t="shared" si="70"/>
        <v>0.3</v>
      </c>
      <c r="S860" s="49">
        <f>ROUND(Q860/Summary!$C$3*Summary!$C$2,0)</f>
        <v>9</v>
      </c>
      <c r="T860" s="44">
        <f t="shared" si="71"/>
        <v>0.9</v>
      </c>
      <c r="U860" s="34">
        <v>0</v>
      </c>
      <c r="V860" s="34">
        <v>2</v>
      </c>
      <c r="W860" s="34">
        <v>0</v>
      </c>
      <c r="X860" s="34">
        <v>0</v>
      </c>
    </row>
    <row r="861" spans="1:24" hidden="1">
      <c r="A861" s="54" t="s">
        <v>2815</v>
      </c>
      <c r="B861" s="54" t="s">
        <v>2816</v>
      </c>
      <c r="C861" s="54" t="s">
        <v>171</v>
      </c>
      <c r="D861" s="54" t="s">
        <v>172</v>
      </c>
      <c r="E861" s="54" t="s">
        <v>0</v>
      </c>
      <c r="F861" s="54" t="s">
        <v>2817</v>
      </c>
      <c r="G861" s="54">
        <v>1730604055</v>
      </c>
      <c r="H861" s="54" t="s">
        <v>229</v>
      </c>
      <c r="I861" s="54" t="s">
        <v>3514</v>
      </c>
      <c r="J861" s="34" t="s">
        <v>3421</v>
      </c>
      <c r="K861" s="50">
        <v>130000</v>
      </c>
      <c r="L861" s="43">
        <v>5790</v>
      </c>
      <c r="M861" s="44">
        <f t="shared" si="68"/>
        <v>4.4538461538461541E-2</v>
      </c>
      <c r="N861" s="49">
        <f>ROUND(L861/Summary!$C$3*Summary!$C$2,0)</f>
        <v>17949</v>
      </c>
      <c r="O861" s="44">
        <f t="shared" si="69"/>
        <v>0.13806923076923078</v>
      </c>
      <c r="P861" s="78">
        <v>10</v>
      </c>
      <c r="Q861" s="34">
        <v>0</v>
      </c>
      <c r="R861" s="35">
        <f t="shared" si="70"/>
        <v>0</v>
      </c>
      <c r="S861" s="49">
        <f>ROUND(Q861/Summary!$C$3*Summary!$C$2,0)</f>
        <v>0</v>
      </c>
      <c r="T861" s="44">
        <f t="shared" si="71"/>
        <v>0</v>
      </c>
      <c r="U861" s="34">
        <v>1</v>
      </c>
      <c r="V861" s="34">
        <v>0</v>
      </c>
      <c r="W861" s="34">
        <v>0</v>
      </c>
      <c r="X861" s="34">
        <v>0</v>
      </c>
    </row>
    <row r="862" spans="1:24" hidden="1">
      <c r="A862" s="54" t="s">
        <v>2877</v>
      </c>
      <c r="B862" s="54" t="s">
        <v>2878</v>
      </c>
      <c r="C862" s="54" t="s">
        <v>171</v>
      </c>
      <c r="D862" s="54" t="s">
        <v>172</v>
      </c>
      <c r="E862" s="54" t="s">
        <v>0</v>
      </c>
      <c r="F862" s="54" t="s">
        <v>2879</v>
      </c>
      <c r="G862" s="54">
        <v>1740404039</v>
      </c>
      <c r="H862" s="54" t="s">
        <v>229</v>
      </c>
      <c r="I862" s="54" t="s">
        <v>3514</v>
      </c>
      <c r="J862" s="34" t="s">
        <v>3421</v>
      </c>
      <c r="K862" s="50">
        <v>130000</v>
      </c>
      <c r="L862" s="43">
        <v>5990</v>
      </c>
      <c r="M862" s="44">
        <f t="shared" si="68"/>
        <v>4.6076923076923078E-2</v>
      </c>
      <c r="N862" s="49">
        <f>ROUND(L862/Summary!$C$3*Summary!$C$2,0)</f>
        <v>18569</v>
      </c>
      <c r="O862" s="44">
        <f t="shared" si="69"/>
        <v>0.14283846153846153</v>
      </c>
      <c r="P862" s="78">
        <v>10</v>
      </c>
      <c r="Q862" s="34">
        <v>0</v>
      </c>
      <c r="R862" s="35">
        <f t="shared" si="70"/>
        <v>0</v>
      </c>
      <c r="S862" s="49">
        <f>ROUND(Q862/Summary!$C$3*Summary!$C$2,0)</f>
        <v>0</v>
      </c>
      <c r="T862" s="44">
        <f t="shared" si="71"/>
        <v>0</v>
      </c>
      <c r="U862" s="34">
        <v>0</v>
      </c>
      <c r="V862" s="34">
        <v>0</v>
      </c>
      <c r="W862" s="34">
        <v>0</v>
      </c>
      <c r="X862" s="34">
        <v>0</v>
      </c>
    </row>
    <row r="863" spans="1:24" hidden="1">
      <c r="A863" s="54" t="s">
        <v>2593</v>
      </c>
      <c r="B863" s="54" t="s">
        <v>2594</v>
      </c>
      <c r="C863" s="54" t="s">
        <v>171</v>
      </c>
      <c r="D863" s="54" t="s">
        <v>172</v>
      </c>
      <c r="E863" s="54" t="s">
        <v>0</v>
      </c>
      <c r="F863" s="54" t="s">
        <v>2595</v>
      </c>
      <c r="G863" s="54">
        <v>1712122837</v>
      </c>
      <c r="H863" s="54" t="s">
        <v>229</v>
      </c>
      <c r="I863" s="54" t="s">
        <v>3514</v>
      </c>
      <c r="J863" s="34" t="s">
        <v>3421</v>
      </c>
      <c r="K863" s="50">
        <v>172267</v>
      </c>
      <c r="L863" s="43">
        <v>61548</v>
      </c>
      <c r="M863" s="44">
        <f t="shared" si="68"/>
        <v>0.35728259039746441</v>
      </c>
      <c r="N863" s="49">
        <f>ROUND(L863/Summary!$C$3*Summary!$C$2,0)</f>
        <v>190799</v>
      </c>
      <c r="O863" s="44">
        <f t="shared" si="69"/>
        <v>1.1075771912206052</v>
      </c>
      <c r="P863" s="78">
        <v>10</v>
      </c>
      <c r="Q863" s="34">
        <v>2</v>
      </c>
      <c r="R863" s="35">
        <f t="shared" si="70"/>
        <v>0.2</v>
      </c>
      <c r="S863" s="49">
        <f>ROUND(Q863/Summary!$C$3*Summary!$C$2,0)</f>
        <v>6</v>
      </c>
      <c r="T863" s="44">
        <f t="shared" si="71"/>
        <v>0.6</v>
      </c>
      <c r="U863" s="34">
        <v>1</v>
      </c>
      <c r="V863" s="34">
        <v>0</v>
      </c>
      <c r="W863" s="34">
        <v>0</v>
      </c>
      <c r="X863" s="34">
        <v>0</v>
      </c>
    </row>
    <row r="864" spans="1:24" hidden="1">
      <c r="A864" s="54" t="s">
        <v>2459</v>
      </c>
      <c r="B864" s="54" t="s">
        <v>2460</v>
      </c>
      <c r="C864" s="54" t="s">
        <v>171</v>
      </c>
      <c r="D864" s="54" t="s">
        <v>172</v>
      </c>
      <c r="E864" s="54" t="s">
        <v>0</v>
      </c>
      <c r="F864" s="54" t="s">
        <v>2461</v>
      </c>
      <c r="G864" s="54">
        <v>1792156375</v>
      </c>
      <c r="H864" s="54" t="s">
        <v>229</v>
      </c>
      <c r="I864" s="54" t="s">
        <v>3514</v>
      </c>
      <c r="J864" s="34" t="s">
        <v>3421</v>
      </c>
      <c r="K864" s="50">
        <v>130000</v>
      </c>
      <c r="L864" s="43">
        <v>6190</v>
      </c>
      <c r="M864" s="44">
        <f t="shared" si="68"/>
        <v>4.7615384615384615E-2</v>
      </c>
      <c r="N864" s="49">
        <f>ROUND(L864/Summary!$C$3*Summary!$C$2,0)</f>
        <v>19189</v>
      </c>
      <c r="O864" s="44">
        <f t="shared" si="69"/>
        <v>0.1476076923076923</v>
      </c>
      <c r="P864" s="78">
        <v>10</v>
      </c>
      <c r="Q864" s="34">
        <v>1</v>
      </c>
      <c r="R864" s="35">
        <f t="shared" si="70"/>
        <v>0.1</v>
      </c>
      <c r="S864" s="49">
        <f>ROUND(Q864/Summary!$C$3*Summary!$C$2,0)</f>
        <v>3</v>
      </c>
      <c r="T864" s="44">
        <f t="shared" si="71"/>
        <v>0.3</v>
      </c>
      <c r="U864" s="34">
        <v>0</v>
      </c>
      <c r="V864" s="34">
        <v>0</v>
      </c>
      <c r="W864" s="34">
        <v>0</v>
      </c>
      <c r="X864" s="34">
        <v>0</v>
      </c>
    </row>
    <row r="865" spans="1:24" hidden="1">
      <c r="A865" s="54" t="s">
        <v>2894</v>
      </c>
      <c r="B865" s="54" t="s">
        <v>2895</v>
      </c>
      <c r="C865" s="54" t="s">
        <v>171</v>
      </c>
      <c r="D865" s="54" t="s">
        <v>172</v>
      </c>
      <c r="E865" s="54" t="s">
        <v>0</v>
      </c>
      <c r="F865" s="54" t="s">
        <v>2896</v>
      </c>
      <c r="G865" s="54">
        <v>1711308284</v>
      </c>
      <c r="H865" s="54" t="s">
        <v>229</v>
      </c>
      <c r="I865" s="54" t="s">
        <v>3514</v>
      </c>
      <c r="J865" s="34" t="s">
        <v>3421</v>
      </c>
      <c r="K865" s="50">
        <v>130000</v>
      </c>
      <c r="L865" s="43">
        <v>16570</v>
      </c>
      <c r="M865" s="44">
        <f t="shared" si="68"/>
        <v>0.12746153846153846</v>
      </c>
      <c r="N865" s="49">
        <f>ROUND(L865/Summary!$C$3*Summary!$C$2,0)</f>
        <v>51367</v>
      </c>
      <c r="O865" s="44">
        <f t="shared" si="69"/>
        <v>0.39513076923076923</v>
      </c>
      <c r="P865" s="78">
        <v>10</v>
      </c>
      <c r="Q865" s="34">
        <v>1</v>
      </c>
      <c r="R865" s="35">
        <f t="shared" si="70"/>
        <v>0.1</v>
      </c>
      <c r="S865" s="49">
        <f>ROUND(Q865/Summary!$C$3*Summary!$C$2,0)</f>
        <v>3</v>
      </c>
      <c r="T865" s="44">
        <f t="shared" si="71"/>
        <v>0.3</v>
      </c>
      <c r="U865" s="34">
        <v>1</v>
      </c>
      <c r="V865" s="34">
        <v>0</v>
      </c>
      <c r="W865" s="34">
        <v>0</v>
      </c>
      <c r="X865" s="34">
        <v>0</v>
      </c>
    </row>
    <row r="866" spans="1:24" hidden="1">
      <c r="A866" s="54" t="s">
        <v>3281</v>
      </c>
      <c r="B866" s="54" t="s">
        <v>3282</v>
      </c>
      <c r="C866" s="54" t="s">
        <v>171</v>
      </c>
      <c r="D866" s="54" t="s">
        <v>172</v>
      </c>
      <c r="E866" s="54" t="s">
        <v>0</v>
      </c>
      <c r="F866" s="54" t="s">
        <v>3283</v>
      </c>
      <c r="G866" s="54">
        <v>1746392613</v>
      </c>
      <c r="H866" s="54" t="s">
        <v>229</v>
      </c>
      <c r="I866" s="54" t="s">
        <v>3514</v>
      </c>
      <c r="J866" s="34" t="s">
        <v>3421</v>
      </c>
      <c r="K866" s="50">
        <v>130000</v>
      </c>
      <c r="L866" s="43">
        <v>8080</v>
      </c>
      <c r="M866" s="44">
        <f t="shared" si="68"/>
        <v>6.2153846153846157E-2</v>
      </c>
      <c r="N866" s="49">
        <f>ROUND(L866/Summary!$C$3*Summary!$C$2,0)</f>
        <v>25048</v>
      </c>
      <c r="O866" s="44">
        <f t="shared" si="69"/>
        <v>0.19267692307692308</v>
      </c>
      <c r="P866" s="78">
        <v>10</v>
      </c>
      <c r="Q866" s="34">
        <v>0</v>
      </c>
      <c r="R866" s="35">
        <f t="shared" si="70"/>
        <v>0</v>
      </c>
      <c r="S866" s="49">
        <f>ROUND(Q866/Summary!$C$3*Summary!$C$2,0)</f>
        <v>0</v>
      </c>
      <c r="T866" s="44">
        <f t="shared" si="71"/>
        <v>0</v>
      </c>
      <c r="U866" s="34">
        <v>0</v>
      </c>
      <c r="V866" s="34">
        <v>0</v>
      </c>
      <c r="W866" s="34">
        <v>0</v>
      </c>
      <c r="X866" s="34">
        <v>0</v>
      </c>
    </row>
    <row r="867" spans="1:24" hidden="1">
      <c r="A867" s="54" t="s">
        <v>2608</v>
      </c>
      <c r="B867" s="54" t="s">
        <v>2609</v>
      </c>
      <c r="C867" s="54" t="s">
        <v>171</v>
      </c>
      <c r="D867" s="54" t="s">
        <v>172</v>
      </c>
      <c r="E867" s="54" t="s">
        <v>0</v>
      </c>
      <c r="F867" s="54" t="s">
        <v>2610</v>
      </c>
      <c r="G867" s="54">
        <v>1741048569</v>
      </c>
      <c r="H867" s="54" t="s">
        <v>229</v>
      </c>
      <c r="I867" s="54" t="s">
        <v>3514</v>
      </c>
      <c r="J867" s="34" t="s">
        <v>3421</v>
      </c>
      <c r="K867" s="50">
        <v>185768</v>
      </c>
      <c r="L867" s="43">
        <v>65610</v>
      </c>
      <c r="M867" s="44">
        <f t="shared" si="68"/>
        <v>0.35318246414883081</v>
      </c>
      <c r="N867" s="49">
        <f>ROUND(L867/Summary!$C$3*Summary!$C$2,0)</f>
        <v>203391</v>
      </c>
      <c r="O867" s="44">
        <f t="shared" si="69"/>
        <v>1.0948656388613756</v>
      </c>
      <c r="P867" s="78">
        <v>10</v>
      </c>
      <c r="Q867" s="34">
        <v>3</v>
      </c>
      <c r="R867" s="35">
        <f t="shared" si="70"/>
        <v>0.3</v>
      </c>
      <c r="S867" s="49">
        <f>ROUND(Q867/Summary!$C$3*Summary!$C$2,0)</f>
        <v>9</v>
      </c>
      <c r="T867" s="44">
        <f t="shared" si="71"/>
        <v>0.9</v>
      </c>
      <c r="U867" s="34">
        <v>3</v>
      </c>
      <c r="V867" s="34">
        <v>0</v>
      </c>
      <c r="W867" s="34">
        <v>0</v>
      </c>
      <c r="X867" s="34">
        <v>0</v>
      </c>
    </row>
    <row r="868" spans="1:24" hidden="1">
      <c r="A868" s="54" t="s">
        <v>2409</v>
      </c>
      <c r="B868" s="54" t="s">
        <v>73</v>
      </c>
      <c r="C868" s="54" t="s">
        <v>171</v>
      </c>
      <c r="D868" s="54" t="s">
        <v>172</v>
      </c>
      <c r="E868" s="54" t="s">
        <v>0</v>
      </c>
      <c r="F868" s="54" t="s">
        <v>2410</v>
      </c>
      <c r="G868" s="54">
        <v>1792521818</v>
      </c>
      <c r="H868" s="54" t="s">
        <v>229</v>
      </c>
      <c r="I868" s="54" t="s">
        <v>3514</v>
      </c>
      <c r="J868" s="34" t="s">
        <v>3421</v>
      </c>
      <c r="K868" s="50">
        <v>130000</v>
      </c>
      <c r="L868" s="43">
        <v>24060</v>
      </c>
      <c r="M868" s="44">
        <f t="shared" si="68"/>
        <v>0.18507692307692308</v>
      </c>
      <c r="N868" s="49">
        <f>ROUND(L868/Summary!$C$3*Summary!$C$2,0)</f>
        <v>74586</v>
      </c>
      <c r="O868" s="44">
        <f t="shared" si="69"/>
        <v>0.57373846153846153</v>
      </c>
      <c r="P868" s="78">
        <v>10</v>
      </c>
      <c r="Q868" s="34">
        <v>1</v>
      </c>
      <c r="R868" s="35">
        <f t="shared" si="70"/>
        <v>0.1</v>
      </c>
      <c r="S868" s="49">
        <f>ROUND(Q868/Summary!$C$3*Summary!$C$2,0)</f>
        <v>3</v>
      </c>
      <c r="T868" s="44">
        <f t="shared" si="71"/>
        <v>0.3</v>
      </c>
      <c r="U868" s="34">
        <v>0</v>
      </c>
      <c r="V868" s="34">
        <v>0</v>
      </c>
      <c r="W868" s="34">
        <v>0</v>
      </c>
      <c r="X868" s="34">
        <v>0</v>
      </c>
    </row>
    <row r="869" spans="1:24" hidden="1">
      <c r="A869" s="54" t="s">
        <v>2786</v>
      </c>
      <c r="B869" s="54" t="s">
        <v>344</v>
      </c>
      <c r="C869" s="54" t="s">
        <v>171</v>
      </c>
      <c r="D869" s="54" t="s">
        <v>172</v>
      </c>
      <c r="E869" s="54" t="s">
        <v>0</v>
      </c>
      <c r="F869" s="54" t="s">
        <v>2787</v>
      </c>
      <c r="G869" s="54">
        <v>1712706561</v>
      </c>
      <c r="H869" s="54" t="s">
        <v>229</v>
      </c>
      <c r="I869" s="54" t="s">
        <v>3514</v>
      </c>
      <c r="J869" s="34" t="s">
        <v>3421</v>
      </c>
      <c r="K869" s="50">
        <v>130000</v>
      </c>
      <c r="L869" s="43">
        <v>3090</v>
      </c>
      <c r="M869" s="44">
        <f t="shared" si="68"/>
        <v>2.3769230769230768E-2</v>
      </c>
      <c r="N869" s="49">
        <f>ROUND(L869/Summary!$C$3*Summary!$C$2,0)</f>
        <v>9579</v>
      </c>
      <c r="O869" s="44">
        <f t="shared" si="69"/>
        <v>7.368461538461539E-2</v>
      </c>
      <c r="P869" s="78">
        <v>10</v>
      </c>
      <c r="Q869" s="34">
        <v>0</v>
      </c>
      <c r="R869" s="35">
        <f t="shared" si="70"/>
        <v>0</v>
      </c>
      <c r="S869" s="49">
        <f>ROUND(Q869/Summary!$C$3*Summary!$C$2,0)</f>
        <v>0</v>
      </c>
      <c r="T869" s="44">
        <f t="shared" si="71"/>
        <v>0</v>
      </c>
      <c r="U869" s="34">
        <v>0</v>
      </c>
      <c r="V869" s="34">
        <v>0</v>
      </c>
      <c r="W869" s="34">
        <v>0</v>
      </c>
      <c r="X869" s="34">
        <v>0</v>
      </c>
    </row>
    <row r="870" spans="1:24" hidden="1">
      <c r="A870" s="54" t="s">
        <v>3182</v>
      </c>
      <c r="B870" s="54" t="s">
        <v>3183</v>
      </c>
      <c r="C870" s="54" t="s">
        <v>171</v>
      </c>
      <c r="D870" s="54" t="s">
        <v>172</v>
      </c>
      <c r="E870" s="54" t="s">
        <v>0</v>
      </c>
      <c r="F870" s="54" t="s">
        <v>3184</v>
      </c>
      <c r="G870" s="54">
        <v>1757978950</v>
      </c>
      <c r="H870" s="54" t="s">
        <v>229</v>
      </c>
      <c r="I870" s="54" t="s">
        <v>3514</v>
      </c>
      <c r="J870" s="34" t="s">
        <v>3421</v>
      </c>
      <c r="K870" s="50">
        <v>130000</v>
      </c>
      <c r="L870" s="43">
        <v>37089</v>
      </c>
      <c r="M870" s="44">
        <f t="shared" si="68"/>
        <v>0.2853</v>
      </c>
      <c r="N870" s="49">
        <f>ROUND(L870/Summary!$C$3*Summary!$C$2,0)</f>
        <v>114976</v>
      </c>
      <c r="O870" s="44">
        <f t="shared" si="69"/>
        <v>0.88443076923076924</v>
      </c>
      <c r="P870" s="78">
        <v>10</v>
      </c>
      <c r="Q870" s="34">
        <v>1</v>
      </c>
      <c r="R870" s="35">
        <f t="shared" si="70"/>
        <v>0.1</v>
      </c>
      <c r="S870" s="49">
        <f>ROUND(Q870/Summary!$C$3*Summary!$C$2,0)</f>
        <v>3</v>
      </c>
      <c r="T870" s="44">
        <f t="shared" si="71"/>
        <v>0.3</v>
      </c>
      <c r="U870" s="34">
        <v>0</v>
      </c>
      <c r="V870" s="34">
        <v>0</v>
      </c>
      <c r="W870" s="34">
        <v>0</v>
      </c>
      <c r="X870" s="34">
        <v>0</v>
      </c>
    </row>
    <row r="871" spans="1:24" hidden="1">
      <c r="A871" s="54" t="s">
        <v>2866</v>
      </c>
      <c r="B871" s="54" t="s">
        <v>2867</v>
      </c>
      <c r="C871" s="54" t="s">
        <v>171</v>
      </c>
      <c r="D871" s="54" t="s">
        <v>172</v>
      </c>
      <c r="E871" s="54" t="s">
        <v>0</v>
      </c>
      <c r="F871" s="54" t="s">
        <v>2868</v>
      </c>
      <c r="G871" s="54">
        <v>1748205987</v>
      </c>
      <c r="H871" s="54" t="s">
        <v>229</v>
      </c>
      <c r="I871" s="54" t="s">
        <v>3514</v>
      </c>
      <c r="J871" s="34" t="s">
        <v>3421</v>
      </c>
      <c r="K871" s="50">
        <v>130000</v>
      </c>
      <c r="L871" s="43">
        <v>16120</v>
      </c>
      <c r="M871" s="44">
        <f t="shared" si="68"/>
        <v>0.124</v>
      </c>
      <c r="N871" s="49">
        <f>ROUND(L871/Summary!$C$3*Summary!$C$2,0)</f>
        <v>49972</v>
      </c>
      <c r="O871" s="44">
        <f t="shared" si="69"/>
        <v>0.38440000000000002</v>
      </c>
      <c r="P871" s="78">
        <v>10</v>
      </c>
      <c r="Q871" s="34">
        <v>0</v>
      </c>
      <c r="R871" s="35">
        <f t="shared" si="70"/>
        <v>0</v>
      </c>
      <c r="S871" s="49">
        <f>ROUND(Q871/Summary!$C$3*Summary!$C$2,0)</f>
        <v>0</v>
      </c>
      <c r="T871" s="44">
        <f t="shared" si="71"/>
        <v>0</v>
      </c>
      <c r="U871" s="34">
        <v>0</v>
      </c>
      <c r="V871" s="34">
        <v>0</v>
      </c>
      <c r="W871" s="34">
        <v>0</v>
      </c>
      <c r="X871" s="34">
        <v>0</v>
      </c>
    </row>
    <row r="872" spans="1:24" hidden="1">
      <c r="A872" s="54" t="s">
        <v>2734</v>
      </c>
      <c r="B872" s="54" t="s">
        <v>2735</v>
      </c>
      <c r="C872" s="54" t="s">
        <v>171</v>
      </c>
      <c r="D872" s="54" t="s">
        <v>172</v>
      </c>
      <c r="E872" s="54" t="s">
        <v>0</v>
      </c>
      <c r="F872" s="54" t="s">
        <v>2736</v>
      </c>
      <c r="G872" s="54">
        <v>1747494959</v>
      </c>
      <c r="H872" s="54" t="s">
        <v>229</v>
      </c>
      <c r="I872" s="54" t="s">
        <v>3514</v>
      </c>
      <c r="J872" s="34" t="s">
        <v>3419</v>
      </c>
      <c r="K872" s="50">
        <v>130000</v>
      </c>
      <c r="L872" s="43">
        <v>38630</v>
      </c>
      <c r="M872" s="44">
        <f t="shared" si="68"/>
        <v>0.29715384615384616</v>
      </c>
      <c r="N872" s="49">
        <f>ROUND(L872/Summary!$C$3*Summary!$C$2,0)</f>
        <v>119753</v>
      </c>
      <c r="O872" s="44">
        <f t="shared" si="69"/>
        <v>0.92117692307692312</v>
      </c>
      <c r="P872" s="78">
        <v>10</v>
      </c>
      <c r="Q872" s="34">
        <v>1</v>
      </c>
      <c r="R872" s="35">
        <f t="shared" si="70"/>
        <v>0.1</v>
      </c>
      <c r="S872" s="49">
        <f>ROUND(Q872/Summary!$C$3*Summary!$C$2,0)</f>
        <v>3</v>
      </c>
      <c r="T872" s="44">
        <f t="shared" si="71"/>
        <v>0.3</v>
      </c>
      <c r="U872" s="34">
        <v>1</v>
      </c>
      <c r="V872" s="34">
        <v>0</v>
      </c>
      <c r="W872" s="34">
        <v>0</v>
      </c>
      <c r="X872" s="34">
        <v>0</v>
      </c>
    </row>
    <row r="873" spans="1:24" hidden="1">
      <c r="A873" s="54" t="s">
        <v>3488</v>
      </c>
      <c r="B873" s="54" t="s">
        <v>53</v>
      </c>
      <c r="C873" s="54" t="s">
        <v>171</v>
      </c>
      <c r="D873" s="54" t="s">
        <v>172</v>
      </c>
      <c r="E873" s="54" t="s">
        <v>0</v>
      </c>
      <c r="F873" s="54" t="s">
        <v>276</v>
      </c>
      <c r="G873" s="54">
        <v>1748946203</v>
      </c>
      <c r="H873" s="54" t="s">
        <v>229</v>
      </c>
      <c r="I873" s="54" t="s">
        <v>3514</v>
      </c>
      <c r="J873" s="34" t="s">
        <v>3421</v>
      </c>
      <c r="K873" s="50">
        <v>130000</v>
      </c>
      <c r="L873" s="43">
        <v>42420</v>
      </c>
      <c r="M873" s="44">
        <f t="shared" si="68"/>
        <v>0.3263076923076923</v>
      </c>
      <c r="N873" s="49">
        <f>ROUND(L873/Summary!$C$3*Summary!$C$2,0)</f>
        <v>131502</v>
      </c>
      <c r="O873" s="44">
        <f t="shared" si="69"/>
        <v>1.0115538461538462</v>
      </c>
      <c r="P873" s="78">
        <v>10</v>
      </c>
      <c r="Q873" s="34">
        <v>2</v>
      </c>
      <c r="R873" s="35">
        <f t="shared" si="70"/>
        <v>0.2</v>
      </c>
      <c r="S873" s="49">
        <f>ROUND(Q873/Summary!$C$3*Summary!$C$2,0)</f>
        <v>6</v>
      </c>
      <c r="T873" s="44">
        <f t="shared" si="71"/>
        <v>0.6</v>
      </c>
      <c r="U873" s="34">
        <v>0</v>
      </c>
      <c r="V873" s="34">
        <v>1</v>
      </c>
      <c r="W873" s="34">
        <v>0</v>
      </c>
      <c r="X873" s="34">
        <v>0</v>
      </c>
    </row>
    <row r="874" spans="1:24" hidden="1">
      <c r="A874" s="54" t="s">
        <v>2558</v>
      </c>
      <c r="B874" s="54" t="s">
        <v>2559</v>
      </c>
      <c r="C874" s="54" t="s">
        <v>171</v>
      </c>
      <c r="D874" s="54" t="s">
        <v>172</v>
      </c>
      <c r="E874" s="54" t="s">
        <v>0</v>
      </c>
      <c r="F874" s="54" t="s">
        <v>2560</v>
      </c>
      <c r="G874" s="54">
        <v>1681738846</v>
      </c>
      <c r="H874" s="54" t="s">
        <v>229</v>
      </c>
      <c r="I874" s="54" t="s">
        <v>3514</v>
      </c>
      <c r="J874" s="34" t="s">
        <v>3419</v>
      </c>
      <c r="K874" s="50">
        <v>289345</v>
      </c>
      <c r="L874" s="43">
        <v>62850</v>
      </c>
      <c r="M874" s="44">
        <f t="shared" si="68"/>
        <v>0.21721474364512952</v>
      </c>
      <c r="N874" s="49">
        <f>ROUND(L874/Summary!$C$3*Summary!$C$2,0)</f>
        <v>194835</v>
      </c>
      <c r="O874" s="44">
        <f t="shared" si="69"/>
        <v>0.67336570529990147</v>
      </c>
      <c r="P874" s="78">
        <v>23</v>
      </c>
      <c r="Q874" s="34">
        <v>6</v>
      </c>
      <c r="R874" s="35">
        <f t="shared" si="70"/>
        <v>0.2608695652173913</v>
      </c>
      <c r="S874" s="49">
        <f>ROUND(Q874/Summary!$C$3*Summary!$C$2,0)</f>
        <v>19</v>
      </c>
      <c r="T874" s="44">
        <f t="shared" si="71"/>
        <v>0.82608695652173914</v>
      </c>
      <c r="U874" s="34">
        <v>0</v>
      </c>
      <c r="V874" s="34">
        <v>1</v>
      </c>
      <c r="W874" s="34">
        <v>1</v>
      </c>
      <c r="X874" s="34">
        <v>0</v>
      </c>
    </row>
    <row r="875" spans="1:24" hidden="1">
      <c r="A875" s="54" t="s">
        <v>2429</v>
      </c>
      <c r="B875" s="54" t="s">
        <v>59</v>
      </c>
      <c r="C875" s="54" t="s">
        <v>171</v>
      </c>
      <c r="D875" s="54" t="s">
        <v>172</v>
      </c>
      <c r="E875" s="54" t="s">
        <v>0</v>
      </c>
      <c r="F875" s="54" t="s">
        <v>2430</v>
      </c>
      <c r="G875" s="54">
        <v>1714907219</v>
      </c>
      <c r="H875" s="54" t="s">
        <v>229</v>
      </c>
      <c r="I875" s="54" t="s">
        <v>3514</v>
      </c>
      <c r="J875" s="34" t="s">
        <v>3421</v>
      </c>
      <c r="K875" s="50">
        <v>130000</v>
      </c>
      <c r="L875" s="43">
        <v>20520</v>
      </c>
      <c r="M875" s="44">
        <f t="shared" si="68"/>
        <v>0.15784615384615386</v>
      </c>
      <c r="N875" s="49">
        <f>ROUND(L875/Summary!$C$3*Summary!$C$2,0)</f>
        <v>63612</v>
      </c>
      <c r="O875" s="44">
        <f t="shared" si="69"/>
        <v>0.48932307692307692</v>
      </c>
      <c r="P875" s="78">
        <v>10</v>
      </c>
      <c r="Q875" s="34">
        <v>1</v>
      </c>
      <c r="R875" s="35">
        <f t="shared" si="70"/>
        <v>0.1</v>
      </c>
      <c r="S875" s="49">
        <f>ROUND(Q875/Summary!$C$3*Summary!$C$2,0)</f>
        <v>3</v>
      </c>
      <c r="T875" s="44">
        <f t="shared" si="71"/>
        <v>0.3</v>
      </c>
      <c r="U875" s="34">
        <v>1</v>
      </c>
      <c r="V875" s="34">
        <v>0</v>
      </c>
      <c r="W875" s="34">
        <v>0</v>
      </c>
      <c r="X875" s="34">
        <v>1</v>
      </c>
    </row>
    <row r="876" spans="1:24" hidden="1">
      <c r="A876" s="54" t="s">
        <v>2883</v>
      </c>
      <c r="B876" s="54" t="s">
        <v>2884</v>
      </c>
      <c r="C876" s="54" t="s">
        <v>171</v>
      </c>
      <c r="D876" s="54" t="s">
        <v>172</v>
      </c>
      <c r="E876" s="54" t="s">
        <v>0</v>
      </c>
      <c r="F876" s="54" t="s">
        <v>2885</v>
      </c>
      <c r="G876" s="54">
        <v>1721742021</v>
      </c>
      <c r="H876" s="54" t="s">
        <v>229</v>
      </c>
      <c r="I876" s="54" t="s">
        <v>3514</v>
      </c>
      <c r="J876" s="34" t="s">
        <v>3515</v>
      </c>
      <c r="K876" s="50">
        <v>130000</v>
      </c>
      <c r="L876" s="43">
        <v>12315</v>
      </c>
      <c r="M876" s="44">
        <f t="shared" si="68"/>
        <v>9.473076923076923E-2</v>
      </c>
      <c r="N876" s="49">
        <f>ROUND(L876/Summary!$C$3*Summary!$C$2,0)</f>
        <v>38177</v>
      </c>
      <c r="O876" s="44">
        <f t="shared" si="69"/>
        <v>0.29366923076923079</v>
      </c>
      <c r="P876" s="78">
        <v>10</v>
      </c>
      <c r="Q876" s="34">
        <v>1</v>
      </c>
      <c r="R876" s="35">
        <f t="shared" si="70"/>
        <v>0.1</v>
      </c>
      <c r="S876" s="49">
        <f>ROUND(Q876/Summary!$C$3*Summary!$C$2,0)</f>
        <v>3</v>
      </c>
      <c r="T876" s="44">
        <f t="shared" si="71"/>
        <v>0.3</v>
      </c>
      <c r="U876" s="34">
        <v>0</v>
      </c>
      <c r="V876" s="34">
        <v>0</v>
      </c>
      <c r="W876" s="34">
        <v>0</v>
      </c>
      <c r="X876" s="34">
        <v>0</v>
      </c>
    </row>
    <row r="877" spans="1:24" hidden="1">
      <c r="A877" s="54" t="s">
        <v>2361</v>
      </c>
      <c r="B877" s="54" t="s">
        <v>2362</v>
      </c>
      <c r="C877" s="54" t="s">
        <v>171</v>
      </c>
      <c r="D877" s="54" t="s">
        <v>172</v>
      </c>
      <c r="E877" s="54" t="s">
        <v>0</v>
      </c>
      <c r="F877" s="54" t="s">
        <v>2363</v>
      </c>
      <c r="G877" s="54">
        <v>1744589027</v>
      </c>
      <c r="H877" s="54" t="s">
        <v>229</v>
      </c>
      <c r="I877" s="54" t="s">
        <v>3514</v>
      </c>
      <c r="J877" s="34" t="s">
        <v>3421</v>
      </c>
      <c r="K877" s="50">
        <v>130000</v>
      </c>
      <c r="L877" s="43">
        <v>17960</v>
      </c>
      <c r="M877" s="44">
        <f t="shared" si="68"/>
        <v>0.13815384615384615</v>
      </c>
      <c r="N877" s="49">
        <f>ROUND(L877/Summary!$C$3*Summary!$C$2,0)</f>
        <v>55676</v>
      </c>
      <c r="O877" s="44">
        <f t="shared" si="69"/>
        <v>0.42827692307692306</v>
      </c>
      <c r="P877" s="78">
        <v>10</v>
      </c>
      <c r="Q877" s="34">
        <v>0</v>
      </c>
      <c r="R877" s="35">
        <f t="shared" si="70"/>
        <v>0</v>
      </c>
      <c r="S877" s="49">
        <f>ROUND(Q877/Summary!$C$3*Summary!$C$2,0)</f>
        <v>0</v>
      </c>
      <c r="T877" s="44">
        <f t="shared" si="71"/>
        <v>0</v>
      </c>
      <c r="U877" s="34">
        <v>0</v>
      </c>
      <c r="V877" s="34">
        <v>0</v>
      </c>
      <c r="W877" s="34">
        <v>0</v>
      </c>
      <c r="X877" s="34">
        <v>0</v>
      </c>
    </row>
    <row r="878" spans="1:24" hidden="1">
      <c r="A878" s="54" t="s">
        <v>3284</v>
      </c>
      <c r="B878" s="54" t="s">
        <v>3285</v>
      </c>
      <c r="C878" s="54" t="s">
        <v>171</v>
      </c>
      <c r="D878" s="54" t="s">
        <v>172</v>
      </c>
      <c r="E878" s="54" t="s">
        <v>0</v>
      </c>
      <c r="F878" s="54" t="s">
        <v>3286</v>
      </c>
      <c r="G878" s="54">
        <v>1711511430</v>
      </c>
      <c r="H878" s="54" t="s">
        <v>229</v>
      </c>
      <c r="I878" s="54" t="s">
        <v>3514</v>
      </c>
      <c r="J878" s="34" t="s">
        <v>3419</v>
      </c>
      <c r="K878" s="50">
        <v>201683</v>
      </c>
      <c r="L878" s="43">
        <v>65520</v>
      </c>
      <c r="M878" s="44">
        <f t="shared" si="68"/>
        <v>0.32486625050202544</v>
      </c>
      <c r="N878" s="49">
        <f>ROUND(L878/Summary!$C$3*Summary!$C$2,0)</f>
        <v>203112</v>
      </c>
      <c r="O878" s="44">
        <f t="shared" si="69"/>
        <v>1.0070853765562788</v>
      </c>
      <c r="P878" s="78">
        <v>10</v>
      </c>
      <c r="Q878" s="34">
        <v>2</v>
      </c>
      <c r="R878" s="35">
        <f t="shared" si="70"/>
        <v>0.2</v>
      </c>
      <c r="S878" s="49">
        <f>ROUND(Q878/Summary!$C$3*Summary!$C$2,0)</f>
        <v>6</v>
      </c>
      <c r="T878" s="44">
        <f t="shared" si="71"/>
        <v>0.6</v>
      </c>
      <c r="U878" s="34">
        <v>2</v>
      </c>
      <c r="V878" s="34">
        <v>0</v>
      </c>
      <c r="W878" s="34">
        <v>0</v>
      </c>
      <c r="X878" s="34">
        <v>0</v>
      </c>
    </row>
    <row r="879" spans="1:24" hidden="1">
      <c r="A879" s="54" t="s">
        <v>2843</v>
      </c>
      <c r="B879" s="54" t="s">
        <v>2844</v>
      </c>
      <c r="C879" s="54" t="s">
        <v>171</v>
      </c>
      <c r="D879" s="54" t="s">
        <v>172</v>
      </c>
      <c r="E879" s="54" t="s">
        <v>0</v>
      </c>
      <c r="F879" s="54" t="s">
        <v>2845</v>
      </c>
      <c r="G879" s="54">
        <v>1676630190</v>
      </c>
      <c r="H879" s="54" t="s">
        <v>229</v>
      </c>
      <c r="I879" s="54" t="s">
        <v>3514</v>
      </c>
      <c r="J879" s="34" t="s">
        <v>3421</v>
      </c>
      <c r="K879" s="50">
        <v>130000</v>
      </c>
      <c r="L879" s="43">
        <v>29109</v>
      </c>
      <c r="M879" s="44">
        <f t="shared" si="68"/>
        <v>0.22391538461538463</v>
      </c>
      <c r="N879" s="49">
        <f>ROUND(L879/Summary!$C$3*Summary!$C$2,0)</f>
        <v>90238</v>
      </c>
      <c r="O879" s="44">
        <f t="shared" si="69"/>
        <v>0.69413846153846159</v>
      </c>
      <c r="P879" s="78">
        <v>10</v>
      </c>
      <c r="Q879" s="34">
        <v>2</v>
      </c>
      <c r="R879" s="35">
        <f t="shared" si="70"/>
        <v>0.2</v>
      </c>
      <c r="S879" s="49">
        <f>ROUND(Q879/Summary!$C$3*Summary!$C$2,0)</f>
        <v>6</v>
      </c>
      <c r="T879" s="44">
        <f t="shared" si="71"/>
        <v>0.6</v>
      </c>
      <c r="U879" s="34">
        <v>0</v>
      </c>
      <c r="V879" s="34">
        <v>2</v>
      </c>
      <c r="W879" s="34">
        <v>0</v>
      </c>
      <c r="X879" s="34">
        <v>0</v>
      </c>
    </row>
    <row r="880" spans="1:24" hidden="1">
      <c r="A880" s="54" t="s">
        <v>2349</v>
      </c>
      <c r="B880" s="54" t="s">
        <v>2350</v>
      </c>
      <c r="C880" s="54" t="s">
        <v>171</v>
      </c>
      <c r="D880" s="54" t="s">
        <v>172</v>
      </c>
      <c r="E880" s="54" t="s">
        <v>0</v>
      </c>
      <c r="F880" s="54" t="s">
        <v>2351</v>
      </c>
      <c r="G880" s="54">
        <v>1714649922</v>
      </c>
      <c r="H880" s="54" t="s">
        <v>229</v>
      </c>
      <c r="I880" s="54" t="s">
        <v>3514</v>
      </c>
      <c r="J880" s="34" t="s">
        <v>3421</v>
      </c>
      <c r="K880" s="50">
        <v>130000</v>
      </c>
      <c r="L880" s="43">
        <v>3090</v>
      </c>
      <c r="M880" s="44">
        <f t="shared" si="68"/>
        <v>2.3769230769230768E-2</v>
      </c>
      <c r="N880" s="49">
        <f>ROUND(L880/Summary!$C$3*Summary!$C$2,0)</f>
        <v>9579</v>
      </c>
      <c r="O880" s="44">
        <f t="shared" si="69"/>
        <v>7.368461538461539E-2</v>
      </c>
      <c r="P880" s="78">
        <v>10</v>
      </c>
      <c r="Q880" s="34">
        <v>0</v>
      </c>
      <c r="R880" s="35">
        <f t="shared" si="70"/>
        <v>0</v>
      </c>
      <c r="S880" s="49">
        <f>ROUND(Q880/Summary!$C$3*Summary!$C$2,0)</f>
        <v>0</v>
      </c>
      <c r="T880" s="44">
        <f t="shared" si="71"/>
        <v>0</v>
      </c>
      <c r="U880" s="34">
        <v>0</v>
      </c>
      <c r="V880" s="34">
        <v>0</v>
      </c>
      <c r="W880" s="34">
        <v>0</v>
      </c>
      <c r="X880" s="34">
        <v>0</v>
      </c>
    </row>
    <row r="881" spans="1:24" hidden="1">
      <c r="A881" s="54" t="s">
        <v>2891</v>
      </c>
      <c r="B881" s="54" t="s">
        <v>2892</v>
      </c>
      <c r="C881" s="54" t="s">
        <v>171</v>
      </c>
      <c r="D881" s="54" t="s">
        <v>172</v>
      </c>
      <c r="E881" s="54" t="s">
        <v>0</v>
      </c>
      <c r="F881" s="54" t="s">
        <v>2893</v>
      </c>
      <c r="G881" s="54">
        <v>1712548569</v>
      </c>
      <c r="H881" s="54" t="s">
        <v>229</v>
      </c>
      <c r="I881" s="54" t="s">
        <v>3514</v>
      </c>
      <c r="J881" s="34" t="s">
        <v>3421</v>
      </c>
      <c r="K881" s="50">
        <v>130000</v>
      </c>
      <c r="L881" s="43">
        <v>46570</v>
      </c>
      <c r="M881" s="44">
        <f t="shared" si="68"/>
        <v>0.35823076923076924</v>
      </c>
      <c r="N881" s="49">
        <f>ROUND(L881/Summary!$C$3*Summary!$C$2,0)</f>
        <v>144367</v>
      </c>
      <c r="O881" s="44">
        <f t="shared" si="69"/>
        <v>1.1105153846153846</v>
      </c>
      <c r="P881" s="78">
        <v>10</v>
      </c>
      <c r="Q881" s="34">
        <v>3</v>
      </c>
      <c r="R881" s="35">
        <f t="shared" si="70"/>
        <v>0.3</v>
      </c>
      <c r="S881" s="49">
        <f>ROUND(Q881/Summary!$C$3*Summary!$C$2,0)</f>
        <v>9</v>
      </c>
      <c r="T881" s="44">
        <f t="shared" si="71"/>
        <v>0.9</v>
      </c>
      <c r="U881" s="34">
        <v>0</v>
      </c>
      <c r="V881" s="34">
        <v>0</v>
      </c>
      <c r="W881" s="34">
        <v>0</v>
      </c>
      <c r="X881" s="34">
        <v>0</v>
      </c>
    </row>
    <row r="882" spans="1:24" hidden="1">
      <c r="A882" s="54" t="s">
        <v>2742</v>
      </c>
      <c r="B882" s="54" t="s">
        <v>2743</v>
      </c>
      <c r="C882" s="54" t="s">
        <v>171</v>
      </c>
      <c r="D882" s="54" t="s">
        <v>172</v>
      </c>
      <c r="E882" s="54" t="s">
        <v>0</v>
      </c>
      <c r="F882" s="54" t="s">
        <v>2744</v>
      </c>
      <c r="G882" s="54">
        <v>1712255351</v>
      </c>
      <c r="H882" s="54" t="s">
        <v>229</v>
      </c>
      <c r="I882" s="54" t="s">
        <v>3514</v>
      </c>
      <c r="J882" s="34" t="s">
        <v>3421</v>
      </c>
      <c r="K882" s="50">
        <v>130000</v>
      </c>
      <c r="L882" s="43">
        <v>18570</v>
      </c>
      <c r="M882" s="44">
        <f t="shared" si="68"/>
        <v>0.14284615384615384</v>
      </c>
      <c r="N882" s="49">
        <f>ROUND(L882/Summary!$C$3*Summary!$C$2,0)</f>
        <v>57567</v>
      </c>
      <c r="O882" s="44">
        <f t="shared" si="69"/>
        <v>0.44282307692307693</v>
      </c>
      <c r="P882" s="78">
        <v>10</v>
      </c>
      <c r="Q882" s="34">
        <v>1</v>
      </c>
      <c r="R882" s="35">
        <f t="shared" si="70"/>
        <v>0.1</v>
      </c>
      <c r="S882" s="49">
        <f>ROUND(Q882/Summary!$C$3*Summary!$C$2,0)</f>
        <v>3</v>
      </c>
      <c r="T882" s="44">
        <f t="shared" si="71"/>
        <v>0.3</v>
      </c>
      <c r="U882" s="34">
        <v>0</v>
      </c>
      <c r="V882" s="34">
        <v>0</v>
      </c>
      <c r="W882" s="34">
        <v>0</v>
      </c>
      <c r="X882" s="34">
        <v>0</v>
      </c>
    </row>
    <row r="883" spans="1:24" hidden="1">
      <c r="A883" s="54" t="s">
        <v>2651</v>
      </c>
      <c r="B883" s="54" t="s">
        <v>2652</v>
      </c>
      <c r="C883" s="54" t="s">
        <v>171</v>
      </c>
      <c r="D883" s="54" t="s">
        <v>172</v>
      </c>
      <c r="E883" s="54" t="s">
        <v>0</v>
      </c>
      <c r="F883" s="54" t="s">
        <v>2653</v>
      </c>
      <c r="G883" s="54">
        <v>1712045433</v>
      </c>
      <c r="H883" s="54" t="s">
        <v>229</v>
      </c>
      <c r="I883" s="54" t="s">
        <v>3514</v>
      </c>
      <c r="J883" s="34" t="s">
        <v>3421</v>
      </c>
      <c r="K883" s="50">
        <v>184616</v>
      </c>
      <c r="L883" s="43">
        <v>33249</v>
      </c>
      <c r="M883" s="44">
        <f t="shared" si="68"/>
        <v>0.18009814967283441</v>
      </c>
      <c r="N883" s="49">
        <f>ROUND(L883/Summary!$C$3*Summary!$C$2,0)</f>
        <v>103072</v>
      </c>
      <c r="O883" s="44">
        <f t="shared" si="69"/>
        <v>0.55830480565064788</v>
      </c>
      <c r="P883" s="78">
        <v>10</v>
      </c>
      <c r="Q883" s="34">
        <v>2</v>
      </c>
      <c r="R883" s="35">
        <f t="shared" si="70"/>
        <v>0.2</v>
      </c>
      <c r="S883" s="49">
        <f>ROUND(Q883/Summary!$C$3*Summary!$C$2,0)</f>
        <v>6</v>
      </c>
      <c r="T883" s="44">
        <f t="shared" si="71"/>
        <v>0.6</v>
      </c>
      <c r="U883" s="34">
        <v>0</v>
      </c>
      <c r="V883" s="34">
        <v>2</v>
      </c>
      <c r="W883" s="34">
        <v>0</v>
      </c>
      <c r="X883" s="34">
        <v>0</v>
      </c>
    </row>
    <row r="884" spans="1:24" hidden="1">
      <c r="A884" s="54" t="s">
        <v>2857</v>
      </c>
      <c r="B884" s="54" t="s">
        <v>2858</v>
      </c>
      <c r="C884" s="54" t="s">
        <v>171</v>
      </c>
      <c r="D884" s="54" t="s">
        <v>172</v>
      </c>
      <c r="E884" s="54" t="s">
        <v>0</v>
      </c>
      <c r="F884" s="54" t="s">
        <v>2859</v>
      </c>
      <c r="G884" s="54">
        <v>1920245464</v>
      </c>
      <c r="H884" s="54" t="s">
        <v>229</v>
      </c>
      <c r="I884" s="54" t="s">
        <v>3514</v>
      </c>
      <c r="J884" s="34" t="s">
        <v>3421</v>
      </c>
      <c r="K884" s="50">
        <v>130000</v>
      </c>
      <c r="L884" s="43">
        <v>31434</v>
      </c>
      <c r="M884" s="44">
        <f t="shared" si="68"/>
        <v>0.24179999999999999</v>
      </c>
      <c r="N884" s="49">
        <f>ROUND(L884/Summary!$C$3*Summary!$C$2,0)</f>
        <v>97445</v>
      </c>
      <c r="O884" s="44">
        <f t="shared" si="69"/>
        <v>0.74957692307692303</v>
      </c>
      <c r="P884" s="78">
        <v>10</v>
      </c>
      <c r="Q884" s="34">
        <v>1</v>
      </c>
      <c r="R884" s="35">
        <f t="shared" si="70"/>
        <v>0.1</v>
      </c>
      <c r="S884" s="49">
        <f>ROUND(Q884/Summary!$C$3*Summary!$C$2,0)</f>
        <v>3</v>
      </c>
      <c r="T884" s="44">
        <f t="shared" si="71"/>
        <v>0.3</v>
      </c>
      <c r="U884" s="34">
        <v>0</v>
      </c>
      <c r="V884" s="34">
        <v>0</v>
      </c>
      <c r="W884" s="34">
        <v>0</v>
      </c>
      <c r="X884" s="34">
        <v>0</v>
      </c>
    </row>
    <row r="885" spans="1:24" hidden="1">
      <c r="A885" s="54" t="s">
        <v>2745</v>
      </c>
      <c r="B885" s="54" t="s">
        <v>2746</v>
      </c>
      <c r="C885" s="54" t="s">
        <v>171</v>
      </c>
      <c r="D885" s="54" t="s">
        <v>172</v>
      </c>
      <c r="E885" s="54" t="s">
        <v>0</v>
      </c>
      <c r="F885" s="54" t="s">
        <v>2747</v>
      </c>
      <c r="G885" s="54">
        <v>1819199890</v>
      </c>
      <c r="H885" s="54" t="s">
        <v>229</v>
      </c>
      <c r="I885" s="54" t="s">
        <v>3514</v>
      </c>
      <c r="J885" s="34" t="s">
        <v>3515</v>
      </c>
      <c r="K885" s="50">
        <v>165494</v>
      </c>
      <c r="L885" s="43">
        <v>19370</v>
      </c>
      <c r="M885" s="44">
        <f t="shared" si="68"/>
        <v>0.11704351819401308</v>
      </c>
      <c r="N885" s="49">
        <f>ROUND(L885/Summary!$C$3*Summary!$C$2,0)</f>
        <v>60047</v>
      </c>
      <c r="O885" s="44">
        <f t="shared" si="69"/>
        <v>0.36283490640144056</v>
      </c>
      <c r="P885" s="78">
        <v>12</v>
      </c>
      <c r="Q885" s="34">
        <v>1</v>
      </c>
      <c r="R885" s="35">
        <f t="shared" si="70"/>
        <v>8.3333333333333329E-2</v>
      </c>
      <c r="S885" s="49">
        <f>ROUND(Q885/Summary!$C$3*Summary!$C$2,0)</f>
        <v>3</v>
      </c>
      <c r="T885" s="44">
        <f t="shared" si="71"/>
        <v>0.25</v>
      </c>
      <c r="U885" s="34">
        <v>0</v>
      </c>
      <c r="V885" s="34">
        <v>0</v>
      </c>
      <c r="W885" s="34">
        <v>0</v>
      </c>
      <c r="X885" s="34">
        <v>0</v>
      </c>
    </row>
    <row r="886" spans="1:24" hidden="1">
      <c r="A886" s="54" t="s">
        <v>2566</v>
      </c>
      <c r="B886" s="54" t="s">
        <v>2567</v>
      </c>
      <c r="C886" s="54" t="s">
        <v>171</v>
      </c>
      <c r="D886" s="54" t="s">
        <v>172</v>
      </c>
      <c r="E886" s="54" t="s">
        <v>0</v>
      </c>
      <c r="F886" s="54" t="s">
        <v>2568</v>
      </c>
      <c r="G886" s="54">
        <v>1739155907</v>
      </c>
      <c r="H886" s="54" t="s">
        <v>229</v>
      </c>
      <c r="I886" s="54" t="s">
        <v>3514</v>
      </c>
      <c r="J886" s="34" t="s">
        <v>3421</v>
      </c>
      <c r="K886" s="50">
        <v>130000</v>
      </c>
      <c r="L886" s="43">
        <v>3090</v>
      </c>
      <c r="M886" s="44">
        <f t="shared" si="68"/>
        <v>2.3769230769230768E-2</v>
      </c>
      <c r="N886" s="49">
        <f>ROUND(L886/Summary!$C$3*Summary!$C$2,0)</f>
        <v>9579</v>
      </c>
      <c r="O886" s="44">
        <f t="shared" si="69"/>
        <v>7.368461538461539E-2</v>
      </c>
      <c r="P886" s="78">
        <v>10</v>
      </c>
      <c r="Q886" s="34">
        <v>0</v>
      </c>
      <c r="R886" s="35">
        <f t="shared" si="70"/>
        <v>0</v>
      </c>
      <c r="S886" s="49">
        <f>ROUND(Q886/Summary!$C$3*Summary!$C$2,0)</f>
        <v>0</v>
      </c>
      <c r="T886" s="44">
        <f t="shared" si="71"/>
        <v>0</v>
      </c>
      <c r="U886" s="34">
        <v>0</v>
      </c>
      <c r="V886" s="34">
        <v>0</v>
      </c>
      <c r="W886" s="34">
        <v>0</v>
      </c>
      <c r="X886" s="34">
        <v>0</v>
      </c>
    </row>
    <row r="887" spans="1:24" hidden="1">
      <c r="A887" s="54" t="s">
        <v>2880</v>
      </c>
      <c r="B887" s="54" t="s">
        <v>2881</v>
      </c>
      <c r="C887" s="54" t="s">
        <v>171</v>
      </c>
      <c r="D887" s="54" t="s">
        <v>172</v>
      </c>
      <c r="E887" s="54" t="s">
        <v>0</v>
      </c>
      <c r="F887" s="54" t="s">
        <v>2882</v>
      </c>
      <c r="G887" s="54">
        <v>1733880880</v>
      </c>
      <c r="H887" s="54" t="s">
        <v>229</v>
      </c>
      <c r="I887" s="54" t="s">
        <v>3514</v>
      </c>
      <c r="J887" s="34" t="s">
        <v>3421</v>
      </c>
      <c r="K887" s="50">
        <v>130000</v>
      </c>
      <c r="L887" s="43">
        <v>14420</v>
      </c>
      <c r="M887" s="44">
        <f t="shared" si="68"/>
        <v>0.11092307692307693</v>
      </c>
      <c r="N887" s="49">
        <f>ROUND(L887/Summary!$C$3*Summary!$C$2,0)</f>
        <v>44702</v>
      </c>
      <c r="O887" s="44">
        <f t="shared" si="69"/>
        <v>0.34386153846153844</v>
      </c>
      <c r="P887" s="78">
        <v>10</v>
      </c>
      <c r="Q887" s="34">
        <v>0</v>
      </c>
      <c r="R887" s="35">
        <f t="shared" si="70"/>
        <v>0</v>
      </c>
      <c r="S887" s="49">
        <f>ROUND(Q887/Summary!$C$3*Summary!$C$2,0)</f>
        <v>0</v>
      </c>
      <c r="T887" s="44">
        <f t="shared" si="71"/>
        <v>0</v>
      </c>
      <c r="U887" s="34">
        <v>0</v>
      </c>
      <c r="V887" s="34">
        <v>0</v>
      </c>
      <c r="W887" s="34">
        <v>0</v>
      </c>
      <c r="X887" s="34">
        <v>0</v>
      </c>
    </row>
    <row r="888" spans="1:24" hidden="1">
      <c r="A888" s="54" t="s">
        <v>2821</v>
      </c>
      <c r="B888" s="54" t="s">
        <v>2822</v>
      </c>
      <c r="C888" s="54" t="s">
        <v>171</v>
      </c>
      <c r="D888" s="54" t="s">
        <v>172</v>
      </c>
      <c r="E888" s="54" t="s">
        <v>0</v>
      </c>
      <c r="F888" s="54" t="s">
        <v>2823</v>
      </c>
      <c r="G888" s="54">
        <v>1612883176</v>
      </c>
      <c r="H888" s="54" t="s">
        <v>229</v>
      </c>
      <c r="I888" s="54" t="s">
        <v>3514</v>
      </c>
      <c r="J888" s="34" t="s">
        <v>3515</v>
      </c>
      <c r="K888" s="50">
        <v>239917</v>
      </c>
      <c r="L888" s="43">
        <v>53500</v>
      </c>
      <c r="M888" s="44">
        <f t="shared" si="68"/>
        <v>0.22299378535076714</v>
      </c>
      <c r="N888" s="49">
        <f>ROUND(L888/Summary!$C$3*Summary!$C$2,0)</f>
        <v>165850</v>
      </c>
      <c r="O888" s="44">
        <f t="shared" si="69"/>
        <v>0.69128073458737815</v>
      </c>
      <c r="P888" s="78">
        <v>10</v>
      </c>
      <c r="Q888" s="34">
        <v>1</v>
      </c>
      <c r="R888" s="35">
        <f t="shared" si="70"/>
        <v>0.1</v>
      </c>
      <c r="S888" s="49">
        <f>ROUND(Q888/Summary!$C$3*Summary!$C$2,0)</f>
        <v>3</v>
      </c>
      <c r="T888" s="44">
        <f t="shared" si="71"/>
        <v>0.3</v>
      </c>
      <c r="U888" s="34">
        <v>1</v>
      </c>
      <c r="V888" s="34">
        <v>0</v>
      </c>
      <c r="W888" s="34">
        <v>0</v>
      </c>
      <c r="X888" s="34">
        <v>0</v>
      </c>
    </row>
    <row r="889" spans="1:24" hidden="1">
      <c r="A889" s="54" t="s">
        <v>2889</v>
      </c>
      <c r="B889" s="54" t="s">
        <v>2890</v>
      </c>
      <c r="C889" s="54" t="s">
        <v>171</v>
      </c>
      <c r="D889" s="54" t="s">
        <v>172</v>
      </c>
      <c r="E889" s="54" t="s">
        <v>0</v>
      </c>
      <c r="F889" s="54" t="s">
        <v>2833</v>
      </c>
      <c r="G889" s="54">
        <v>1712514202</v>
      </c>
      <c r="H889" s="54" t="s">
        <v>229</v>
      </c>
      <c r="I889" s="54" t="s">
        <v>3514</v>
      </c>
      <c r="J889" s="34" t="s">
        <v>3421</v>
      </c>
      <c r="K889" s="50">
        <v>130000</v>
      </c>
      <c r="L889" s="43">
        <v>14570</v>
      </c>
      <c r="M889" s="44">
        <f t="shared" si="68"/>
        <v>0.11207692307692307</v>
      </c>
      <c r="N889" s="49">
        <f>ROUND(L889/Summary!$C$3*Summary!$C$2,0)</f>
        <v>45167</v>
      </c>
      <c r="O889" s="44">
        <f t="shared" si="69"/>
        <v>0.34743846153846153</v>
      </c>
      <c r="P889" s="78">
        <v>10</v>
      </c>
      <c r="Q889" s="34">
        <v>0</v>
      </c>
      <c r="R889" s="35">
        <f t="shared" si="70"/>
        <v>0</v>
      </c>
      <c r="S889" s="49">
        <f>ROUND(Q889/Summary!$C$3*Summary!$C$2,0)</f>
        <v>0</v>
      </c>
      <c r="T889" s="44">
        <f t="shared" si="71"/>
        <v>0</v>
      </c>
      <c r="U889" s="34">
        <v>0</v>
      </c>
      <c r="V889" s="34">
        <v>0</v>
      </c>
      <c r="W889" s="34">
        <v>0</v>
      </c>
      <c r="X889" s="34">
        <v>0</v>
      </c>
    </row>
    <row r="890" spans="1:24" hidden="1">
      <c r="A890" s="54" t="s">
        <v>3287</v>
      </c>
      <c r="B890" s="54" t="s">
        <v>3288</v>
      </c>
      <c r="C890" s="54" t="s">
        <v>171</v>
      </c>
      <c r="D890" s="54" t="s">
        <v>172</v>
      </c>
      <c r="E890" s="54" t="s">
        <v>0</v>
      </c>
      <c r="F890" s="54" t="s">
        <v>3289</v>
      </c>
      <c r="G890" s="54">
        <v>1712455520</v>
      </c>
      <c r="H890" s="54" t="s">
        <v>229</v>
      </c>
      <c r="I890" s="54" t="s">
        <v>3514</v>
      </c>
      <c r="J890" s="34" t="s">
        <v>3421</v>
      </c>
      <c r="K890" s="50">
        <v>130000</v>
      </c>
      <c r="L890" s="43">
        <v>16320</v>
      </c>
      <c r="M890" s="44">
        <f t="shared" si="68"/>
        <v>0.12553846153846154</v>
      </c>
      <c r="N890" s="49">
        <f>ROUND(L890/Summary!$C$3*Summary!$C$2,0)</f>
        <v>50592</v>
      </c>
      <c r="O890" s="44">
        <f t="shared" si="69"/>
        <v>0.38916923076923077</v>
      </c>
      <c r="P890" s="78">
        <v>10</v>
      </c>
      <c r="Q890" s="34">
        <v>0</v>
      </c>
      <c r="R890" s="35">
        <f t="shared" si="70"/>
        <v>0</v>
      </c>
      <c r="S890" s="49">
        <f>ROUND(Q890/Summary!$C$3*Summary!$C$2,0)</f>
        <v>0</v>
      </c>
      <c r="T890" s="44">
        <f t="shared" si="71"/>
        <v>0</v>
      </c>
      <c r="U890" s="34">
        <v>0</v>
      </c>
      <c r="V890" s="34">
        <v>0</v>
      </c>
      <c r="W890" s="34">
        <v>0</v>
      </c>
      <c r="X890" s="34">
        <v>0</v>
      </c>
    </row>
    <row r="891" spans="1:24" hidden="1">
      <c r="A891" s="54" t="s">
        <v>2804</v>
      </c>
      <c r="B891" s="54" t="s">
        <v>730</v>
      </c>
      <c r="C891" s="54" t="s">
        <v>171</v>
      </c>
      <c r="D891" s="54" t="s">
        <v>172</v>
      </c>
      <c r="E891" s="54" t="s">
        <v>0</v>
      </c>
      <c r="F891" s="54" t="s">
        <v>2805</v>
      </c>
      <c r="G891" s="54">
        <v>1712418685</v>
      </c>
      <c r="H891" s="54" t="s">
        <v>229</v>
      </c>
      <c r="I891" s="54" t="s">
        <v>3514</v>
      </c>
      <c r="J891" s="34" t="s">
        <v>3421</v>
      </c>
      <c r="K891" s="50">
        <v>130000</v>
      </c>
      <c r="L891" s="43">
        <v>32790</v>
      </c>
      <c r="M891" s="44">
        <f t="shared" si="68"/>
        <v>0.25223076923076926</v>
      </c>
      <c r="N891" s="49">
        <f>ROUND(L891/Summary!$C$3*Summary!$C$2,0)</f>
        <v>101649</v>
      </c>
      <c r="O891" s="44">
        <f t="shared" si="69"/>
        <v>0.78191538461538457</v>
      </c>
      <c r="P891" s="78">
        <v>10</v>
      </c>
      <c r="Q891" s="34">
        <v>2</v>
      </c>
      <c r="R891" s="35">
        <f t="shared" si="70"/>
        <v>0.2</v>
      </c>
      <c r="S891" s="49">
        <f>ROUND(Q891/Summary!$C$3*Summary!$C$2,0)</f>
        <v>6</v>
      </c>
      <c r="T891" s="44">
        <f t="shared" si="71"/>
        <v>0.6</v>
      </c>
      <c r="U891" s="34">
        <v>0</v>
      </c>
      <c r="V891" s="34">
        <v>0</v>
      </c>
      <c r="W891" s="34">
        <v>0</v>
      </c>
      <c r="X891" s="34">
        <v>0</v>
      </c>
    </row>
    <row r="892" spans="1:24" hidden="1">
      <c r="A892" s="54" t="s">
        <v>2834</v>
      </c>
      <c r="B892" s="54" t="s">
        <v>2835</v>
      </c>
      <c r="C892" s="54" t="s">
        <v>171</v>
      </c>
      <c r="D892" s="54" t="s">
        <v>172</v>
      </c>
      <c r="E892" s="54" t="s">
        <v>0</v>
      </c>
      <c r="F892" s="54" t="s">
        <v>3290</v>
      </c>
      <c r="G892" s="54">
        <v>1721820229</v>
      </c>
      <c r="H892" s="54" t="s">
        <v>229</v>
      </c>
      <c r="I892" s="54" t="s">
        <v>3514</v>
      </c>
      <c r="J892" s="34" t="s">
        <v>3421</v>
      </c>
      <c r="K892" s="50">
        <v>130000</v>
      </c>
      <c r="L892" s="43">
        <v>29090</v>
      </c>
      <c r="M892" s="44">
        <f t="shared" si="68"/>
        <v>0.22376923076923078</v>
      </c>
      <c r="N892" s="49">
        <f>ROUND(L892/Summary!$C$3*Summary!$C$2,0)</f>
        <v>90179</v>
      </c>
      <c r="O892" s="44">
        <f t="shared" si="69"/>
        <v>0.69368461538461534</v>
      </c>
      <c r="P892" s="78">
        <v>10</v>
      </c>
      <c r="Q892" s="34">
        <v>1</v>
      </c>
      <c r="R892" s="35">
        <f t="shared" si="70"/>
        <v>0.1</v>
      </c>
      <c r="S892" s="49">
        <f>ROUND(Q892/Summary!$C$3*Summary!$C$2,0)</f>
        <v>3</v>
      </c>
      <c r="T892" s="44">
        <f t="shared" si="71"/>
        <v>0.3</v>
      </c>
      <c r="U892" s="34">
        <v>1</v>
      </c>
      <c r="V892" s="34">
        <v>0</v>
      </c>
      <c r="W892" s="34">
        <v>0</v>
      </c>
      <c r="X892" s="34">
        <v>0</v>
      </c>
    </row>
    <row r="893" spans="1:24" hidden="1">
      <c r="A893" s="54" t="s">
        <v>3291</v>
      </c>
      <c r="B893" s="54" t="s">
        <v>2761</v>
      </c>
      <c r="C893" s="54" t="s">
        <v>171</v>
      </c>
      <c r="D893" s="54" t="s">
        <v>172</v>
      </c>
      <c r="E893" s="54" t="s">
        <v>0</v>
      </c>
      <c r="F893" s="54" t="s">
        <v>3292</v>
      </c>
      <c r="G893" s="54">
        <v>1683730330</v>
      </c>
      <c r="H893" s="54" t="s">
        <v>229</v>
      </c>
      <c r="I893" s="54" t="s">
        <v>3514</v>
      </c>
      <c r="J893" s="34" t="s">
        <v>3421</v>
      </c>
      <c r="K893" s="50">
        <v>130000</v>
      </c>
      <c r="L893" s="43">
        <v>59470</v>
      </c>
      <c r="M893" s="44">
        <f t="shared" si="68"/>
        <v>0.45746153846153847</v>
      </c>
      <c r="N893" s="49">
        <f>ROUND(L893/Summary!$C$3*Summary!$C$2,0)</f>
        <v>184357</v>
      </c>
      <c r="O893" s="44">
        <f t="shared" si="69"/>
        <v>1.4181307692307692</v>
      </c>
      <c r="P893" s="78">
        <v>10</v>
      </c>
      <c r="Q893" s="34">
        <v>5</v>
      </c>
      <c r="R893" s="35">
        <f t="shared" si="70"/>
        <v>0.5</v>
      </c>
      <c r="S893" s="49">
        <f>ROUND(Q893/Summary!$C$3*Summary!$C$2,0)</f>
        <v>16</v>
      </c>
      <c r="T893" s="44">
        <f t="shared" si="71"/>
        <v>1.6</v>
      </c>
      <c r="U893" s="34">
        <v>1</v>
      </c>
      <c r="V893" s="34">
        <v>0</v>
      </c>
      <c r="W893" s="34">
        <v>0</v>
      </c>
      <c r="X893" s="34">
        <v>2</v>
      </c>
    </row>
    <row r="894" spans="1:24" hidden="1">
      <c r="A894" s="54" t="s">
        <v>3293</v>
      </c>
      <c r="B894" s="54" t="s">
        <v>3294</v>
      </c>
      <c r="C894" s="54" t="s">
        <v>171</v>
      </c>
      <c r="D894" s="54" t="s">
        <v>172</v>
      </c>
      <c r="E894" s="54" t="s">
        <v>0</v>
      </c>
      <c r="F894" s="54" t="s">
        <v>3295</v>
      </c>
      <c r="G894" s="54">
        <v>1682350315</v>
      </c>
      <c r="H894" s="54" t="s">
        <v>229</v>
      </c>
      <c r="I894" s="54" t="s">
        <v>3514</v>
      </c>
      <c r="J894" s="34" t="s">
        <v>3515</v>
      </c>
      <c r="K894" s="50">
        <v>130000</v>
      </c>
      <c r="L894" s="43">
        <v>30000</v>
      </c>
      <c r="M894" s="44">
        <f t="shared" si="68"/>
        <v>0.23076923076923078</v>
      </c>
      <c r="N894" s="49">
        <f>ROUND(L894/Summary!$C$3*Summary!$C$2,0)</f>
        <v>93000</v>
      </c>
      <c r="O894" s="44">
        <f t="shared" si="69"/>
        <v>0.7153846153846154</v>
      </c>
      <c r="P894" s="78">
        <v>10</v>
      </c>
      <c r="Q894" s="34">
        <v>2</v>
      </c>
      <c r="R894" s="35">
        <f t="shared" si="70"/>
        <v>0.2</v>
      </c>
      <c r="S894" s="49">
        <f>ROUND(Q894/Summary!$C$3*Summary!$C$2,0)</f>
        <v>6</v>
      </c>
      <c r="T894" s="44">
        <f t="shared" si="71"/>
        <v>0.6</v>
      </c>
      <c r="U894" s="34">
        <v>0</v>
      </c>
      <c r="V894" s="34">
        <v>0</v>
      </c>
      <c r="W894" s="34">
        <v>0</v>
      </c>
      <c r="X894" s="34">
        <v>0</v>
      </c>
    </row>
    <row r="895" spans="1:24" hidden="1">
      <c r="A895" s="54" t="s">
        <v>2783</v>
      </c>
      <c r="B895" s="54" t="s">
        <v>2784</v>
      </c>
      <c r="C895" s="54" t="s">
        <v>171</v>
      </c>
      <c r="D895" s="54" t="s">
        <v>172</v>
      </c>
      <c r="E895" s="54" t="s">
        <v>0</v>
      </c>
      <c r="F895" s="54" t="s">
        <v>2785</v>
      </c>
      <c r="G895" s="54">
        <v>1712108603</v>
      </c>
      <c r="H895" s="54" t="s">
        <v>229</v>
      </c>
      <c r="I895" s="54" t="s">
        <v>3514</v>
      </c>
      <c r="J895" s="34" t="s">
        <v>3419</v>
      </c>
      <c r="K895" s="50">
        <v>130000</v>
      </c>
      <c r="L895" s="43">
        <v>51720</v>
      </c>
      <c r="M895" s="44">
        <f t="shared" si="68"/>
        <v>0.39784615384615385</v>
      </c>
      <c r="N895" s="49">
        <f>ROUND(L895/Summary!$C$3*Summary!$C$2,0)</f>
        <v>160332</v>
      </c>
      <c r="O895" s="44">
        <f t="shared" si="69"/>
        <v>1.233323076923077</v>
      </c>
      <c r="P895" s="78">
        <v>10</v>
      </c>
      <c r="Q895" s="34">
        <v>4</v>
      </c>
      <c r="R895" s="35">
        <f t="shared" si="70"/>
        <v>0.4</v>
      </c>
      <c r="S895" s="49">
        <f>ROUND(Q895/Summary!$C$3*Summary!$C$2,0)</f>
        <v>12</v>
      </c>
      <c r="T895" s="44">
        <f t="shared" si="71"/>
        <v>1.2</v>
      </c>
      <c r="U895" s="34">
        <v>1</v>
      </c>
      <c r="V895" s="34">
        <v>0</v>
      </c>
      <c r="W895" s="34">
        <v>0</v>
      </c>
      <c r="X895" s="34">
        <v>0</v>
      </c>
    </row>
    <row r="896" spans="1:24" hidden="1">
      <c r="A896" s="54" t="s">
        <v>2812</v>
      </c>
      <c r="B896" s="54" t="s">
        <v>2813</v>
      </c>
      <c r="C896" s="54" t="s">
        <v>171</v>
      </c>
      <c r="D896" s="54" t="s">
        <v>172</v>
      </c>
      <c r="E896" s="54" t="s">
        <v>0</v>
      </c>
      <c r="F896" s="54" t="s">
        <v>2814</v>
      </c>
      <c r="G896" s="54">
        <v>1712179329</v>
      </c>
      <c r="H896" s="54" t="s">
        <v>229</v>
      </c>
      <c r="I896" s="54" t="s">
        <v>3514</v>
      </c>
      <c r="J896" s="34" t="s">
        <v>3421</v>
      </c>
      <c r="K896" s="50">
        <v>130000</v>
      </c>
      <c r="L896" s="43">
        <v>24260</v>
      </c>
      <c r="M896" s="44">
        <f t="shared" si="68"/>
        <v>0.18661538461538463</v>
      </c>
      <c r="N896" s="49">
        <f>ROUND(L896/Summary!$C$3*Summary!$C$2,0)</f>
        <v>75206</v>
      </c>
      <c r="O896" s="44">
        <f t="shared" si="69"/>
        <v>0.57850769230769228</v>
      </c>
      <c r="P896" s="78">
        <v>10</v>
      </c>
      <c r="Q896" s="34">
        <v>3</v>
      </c>
      <c r="R896" s="35">
        <f t="shared" si="70"/>
        <v>0.3</v>
      </c>
      <c r="S896" s="49">
        <f>ROUND(Q896/Summary!$C$3*Summary!$C$2,0)</f>
        <v>9</v>
      </c>
      <c r="T896" s="44">
        <f t="shared" si="71"/>
        <v>0.9</v>
      </c>
      <c r="U896" s="34">
        <v>0</v>
      </c>
      <c r="V896" s="34">
        <v>0</v>
      </c>
      <c r="W896" s="34">
        <v>0</v>
      </c>
      <c r="X896" s="34">
        <v>0</v>
      </c>
    </row>
    <row r="897" spans="1:24" hidden="1">
      <c r="A897" s="54" t="s">
        <v>2364</v>
      </c>
      <c r="B897" s="54" t="s">
        <v>2365</v>
      </c>
      <c r="C897" s="54" t="s">
        <v>171</v>
      </c>
      <c r="D897" s="54" t="s">
        <v>172</v>
      </c>
      <c r="E897" s="54" t="s">
        <v>0</v>
      </c>
      <c r="F897" s="54" t="s">
        <v>876</v>
      </c>
      <c r="G897" s="54">
        <v>1677049818</v>
      </c>
      <c r="H897" s="54" t="s">
        <v>229</v>
      </c>
      <c r="I897" s="54" t="s">
        <v>3514</v>
      </c>
      <c r="J897" s="34" t="s">
        <v>3515</v>
      </c>
      <c r="K897" s="50">
        <v>166650</v>
      </c>
      <c r="L897" s="43">
        <v>59995</v>
      </c>
      <c r="M897" s="44">
        <f t="shared" si="68"/>
        <v>0.36000600060005999</v>
      </c>
      <c r="N897" s="49">
        <f>ROUND(L897/Summary!$C$3*Summary!$C$2,0)</f>
        <v>185985</v>
      </c>
      <c r="O897" s="44">
        <f t="shared" si="69"/>
        <v>1.1160216021602161</v>
      </c>
      <c r="P897" s="78">
        <v>10</v>
      </c>
      <c r="Q897" s="34">
        <v>4</v>
      </c>
      <c r="R897" s="35">
        <f t="shared" si="70"/>
        <v>0.4</v>
      </c>
      <c r="S897" s="49">
        <f>ROUND(Q897/Summary!$C$3*Summary!$C$2,0)</f>
        <v>12</v>
      </c>
      <c r="T897" s="44">
        <f t="shared" si="71"/>
        <v>1.2</v>
      </c>
      <c r="U897" s="34">
        <v>1</v>
      </c>
      <c r="V897" s="34">
        <v>0</v>
      </c>
      <c r="W897" s="34">
        <v>0</v>
      </c>
      <c r="X897" s="34">
        <v>0</v>
      </c>
    </row>
    <row r="898" spans="1:24" hidden="1">
      <c r="A898" s="34" t="s">
        <v>688</v>
      </c>
      <c r="B898" s="34" t="s">
        <v>689</v>
      </c>
      <c r="C898" s="34" t="s">
        <v>690</v>
      </c>
      <c r="D898" s="34" t="s">
        <v>150</v>
      </c>
      <c r="E898" s="34" t="s">
        <v>9</v>
      </c>
      <c r="F898" s="34" t="s">
        <v>691</v>
      </c>
      <c r="G898" s="54">
        <v>1711574515</v>
      </c>
      <c r="H898" s="54" t="s">
        <v>229</v>
      </c>
      <c r="I898" s="54" t="s">
        <v>3514</v>
      </c>
      <c r="J898" s="34" t="s">
        <v>3421</v>
      </c>
      <c r="K898" s="50">
        <v>222003</v>
      </c>
      <c r="L898" s="43">
        <v>50820</v>
      </c>
      <c r="M898" s="44">
        <f t="shared" si="68"/>
        <v>0.22891582546181807</v>
      </c>
      <c r="N898" s="49">
        <f>ROUND(L898/Summary!$C$3*Summary!$C$2,0)</f>
        <v>157542</v>
      </c>
      <c r="O898" s="44">
        <f t="shared" si="69"/>
        <v>0.70963905893163604</v>
      </c>
      <c r="P898" s="78">
        <v>10</v>
      </c>
      <c r="Q898" s="34">
        <v>4</v>
      </c>
      <c r="R898" s="35">
        <f t="shared" si="70"/>
        <v>0.4</v>
      </c>
      <c r="S898" s="49">
        <f>ROUND(Q898/Summary!$C$3*Summary!$C$2,0)</f>
        <v>12</v>
      </c>
      <c r="T898" s="44">
        <f t="shared" si="71"/>
        <v>1.2</v>
      </c>
      <c r="U898" s="34">
        <v>0</v>
      </c>
      <c r="V898" s="34">
        <v>2</v>
      </c>
      <c r="W898" s="34">
        <v>0</v>
      </c>
      <c r="X898" s="34">
        <v>0</v>
      </c>
    </row>
    <row r="899" spans="1:24" hidden="1">
      <c r="A899" s="34" t="s">
        <v>809</v>
      </c>
      <c r="B899" s="34" t="s">
        <v>810</v>
      </c>
      <c r="C899" s="34" t="s">
        <v>690</v>
      </c>
      <c r="D899" s="34" t="s">
        <v>150</v>
      </c>
      <c r="E899" s="34" t="s">
        <v>9</v>
      </c>
      <c r="F899" s="34" t="s">
        <v>811</v>
      </c>
      <c r="G899" s="54">
        <v>1730923923</v>
      </c>
      <c r="H899" s="54" t="s">
        <v>229</v>
      </c>
      <c r="I899" s="54" t="s">
        <v>3514</v>
      </c>
      <c r="J899" s="34" t="s">
        <v>3419</v>
      </c>
      <c r="K899" s="50">
        <v>130000</v>
      </c>
      <c r="L899" s="43">
        <v>13370</v>
      </c>
      <c r="M899" s="44">
        <f t="shared" si="68"/>
        <v>0.10284615384615385</v>
      </c>
      <c r="N899" s="49">
        <f>ROUND(L899/Summary!$C$3*Summary!$C$2,0)</f>
        <v>41447</v>
      </c>
      <c r="O899" s="44">
        <f t="shared" si="69"/>
        <v>0.31882307692307693</v>
      </c>
      <c r="P899" s="78">
        <v>10</v>
      </c>
      <c r="Q899" s="34">
        <v>0</v>
      </c>
      <c r="R899" s="35">
        <f t="shared" si="70"/>
        <v>0</v>
      </c>
      <c r="S899" s="49">
        <f>ROUND(Q899/Summary!$C$3*Summary!$C$2,0)</f>
        <v>0</v>
      </c>
      <c r="T899" s="44">
        <f t="shared" si="71"/>
        <v>0</v>
      </c>
      <c r="U899" s="34">
        <v>0</v>
      </c>
      <c r="V899" s="34">
        <v>0</v>
      </c>
      <c r="W899" s="34">
        <v>0</v>
      </c>
      <c r="X899" s="34">
        <v>0</v>
      </c>
    </row>
    <row r="900" spans="1:24" hidden="1">
      <c r="A900" s="34" t="s">
        <v>819</v>
      </c>
      <c r="B900" s="34" t="s">
        <v>820</v>
      </c>
      <c r="C900" s="34" t="s">
        <v>690</v>
      </c>
      <c r="D900" s="34" t="s">
        <v>150</v>
      </c>
      <c r="E900" s="34" t="s">
        <v>9</v>
      </c>
      <c r="F900" s="34" t="s">
        <v>821</v>
      </c>
      <c r="G900" s="54">
        <v>1706976050</v>
      </c>
      <c r="H900" s="54" t="s">
        <v>229</v>
      </c>
      <c r="I900" s="54" t="s">
        <v>3514</v>
      </c>
      <c r="J900" s="34" t="s">
        <v>3419</v>
      </c>
      <c r="K900" s="50">
        <v>130000</v>
      </c>
      <c r="L900" s="43">
        <v>22260</v>
      </c>
      <c r="M900" s="44">
        <f t="shared" si="68"/>
        <v>0.17123076923076924</v>
      </c>
      <c r="N900" s="49">
        <f>ROUND(L900/Summary!$C$3*Summary!$C$2,0)</f>
        <v>69006</v>
      </c>
      <c r="O900" s="44">
        <f t="shared" si="69"/>
        <v>0.53081538461538458</v>
      </c>
      <c r="P900" s="78">
        <v>10</v>
      </c>
      <c r="Q900" s="34">
        <v>1</v>
      </c>
      <c r="R900" s="35">
        <f t="shared" si="70"/>
        <v>0.1</v>
      </c>
      <c r="S900" s="49">
        <f>ROUND(Q900/Summary!$C$3*Summary!$C$2,0)</f>
        <v>3</v>
      </c>
      <c r="T900" s="44">
        <f t="shared" si="71"/>
        <v>0.3</v>
      </c>
      <c r="U900" s="34">
        <v>1</v>
      </c>
      <c r="V900" s="34">
        <v>0</v>
      </c>
      <c r="W900" s="34">
        <v>0</v>
      </c>
      <c r="X900" s="34">
        <v>0</v>
      </c>
    </row>
    <row r="901" spans="1:24" hidden="1">
      <c r="A901" s="34" t="s">
        <v>825</v>
      </c>
      <c r="B901" s="34" t="s">
        <v>826</v>
      </c>
      <c r="C901" s="34" t="s">
        <v>690</v>
      </c>
      <c r="D901" s="34" t="s">
        <v>150</v>
      </c>
      <c r="E901" s="34" t="s">
        <v>9</v>
      </c>
      <c r="F901" s="34" t="s">
        <v>235</v>
      </c>
      <c r="G901" s="54">
        <v>1856243372</v>
      </c>
      <c r="H901" s="54" t="s">
        <v>229</v>
      </c>
      <c r="I901" s="54" t="s">
        <v>3514</v>
      </c>
      <c r="J901" s="34" t="s">
        <v>3419</v>
      </c>
      <c r="K901" s="50">
        <v>130000</v>
      </c>
      <c r="L901" s="43">
        <v>11189</v>
      </c>
      <c r="M901" s="44">
        <f t="shared" si="68"/>
        <v>8.6069230769230773E-2</v>
      </c>
      <c r="N901" s="49">
        <f>ROUND(L901/Summary!$C$3*Summary!$C$2,0)</f>
        <v>34686</v>
      </c>
      <c r="O901" s="44">
        <f t="shared" si="69"/>
        <v>0.26681538461538462</v>
      </c>
      <c r="P901" s="78">
        <v>10</v>
      </c>
      <c r="Q901" s="34">
        <v>1</v>
      </c>
      <c r="R901" s="35">
        <f t="shared" si="70"/>
        <v>0.1</v>
      </c>
      <c r="S901" s="49">
        <f>ROUND(Q901/Summary!$C$3*Summary!$C$2,0)</f>
        <v>3</v>
      </c>
      <c r="T901" s="44">
        <f t="shared" si="71"/>
        <v>0.3</v>
      </c>
      <c r="U901" s="34">
        <v>0</v>
      </c>
      <c r="V901" s="34">
        <v>0</v>
      </c>
      <c r="W901" s="34">
        <v>0</v>
      </c>
      <c r="X901" s="34">
        <v>0</v>
      </c>
    </row>
    <row r="902" spans="1:24" hidden="1">
      <c r="A902" s="34" t="s">
        <v>830</v>
      </c>
      <c r="B902" s="34" t="s">
        <v>831</v>
      </c>
      <c r="C902" s="34" t="s">
        <v>149</v>
      </c>
      <c r="D902" s="34" t="s">
        <v>150</v>
      </c>
      <c r="E902" s="34" t="s">
        <v>9</v>
      </c>
      <c r="F902" s="34" t="s">
        <v>832</v>
      </c>
      <c r="G902" s="54">
        <v>1731331167</v>
      </c>
      <c r="H902" s="54" t="s">
        <v>229</v>
      </c>
      <c r="I902" s="54" t="s">
        <v>3514</v>
      </c>
      <c r="J902" s="34" t="s">
        <v>3421</v>
      </c>
      <c r="K902" s="50">
        <v>130000</v>
      </c>
      <c r="L902" s="43">
        <v>15510</v>
      </c>
      <c r="M902" s="44">
        <f t="shared" si="68"/>
        <v>0.11930769230769231</v>
      </c>
      <c r="N902" s="49">
        <f>ROUND(L902/Summary!$C$3*Summary!$C$2,0)</f>
        <v>48081</v>
      </c>
      <c r="O902" s="44">
        <f t="shared" si="69"/>
        <v>0.36985384615384614</v>
      </c>
      <c r="P902" s="78">
        <v>10</v>
      </c>
      <c r="Q902" s="34">
        <v>0</v>
      </c>
      <c r="R902" s="35">
        <f t="shared" si="70"/>
        <v>0</v>
      </c>
      <c r="S902" s="49">
        <f>ROUND(Q902/Summary!$C$3*Summary!$C$2,0)</f>
        <v>0</v>
      </c>
      <c r="T902" s="44">
        <f t="shared" si="71"/>
        <v>0</v>
      </c>
      <c r="U902" s="34">
        <v>0</v>
      </c>
      <c r="V902" s="34">
        <v>0</v>
      </c>
      <c r="W902" s="34">
        <v>0</v>
      </c>
      <c r="X902" s="34">
        <v>0</v>
      </c>
    </row>
    <row r="903" spans="1:24" hidden="1">
      <c r="A903" s="34" t="s">
        <v>815</v>
      </c>
      <c r="B903" s="34" t="s">
        <v>816</v>
      </c>
      <c r="C903" s="34" t="s">
        <v>149</v>
      </c>
      <c r="D903" s="34" t="s">
        <v>150</v>
      </c>
      <c r="E903" s="34" t="s">
        <v>9</v>
      </c>
      <c r="F903" s="34" t="s">
        <v>817</v>
      </c>
      <c r="G903" s="54">
        <v>1715483542</v>
      </c>
      <c r="H903" s="54" t="s">
        <v>229</v>
      </c>
      <c r="I903" s="54" t="s">
        <v>3514</v>
      </c>
      <c r="J903" s="34" t="s">
        <v>3421</v>
      </c>
      <c r="K903" s="50">
        <v>130000</v>
      </c>
      <c r="L903" s="43">
        <v>30440</v>
      </c>
      <c r="M903" s="44">
        <f t="shared" si="68"/>
        <v>0.23415384615384616</v>
      </c>
      <c r="N903" s="49">
        <f>ROUND(L903/Summary!$C$3*Summary!$C$2,0)</f>
        <v>94364</v>
      </c>
      <c r="O903" s="44">
        <f t="shared" si="69"/>
        <v>0.72587692307692309</v>
      </c>
      <c r="P903" s="78">
        <v>10</v>
      </c>
      <c r="Q903" s="34">
        <v>0</v>
      </c>
      <c r="R903" s="35">
        <f t="shared" si="70"/>
        <v>0</v>
      </c>
      <c r="S903" s="49">
        <f>ROUND(Q903/Summary!$C$3*Summary!$C$2,0)</f>
        <v>0</v>
      </c>
      <c r="T903" s="44">
        <f t="shared" si="71"/>
        <v>0</v>
      </c>
      <c r="U903" s="34">
        <v>1</v>
      </c>
      <c r="V903" s="34">
        <v>0</v>
      </c>
      <c r="W903" s="34">
        <v>0</v>
      </c>
      <c r="X903" s="34">
        <v>0</v>
      </c>
    </row>
    <row r="904" spans="1:24" hidden="1">
      <c r="A904" s="34" t="s">
        <v>735</v>
      </c>
      <c r="B904" s="34" t="s">
        <v>736</v>
      </c>
      <c r="C904" s="34" t="s">
        <v>149</v>
      </c>
      <c r="D904" s="34" t="s">
        <v>150</v>
      </c>
      <c r="E904" s="34" t="s">
        <v>9</v>
      </c>
      <c r="F904" s="34" t="s">
        <v>737</v>
      </c>
      <c r="G904" s="54">
        <v>1716433588</v>
      </c>
      <c r="H904" s="54" t="s">
        <v>229</v>
      </c>
      <c r="I904" s="54" t="s">
        <v>3514</v>
      </c>
      <c r="J904" s="34" t="s">
        <v>3515</v>
      </c>
      <c r="K904" s="50">
        <v>130000</v>
      </c>
      <c r="L904" s="43">
        <v>39230</v>
      </c>
      <c r="M904" s="44">
        <f t="shared" si="68"/>
        <v>0.30176923076923079</v>
      </c>
      <c r="N904" s="49">
        <f>ROUND(L904/Summary!$C$3*Summary!$C$2,0)</f>
        <v>121613</v>
      </c>
      <c r="O904" s="44">
        <f t="shared" si="69"/>
        <v>0.93548461538461536</v>
      </c>
      <c r="P904" s="78">
        <v>10</v>
      </c>
      <c r="Q904" s="34">
        <v>2</v>
      </c>
      <c r="R904" s="35">
        <f t="shared" si="70"/>
        <v>0.2</v>
      </c>
      <c r="S904" s="49">
        <f>ROUND(Q904/Summary!$C$3*Summary!$C$2,0)</f>
        <v>6</v>
      </c>
      <c r="T904" s="44">
        <f t="shared" si="71"/>
        <v>0.6</v>
      </c>
      <c r="U904" s="34">
        <v>1</v>
      </c>
      <c r="V904" s="34">
        <v>1</v>
      </c>
      <c r="W904" s="34">
        <v>0</v>
      </c>
      <c r="X904" s="34">
        <v>0</v>
      </c>
    </row>
    <row r="905" spans="1:24" hidden="1">
      <c r="A905" s="34" t="s">
        <v>827</v>
      </c>
      <c r="B905" s="34" t="s">
        <v>103</v>
      </c>
      <c r="C905" s="34" t="s">
        <v>149</v>
      </c>
      <c r="D905" s="34" t="s">
        <v>150</v>
      </c>
      <c r="E905" s="34" t="s">
        <v>9</v>
      </c>
      <c r="F905" s="34" t="s">
        <v>828</v>
      </c>
      <c r="G905" s="54">
        <v>1721418115</v>
      </c>
      <c r="H905" s="54" t="s">
        <v>229</v>
      </c>
      <c r="I905" s="54" t="s">
        <v>3514</v>
      </c>
      <c r="J905" s="34" t="s">
        <v>3421</v>
      </c>
      <c r="K905" s="50">
        <v>130000</v>
      </c>
      <c r="L905" s="43">
        <v>5790</v>
      </c>
      <c r="M905" s="44">
        <f t="shared" si="68"/>
        <v>4.4538461538461541E-2</v>
      </c>
      <c r="N905" s="49">
        <f>ROUND(L905/Summary!$C$3*Summary!$C$2,0)</f>
        <v>17949</v>
      </c>
      <c r="O905" s="44">
        <f t="shared" si="69"/>
        <v>0.13806923076923078</v>
      </c>
      <c r="P905" s="78">
        <v>10</v>
      </c>
      <c r="Q905" s="34">
        <v>0</v>
      </c>
      <c r="R905" s="35">
        <f t="shared" si="70"/>
        <v>0</v>
      </c>
      <c r="S905" s="49">
        <f>ROUND(Q905/Summary!$C$3*Summary!$C$2,0)</f>
        <v>0</v>
      </c>
      <c r="T905" s="44">
        <f t="shared" si="71"/>
        <v>0</v>
      </c>
      <c r="U905" s="34">
        <v>1</v>
      </c>
      <c r="V905" s="34">
        <v>0</v>
      </c>
      <c r="W905" s="34">
        <v>0</v>
      </c>
      <c r="X905" s="34">
        <v>0</v>
      </c>
    </row>
    <row r="906" spans="1:24" hidden="1">
      <c r="A906" s="34" t="s">
        <v>771</v>
      </c>
      <c r="B906" s="34" t="s">
        <v>772</v>
      </c>
      <c r="C906" s="34" t="s">
        <v>149</v>
      </c>
      <c r="D906" s="34" t="s">
        <v>150</v>
      </c>
      <c r="E906" s="34" t="s">
        <v>9</v>
      </c>
      <c r="F906" s="34" t="s">
        <v>773</v>
      </c>
      <c r="G906" s="54">
        <v>1717321847</v>
      </c>
      <c r="H906" s="54" t="s">
        <v>229</v>
      </c>
      <c r="I906" s="54" t="s">
        <v>3514</v>
      </c>
      <c r="J906" s="34" t="s">
        <v>3419</v>
      </c>
      <c r="K906" s="50">
        <v>130000</v>
      </c>
      <c r="L906" s="43">
        <v>18620</v>
      </c>
      <c r="M906" s="44">
        <f t="shared" ref="M906:M969" si="72">L906/K906</f>
        <v>0.14323076923076922</v>
      </c>
      <c r="N906" s="49">
        <f>ROUND(L906/Summary!$C$3*Summary!$C$2,0)</f>
        <v>57722</v>
      </c>
      <c r="O906" s="44">
        <f t="shared" ref="O906:O969" si="73">N906/K906</f>
        <v>0.44401538461538459</v>
      </c>
      <c r="P906" s="78">
        <v>10</v>
      </c>
      <c r="Q906" s="34">
        <v>1</v>
      </c>
      <c r="R906" s="35">
        <f t="shared" ref="R906:R969" si="74">Q906/P906</f>
        <v>0.1</v>
      </c>
      <c r="S906" s="49">
        <f>ROUND(Q906/Summary!$C$3*Summary!$C$2,0)</f>
        <v>3</v>
      </c>
      <c r="T906" s="44">
        <f t="shared" ref="T906:T969" si="75">S906/P906</f>
        <v>0.3</v>
      </c>
      <c r="U906" s="34">
        <v>1</v>
      </c>
      <c r="V906" s="34">
        <v>0</v>
      </c>
      <c r="W906" s="34">
        <v>0</v>
      </c>
      <c r="X906" s="34">
        <v>0</v>
      </c>
    </row>
    <row r="907" spans="1:24" hidden="1">
      <c r="A907" s="34" t="s">
        <v>779</v>
      </c>
      <c r="B907" s="34" t="s">
        <v>780</v>
      </c>
      <c r="C907" s="34" t="s">
        <v>149</v>
      </c>
      <c r="D907" s="34" t="s">
        <v>150</v>
      </c>
      <c r="E907" s="34" t="s">
        <v>9</v>
      </c>
      <c r="F907" s="34" t="s">
        <v>781</v>
      </c>
      <c r="G907" s="54">
        <v>1718442859</v>
      </c>
      <c r="H907" s="54" t="s">
        <v>229</v>
      </c>
      <c r="I907" s="54" t="s">
        <v>3514</v>
      </c>
      <c r="J907" s="34" t="s">
        <v>3421</v>
      </c>
      <c r="K907" s="50">
        <v>130000</v>
      </c>
      <c r="L907" s="43">
        <v>35870</v>
      </c>
      <c r="M907" s="44">
        <f t="shared" si="72"/>
        <v>0.27592307692307694</v>
      </c>
      <c r="N907" s="49">
        <f>ROUND(L907/Summary!$C$3*Summary!$C$2,0)</f>
        <v>111197</v>
      </c>
      <c r="O907" s="44">
        <f t="shared" si="73"/>
        <v>0.85536153846153851</v>
      </c>
      <c r="P907" s="78">
        <v>10</v>
      </c>
      <c r="Q907" s="34">
        <v>4</v>
      </c>
      <c r="R907" s="35">
        <f t="shared" si="74"/>
        <v>0.4</v>
      </c>
      <c r="S907" s="49">
        <f>ROUND(Q907/Summary!$C$3*Summary!$C$2,0)</f>
        <v>12</v>
      </c>
      <c r="T907" s="44">
        <f t="shared" si="75"/>
        <v>1.2</v>
      </c>
      <c r="U907" s="34">
        <v>0</v>
      </c>
      <c r="V907" s="34">
        <v>0</v>
      </c>
      <c r="W907" s="34">
        <v>0</v>
      </c>
      <c r="X907" s="34">
        <v>0</v>
      </c>
    </row>
    <row r="908" spans="1:24" hidden="1">
      <c r="A908" s="34" t="s">
        <v>3107</v>
      </c>
      <c r="B908" s="34" t="s">
        <v>3108</v>
      </c>
      <c r="C908" s="34" t="s">
        <v>179</v>
      </c>
      <c r="D908" s="34" t="s">
        <v>150</v>
      </c>
      <c r="E908" s="34" t="s">
        <v>9</v>
      </c>
      <c r="F908" s="34" t="s">
        <v>3109</v>
      </c>
      <c r="G908" s="54">
        <v>1724081211</v>
      </c>
      <c r="H908" s="54" t="s">
        <v>229</v>
      </c>
      <c r="I908" s="54" t="s">
        <v>3514</v>
      </c>
      <c r="J908" s="34" t="s">
        <v>3421</v>
      </c>
      <c r="K908" s="50">
        <v>130000</v>
      </c>
      <c r="L908" s="43">
        <v>27250</v>
      </c>
      <c r="M908" s="44">
        <f t="shared" si="72"/>
        <v>0.20961538461538462</v>
      </c>
      <c r="N908" s="49">
        <f>ROUND(L908/Summary!$C$3*Summary!$C$2,0)</f>
        <v>84475</v>
      </c>
      <c r="O908" s="44">
        <f t="shared" si="73"/>
        <v>0.64980769230769231</v>
      </c>
      <c r="P908" s="78">
        <v>10</v>
      </c>
      <c r="Q908" s="34">
        <v>0</v>
      </c>
      <c r="R908" s="35">
        <f t="shared" si="74"/>
        <v>0</v>
      </c>
      <c r="S908" s="49">
        <f>ROUND(Q908/Summary!$C$3*Summary!$C$2,0)</f>
        <v>0</v>
      </c>
      <c r="T908" s="44">
        <f t="shared" si="75"/>
        <v>0</v>
      </c>
      <c r="U908" s="34">
        <v>2</v>
      </c>
      <c r="V908" s="34">
        <v>0</v>
      </c>
      <c r="W908" s="34">
        <v>0</v>
      </c>
      <c r="X908" s="34">
        <v>0</v>
      </c>
    </row>
    <row r="909" spans="1:24" hidden="1">
      <c r="A909" s="34" t="s">
        <v>750</v>
      </c>
      <c r="B909" s="34" t="s">
        <v>751</v>
      </c>
      <c r="C909" s="34" t="s">
        <v>179</v>
      </c>
      <c r="D909" s="34" t="s">
        <v>150</v>
      </c>
      <c r="E909" s="34" t="s">
        <v>9</v>
      </c>
      <c r="F909" s="34" t="s">
        <v>752</v>
      </c>
      <c r="G909" s="54">
        <v>1739893568</v>
      </c>
      <c r="H909" s="54" t="s">
        <v>229</v>
      </c>
      <c r="I909" s="54" t="s">
        <v>3514</v>
      </c>
      <c r="J909" s="34" t="s">
        <v>3421</v>
      </c>
      <c r="K909" s="50">
        <v>178422</v>
      </c>
      <c r="L909" s="43">
        <v>41989</v>
      </c>
      <c r="M909" s="44">
        <f t="shared" si="72"/>
        <v>0.23533532860297496</v>
      </c>
      <c r="N909" s="49">
        <f>ROUND(L909/Summary!$C$3*Summary!$C$2,0)</f>
        <v>130166</v>
      </c>
      <c r="O909" s="44">
        <f t="shared" si="73"/>
        <v>0.72954007913822283</v>
      </c>
      <c r="P909" s="78">
        <v>10</v>
      </c>
      <c r="Q909" s="34">
        <v>3</v>
      </c>
      <c r="R909" s="35">
        <f t="shared" si="74"/>
        <v>0.3</v>
      </c>
      <c r="S909" s="49">
        <f>ROUND(Q909/Summary!$C$3*Summary!$C$2,0)</f>
        <v>9</v>
      </c>
      <c r="T909" s="44">
        <f t="shared" si="75"/>
        <v>0.9</v>
      </c>
      <c r="U909" s="34">
        <v>0</v>
      </c>
      <c r="V909" s="34">
        <v>0</v>
      </c>
      <c r="W909" s="34">
        <v>0</v>
      </c>
      <c r="X909" s="34">
        <v>0</v>
      </c>
    </row>
    <row r="910" spans="1:24" hidden="1">
      <c r="A910" s="34" t="s">
        <v>709</v>
      </c>
      <c r="B910" s="34" t="s">
        <v>710</v>
      </c>
      <c r="C910" s="34" t="s">
        <v>677</v>
      </c>
      <c r="D910" s="34" t="s">
        <v>79</v>
      </c>
      <c r="E910" s="34" t="s">
        <v>9</v>
      </c>
      <c r="F910" s="34" t="s">
        <v>711</v>
      </c>
      <c r="G910" s="54">
        <v>1759886251</v>
      </c>
      <c r="H910" s="54" t="s">
        <v>229</v>
      </c>
      <c r="I910" s="54" t="s">
        <v>3514</v>
      </c>
      <c r="J910" s="34" t="s">
        <v>3421</v>
      </c>
      <c r="K910" s="50">
        <v>135000</v>
      </c>
      <c r="L910" s="43">
        <v>34930</v>
      </c>
      <c r="M910" s="44">
        <f t="shared" si="72"/>
        <v>0.25874074074074072</v>
      </c>
      <c r="N910" s="49">
        <f>ROUND(L910/Summary!$C$3*Summary!$C$2,0)</f>
        <v>108283</v>
      </c>
      <c r="O910" s="44">
        <f t="shared" si="73"/>
        <v>0.80209629629629631</v>
      </c>
      <c r="P910" s="78">
        <v>11</v>
      </c>
      <c r="Q910" s="34">
        <v>0</v>
      </c>
      <c r="R910" s="35">
        <f t="shared" si="74"/>
        <v>0</v>
      </c>
      <c r="S910" s="49">
        <f>ROUND(Q910/Summary!$C$3*Summary!$C$2,0)</f>
        <v>0</v>
      </c>
      <c r="T910" s="44">
        <f t="shared" si="75"/>
        <v>0</v>
      </c>
      <c r="U910" s="34">
        <v>1</v>
      </c>
      <c r="V910" s="34">
        <v>0</v>
      </c>
      <c r="W910" s="34">
        <v>0</v>
      </c>
      <c r="X910" s="34">
        <v>0</v>
      </c>
    </row>
    <row r="911" spans="1:24" hidden="1">
      <c r="A911" s="34" t="s">
        <v>685</v>
      </c>
      <c r="B911" s="34" t="s">
        <v>686</v>
      </c>
      <c r="C911" s="34" t="s">
        <v>677</v>
      </c>
      <c r="D911" s="34" t="s">
        <v>79</v>
      </c>
      <c r="E911" s="34" t="s">
        <v>9</v>
      </c>
      <c r="F911" s="34" t="s">
        <v>687</v>
      </c>
      <c r="G911" s="54">
        <v>1787203846</v>
      </c>
      <c r="H911" s="54" t="s">
        <v>229</v>
      </c>
      <c r="I911" s="54" t="s">
        <v>3514</v>
      </c>
      <c r="J911" s="34" t="s">
        <v>3421</v>
      </c>
      <c r="K911" s="50">
        <v>164188</v>
      </c>
      <c r="L911" s="43">
        <v>44330</v>
      </c>
      <c r="M911" s="44">
        <f t="shared" si="72"/>
        <v>0.26999537115988986</v>
      </c>
      <c r="N911" s="49">
        <f>ROUND(L911/Summary!$C$3*Summary!$C$2,0)</f>
        <v>137423</v>
      </c>
      <c r="O911" s="44">
        <f t="shared" si="73"/>
        <v>0.83698565059565866</v>
      </c>
      <c r="P911" s="78">
        <v>10</v>
      </c>
      <c r="Q911" s="34">
        <v>2</v>
      </c>
      <c r="R911" s="35">
        <f t="shared" si="74"/>
        <v>0.2</v>
      </c>
      <c r="S911" s="49">
        <f>ROUND(Q911/Summary!$C$3*Summary!$C$2,0)</f>
        <v>6</v>
      </c>
      <c r="T911" s="44">
        <f t="shared" si="75"/>
        <v>0.6</v>
      </c>
      <c r="U911" s="34">
        <v>1</v>
      </c>
      <c r="V911" s="34">
        <v>0</v>
      </c>
      <c r="W911" s="34">
        <v>0</v>
      </c>
      <c r="X911" s="34">
        <v>0</v>
      </c>
    </row>
    <row r="912" spans="1:24" hidden="1">
      <c r="A912" s="34" t="s">
        <v>2981</v>
      </c>
      <c r="B912" s="34" t="s">
        <v>2982</v>
      </c>
      <c r="C912" s="34" t="s">
        <v>677</v>
      </c>
      <c r="D912" s="34" t="s">
        <v>79</v>
      </c>
      <c r="E912" s="34" t="s">
        <v>9</v>
      </c>
      <c r="F912" s="34" t="s">
        <v>2983</v>
      </c>
      <c r="G912" s="54">
        <v>1721914367</v>
      </c>
      <c r="H912" s="54" t="s">
        <v>229</v>
      </c>
      <c r="I912" s="54" t="s">
        <v>3514</v>
      </c>
      <c r="J912" s="34" t="s">
        <v>3421</v>
      </c>
      <c r="K912" s="50">
        <v>130000</v>
      </c>
      <c r="L912" s="43">
        <v>24210</v>
      </c>
      <c r="M912" s="44">
        <f t="shared" si="72"/>
        <v>0.18623076923076923</v>
      </c>
      <c r="N912" s="49">
        <f>ROUND(L912/Summary!$C$3*Summary!$C$2,0)</f>
        <v>75051</v>
      </c>
      <c r="O912" s="44">
        <f t="shared" si="73"/>
        <v>0.57731538461538456</v>
      </c>
      <c r="P912" s="78">
        <v>10</v>
      </c>
      <c r="Q912" s="34">
        <v>2</v>
      </c>
      <c r="R912" s="35">
        <f t="shared" si="74"/>
        <v>0.2</v>
      </c>
      <c r="S912" s="49">
        <f>ROUND(Q912/Summary!$C$3*Summary!$C$2,0)</f>
        <v>6</v>
      </c>
      <c r="T912" s="44">
        <f t="shared" si="75"/>
        <v>0.6</v>
      </c>
      <c r="U912" s="34">
        <v>0</v>
      </c>
      <c r="V912" s="34">
        <v>0</v>
      </c>
      <c r="W912" s="34">
        <v>1</v>
      </c>
      <c r="X912" s="34">
        <v>0</v>
      </c>
    </row>
    <row r="913" spans="1:24" hidden="1">
      <c r="A913" s="34" t="s">
        <v>732</v>
      </c>
      <c r="B913" s="34" t="s">
        <v>733</v>
      </c>
      <c r="C913" s="34" t="s">
        <v>677</v>
      </c>
      <c r="D913" s="34" t="s">
        <v>79</v>
      </c>
      <c r="E913" s="34" t="s">
        <v>9</v>
      </c>
      <c r="F913" s="34" t="s">
        <v>734</v>
      </c>
      <c r="G913" s="54">
        <v>1761545426</v>
      </c>
      <c r="H913" s="54" t="s">
        <v>229</v>
      </c>
      <c r="I913" s="54" t="s">
        <v>3514</v>
      </c>
      <c r="J913" s="34" t="s">
        <v>3419</v>
      </c>
      <c r="K913" s="50">
        <v>159792</v>
      </c>
      <c r="L913" s="43">
        <v>64800</v>
      </c>
      <c r="M913" s="44">
        <f t="shared" si="72"/>
        <v>0.40552718534094323</v>
      </c>
      <c r="N913" s="49">
        <f>ROUND(L913/Summary!$C$3*Summary!$C$2,0)</f>
        <v>200880</v>
      </c>
      <c r="O913" s="44">
        <f t="shared" si="73"/>
        <v>1.2571342745569241</v>
      </c>
      <c r="P913" s="78">
        <v>10</v>
      </c>
      <c r="Q913" s="34">
        <v>2</v>
      </c>
      <c r="R913" s="35">
        <f t="shared" si="74"/>
        <v>0.2</v>
      </c>
      <c r="S913" s="49">
        <f>ROUND(Q913/Summary!$C$3*Summary!$C$2,0)</f>
        <v>6</v>
      </c>
      <c r="T913" s="44">
        <f t="shared" si="75"/>
        <v>0.6</v>
      </c>
      <c r="U913" s="34">
        <v>3</v>
      </c>
      <c r="V913" s="34">
        <v>0</v>
      </c>
      <c r="W913" s="34">
        <v>0</v>
      </c>
      <c r="X913" s="34">
        <v>0</v>
      </c>
    </row>
    <row r="914" spans="1:24" hidden="1">
      <c r="A914" s="34" t="s">
        <v>694</v>
      </c>
      <c r="B914" s="34" t="s">
        <v>695</v>
      </c>
      <c r="C914" s="34" t="s">
        <v>677</v>
      </c>
      <c r="D914" s="34" t="s">
        <v>79</v>
      </c>
      <c r="E914" s="34" t="s">
        <v>9</v>
      </c>
      <c r="F914" s="34" t="s">
        <v>696</v>
      </c>
      <c r="G914" s="54">
        <v>1751312121</v>
      </c>
      <c r="H914" s="54" t="s">
        <v>229</v>
      </c>
      <c r="I914" s="54" t="s">
        <v>3514</v>
      </c>
      <c r="J914" s="34" t="s">
        <v>3421</v>
      </c>
      <c r="K914" s="50">
        <v>159647</v>
      </c>
      <c r="L914" s="43">
        <v>10080</v>
      </c>
      <c r="M914" s="44">
        <f t="shared" si="72"/>
        <v>6.3139301083014396E-2</v>
      </c>
      <c r="N914" s="49">
        <f>ROUND(L914/Summary!$C$3*Summary!$C$2,0)</f>
        <v>31248</v>
      </c>
      <c r="O914" s="44">
        <f t="shared" si="73"/>
        <v>0.19573183335734465</v>
      </c>
      <c r="P914" s="78">
        <v>13</v>
      </c>
      <c r="Q914" s="34">
        <v>0</v>
      </c>
      <c r="R914" s="35">
        <f t="shared" si="74"/>
        <v>0</v>
      </c>
      <c r="S914" s="49">
        <f>ROUND(Q914/Summary!$C$3*Summary!$C$2,0)</f>
        <v>0</v>
      </c>
      <c r="T914" s="44">
        <f t="shared" si="75"/>
        <v>0</v>
      </c>
      <c r="U914" s="34">
        <v>1</v>
      </c>
      <c r="V914" s="34">
        <v>0</v>
      </c>
      <c r="W914" s="34">
        <v>0</v>
      </c>
      <c r="X914" s="34">
        <v>0</v>
      </c>
    </row>
    <row r="915" spans="1:24" hidden="1">
      <c r="A915" s="34" t="s">
        <v>723</v>
      </c>
      <c r="B915" s="34" t="s">
        <v>724</v>
      </c>
      <c r="C915" s="34" t="s">
        <v>677</v>
      </c>
      <c r="D915" s="34" t="s">
        <v>79</v>
      </c>
      <c r="E915" s="34" t="s">
        <v>9</v>
      </c>
      <c r="F915" s="34" t="s">
        <v>725</v>
      </c>
      <c r="G915" s="54">
        <v>1718775141</v>
      </c>
      <c r="H915" s="54" t="s">
        <v>229</v>
      </c>
      <c r="I915" s="54" t="s">
        <v>3514</v>
      </c>
      <c r="J915" s="34" t="s">
        <v>3419</v>
      </c>
      <c r="K915" s="50">
        <v>177811</v>
      </c>
      <c r="L915" s="43">
        <v>69970</v>
      </c>
      <c r="M915" s="44">
        <f t="shared" si="72"/>
        <v>0.39350771324608713</v>
      </c>
      <c r="N915" s="49">
        <f>ROUND(L915/Summary!$C$3*Summary!$C$2,0)</f>
        <v>216907</v>
      </c>
      <c r="O915" s="44">
        <f t="shared" si="73"/>
        <v>1.21987391106287</v>
      </c>
      <c r="P915" s="78">
        <v>11</v>
      </c>
      <c r="Q915" s="34">
        <v>3</v>
      </c>
      <c r="R915" s="35">
        <f t="shared" si="74"/>
        <v>0.27272727272727271</v>
      </c>
      <c r="S915" s="49">
        <f>ROUND(Q915/Summary!$C$3*Summary!$C$2,0)</f>
        <v>9</v>
      </c>
      <c r="T915" s="44">
        <f t="shared" si="75"/>
        <v>0.81818181818181823</v>
      </c>
      <c r="U915" s="34">
        <v>2</v>
      </c>
      <c r="V915" s="34">
        <v>0</v>
      </c>
      <c r="W915" s="34">
        <v>0</v>
      </c>
      <c r="X915" s="34">
        <v>0</v>
      </c>
    </row>
    <row r="916" spans="1:24" hidden="1">
      <c r="A916" s="34" t="s">
        <v>675</v>
      </c>
      <c r="B916" s="34" t="s">
        <v>676</v>
      </c>
      <c r="C916" s="34" t="s">
        <v>677</v>
      </c>
      <c r="D916" s="34" t="s">
        <v>79</v>
      </c>
      <c r="E916" s="34" t="s">
        <v>9</v>
      </c>
      <c r="F916" s="34" t="s">
        <v>678</v>
      </c>
      <c r="G916" s="54">
        <v>1721033023</v>
      </c>
      <c r="H916" s="54" t="s">
        <v>229</v>
      </c>
      <c r="I916" s="54" t="s">
        <v>3514</v>
      </c>
      <c r="J916" s="34" t="s">
        <v>3419</v>
      </c>
      <c r="K916" s="50">
        <v>165005</v>
      </c>
      <c r="L916" s="43">
        <v>62865</v>
      </c>
      <c r="M916" s="44">
        <f t="shared" si="72"/>
        <v>0.38098845489530619</v>
      </c>
      <c r="N916" s="49">
        <f>ROUND(L916/Summary!$C$3*Summary!$C$2,0)</f>
        <v>194882</v>
      </c>
      <c r="O916" s="44">
        <f t="shared" si="73"/>
        <v>1.1810672403866549</v>
      </c>
      <c r="P916" s="78">
        <v>10</v>
      </c>
      <c r="Q916" s="34">
        <v>3</v>
      </c>
      <c r="R916" s="35">
        <f t="shared" si="74"/>
        <v>0.3</v>
      </c>
      <c r="S916" s="49">
        <f>ROUND(Q916/Summary!$C$3*Summary!$C$2,0)</f>
        <v>9</v>
      </c>
      <c r="T916" s="44">
        <f t="shared" si="75"/>
        <v>0.9</v>
      </c>
      <c r="U916" s="34">
        <v>0</v>
      </c>
      <c r="V916" s="34">
        <v>1</v>
      </c>
      <c r="W916" s="34">
        <v>0</v>
      </c>
      <c r="X916" s="34">
        <v>0</v>
      </c>
    </row>
    <row r="917" spans="1:24" hidden="1">
      <c r="A917" s="34" t="s">
        <v>682</v>
      </c>
      <c r="B917" s="34" t="s">
        <v>683</v>
      </c>
      <c r="C917" s="34" t="s">
        <v>677</v>
      </c>
      <c r="D917" s="34" t="s">
        <v>79</v>
      </c>
      <c r="E917" s="34" t="s">
        <v>9</v>
      </c>
      <c r="F917" s="34" t="s">
        <v>684</v>
      </c>
      <c r="G917" s="54">
        <v>1732657022</v>
      </c>
      <c r="H917" s="54" t="s">
        <v>229</v>
      </c>
      <c r="I917" s="54" t="s">
        <v>3514</v>
      </c>
      <c r="J917" s="34" t="s">
        <v>3421</v>
      </c>
      <c r="K917" s="50">
        <v>142979</v>
      </c>
      <c r="L917" s="43">
        <v>36940</v>
      </c>
      <c r="M917" s="44">
        <f t="shared" si="72"/>
        <v>0.25835961924478418</v>
      </c>
      <c r="N917" s="49">
        <f>ROUND(L917/Summary!$C$3*Summary!$C$2,0)</f>
        <v>114514</v>
      </c>
      <c r="O917" s="44">
        <f t="shared" si="73"/>
        <v>0.80091481965883105</v>
      </c>
      <c r="P917" s="78">
        <v>10</v>
      </c>
      <c r="Q917" s="34">
        <v>2</v>
      </c>
      <c r="R917" s="35">
        <f t="shared" si="74"/>
        <v>0.2</v>
      </c>
      <c r="S917" s="49">
        <f>ROUND(Q917/Summary!$C$3*Summary!$C$2,0)</f>
        <v>6</v>
      </c>
      <c r="T917" s="44">
        <f t="shared" si="75"/>
        <v>0.6</v>
      </c>
      <c r="U917" s="34">
        <v>0</v>
      </c>
      <c r="V917" s="34">
        <v>0</v>
      </c>
      <c r="W917" s="34">
        <v>0</v>
      </c>
      <c r="X917" s="34">
        <v>1</v>
      </c>
    </row>
    <row r="918" spans="1:24" hidden="1">
      <c r="A918" s="34" t="s">
        <v>706</v>
      </c>
      <c r="B918" s="34" t="s">
        <v>707</v>
      </c>
      <c r="C918" s="34" t="s">
        <v>677</v>
      </c>
      <c r="D918" s="34" t="s">
        <v>79</v>
      </c>
      <c r="E918" s="34" t="s">
        <v>9</v>
      </c>
      <c r="F918" s="34" t="s">
        <v>708</v>
      </c>
      <c r="G918" s="54">
        <v>1711578644</v>
      </c>
      <c r="H918" s="54" t="s">
        <v>229</v>
      </c>
      <c r="I918" s="54" t="s">
        <v>3514</v>
      </c>
      <c r="J918" s="34" t="s">
        <v>3419</v>
      </c>
      <c r="K918" s="50">
        <v>194979</v>
      </c>
      <c r="L918" s="43">
        <v>44828</v>
      </c>
      <c r="M918" s="44">
        <f t="shared" si="72"/>
        <v>0.22991193923448167</v>
      </c>
      <c r="N918" s="49">
        <f>ROUND(L918/Summary!$C$3*Summary!$C$2,0)</f>
        <v>138967</v>
      </c>
      <c r="O918" s="44">
        <f t="shared" si="73"/>
        <v>0.7127280373783843</v>
      </c>
      <c r="P918" s="78">
        <v>11</v>
      </c>
      <c r="Q918" s="34">
        <v>1</v>
      </c>
      <c r="R918" s="35">
        <f t="shared" si="74"/>
        <v>9.0909090909090912E-2</v>
      </c>
      <c r="S918" s="49">
        <f>ROUND(Q918/Summary!$C$3*Summary!$C$2,0)</f>
        <v>3</v>
      </c>
      <c r="T918" s="44">
        <f t="shared" si="75"/>
        <v>0.27272727272727271</v>
      </c>
      <c r="U918" s="34">
        <v>1</v>
      </c>
      <c r="V918" s="34">
        <v>1</v>
      </c>
      <c r="W918" s="34">
        <v>0</v>
      </c>
      <c r="X918" s="34">
        <v>0</v>
      </c>
    </row>
    <row r="919" spans="1:24" hidden="1">
      <c r="A919" s="34" t="s">
        <v>3115</v>
      </c>
      <c r="B919" s="34" t="s">
        <v>3116</v>
      </c>
      <c r="C919" s="34" t="s">
        <v>677</v>
      </c>
      <c r="D919" s="34" t="s">
        <v>79</v>
      </c>
      <c r="E919" s="34" t="s">
        <v>9</v>
      </c>
      <c r="F919" s="34" t="s">
        <v>3117</v>
      </c>
      <c r="G919" s="54">
        <v>1719898008</v>
      </c>
      <c r="H919" s="54" t="s">
        <v>229</v>
      </c>
      <c r="I919" s="54" t="s">
        <v>3514</v>
      </c>
      <c r="J919" s="34" t="s">
        <v>3421</v>
      </c>
      <c r="K919" s="50">
        <v>130000</v>
      </c>
      <c r="L919" s="43">
        <v>21560</v>
      </c>
      <c r="M919" s="44">
        <f t="shared" si="72"/>
        <v>0.16584615384615384</v>
      </c>
      <c r="N919" s="49">
        <f>ROUND(L919/Summary!$C$3*Summary!$C$2,0)</f>
        <v>66836</v>
      </c>
      <c r="O919" s="44">
        <f t="shared" si="73"/>
        <v>0.5141230769230769</v>
      </c>
      <c r="P919" s="78">
        <v>10</v>
      </c>
      <c r="Q919" s="34">
        <v>1</v>
      </c>
      <c r="R919" s="35">
        <f t="shared" si="74"/>
        <v>0.1</v>
      </c>
      <c r="S919" s="49">
        <f>ROUND(Q919/Summary!$C$3*Summary!$C$2,0)</f>
        <v>3</v>
      </c>
      <c r="T919" s="44">
        <f t="shared" si="75"/>
        <v>0.3</v>
      </c>
      <c r="U919" s="34">
        <v>0</v>
      </c>
      <c r="V919" s="34">
        <v>1</v>
      </c>
      <c r="W919" s="34">
        <v>0</v>
      </c>
      <c r="X919" s="34">
        <v>0</v>
      </c>
    </row>
    <row r="920" spans="1:24" hidden="1">
      <c r="A920" s="34" t="s">
        <v>2978</v>
      </c>
      <c r="B920" s="34" t="s">
        <v>2979</v>
      </c>
      <c r="C920" s="34" t="s">
        <v>677</v>
      </c>
      <c r="D920" s="34" t="s">
        <v>79</v>
      </c>
      <c r="E920" s="34" t="s">
        <v>9</v>
      </c>
      <c r="F920" s="34" t="s">
        <v>2980</v>
      </c>
      <c r="G920" s="54">
        <v>1780003008</v>
      </c>
      <c r="H920" s="54" t="s">
        <v>229</v>
      </c>
      <c r="I920" s="54" t="s">
        <v>3514</v>
      </c>
      <c r="J920" s="34" t="s">
        <v>3421</v>
      </c>
      <c r="K920" s="50">
        <v>135000</v>
      </c>
      <c r="L920" s="43">
        <v>39880</v>
      </c>
      <c r="M920" s="44">
        <f t="shared" si="72"/>
        <v>0.2954074074074074</v>
      </c>
      <c r="N920" s="49">
        <f>ROUND(L920/Summary!$C$3*Summary!$C$2,0)</f>
        <v>123628</v>
      </c>
      <c r="O920" s="44">
        <f t="shared" si="73"/>
        <v>0.915762962962963</v>
      </c>
      <c r="P920" s="78">
        <v>10</v>
      </c>
      <c r="Q920" s="34">
        <v>3</v>
      </c>
      <c r="R920" s="35">
        <f t="shared" si="74"/>
        <v>0.3</v>
      </c>
      <c r="S920" s="49">
        <f>ROUND(Q920/Summary!$C$3*Summary!$C$2,0)</f>
        <v>9</v>
      </c>
      <c r="T920" s="44">
        <f t="shared" si="75"/>
        <v>0.9</v>
      </c>
      <c r="U920" s="34">
        <v>1</v>
      </c>
      <c r="V920" s="34">
        <v>1</v>
      </c>
      <c r="W920" s="34">
        <v>0</v>
      </c>
      <c r="X920" s="34">
        <v>0</v>
      </c>
    </row>
    <row r="921" spans="1:24" hidden="1">
      <c r="A921" s="34" t="s">
        <v>3118</v>
      </c>
      <c r="B921" s="34" t="s">
        <v>2307</v>
      </c>
      <c r="C921" s="34" t="s">
        <v>677</v>
      </c>
      <c r="D921" s="34" t="s">
        <v>79</v>
      </c>
      <c r="E921" s="34" t="s">
        <v>9</v>
      </c>
      <c r="F921" s="34" t="s">
        <v>3119</v>
      </c>
      <c r="G921" s="54">
        <v>1722037989</v>
      </c>
      <c r="H921" s="54" t="s">
        <v>229</v>
      </c>
      <c r="I921" s="54" t="s">
        <v>3514</v>
      </c>
      <c r="J921" s="34" t="s">
        <v>3421</v>
      </c>
      <c r="K921" s="50">
        <v>135000</v>
      </c>
      <c r="L921" s="43">
        <v>19420</v>
      </c>
      <c r="M921" s="44">
        <f t="shared" si="72"/>
        <v>0.14385185185185184</v>
      </c>
      <c r="N921" s="49">
        <f>ROUND(L921/Summary!$C$3*Summary!$C$2,0)</f>
        <v>60202</v>
      </c>
      <c r="O921" s="44">
        <f t="shared" si="73"/>
        <v>0.44594074074074075</v>
      </c>
      <c r="P921" s="78">
        <v>10</v>
      </c>
      <c r="Q921" s="34">
        <v>2</v>
      </c>
      <c r="R921" s="35">
        <f t="shared" si="74"/>
        <v>0.2</v>
      </c>
      <c r="S921" s="49">
        <f>ROUND(Q921/Summary!$C$3*Summary!$C$2,0)</f>
        <v>6</v>
      </c>
      <c r="T921" s="44">
        <f t="shared" si="75"/>
        <v>0.6</v>
      </c>
      <c r="U921" s="34">
        <v>0</v>
      </c>
      <c r="V921" s="34">
        <v>1</v>
      </c>
      <c r="W921" s="34">
        <v>0</v>
      </c>
      <c r="X921" s="34">
        <v>0</v>
      </c>
    </row>
    <row r="922" spans="1:24" hidden="1">
      <c r="A922" s="34" t="s">
        <v>822</v>
      </c>
      <c r="B922" s="34" t="s">
        <v>823</v>
      </c>
      <c r="C922" s="34" t="s">
        <v>98</v>
      </c>
      <c r="D922" s="34" t="s">
        <v>79</v>
      </c>
      <c r="E922" s="34" t="s">
        <v>9</v>
      </c>
      <c r="F922" s="34" t="s">
        <v>824</v>
      </c>
      <c r="G922" s="54">
        <v>1740547425</v>
      </c>
      <c r="H922" s="54" t="s">
        <v>229</v>
      </c>
      <c r="I922" s="54" t="s">
        <v>3514</v>
      </c>
      <c r="J922" s="34" t="s">
        <v>3421</v>
      </c>
      <c r="K922" s="50">
        <v>153287</v>
      </c>
      <c r="L922" s="43">
        <v>24900</v>
      </c>
      <c r="M922" s="44">
        <f t="shared" si="72"/>
        <v>0.16244038959598661</v>
      </c>
      <c r="N922" s="49">
        <f>ROUND(L922/Summary!$C$3*Summary!$C$2,0)</f>
        <v>77190</v>
      </c>
      <c r="O922" s="44">
        <f t="shared" si="73"/>
        <v>0.50356520774755853</v>
      </c>
      <c r="P922" s="78">
        <v>10</v>
      </c>
      <c r="Q922" s="34">
        <v>0</v>
      </c>
      <c r="R922" s="35">
        <f t="shared" si="74"/>
        <v>0</v>
      </c>
      <c r="S922" s="49">
        <f>ROUND(Q922/Summary!$C$3*Summary!$C$2,0)</f>
        <v>0</v>
      </c>
      <c r="T922" s="44">
        <f t="shared" si="75"/>
        <v>0</v>
      </c>
      <c r="U922" s="34">
        <v>0</v>
      </c>
      <c r="V922" s="34">
        <v>0</v>
      </c>
      <c r="W922" s="34">
        <v>0</v>
      </c>
      <c r="X922" s="34">
        <v>0</v>
      </c>
    </row>
    <row r="923" spans="1:24" hidden="1">
      <c r="A923" s="34" t="s">
        <v>747</v>
      </c>
      <c r="B923" s="34" t="s">
        <v>748</v>
      </c>
      <c r="C923" s="34" t="s">
        <v>98</v>
      </c>
      <c r="D923" s="34" t="s">
        <v>79</v>
      </c>
      <c r="E923" s="34" t="s">
        <v>9</v>
      </c>
      <c r="F923" s="34" t="s">
        <v>749</v>
      </c>
      <c r="G923" s="54">
        <v>1993574525</v>
      </c>
      <c r="H923" s="54" t="s">
        <v>229</v>
      </c>
      <c r="I923" s="54" t="s">
        <v>3514</v>
      </c>
      <c r="J923" s="34" t="s">
        <v>3419</v>
      </c>
      <c r="K923" s="50">
        <v>150109</v>
      </c>
      <c r="L923" s="43">
        <v>37549</v>
      </c>
      <c r="M923" s="44">
        <f t="shared" si="72"/>
        <v>0.25014489470984419</v>
      </c>
      <c r="N923" s="49">
        <f>ROUND(L923/Summary!$C$3*Summary!$C$2,0)</f>
        <v>116402</v>
      </c>
      <c r="O923" s="44">
        <f t="shared" si="73"/>
        <v>0.7754498397830909</v>
      </c>
      <c r="P923" s="78">
        <v>10</v>
      </c>
      <c r="Q923" s="34">
        <v>3</v>
      </c>
      <c r="R923" s="35">
        <f t="shared" si="74"/>
        <v>0.3</v>
      </c>
      <c r="S923" s="49">
        <f>ROUND(Q923/Summary!$C$3*Summary!$C$2,0)</f>
        <v>9</v>
      </c>
      <c r="T923" s="44">
        <f t="shared" si="75"/>
        <v>0.9</v>
      </c>
      <c r="U923" s="34">
        <v>0</v>
      </c>
      <c r="V923" s="34">
        <v>0</v>
      </c>
      <c r="W923" s="34">
        <v>0</v>
      </c>
      <c r="X923" s="34">
        <v>1</v>
      </c>
    </row>
    <row r="924" spans="1:24" hidden="1">
      <c r="A924" s="34" t="s">
        <v>757</v>
      </c>
      <c r="B924" s="34" t="s">
        <v>758</v>
      </c>
      <c r="C924" s="34" t="s">
        <v>98</v>
      </c>
      <c r="D924" s="34" t="s">
        <v>79</v>
      </c>
      <c r="E924" s="34" t="s">
        <v>9</v>
      </c>
      <c r="F924" s="34" t="s">
        <v>759</v>
      </c>
      <c r="G924" s="54">
        <v>1727968888</v>
      </c>
      <c r="H924" s="54" t="s">
        <v>229</v>
      </c>
      <c r="I924" s="54" t="s">
        <v>3518</v>
      </c>
      <c r="J924" s="34" t="s">
        <v>3419</v>
      </c>
      <c r="K924" s="50">
        <v>309593</v>
      </c>
      <c r="L924" s="43">
        <v>119445</v>
      </c>
      <c r="M924" s="44">
        <f t="shared" si="72"/>
        <v>0.38581298672773612</v>
      </c>
      <c r="N924" s="49">
        <f>ROUND(L924/Summary!$C$3*Summary!$C$2,0)</f>
        <v>370280</v>
      </c>
      <c r="O924" s="44">
        <f t="shared" si="73"/>
        <v>1.1960218738795774</v>
      </c>
      <c r="P924" s="78">
        <v>13</v>
      </c>
      <c r="Q924" s="34">
        <v>9</v>
      </c>
      <c r="R924" s="35">
        <f t="shared" si="74"/>
        <v>0.69230769230769229</v>
      </c>
      <c r="S924" s="49">
        <f>ROUND(Q924/Summary!$C$3*Summary!$C$2,0)</f>
        <v>28</v>
      </c>
      <c r="T924" s="44">
        <f t="shared" si="75"/>
        <v>2.1538461538461537</v>
      </c>
      <c r="U924" s="34">
        <v>1</v>
      </c>
      <c r="V924" s="34">
        <v>4</v>
      </c>
      <c r="W924" s="34">
        <v>0</v>
      </c>
      <c r="X924" s="34">
        <v>0</v>
      </c>
    </row>
    <row r="925" spans="1:24" hidden="1">
      <c r="A925" s="34" t="s">
        <v>669</v>
      </c>
      <c r="B925" s="34" t="s">
        <v>670</v>
      </c>
      <c r="C925" s="34" t="s">
        <v>98</v>
      </c>
      <c r="D925" s="34" t="s">
        <v>79</v>
      </c>
      <c r="E925" s="34" t="s">
        <v>9</v>
      </c>
      <c r="F925" s="34" t="s">
        <v>671</v>
      </c>
      <c r="G925" s="54">
        <v>1913732379</v>
      </c>
      <c r="H925" s="54" t="s">
        <v>229</v>
      </c>
      <c r="I925" s="54" t="s">
        <v>3514</v>
      </c>
      <c r="J925" s="34" t="s">
        <v>3421</v>
      </c>
      <c r="K925" s="50">
        <v>179956</v>
      </c>
      <c r="L925" s="43">
        <v>61999</v>
      </c>
      <c r="M925" s="44">
        <f t="shared" si="72"/>
        <v>0.34452310564804728</v>
      </c>
      <c r="N925" s="49">
        <f>ROUND(L925/Summary!$C$3*Summary!$C$2,0)</f>
        <v>192197</v>
      </c>
      <c r="O925" s="44">
        <f t="shared" si="73"/>
        <v>1.0680221832003378</v>
      </c>
      <c r="P925" s="78">
        <v>11</v>
      </c>
      <c r="Q925" s="34">
        <v>2</v>
      </c>
      <c r="R925" s="35">
        <f t="shared" si="74"/>
        <v>0.18181818181818182</v>
      </c>
      <c r="S925" s="49">
        <f>ROUND(Q925/Summary!$C$3*Summary!$C$2,0)</f>
        <v>6</v>
      </c>
      <c r="T925" s="44">
        <f t="shared" si="75"/>
        <v>0.54545454545454541</v>
      </c>
      <c r="U925" s="34">
        <v>2</v>
      </c>
      <c r="V925" s="34">
        <v>1</v>
      </c>
      <c r="W925" s="34">
        <v>0</v>
      </c>
      <c r="X925" s="34">
        <v>0</v>
      </c>
    </row>
    <row r="926" spans="1:24" hidden="1">
      <c r="A926" s="34" t="s">
        <v>797</v>
      </c>
      <c r="B926" s="34" t="s">
        <v>798</v>
      </c>
      <c r="C926" s="34" t="s">
        <v>98</v>
      </c>
      <c r="D926" s="34" t="s">
        <v>79</v>
      </c>
      <c r="E926" s="34" t="s">
        <v>9</v>
      </c>
      <c r="F926" s="34" t="s">
        <v>799</v>
      </c>
      <c r="G926" s="54">
        <v>1826470169</v>
      </c>
      <c r="H926" s="54" t="s">
        <v>229</v>
      </c>
      <c r="I926" s="54" t="s">
        <v>3514</v>
      </c>
      <c r="J926" s="34" t="s">
        <v>3515</v>
      </c>
      <c r="K926" s="50">
        <v>274960</v>
      </c>
      <c r="L926" s="43">
        <v>129520</v>
      </c>
      <c r="M926" s="44">
        <f t="shared" si="72"/>
        <v>0.47105033459412277</v>
      </c>
      <c r="N926" s="49">
        <f>ROUND(L926/Summary!$C$3*Summary!$C$2,0)</f>
        <v>401512</v>
      </c>
      <c r="O926" s="44">
        <f t="shared" si="73"/>
        <v>1.4602560372417805</v>
      </c>
      <c r="P926" s="78">
        <v>14</v>
      </c>
      <c r="Q926" s="34">
        <v>7</v>
      </c>
      <c r="R926" s="35">
        <f t="shared" si="74"/>
        <v>0.5</v>
      </c>
      <c r="S926" s="49">
        <f>ROUND(Q926/Summary!$C$3*Summary!$C$2,0)</f>
        <v>22</v>
      </c>
      <c r="T926" s="44">
        <f t="shared" si="75"/>
        <v>1.5714285714285714</v>
      </c>
      <c r="U926" s="34">
        <v>5</v>
      </c>
      <c r="V926" s="34">
        <v>3</v>
      </c>
      <c r="W926" s="34">
        <v>0</v>
      </c>
      <c r="X926" s="34">
        <v>0</v>
      </c>
    </row>
    <row r="927" spans="1:24" hidden="1">
      <c r="A927" s="34" t="s">
        <v>846</v>
      </c>
      <c r="B927" s="34" t="s">
        <v>847</v>
      </c>
      <c r="C927" s="34" t="s">
        <v>98</v>
      </c>
      <c r="D927" s="34" t="s">
        <v>79</v>
      </c>
      <c r="E927" s="34" t="s">
        <v>9</v>
      </c>
      <c r="F927" s="34" t="s">
        <v>848</v>
      </c>
      <c r="G927" s="54">
        <v>1711220235</v>
      </c>
      <c r="H927" s="54" t="s">
        <v>229</v>
      </c>
      <c r="I927" s="54" t="s">
        <v>3514</v>
      </c>
      <c r="J927" s="34" t="s">
        <v>3515</v>
      </c>
      <c r="K927" s="50">
        <v>130000</v>
      </c>
      <c r="L927" s="43">
        <v>21660</v>
      </c>
      <c r="M927" s="44">
        <f t="shared" si="72"/>
        <v>0.16661538461538461</v>
      </c>
      <c r="N927" s="49">
        <f>ROUND(L927/Summary!$C$3*Summary!$C$2,0)</f>
        <v>67146</v>
      </c>
      <c r="O927" s="44">
        <f t="shared" si="73"/>
        <v>0.51650769230769233</v>
      </c>
      <c r="P927" s="78">
        <v>10</v>
      </c>
      <c r="Q927" s="34">
        <v>1</v>
      </c>
      <c r="R927" s="35">
        <f t="shared" si="74"/>
        <v>0.1</v>
      </c>
      <c r="S927" s="49">
        <f>ROUND(Q927/Summary!$C$3*Summary!$C$2,0)</f>
        <v>3</v>
      </c>
      <c r="T927" s="44">
        <f t="shared" si="75"/>
        <v>0.3</v>
      </c>
      <c r="U927" s="34">
        <v>0</v>
      </c>
      <c r="V927" s="34">
        <v>0</v>
      </c>
      <c r="W927" s="34">
        <v>0</v>
      </c>
      <c r="X927" s="34">
        <v>0</v>
      </c>
    </row>
    <row r="928" spans="1:24" hidden="1">
      <c r="A928" s="34" t="s">
        <v>672</v>
      </c>
      <c r="B928" s="34" t="s">
        <v>673</v>
      </c>
      <c r="C928" s="34" t="s">
        <v>98</v>
      </c>
      <c r="D928" s="34" t="s">
        <v>79</v>
      </c>
      <c r="E928" s="34" t="s">
        <v>9</v>
      </c>
      <c r="F928" s="34" t="s">
        <v>674</v>
      </c>
      <c r="G928" s="54">
        <v>1928948169</v>
      </c>
      <c r="H928" s="54" t="s">
        <v>229</v>
      </c>
      <c r="I928" s="54" t="s">
        <v>3514</v>
      </c>
      <c r="J928" s="34" t="s">
        <v>3421</v>
      </c>
      <c r="K928" s="50">
        <v>178317</v>
      </c>
      <c r="L928" s="43">
        <v>51910</v>
      </c>
      <c r="M928" s="44">
        <f t="shared" si="72"/>
        <v>0.29111077463169521</v>
      </c>
      <c r="N928" s="49">
        <f>ROUND(L928/Summary!$C$3*Summary!$C$2,0)</f>
        <v>160921</v>
      </c>
      <c r="O928" s="44">
        <f t="shared" si="73"/>
        <v>0.90244340135825529</v>
      </c>
      <c r="P928" s="78">
        <v>10</v>
      </c>
      <c r="Q928" s="34">
        <v>3</v>
      </c>
      <c r="R928" s="35">
        <f t="shared" si="74"/>
        <v>0.3</v>
      </c>
      <c r="S928" s="49">
        <f>ROUND(Q928/Summary!$C$3*Summary!$C$2,0)</f>
        <v>9</v>
      </c>
      <c r="T928" s="44">
        <f t="shared" si="75"/>
        <v>0.9</v>
      </c>
      <c r="U928" s="34">
        <v>1</v>
      </c>
      <c r="V928" s="34">
        <v>0</v>
      </c>
      <c r="W928" s="34">
        <v>0</v>
      </c>
      <c r="X928" s="34">
        <v>0</v>
      </c>
    </row>
    <row r="929" spans="1:24" hidden="1">
      <c r="A929" s="75" t="s">
        <v>3640</v>
      </c>
      <c r="B929" s="75" t="s">
        <v>3641</v>
      </c>
      <c r="C929" s="75" t="s">
        <v>98</v>
      </c>
      <c r="D929" s="75" t="s">
        <v>79</v>
      </c>
      <c r="E929" s="75" t="s">
        <v>9</v>
      </c>
      <c r="F929" s="75" t="s">
        <v>3642</v>
      </c>
      <c r="G929" s="67">
        <v>1713827539</v>
      </c>
      <c r="H929" s="54" t="s">
        <v>229</v>
      </c>
      <c r="I929" s="54" t="s">
        <v>3514</v>
      </c>
      <c r="J929" s="34" t="s">
        <v>3421</v>
      </c>
      <c r="K929" s="50">
        <v>160000</v>
      </c>
      <c r="L929" s="43">
        <v>44088</v>
      </c>
      <c r="M929" s="44">
        <f t="shared" si="72"/>
        <v>0.27555000000000002</v>
      </c>
      <c r="N929" s="49">
        <f>ROUND(L929/Summary!$C$3*Summary!$C$2,0)</f>
        <v>136673</v>
      </c>
      <c r="O929" s="44">
        <f t="shared" si="73"/>
        <v>0.85420624999999994</v>
      </c>
      <c r="P929" s="78">
        <v>12</v>
      </c>
      <c r="Q929" s="34">
        <v>0</v>
      </c>
      <c r="R929" s="35">
        <f t="shared" si="74"/>
        <v>0</v>
      </c>
      <c r="S929" s="49">
        <f>ROUND(Q929/Summary!$C$3*Summary!$C$2,0)</f>
        <v>0</v>
      </c>
      <c r="T929" s="44">
        <f t="shared" si="75"/>
        <v>0</v>
      </c>
      <c r="U929" s="34">
        <v>0</v>
      </c>
      <c r="V929" s="34">
        <v>0</v>
      </c>
      <c r="W929" s="34">
        <v>0</v>
      </c>
      <c r="X929" s="34">
        <v>0</v>
      </c>
    </row>
    <row r="930" spans="1:24" hidden="1">
      <c r="A930" s="34" t="s">
        <v>2936</v>
      </c>
      <c r="B930" s="34" t="s">
        <v>2937</v>
      </c>
      <c r="C930" s="34" t="s">
        <v>96</v>
      </c>
      <c r="D930" s="34" t="s">
        <v>97</v>
      </c>
      <c r="E930" s="34" t="s">
        <v>9</v>
      </c>
      <c r="F930" s="34" t="s">
        <v>2938</v>
      </c>
      <c r="G930" s="54">
        <v>1749152530</v>
      </c>
      <c r="H930" s="54" t="s">
        <v>229</v>
      </c>
      <c r="I930" s="54" t="s">
        <v>3514</v>
      </c>
      <c r="J930" s="34" t="s">
        <v>3421</v>
      </c>
      <c r="K930" s="50">
        <v>130000</v>
      </c>
      <c r="L930" s="43">
        <v>32100</v>
      </c>
      <c r="M930" s="44">
        <f t="shared" si="72"/>
        <v>0.24692307692307691</v>
      </c>
      <c r="N930" s="49">
        <f>ROUND(L930/Summary!$C$3*Summary!$C$2,0)</f>
        <v>99510</v>
      </c>
      <c r="O930" s="44">
        <f t="shared" si="73"/>
        <v>0.76546153846153842</v>
      </c>
      <c r="P930" s="78">
        <v>10</v>
      </c>
      <c r="Q930" s="34">
        <v>2</v>
      </c>
      <c r="R930" s="35">
        <f t="shared" si="74"/>
        <v>0.2</v>
      </c>
      <c r="S930" s="49">
        <f>ROUND(Q930/Summary!$C$3*Summary!$C$2,0)</f>
        <v>6</v>
      </c>
      <c r="T930" s="44">
        <f t="shared" si="75"/>
        <v>0.6</v>
      </c>
      <c r="U930" s="34">
        <v>0</v>
      </c>
      <c r="V930" s="34">
        <v>0</v>
      </c>
      <c r="W930" s="34">
        <v>0</v>
      </c>
      <c r="X930" s="34">
        <v>1</v>
      </c>
    </row>
    <row r="931" spans="1:24" hidden="1">
      <c r="A931" s="34" t="s">
        <v>741</v>
      </c>
      <c r="B931" s="34" t="s">
        <v>742</v>
      </c>
      <c r="C931" s="34" t="s">
        <v>96</v>
      </c>
      <c r="D931" s="34" t="s">
        <v>97</v>
      </c>
      <c r="E931" s="34" t="s">
        <v>9</v>
      </c>
      <c r="F931" s="34" t="s">
        <v>743</v>
      </c>
      <c r="G931" s="54">
        <v>1723246584</v>
      </c>
      <c r="H931" s="54" t="s">
        <v>229</v>
      </c>
      <c r="I931" s="54" t="s">
        <v>3514</v>
      </c>
      <c r="J931" s="34" t="s">
        <v>3421</v>
      </c>
      <c r="K931" s="50">
        <v>130000</v>
      </c>
      <c r="L931" s="43">
        <v>27250</v>
      </c>
      <c r="M931" s="44">
        <f t="shared" si="72"/>
        <v>0.20961538461538462</v>
      </c>
      <c r="N931" s="49">
        <f>ROUND(L931/Summary!$C$3*Summary!$C$2,0)</f>
        <v>84475</v>
      </c>
      <c r="O931" s="44">
        <f t="shared" si="73"/>
        <v>0.64980769230769231</v>
      </c>
      <c r="P931" s="78">
        <v>10</v>
      </c>
      <c r="Q931" s="34">
        <v>1</v>
      </c>
      <c r="R931" s="35">
        <f t="shared" si="74"/>
        <v>0.1</v>
      </c>
      <c r="S931" s="49">
        <f>ROUND(Q931/Summary!$C$3*Summary!$C$2,0)</f>
        <v>3</v>
      </c>
      <c r="T931" s="44">
        <f t="shared" si="75"/>
        <v>0.3</v>
      </c>
      <c r="U931" s="34">
        <v>0</v>
      </c>
      <c r="V931" s="34">
        <v>0</v>
      </c>
      <c r="W931" s="34">
        <v>0</v>
      </c>
      <c r="X931" s="34">
        <v>0</v>
      </c>
    </row>
    <row r="932" spans="1:24" hidden="1">
      <c r="A932" s="34" t="s">
        <v>762</v>
      </c>
      <c r="B932" s="34" t="s">
        <v>763</v>
      </c>
      <c r="C932" s="34" t="s">
        <v>96</v>
      </c>
      <c r="D932" s="34" t="s">
        <v>97</v>
      </c>
      <c r="E932" s="34" t="s">
        <v>9</v>
      </c>
      <c r="F932" s="34" t="s">
        <v>764</v>
      </c>
      <c r="G932" s="54">
        <v>1729190349</v>
      </c>
      <c r="H932" s="54" t="s">
        <v>229</v>
      </c>
      <c r="I932" s="54" t="s">
        <v>3514</v>
      </c>
      <c r="J932" s="34" t="s">
        <v>3515</v>
      </c>
      <c r="K932" s="50">
        <v>130000</v>
      </c>
      <c r="L932" s="43">
        <v>66530</v>
      </c>
      <c r="M932" s="44">
        <f t="shared" si="72"/>
        <v>0.51176923076923075</v>
      </c>
      <c r="N932" s="49">
        <f>ROUND(L932/Summary!$C$3*Summary!$C$2,0)</f>
        <v>206243</v>
      </c>
      <c r="O932" s="44">
        <f t="shared" si="73"/>
        <v>1.5864846153846155</v>
      </c>
      <c r="P932" s="78">
        <v>10</v>
      </c>
      <c r="Q932" s="34">
        <v>1</v>
      </c>
      <c r="R932" s="35">
        <f t="shared" si="74"/>
        <v>0.1</v>
      </c>
      <c r="S932" s="49">
        <f>ROUND(Q932/Summary!$C$3*Summary!$C$2,0)</f>
        <v>3</v>
      </c>
      <c r="T932" s="44">
        <f t="shared" si="75"/>
        <v>0.3</v>
      </c>
      <c r="U932" s="34">
        <v>1</v>
      </c>
      <c r="V932" s="34">
        <v>0</v>
      </c>
      <c r="W932" s="34">
        <v>0</v>
      </c>
      <c r="X932" s="34">
        <v>1</v>
      </c>
    </row>
    <row r="933" spans="1:24" hidden="1">
      <c r="A933" s="34" t="s">
        <v>3296</v>
      </c>
      <c r="B933" s="34" t="s">
        <v>3297</v>
      </c>
      <c r="C933" s="34" t="s">
        <v>96</v>
      </c>
      <c r="D933" s="34" t="s">
        <v>97</v>
      </c>
      <c r="E933" s="34" t="s">
        <v>9</v>
      </c>
      <c r="F933" s="34" t="s">
        <v>3298</v>
      </c>
      <c r="G933" s="54">
        <v>1722303344</v>
      </c>
      <c r="H933" s="54" t="s">
        <v>229</v>
      </c>
      <c r="I933" s="54" t="s">
        <v>3514</v>
      </c>
      <c r="J933" s="34" t="s">
        <v>3421</v>
      </c>
      <c r="K933" s="50">
        <v>130000</v>
      </c>
      <c r="L933" s="43">
        <v>5690</v>
      </c>
      <c r="M933" s="44">
        <f t="shared" si="72"/>
        <v>4.3769230769230769E-2</v>
      </c>
      <c r="N933" s="49">
        <f>ROUND(L933/Summary!$C$3*Summary!$C$2,0)</f>
        <v>17639</v>
      </c>
      <c r="O933" s="44">
        <f t="shared" si="73"/>
        <v>0.13568461538461538</v>
      </c>
      <c r="P933" s="78">
        <v>10</v>
      </c>
      <c r="Q933" s="34">
        <v>0</v>
      </c>
      <c r="R933" s="35">
        <f t="shared" si="74"/>
        <v>0</v>
      </c>
      <c r="S933" s="49">
        <f>ROUND(Q933/Summary!$C$3*Summary!$C$2,0)</f>
        <v>0</v>
      </c>
      <c r="T933" s="44">
        <f t="shared" si="75"/>
        <v>0</v>
      </c>
      <c r="U933" s="34">
        <v>0</v>
      </c>
      <c r="V933" s="34">
        <v>0</v>
      </c>
      <c r="W933" s="34">
        <v>0</v>
      </c>
      <c r="X933" s="34">
        <v>0</v>
      </c>
    </row>
    <row r="934" spans="1:24">
      <c r="A934" s="34" t="s">
        <v>782</v>
      </c>
      <c r="B934" s="34" t="s">
        <v>783</v>
      </c>
      <c r="C934" s="34" t="s">
        <v>96</v>
      </c>
      <c r="D934" s="34" t="s">
        <v>97</v>
      </c>
      <c r="E934" s="34" t="s">
        <v>9</v>
      </c>
      <c r="F934" s="34" t="s">
        <v>784</v>
      </c>
      <c r="G934" s="54">
        <v>1785319898</v>
      </c>
      <c r="H934" s="54" t="s">
        <v>229</v>
      </c>
      <c r="I934" s="54" t="s">
        <v>3514</v>
      </c>
      <c r="J934" s="34" t="s">
        <v>3421</v>
      </c>
      <c r="K934" s="50">
        <v>130000</v>
      </c>
      <c r="L934" s="43">
        <v>0</v>
      </c>
      <c r="M934" s="44">
        <f t="shared" si="72"/>
        <v>0</v>
      </c>
      <c r="N934" s="49">
        <f>ROUND(L934/Summary!$C$3*Summary!$C$2,0)</f>
        <v>0</v>
      </c>
      <c r="O934" s="44">
        <f t="shared" si="73"/>
        <v>0</v>
      </c>
      <c r="P934" s="78">
        <v>10</v>
      </c>
      <c r="Q934" s="34">
        <v>0</v>
      </c>
      <c r="R934" s="35">
        <f t="shared" si="74"/>
        <v>0</v>
      </c>
      <c r="S934" s="49">
        <f>ROUND(Q934/Summary!$C$3*Summary!$C$2,0)</f>
        <v>0</v>
      </c>
      <c r="T934" s="44">
        <f t="shared" si="75"/>
        <v>0</v>
      </c>
      <c r="U934" s="34">
        <v>0</v>
      </c>
      <c r="V934" s="34">
        <v>0</v>
      </c>
      <c r="W934" s="34">
        <v>0</v>
      </c>
      <c r="X934" s="34">
        <v>0</v>
      </c>
    </row>
    <row r="935" spans="1:24" hidden="1">
      <c r="A935" s="34" t="s">
        <v>3299</v>
      </c>
      <c r="B935" s="34" t="s">
        <v>3300</v>
      </c>
      <c r="C935" s="34" t="s">
        <v>96</v>
      </c>
      <c r="D935" s="34" t="s">
        <v>97</v>
      </c>
      <c r="E935" s="34" t="s">
        <v>9</v>
      </c>
      <c r="F935" s="34" t="s">
        <v>3301</v>
      </c>
      <c r="G935" s="54">
        <v>1713738327</v>
      </c>
      <c r="H935" s="54" t="s">
        <v>229</v>
      </c>
      <c r="I935" s="54" t="s">
        <v>3514</v>
      </c>
      <c r="J935" s="34" t="s">
        <v>3421</v>
      </c>
      <c r="K935" s="50">
        <v>130000</v>
      </c>
      <c r="L935" s="43">
        <v>13780</v>
      </c>
      <c r="M935" s="44">
        <f t="shared" si="72"/>
        <v>0.106</v>
      </c>
      <c r="N935" s="49">
        <f>ROUND(L935/Summary!$C$3*Summary!$C$2,0)</f>
        <v>42718</v>
      </c>
      <c r="O935" s="44">
        <f t="shared" si="73"/>
        <v>0.3286</v>
      </c>
      <c r="P935" s="78">
        <v>10</v>
      </c>
      <c r="Q935" s="34">
        <v>1</v>
      </c>
      <c r="R935" s="35">
        <f t="shared" si="74"/>
        <v>0.1</v>
      </c>
      <c r="S935" s="49">
        <f>ROUND(Q935/Summary!$C$3*Summary!$C$2,0)</f>
        <v>3</v>
      </c>
      <c r="T935" s="44">
        <f t="shared" si="75"/>
        <v>0.3</v>
      </c>
      <c r="U935" s="34">
        <v>1</v>
      </c>
      <c r="V935" s="34">
        <v>0</v>
      </c>
      <c r="W935" s="34">
        <v>0</v>
      </c>
      <c r="X935" s="34">
        <v>0</v>
      </c>
    </row>
    <row r="936" spans="1:24" hidden="1">
      <c r="A936" s="34" t="s">
        <v>3185</v>
      </c>
      <c r="B936" s="34" t="s">
        <v>1272</v>
      </c>
      <c r="C936" s="34" t="s">
        <v>96</v>
      </c>
      <c r="D936" s="34" t="s">
        <v>97</v>
      </c>
      <c r="E936" s="34" t="s">
        <v>9</v>
      </c>
      <c r="F936" s="34" t="s">
        <v>3186</v>
      </c>
      <c r="G936" s="54">
        <v>1748971798</v>
      </c>
      <c r="H936" s="54" t="s">
        <v>229</v>
      </c>
      <c r="I936" s="54" t="s">
        <v>3514</v>
      </c>
      <c r="J936" s="34" t="s">
        <v>3421</v>
      </c>
      <c r="K936" s="50">
        <v>130000</v>
      </c>
      <c r="L936" s="43">
        <v>29460</v>
      </c>
      <c r="M936" s="44">
        <f t="shared" si="72"/>
        <v>0.22661538461538461</v>
      </c>
      <c r="N936" s="49">
        <f>ROUND(L936/Summary!$C$3*Summary!$C$2,0)</f>
        <v>91326</v>
      </c>
      <c r="O936" s="44">
        <f t="shared" si="73"/>
        <v>0.70250769230769228</v>
      </c>
      <c r="P936" s="78">
        <v>10</v>
      </c>
      <c r="Q936" s="34">
        <v>3</v>
      </c>
      <c r="R936" s="35">
        <f t="shared" si="74"/>
        <v>0.3</v>
      </c>
      <c r="S936" s="49">
        <f>ROUND(Q936/Summary!$C$3*Summary!$C$2,0)</f>
        <v>9</v>
      </c>
      <c r="T936" s="44">
        <f t="shared" si="75"/>
        <v>0.9</v>
      </c>
      <c r="U936" s="34">
        <v>0</v>
      </c>
      <c r="V936" s="34">
        <v>0</v>
      </c>
      <c r="W936" s="34">
        <v>0</v>
      </c>
      <c r="X936" s="34">
        <v>0</v>
      </c>
    </row>
    <row r="937" spans="1:24" hidden="1">
      <c r="A937" s="34" t="s">
        <v>3302</v>
      </c>
      <c r="B937" s="34" t="s">
        <v>3303</v>
      </c>
      <c r="C937" s="34" t="s">
        <v>96</v>
      </c>
      <c r="D937" s="34" t="s">
        <v>97</v>
      </c>
      <c r="E937" s="34" t="s">
        <v>9</v>
      </c>
      <c r="F937" s="34" t="s">
        <v>3304</v>
      </c>
      <c r="G937" s="54">
        <v>1750481144</v>
      </c>
      <c r="H937" s="54" t="s">
        <v>229</v>
      </c>
      <c r="I937" s="54" t="s">
        <v>3514</v>
      </c>
      <c r="J937" s="34" t="s">
        <v>3421</v>
      </c>
      <c r="K937" s="50">
        <v>130000</v>
      </c>
      <c r="L937" s="43">
        <v>38440</v>
      </c>
      <c r="M937" s="44">
        <f t="shared" si="72"/>
        <v>0.2956923076923077</v>
      </c>
      <c r="N937" s="49">
        <f>ROUND(L937/Summary!$C$3*Summary!$C$2,0)</f>
        <v>119164</v>
      </c>
      <c r="O937" s="44">
        <f t="shared" si="73"/>
        <v>0.91664615384615389</v>
      </c>
      <c r="P937" s="78">
        <v>10</v>
      </c>
      <c r="Q937" s="34">
        <v>2</v>
      </c>
      <c r="R937" s="35">
        <f t="shared" si="74"/>
        <v>0.2</v>
      </c>
      <c r="S937" s="49">
        <f>ROUND(Q937/Summary!$C$3*Summary!$C$2,0)</f>
        <v>6</v>
      </c>
      <c r="T937" s="44">
        <f t="shared" si="75"/>
        <v>0.6</v>
      </c>
      <c r="U937" s="34">
        <v>2</v>
      </c>
      <c r="V937" s="34">
        <v>0</v>
      </c>
      <c r="W937" s="34">
        <v>0</v>
      </c>
      <c r="X937" s="34">
        <v>0</v>
      </c>
    </row>
    <row r="938" spans="1:24" hidden="1">
      <c r="A938" s="34" t="s">
        <v>726</v>
      </c>
      <c r="B938" s="34" t="s">
        <v>727</v>
      </c>
      <c r="C938" s="34" t="s">
        <v>96</v>
      </c>
      <c r="D938" s="34" t="s">
        <v>97</v>
      </c>
      <c r="E938" s="34" t="s">
        <v>9</v>
      </c>
      <c r="F938" s="34" t="s">
        <v>728</v>
      </c>
      <c r="G938" s="54">
        <v>1788128128</v>
      </c>
      <c r="H938" s="54" t="s">
        <v>229</v>
      </c>
      <c r="I938" s="54" t="s">
        <v>3514</v>
      </c>
      <c r="J938" s="34" t="s">
        <v>3419</v>
      </c>
      <c r="K938" s="50">
        <v>130000</v>
      </c>
      <c r="L938" s="43">
        <v>25660</v>
      </c>
      <c r="M938" s="44">
        <f t="shared" si="72"/>
        <v>0.19738461538461538</v>
      </c>
      <c r="N938" s="49">
        <f>ROUND(L938/Summary!$C$3*Summary!$C$2,0)</f>
        <v>79546</v>
      </c>
      <c r="O938" s="44">
        <f t="shared" si="73"/>
        <v>0.61189230769230774</v>
      </c>
      <c r="P938" s="78">
        <v>10</v>
      </c>
      <c r="Q938" s="34">
        <v>2</v>
      </c>
      <c r="R938" s="35">
        <f t="shared" si="74"/>
        <v>0.2</v>
      </c>
      <c r="S938" s="49">
        <f>ROUND(Q938/Summary!$C$3*Summary!$C$2,0)</f>
        <v>6</v>
      </c>
      <c r="T938" s="44">
        <f t="shared" si="75"/>
        <v>0.6</v>
      </c>
      <c r="U938" s="34">
        <v>0</v>
      </c>
      <c r="V938" s="34">
        <v>1</v>
      </c>
      <c r="W938" s="34">
        <v>1</v>
      </c>
      <c r="X938" s="34">
        <v>0</v>
      </c>
    </row>
    <row r="939" spans="1:24" hidden="1">
      <c r="A939" s="34" t="s">
        <v>665</v>
      </c>
      <c r="B939" s="34" t="s">
        <v>666</v>
      </c>
      <c r="C939" s="34" t="s">
        <v>667</v>
      </c>
      <c r="D939" s="34" t="s">
        <v>97</v>
      </c>
      <c r="E939" s="34" t="s">
        <v>9</v>
      </c>
      <c r="F939" s="34" t="s">
        <v>668</v>
      </c>
      <c r="G939" s="54">
        <v>1750137332</v>
      </c>
      <c r="H939" s="54" t="s">
        <v>229</v>
      </c>
      <c r="I939" s="54" t="s">
        <v>3514</v>
      </c>
      <c r="J939" s="34" t="s">
        <v>3421</v>
      </c>
      <c r="K939" s="50">
        <v>197999</v>
      </c>
      <c r="L939" s="43">
        <v>17070</v>
      </c>
      <c r="M939" s="44">
        <f t="shared" si="72"/>
        <v>8.6212556629073886E-2</v>
      </c>
      <c r="N939" s="49">
        <f>ROUND(L939/Summary!$C$3*Summary!$C$2,0)</f>
        <v>52917</v>
      </c>
      <c r="O939" s="44">
        <f t="shared" si="73"/>
        <v>0.26725892555012903</v>
      </c>
      <c r="P939" s="78">
        <v>17</v>
      </c>
      <c r="Q939" s="34">
        <v>1</v>
      </c>
      <c r="R939" s="35">
        <f t="shared" si="74"/>
        <v>5.8823529411764705E-2</v>
      </c>
      <c r="S939" s="49">
        <f>ROUND(Q939/Summary!$C$3*Summary!$C$2,0)</f>
        <v>3</v>
      </c>
      <c r="T939" s="44">
        <f t="shared" si="75"/>
        <v>0.17647058823529413</v>
      </c>
      <c r="U939" s="34">
        <v>0</v>
      </c>
      <c r="V939" s="34">
        <v>1</v>
      </c>
      <c r="W939" s="34">
        <v>0</v>
      </c>
      <c r="X939" s="34">
        <v>0</v>
      </c>
    </row>
    <row r="940" spans="1:24" hidden="1">
      <c r="A940" s="34" t="s">
        <v>700</v>
      </c>
      <c r="B940" s="34" t="s">
        <v>701</v>
      </c>
      <c r="C940" s="34" t="s">
        <v>667</v>
      </c>
      <c r="D940" s="34" t="s">
        <v>97</v>
      </c>
      <c r="E940" s="34" t="s">
        <v>9</v>
      </c>
      <c r="F940" s="34" t="s">
        <v>702</v>
      </c>
      <c r="G940" s="54">
        <v>1740999949</v>
      </c>
      <c r="H940" s="54" t="s">
        <v>229</v>
      </c>
      <c r="I940" s="54" t="s">
        <v>3514</v>
      </c>
      <c r="J940" s="34" t="s">
        <v>3421</v>
      </c>
      <c r="K940" s="50">
        <v>130000</v>
      </c>
      <c r="L940" s="43">
        <v>23845</v>
      </c>
      <c r="M940" s="44">
        <f t="shared" si="72"/>
        <v>0.18342307692307691</v>
      </c>
      <c r="N940" s="49">
        <f>ROUND(L940/Summary!$C$3*Summary!$C$2,0)</f>
        <v>73920</v>
      </c>
      <c r="O940" s="44">
        <f t="shared" si="73"/>
        <v>0.56861538461538463</v>
      </c>
      <c r="P940" s="78">
        <v>10</v>
      </c>
      <c r="Q940" s="34">
        <v>2</v>
      </c>
      <c r="R940" s="35">
        <f t="shared" si="74"/>
        <v>0.2</v>
      </c>
      <c r="S940" s="49">
        <f>ROUND(Q940/Summary!$C$3*Summary!$C$2,0)</f>
        <v>6</v>
      </c>
      <c r="T940" s="44">
        <f t="shared" si="75"/>
        <v>0.6</v>
      </c>
      <c r="U940" s="34">
        <v>0</v>
      </c>
      <c r="V940" s="34">
        <v>1</v>
      </c>
      <c r="W940" s="34">
        <v>0</v>
      </c>
      <c r="X940" s="34">
        <v>0</v>
      </c>
    </row>
    <row r="941" spans="1:24" hidden="1">
      <c r="A941" s="34" t="s">
        <v>721</v>
      </c>
      <c r="B941" s="34" t="s">
        <v>667</v>
      </c>
      <c r="C941" s="34" t="s">
        <v>667</v>
      </c>
      <c r="D941" s="34" t="s">
        <v>97</v>
      </c>
      <c r="E941" s="34" t="s">
        <v>9</v>
      </c>
      <c r="F941" s="34" t="s">
        <v>722</v>
      </c>
      <c r="G941" s="54">
        <v>1740602929</v>
      </c>
      <c r="H941" s="54" t="s">
        <v>229</v>
      </c>
      <c r="I941" s="54" t="s">
        <v>3514</v>
      </c>
      <c r="J941" s="34" t="s">
        <v>3421</v>
      </c>
      <c r="K941" s="50">
        <v>247148</v>
      </c>
      <c r="L941" s="43">
        <v>76465</v>
      </c>
      <c r="M941" s="44">
        <f t="shared" si="72"/>
        <v>0.30938951559389516</v>
      </c>
      <c r="N941" s="49">
        <f>ROUND(L941/Summary!$C$3*Summary!$C$2,0)</f>
        <v>237042</v>
      </c>
      <c r="O941" s="44">
        <f t="shared" si="73"/>
        <v>0.95910952142036354</v>
      </c>
      <c r="P941" s="78">
        <v>15</v>
      </c>
      <c r="Q941" s="34">
        <v>5</v>
      </c>
      <c r="R941" s="35">
        <f t="shared" si="74"/>
        <v>0.33333333333333331</v>
      </c>
      <c r="S941" s="49">
        <f>ROUND(Q941/Summary!$C$3*Summary!$C$2,0)</f>
        <v>16</v>
      </c>
      <c r="T941" s="44">
        <f t="shared" si="75"/>
        <v>1.0666666666666667</v>
      </c>
      <c r="U941" s="34">
        <v>1</v>
      </c>
      <c r="V941" s="34">
        <v>0</v>
      </c>
      <c r="W941" s="34">
        <v>1</v>
      </c>
      <c r="X941" s="34">
        <v>0</v>
      </c>
    </row>
    <row r="942" spans="1:24" hidden="1">
      <c r="A942" s="34" t="s">
        <v>3305</v>
      </c>
      <c r="B942" s="34" t="s">
        <v>296</v>
      </c>
      <c r="C942" s="34" t="s">
        <v>667</v>
      </c>
      <c r="D942" s="34" t="s">
        <v>97</v>
      </c>
      <c r="E942" s="34" t="s">
        <v>9</v>
      </c>
      <c r="F942" s="34" t="s">
        <v>1760</v>
      </c>
      <c r="G942" s="54">
        <v>1736044874</v>
      </c>
      <c r="H942" s="54" t="s">
        <v>229</v>
      </c>
      <c r="I942" s="54" t="s">
        <v>3514</v>
      </c>
      <c r="J942" s="34" t="s">
        <v>3421</v>
      </c>
      <c r="K942" s="50">
        <v>130000</v>
      </c>
      <c r="L942" s="43">
        <v>17520</v>
      </c>
      <c r="M942" s="44">
        <f t="shared" si="72"/>
        <v>0.13476923076923078</v>
      </c>
      <c r="N942" s="49">
        <f>ROUND(L942/Summary!$C$3*Summary!$C$2,0)</f>
        <v>54312</v>
      </c>
      <c r="O942" s="44">
        <f t="shared" si="73"/>
        <v>0.41778461538461537</v>
      </c>
      <c r="P942" s="78">
        <v>10</v>
      </c>
      <c r="Q942" s="34">
        <v>1</v>
      </c>
      <c r="R942" s="35">
        <f t="shared" si="74"/>
        <v>0.1</v>
      </c>
      <c r="S942" s="49">
        <f>ROUND(Q942/Summary!$C$3*Summary!$C$2,0)</f>
        <v>3</v>
      </c>
      <c r="T942" s="44">
        <f t="shared" si="75"/>
        <v>0.3</v>
      </c>
      <c r="U942" s="34">
        <v>1</v>
      </c>
      <c r="V942" s="34">
        <v>0</v>
      </c>
      <c r="W942" s="34">
        <v>0</v>
      </c>
      <c r="X942" s="34">
        <v>0</v>
      </c>
    </row>
    <row r="943" spans="1:24" hidden="1">
      <c r="A943" s="34" t="s">
        <v>2977</v>
      </c>
      <c r="B943" s="34" t="s">
        <v>1485</v>
      </c>
      <c r="C943" s="34" t="s">
        <v>755</v>
      </c>
      <c r="D943" s="34" t="s">
        <v>194</v>
      </c>
      <c r="E943" s="34" t="s">
        <v>9</v>
      </c>
      <c r="F943" s="34" t="s">
        <v>1759</v>
      </c>
      <c r="G943" s="54">
        <v>1758353149</v>
      </c>
      <c r="H943" s="54" t="s">
        <v>229</v>
      </c>
      <c r="I943" s="54" t="s">
        <v>3514</v>
      </c>
      <c r="J943" s="34" t="s">
        <v>3421</v>
      </c>
      <c r="K943" s="50">
        <v>130000</v>
      </c>
      <c r="L943" s="43">
        <v>19820</v>
      </c>
      <c r="M943" s="44">
        <f t="shared" si="72"/>
        <v>0.15246153846153845</v>
      </c>
      <c r="N943" s="49">
        <f>ROUND(L943/Summary!$C$3*Summary!$C$2,0)</f>
        <v>61442</v>
      </c>
      <c r="O943" s="44">
        <f t="shared" si="73"/>
        <v>0.47263076923076924</v>
      </c>
      <c r="P943" s="78">
        <v>10</v>
      </c>
      <c r="Q943" s="34">
        <v>2</v>
      </c>
      <c r="R943" s="35">
        <f t="shared" si="74"/>
        <v>0.2</v>
      </c>
      <c r="S943" s="49">
        <f>ROUND(Q943/Summary!$C$3*Summary!$C$2,0)</f>
        <v>6</v>
      </c>
      <c r="T943" s="44">
        <f t="shared" si="75"/>
        <v>0.6</v>
      </c>
      <c r="U943" s="34">
        <v>0</v>
      </c>
      <c r="V943" s="34">
        <v>0</v>
      </c>
      <c r="W943" s="34">
        <v>0</v>
      </c>
      <c r="X943" s="34">
        <v>0</v>
      </c>
    </row>
    <row r="944" spans="1:24" hidden="1">
      <c r="A944" s="34" t="s">
        <v>753</v>
      </c>
      <c r="B944" s="34" t="s">
        <v>754</v>
      </c>
      <c r="C944" s="34" t="s">
        <v>755</v>
      </c>
      <c r="D944" s="34" t="s">
        <v>194</v>
      </c>
      <c r="E944" s="34" t="s">
        <v>9</v>
      </c>
      <c r="F944" s="34" t="s">
        <v>756</v>
      </c>
      <c r="G944" s="54">
        <v>1712447735</v>
      </c>
      <c r="H944" s="54" t="s">
        <v>229</v>
      </c>
      <c r="I944" s="54" t="s">
        <v>3514</v>
      </c>
      <c r="J944" s="34" t="s">
        <v>3515</v>
      </c>
      <c r="K944" s="50">
        <v>130000</v>
      </c>
      <c r="L944" s="43">
        <v>9380</v>
      </c>
      <c r="M944" s="44">
        <f t="shared" si="72"/>
        <v>7.2153846153846152E-2</v>
      </c>
      <c r="N944" s="49">
        <f>ROUND(L944/Summary!$C$3*Summary!$C$2,0)</f>
        <v>29078</v>
      </c>
      <c r="O944" s="44">
        <f t="shared" si="73"/>
        <v>0.22367692307692308</v>
      </c>
      <c r="P944" s="78">
        <v>10</v>
      </c>
      <c r="Q944" s="34">
        <v>1</v>
      </c>
      <c r="R944" s="35">
        <f t="shared" si="74"/>
        <v>0.1</v>
      </c>
      <c r="S944" s="49">
        <f>ROUND(Q944/Summary!$C$3*Summary!$C$2,0)</f>
        <v>3</v>
      </c>
      <c r="T944" s="44">
        <f t="shared" si="75"/>
        <v>0.3</v>
      </c>
      <c r="U944" s="34">
        <v>0</v>
      </c>
      <c r="V944" s="34">
        <v>1</v>
      </c>
      <c r="W944" s="34">
        <v>0</v>
      </c>
      <c r="X944" s="34">
        <v>0</v>
      </c>
    </row>
    <row r="945" spans="1:24" hidden="1">
      <c r="A945" s="34" t="s">
        <v>803</v>
      </c>
      <c r="B945" s="34" t="s">
        <v>804</v>
      </c>
      <c r="C945" s="34" t="s">
        <v>755</v>
      </c>
      <c r="D945" s="34" t="s">
        <v>194</v>
      </c>
      <c r="E945" s="34" t="s">
        <v>9</v>
      </c>
      <c r="F945" s="34" t="s">
        <v>805</v>
      </c>
      <c r="G945" s="54">
        <v>1710176564</v>
      </c>
      <c r="H945" s="54" t="s">
        <v>229</v>
      </c>
      <c r="I945" s="54" t="s">
        <v>3514</v>
      </c>
      <c r="J945" s="34" t="s">
        <v>3419</v>
      </c>
      <c r="K945" s="50">
        <v>130000</v>
      </c>
      <c r="L945" s="43">
        <v>40030</v>
      </c>
      <c r="M945" s="44">
        <f t="shared" si="72"/>
        <v>0.30792307692307691</v>
      </c>
      <c r="N945" s="49">
        <f>ROUND(L945/Summary!$C$3*Summary!$C$2,0)</f>
        <v>124093</v>
      </c>
      <c r="O945" s="44">
        <f t="shared" si="73"/>
        <v>0.95456153846153846</v>
      </c>
      <c r="P945" s="78">
        <v>10</v>
      </c>
      <c r="Q945" s="34">
        <v>2</v>
      </c>
      <c r="R945" s="35">
        <f t="shared" si="74"/>
        <v>0.2</v>
      </c>
      <c r="S945" s="49">
        <f>ROUND(Q945/Summary!$C$3*Summary!$C$2,0)</f>
        <v>6</v>
      </c>
      <c r="T945" s="44">
        <f t="shared" si="75"/>
        <v>0.6</v>
      </c>
      <c r="U945" s="34">
        <v>1</v>
      </c>
      <c r="V945" s="34">
        <v>0</v>
      </c>
      <c r="W945" s="34">
        <v>0</v>
      </c>
      <c r="X945" s="34">
        <v>0</v>
      </c>
    </row>
    <row r="946" spans="1:24" hidden="1">
      <c r="A946" s="34" t="s">
        <v>3306</v>
      </c>
      <c r="B946" s="34" t="s">
        <v>3307</v>
      </c>
      <c r="C946" s="34" t="s">
        <v>204</v>
      </c>
      <c r="D946" s="34" t="s">
        <v>194</v>
      </c>
      <c r="E946" s="34" t="s">
        <v>9</v>
      </c>
      <c r="F946" s="34" t="s">
        <v>3308</v>
      </c>
      <c r="G946" s="54">
        <v>1764645959</v>
      </c>
      <c r="H946" s="54" t="s">
        <v>229</v>
      </c>
      <c r="I946" s="54" t="s">
        <v>3514</v>
      </c>
      <c r="J946" s="34" t="s">
        <v>3421</v>
      </c>
      <c r="K946" s="50">
        <v>130000</v>
      </c>
      <c r="L946" s="43">
        <v>31735</v>
      </c>
      <c r="M946" s="44">
        <f t="shared" si="72"/>
        <v>0.24411538461538462</v>
      </c>
      <c r="N946" s="49">
        <f>ROUND(L946/Summary!$C$3*Summary!$C$2,0)</f>
        <v>98379</v>
      </c>
      <c r="O946" s="44">
        <f t="shared" si="73"/>
        <v>0.75676153846153849</v>
      </c>
      <c r="P946" s="78">
        <v>10</v>
      </c>
      <c r="Q946" s="34">
        <v>3</v>
      </c>
      <c r="R946" s="35">
        <f t="shared" si="74"/>
        <v>0.3</v>
      </c>
      <c r="S946" s="49">
        <f>ROUND(Q946/Summary!$C$3*Summary!$C$2,0)</f>
        <v>9</v>
      </c>
      <c r="T946" s="44">
        <f t="shared" si="75"/>
        <v>0.9</v>
      </c>
      <c r="U946" s="34">
        <v>0</v>
      </c>
      <c r="V946" s="34">
        <v>1</v>
      </c>
      <c r="W946" s="34">
        <v>0</v>
      </c>
      <c r="X946" s="34">
        <v>0</v>
      </c>
    </row>
    <row r="947" spans="1:24" hidden="1">
      <c r="A947" s="34" t="s">
        <v>806</v>
      </c>
      <c r="B947" s="34" t="s">
        <v>807</v>
      </c>
      <c r="C947" s="34" t="s">
        <v>204</v>
      </c>
      <c r="D947" s="34" t="s">
        <v>194</v>
      </c>
      <c r="E947" s="34" t="s">
        <v>9</v>
      </c>
      <c r="F947" s="34" t="s">
        <v>808</v>
      </c>
      <c r="G947" s="54">
        <v>1712599802</v>
      </c>
      <c r="H947" s="54" t="s">
        <v>229</v>
      </c>
      <c r="I947" s="54" t="s">
        <v>3518</v>
      </c>
      <c r="J947" s="34" t="s">
        <v>3419</v>
      </c>
      <c r="K947" s="50">
        <v>385488</v>
      </c>
      <c r="L947" s="43">
        <v>93520</v>
      </c>
      <c r="M947" s="44">
        <f t="shared" si="72"/>
        <v>0.24260158552276595</v>
      </c>
      <c r="N947" s="49">
        <f>ROUND(L947/Summary!$C$3*Summary!$C$2,0)</f>
        <v>289912</v>
      </c>
      <c r="O947" s="44">
        <f t="shared" si="73"/>
        <v>0.7520649151205745</v>
      </c>
      <c r="P947" s="78">
        <v>32</v>
      </c>
      <c r="Q947" s="34">
        <v>10</v>
      </c>
      <c r="R947" s="35">
        <f t="shared" si="74"/>
        <v>0.3125</v>
      </c>
      <c r="S947" s="49">
        <f>ROUND(Q947/Summary!$C$3*Summary!$C$2,0)</f>
        <v>31</v>
      </c>
      <c r="T947" s="44">
        <f t="shared" si="75"/>
        <v>0.96875</v>
      </c>
      <c r="U947" s="34">
        <v>0</v>
      </c>
      <c r="V947" s="34">
        <v>4</v>
      </c>
      <c r="W947" s="34">
        <v>0</v>
      </c>
      <c r="X947" s="34">
        <v>0</v>
      </c>
    </row>
    <row r="948" spans="1:24" hidden="1">
      <c r="A948" s="34" t="s">
        <v>3489</v>
      </c>
      <c r="B948" s="34" t="s">
        <v>3490</v>
      </c>
      <c r="C948" s="34" t="s">
        <v>204</v>
      </c>
      <c r="D948" s="34" t="s">
        <v>194</v>
      </c>
      <c r="E948" s="34" t="s">
        <v>9</v>
      </c>
      <c r="F948" s="34" t="s">
        <v>3491</v>
      </c>
      <c r="G948" s="54">
        <v>1713685848</v>
      </c>
      <c r="H948" s="54" t="s">
        <v>229</v>
      </c>
      <c r="I948" s="54" t="s">
        <v>3514</v>
      </c>
      <c r="J948" s="34" t="s">
        <v>3421</v>
      </c>
      <c r="K948" s="50">
        <v>130000</v>
      </c>
      <c r="L948" s="43">
        <v>66060</v>
      </c>
      <c r="M948" s="44">
        <f t="shared" si="72"/>
        <v>0.50815384615384618</v>
      </c>
      <c r="N948" s="49">
        <f>ROUND(L948/Summary!$C$3*Summary!$C$2,0)</f>
        <v>204786</v>
      </c>
      <c r="O948" s="44">
        <f t="shared" si="73"/>
        <v>1.575276923076923</v>
      </c>
      <c r="P948" s="78">
        <v>10</v>
      </c>
      <c r="Q948" s="34">
        <v>1</v>
      </c>
      <c r="R948" s="35">
        <f t="shared" si="74"/>
        <v>0.1</v>
      </c>
      <c r="S948" s="49">
        <f>ROUND(Q948/Summary!$C$3*Summary!$C$2,0)</f>
        <v>3</v>
      </c>
      <c r="T948" s="44">
        <f t="shared" si="75"/>
        <v>0.3</v>
      </c>
      <c r="U948" s="34">
        <v>2</v>
      </c>
      <c r="V948" s="34">
        <v>1</v>
      </c>
      <c r="W948" s="34">
        <v>0</v>
      </c>
      <c r="X948" s="34">
        <v>0</v>
      </c>
    </row>
    <row r="949" spans="1:24" hidden="1">
      <c r="A949" s="34" t="s">
        <v>3400</v>
      </c>
      <c r="B949" s="34" t="s">
        <v>3401</v>
      </c>
      <c r="C949" s="34" t="s">
        <v>204</v>
      </c>
      <c r="D949" s="34" t="s">
        <v>194</v>
      </c>
      <c r="E949" s="34" t="s">
        <v>9</v>
      </c>
      <c r="F949" s="34" t="s">
        <v>3399</v>
      </c>
      <c r="G949" s="54">
        <v>1726798150</v>
      </c>
      <c r="H949" s="54" t="s">
        <v>229</v>
      </c>
      <c r="I949" s="54" t="s">
        <v>3514</v>
      </c>
      <c r="J949" s="34" t="s">
        <v>3421</v>
      </c>
      <c r="K949" s="50">
        <v>204724</v>
      </c>
      <c r="L949" s="43">
        <v>55649</v>
      </c>
      <c r="M949" s="44">
        <f t="shared" si="72"/>
        <v>0.27182450518747192</v>
      </c>
      <c r="N949" s="49">
        <f>ROUND(L949/Summary!$C$3*Summary!$C$2,0)</f>
        <v>172512</v>
      </c>
      <c r="O949" s="44">
        <f t="shared" si="73"/>
        <v>0.84265645454367832</v>
      </c>
      <c r="P949" s="78">
        <v>10</v>
      </c>
      <c r="Q949" s="34">
        <v>0</v>
      </c>
      <c r="R949" s="35">
        <f t="shared" si="74"/>
        <v>0</v>
      </c>
      <c r="S949" s="49">
        <f>ROUND(Q949/Summary!$C$3*Summary!$C$2,0)</f>
        <v>0</v>
      </c>
      <c r="T949" s="44">
        <f t="shared" si="75"/>
        <v>0</v>
      </c>
      <c r="U949" s="34">
        <v>0</v>
      </c>
      <c r="V949" s="34">
        <v>0</v>
      </c>
      <c r="W949" s="34">
        <v>0</v>
      </c>
      <c r="X949" s="34">
        <v>0</v>
      </c>
    </row>
    <row r="950" spans="1:24" hidden="1">
      <c r="A950" s="34" t="s">
        <v>3403</v>
      </c>
      <c r="B950" s="34" t="s">
        <v>3404</v>
      </c>
      <c r="C950" s="34" t="s">
        <v>204</v>
      </c>
      <c r="D950" s="34" t="s">
        <v>194</v>
      </c>
      <c r="E950" s="34" t="s">
        <v>9</v>
      </c>
      <c r="F950" s="34" t="s">
        <v>3402</v>
      </c>
      <c r="G950" s="54">
        <v>1712824612</v>
      </c>
      <c r="H950" s="54" t="s">
        <v>229</v>
      </c>
      <c r="I950" s="54" t="s">
        <v>3514</v>
      </c>
      <c r="J950" s="34" t="s">
        <v>3421</v>
      </c>
      <c r="K950" s="50">
        <v>130000</v>
      </c>
      <c r="L950" s="43">
        <v>41880</v>
      </c>
      <c r="M950" s="44">
        <f t="shared" si="72"/>
        <v>0.32215384615384618</v>
      </c>
      <c r="N950" s="49">
        <f>ROUND(L950/Summary!$C$3*Summary!$C$2,0)</f>
        <v>129828</v>
      </c>
      <c r="O950" s="44">
        <f t="shared" si="73"/>
        <v>0.99867692307692313</v>
      </c>
      <c r="P950" s="78">
        <v>10</v>
      </c>
      <c r="Q950" s="34">
        <v>4</v>
      </c>
      <c r="R950" s="35">
        <f t="shared" si="74"/>
        <v>0.4</v>
      </c>
      <c r="S950" s="49">
        <f>ROUND(Q950/Summary!$C$3*Summary!$C$2,0)</f>
        <v>12</v>
      </c>
      <c r="T950" s="44">
        <f t="shared" si="75"/>
        <v>1.2</v>
      </c>
      <c r="U950" s="34">
        <v>0</v>
      </c>
      <c r="V950" s="34">
        <v>2</v>
      </c>
      <c r="W950" s="34">
        <v>0</v>
      </c>
      <c r="X950" s="34">
        <v>0</v>
      </c>
    </row>
    <row r="951" spans="1:24" hidden="1">
      <c r="A951" s="34" t="s">
        <v>3309</v>
      </c>
      <c r="B951" s="34" t="s">
        <v>3310</v>
      </c>
      <c r="C951" s="34" t="s">
        <v>204</v>
      </c>
      <c r="D951" s="34" t="s">
        <v>194</v>
      </c>
      <c r="E951" s="34" t="s">
        <v>9</v>
      </c>
      <c r="F951" s="34" t="s">
        <v>3311</v>
      </c>
      <c r="G951" s="54">
        <v>1733581777</v>
      </c>
      <c r="H951" s="54" t="s">
        <v>229</v>
      </c>
      <c r="I951" s="54" t="s">
        <v>3514</v>
      </c>
      <c r="J951" s="34" t="s">
        <v>3421</v>
      </c>
      <c r="K951" s="50">
        <v>130000</v>
      </c>
      <c r="L951" s="43">
        <v>10890</v>
      </c>
      <c r="M951" s="44">
        <f t="shared" si="72"/>
        <v>8.3769230769230763E-2</v>
      </c>
      <c r="N951" s="49">
        <f>ROUND(L951/Summary!$C$3*Summary!$C$2,0)</f>
        <v>33759</v>
      </c>
      <c r="O951" s="44">
        <f t="shared" si="73"/>
        <v>0.2596846153846154</v>
      </c>
      <c r="P951" s="78">
        <v>10</v>
      </c>
      <c r="Q951" s="34">
        <v>1</v>
      </c>
      <c r="R951" s="35">
        <f t="shared" si="74"/>
        <v>0.1</v>
      </c>
      <c r="S951" s="49">
        <f>ROUND(Q951/Summary!$C$3*Summary!$C$2,0)</f>
        <v>3</v>
      </c>
      <c r="T951" s="44">
        <f t="shared" si="75"/>
        <v>0.3</v>
      </c>
      <c r="U951" s="34">
        <v>0</v>
      </c>
      <c r="V951" s="34">
        <v>0</v>
      </c>
      <c r="W951" s="34">
        <v>0</v>
      </c>
      <c r="X951" s="34">
        <v>0</v>
      </c>
    </row>
    <row r="952" spans="1:24" hidden="1">
      <c r="A952" s="34" t="s">
        <v>785</v>
      </c>
      <c r="B952" s="34" t="s">
        <v>786</v>
      </c>
      <c r="C952" s="34" t="s">
        <v>204</v>
      </c>
      <c r="D952" s="34" t="s">
        <v>194</v>
      </c>
      <c r="E952" s="34" t="s">
        <v>9</v>
      </c>
      <c r="F952" s="34" t="s">
        <v>787</v>
      </c>
      <c r="G952" s="54">
        <v>1759287036</v>
      </c>
      <c r="H952" s="54" t="s">
        <v>229</v>
      </c>
      <c r="I952" s="54" t="s">
        <v>3514</v>
      </c>
      <c r="J952" s="34" t="s">
        <v>3419</v>
      </c>
      <c r="K952" s="50">
        <v>130000</v>
      </c>
      <c r="L952" s="43">
        <v>15980</v>
      </c>
      <c r="M952" s="44">
        <f t="shared" si="72"/>
        <v>0.12292307692307693</v>
      </c>
      <c r="N952" s="49">
        <f>ROUND(L952/Summary!$C$3*Summary!$C$2,0)</f>
        <v>49538</v>
      </c>
      <c r="O952" s="44">
        <f t="shared" si="73"/>
        <v>0.38106153846153845</v>
      </c>
      <c r="P952" s="78">
        <v>10</v>
      </c>
      <c r="Q952" s="34">
        <v>2</v>
      </c>
      <c r="R952" s="35">
        <f t="shared" si="74"/>
        <v>0.2</v>
      </c>
      <c r="S952" s="49">
        <f>ROUND(Q952/Summary!$C$3*Summary!$C$2,0)</f>
        <v>6</v>
      </c>
      <c r="T952" s="44">
        <f t="shared" si="75"/>
        <v>0.6</v>
      </c>
      <c r="U952" s="34">
        <v>0</v>
      </c>
      <c r="V952" s="34">
        <v>0</v>
      </c>
      <c r="W952" s="34">
        <v>0</v>
      </c>
      <c r="X952" s="34">
        <v>0</v>
      </c>
    </row>
    <row r="953" spans="1:24" hidden="1">
      <c r="A953" s="34" t="s">
        <v>839</v>
      </c>
      <c r="B953" s="34" t="s">
        <v>840</v>
      </c>
      <c r="C953" s="34" t="s">
        <v>204</v>
      </c>
      <c r="D953" s="34" t="s">
        <v>194</v>
      </c>
      <c r="E953" s="34" t="s">
        <v>9</v>
      </c>
      <c r="F953" s="34" t="s">
        <v>841</v>
      </c>
      <c r="G953" s="54">
        <v>1774642236</v>
      </c>
      <c r="H953" s="54" t="s">
        <v>229</v>
      </c>
      <c r="I953" s="54" t="s">
        <v>3514</v>
      </c>
      <c r="J953" s="34" t="s">
        <v>3419</v>
      </c>
      <c r="K953" s="50">
        <v>151005</v>
      </c>
      <c r="L953" s="43">
        <v>34340</v>
      </c>
      <c r="M953" s="44">
        <f t="shared" si="72"/>
        <v>0.22740968842091322</v>
      </c>
      <c r="N953" s="49">
        <f>ROUND(L953/Summary!$C$3*Summary!$C$2,0)</f>
        <v>106454</v>
      </c>
      <c r="O953" s="44">
        <f t="shared" si="73"/>
        <v>0.70497003410483094</v>
      </c>
      <c r="P953" s="78">
        <v>10</v>
      </c>
      <c r="Q953" s="34">
        <v>2</v>
      </c>
      <c r="R953" s="35">
        <f t="shared" si="74"/>
        <v>0.2</v>
      </c>
      <c r="S953" s="49">
        <f>ROUND(Q953/Summary!$C$3*Summary!$C$2,0)</f>
        <v>6</v>
      </c>
      <c r="T953" s="44">
        <f t="shared" si="75"/>
        <v>0.6</v>
      </c>
      <c r="U953" s="34">
        <v>0</v>
      </c>
      <c r="V953" s="34">
        <v>0</v>
      </c>
      <c r="W953" s="34">
        <v>1</v>
      </c>
      <c r="X953" s="34">
        <v>1</v>
      </c>
    </row>
    <row r="954" spans="1:24" hidden="1">
      <c r="A954" s="34" t="s">
        <v>760</v>
      </c>
      <c r="B954" s="34" t="s">
        <v>81</v>
      </c>
      <c r="C954" s="34" t="s">
        <v>81</v>
      </c>
      <c r="D954" s="34" t="s">
        <v>9</v>
      </c>
      <c r="E954" s="34" t="s">
        <v>9</v>
      </c>
      <c r="F954" s="34" t="s">
        <v>761</v>
      </c>
      <c r="G954" s="54">
        <v>1712340396</v>
      </c>
      <c r="H954" s="54" t="s">
        <v>229</v>
      </c>
      <c r="I954" s="54" t="s">
        <v>3514</v>
      </c>
      <c r="J954" s="34" t="s">
        <v>3419</v>
      </c>
      <c r="K954" s="50">
        <v>180000</v>
      </c>
      <c r="L954" s="43">
        <v>58100</v>
      </c>
      <c r="M954" s="44">
        <f t="shared" si="72"/>
        <v>0.32277777777777777</v>
      </c>
      <c r="N954" s="49">
        <f>ROUND(L954/Summary!$C$3*Summary!$C$2,0)</f>
        <v>180110</v>
      </c>
      <c r="O954" s="44">
        <f t="shared" si="73"/>
        <v>1.0006111111111111</v>
      </c>
      <c r="P954" s="78">
        <v>12</v>
      </c>
      <c r="Q954" s="34">
        <v>4</v>
      </c>
      <c r="R954" s="35">
        <f t="shared" si="74"/>
        <v>0.33333333333333331</v>
      </c>
      <c r="S954" s="49">
        <f>ROUND(Q954/Summary!$C$3*Summary!$C$2,0)</f>
        <v>12</v>
      </c>
      <c r="T954" s="44">
        <f t="shared" si="75"/>
        <v>1</v>
      </c>
      <c r="U954" s="34">
        <v>0</v>
      </c>
      <c r="V954" s="34">
        <v>4</v>
      </c>
      <c r="W954" s="34">
        <v>0</v>
      </c>
      <c r="X954" s="34">
        <v>0</v>
      </c>
    </row>
    <row r="955" spans="1:24" hidden="1">
      <c r="A955" s="34" t="s">
        <v>777</v>
      </c>
      <c r="B955" s="34" t="s">
        <v>214</v>
      </c>
      <c r="C955" s="34" t="s">
        <v>81</v>
      </c>
      <c r="D955" s="34" t="s">
        <v>9</v>
      </c>
      <c r="E955" s="34" t="s">
        <v>9</v>
      </c>
      <c r="F955" s="34" t="s">
        <v>778</v>
      </c>
      <c r="G955" s="54">
        <v>1767096666</v>
      </c>
      <c r="H955" s="54" t="s">
        <v>229</v>
      </c>
      <c r="I955" s="54" t="s">
        <v>3514</v>
      </c>
      <c r="J955" s="34" t="s">
        <v>3421</v>
      </c>
      <c r="K955" s="50">
        <v>130000</v>
      </c>
      <c r="L955" s="43">
        <v>17060</v>
      </c>
      <c r="M955" s="44">
        <f t="shared" si="72"/>
        <v>0.13123076923076923</v>
      </c>
      <c r="N955" s="49">
        <f>ROUND(L955/Summary!$C$3*Summary!$C$2,0)</f>
        <v>52886</v>
      </c>
      <c r="O955" s="44">
        <f t="shared" si="73"/>
        <v>0.40681538461538463</v>
      </c>
      <c r="P955" s="78">
        <v>10</v>
      </c>
      <c r="Q955" s="34">
        <v>0</v>
      </c>
      <c r="R955" s="35">
        <f t="shared" si="74"/>
        <v>0</v>
      </c>
      <c r="S955" s="49">
        <f>ROUND(Q955/Summary!$C$3*Summary!$C$2,0)</f>
        <v>0</v>
      </c>
      <c r="T955" s="44">
        <f t="shared" si="75"/>
        <v>0</v>
      </c>
      <c r="U955" s="34">
        <v>0</v>
      </c>
      <c r="V955" s="34">
        <v>0</v>
      </c>
      <c r="W955" s="34">
        <v>0</v>
      </c>
      <c r="X955" s="34">
        <v>0</v>
      </c>
    </row>
    <row r="956" spans="1:24" hidden="1">
      <c r="A956" s="34" t="s">
        <v>765</v>
      </c>
      <c r="B956" s="34" t="s">
        <v>766</v>
      </c>
      <c r="C956" s="34" t="s">
        <v>81</v>
      </c>
      <c r="D956" s="34" t="s">
        <v>9</v>
      </c>
      <c r="E956" s="34" t="s">
        <v>9</v>
      </c>
      <c r="F956" s="34" t="s">
        <v>767</v>
      </c>
      <c r="G956" s="54">
        <v>1713724225</v>
      </c>
      <c r="H956" s="54" t="s">
        <v>229</v>
      </c>
      <c r="I956" s="54" t="s">
        <v>3514</v>
      </c>
      <c r="J956" s="34" t="s">
        <v>3419</v>
      </c>
      <c r="K956" s="50">
        <v>130000</v>
      </c>
      <c r="L956" s="43">
        <v>64780</v>
      </c>
      <c r="M956" s="44">
        <f t="shared" si="72"/>
        <v>0.49830769230769228</v>
      </c>
      <c r="N956" s="49">
        <f>ROUND(L956/Summary!$C$3*Summary!$C$2,0)</f>
        <v>200818</v>
      </c>
      <c r="O956" s="44">
        <f t="shared" si="73"/>
        <v>1.5447538461538461</v>
      </c>
      <c r="P956" s="78">
        <v>10</v>
      </c>
      <c r="Q956" s="34">
        <v>2</v>
      </c>
      <c r="R956" s="35">
        <f t="shared" si="74"/>
        <v>0.2</v>
      </c>
      <c r="S956" s="49">
        <f>ROUND(Q956/Summary!$C$3*Summary!$C$2,0)</f>
        <v>6</v>
      </c>
      <c r="T956" s="44">
        <f t="shared" si="75"/>
        <v>0.6</v>
      </c>
      <c r="U956" s="34">
        <v>1</v>
      </c>
      <c r="V956" s="34">
        <v>1</v>
      </c>
      <c r="W956" s="34">
        <v>0</v>
      </c>
      <c r="X956" s="34">
        <v>0</v>
      </c>
    </row>
    <row r="957" spans="1:24" hidden="1">
      <c r="A957" s="34" t="s">
        <v>833</v>
      </c>
      <c r="B957" s="34" t="s">
        <v>834</v>
      </c>
      <c r="C957" s="34" t="s">
        <v>81</v>
      </c>
      <c r="D957" s="34" t="s">
        <v>9</v>
      </c>
      <c r="E957" s="34" t="s">
        <v>9</v>
      </c>
      <c r="F957" s="34" t="s">
        <v>835</v>
      </c>
      <c r="G957" s="54" t="s">
        <v>836</v>
      </c>
      <c r="H957" s="54" t="s">
        <v>229</v>
      </c>
      <c r="I957" s="54" t="s">
        <v>3514</v>
      </c>
      <c r="J957" s="34" t="s">
        <v>3419</v>
      </c>
      <c r="K957" s="50">
        <v>130000</v>
      </c>
      <c r="L957" s="43">
        <v>10030</v>
      </c>
      <c r="M957" s="44">
        <f t="shared" si="72"/>
        <v>7.7153846153846156E-2</v>
      </c>
      <c r="N957" s="49">
        <f>ROUND(L957/Summary!$C$3*Summary!$C$2,0)</f>
        <v>31093</v>
      </c>
      <c r="O957" s="44">
        <f t="shared" si="73"/>
        <v>0.23917692307692306</v>
      </c>
      <c r="P957" s="78">
        <v>10</v>
      </c>
      <c r="Q957" s="34">
        <v>0</v>
      </c>
      <c r="R957" s="35">
        <f t="shared" si="74"/>
        <v>0</v>
      </c>
      <c r="S957" s="49">
        <f>ROUND(Q957/Summary!$C$3*Summary!$C$2,0)</f>
        <v>0</v>
      </c>
      <c r="T957" s="44">
        <f t="shared" si="75"/>
        <v>0</v>
      </c>
      <c r="U957" s="34">
        <v>0</v>
      </c>
      <c r="V957" s="34">
        <v>0</v>
      </c>
      <c r="W957" s="34">
        <v>0</v>
      </c>
      <c r="X957" s="34">
        <v>0</v>
      </c>
    </row>
    <row r="958" spans="1:24" hidden="1">
      <c r="A958" s="34" t="s">
        <v>744</v>
      </c>
      <c r="B958" s="34" t="s">
        <v>745</v>
      </c>
      <c r="C958" s="34" t="s">
        <v>81</v>
      </c>
      <c r="D958" s="34" t="s">
        <v>9</v>
      </c>
      <c r="E958" s="34" t="s">
        <v>9</v>
      </c>
      <c r="F958" s="34" t="s">
        <v>746</v>
      </c>
      <c r="G958" s="54">
        <v>1709016804</v>
      </c>
      <c r="H958" s="54" t="s">
        <v>229</v>
      </c>
      <c r="I958" s="54" t="s">
        <v>3514</v>
      </c>
      <c r="J958" s="34" t="s">
        <v>3419</v>
      </c>
      <c r="K958" s="50">
        <v>130000</v>
      </c>
      <c r="L958" s="43">
        <v>16178</v>
      </c>
      <c r="M958" s="44">
        <f t="shared" si="72"/>
        <v>0.12444615384615385</v>
      </c>
      <c r="N958" s="49">
        <f>ROUND(L958/Summary!$C$3*Summary!$C$2,0)</f>
        <v>50152</v>
      </c>
      <c r="O958" s="44">
        <f t="shared" si="73"/>
        <v>0.38578461538461539</v>
      </c>
      <c r="P958" s="78">
        <v>10</v>
      </c>
      <c r="Q958" s="34">
        <v>0</v>
      </c>
      <c r="R958" s="35">
        <f t="shared" si="74"/>
        <v>0</v>
      </c>
      <c r="S958" s="49">
        <f>ROUND(Q958/Summary!$C$3*Summary!$C$2,0)</f>
        <v>0</v>
      </c>
      <c r="T958" s="44">
        <f t="shared" si="75"/>
        <v>0</v>
      </c>
      <c r="U958" s="34">
        <v>0</v>
      </c>
      <c r="V958" s="34">
        <v>0</v>
      </c>
      <c r="W958" s="34">
        <v>0</v>
      </c>
      <c r="X958" s="34">
        <v>0</v>
      </c>
    </row>
    <row r="959" spans="1:24" hidden="1">
      <c r="A959" s="34" t="s">
        <v>3492</v>
      </c>
      <c r="B959" s="34" t="s">
        <v>3493</v>
      </c>
      <c r="C959" s="34" t="s">
        <v>81</v>
      </c>
      <c r="D959" s="34" t="s">
        <v>9</v>
      </c>
      <c r="E959" s="34" t="s">
        <v>9</v>
      </c>
      <c r="F959" s="34" t="s">
        <v>3494</v>
      </c>
      <c r="G959" s="54">
        <v>1761000500</v>
      </c>
      <c r="H959" s="54" t="s">
        <v>229</v>
      </c>
      <c r="I959" s="54" t="s">
        <v>3514</v>
      </c>
      <c r="J959" s="34" t="s">
        <v>3419</v>
      </c>
      <c r="K959" s="50">
        <v>150000</v>
      </c>
      <c r="L959" s="43">
        <v>70510</v>
      </c>
      <c r="M959" s="44">
        <f t="shared" si="72"/>
        <v>0.47006666666666669</v>
      </c>
      <c r="N959" s="49">
        <f>ROUND(L959/Summary!$C$3*Summary!$C$2,0)</f>
        <v>218581</v>
      </c>
      <c r="O959" s="44">
        <f t="shared" si="73"/>
        <v>1.4572066666666668</v>
      </c>
      <c r="P959" s="78">
        <v>12</v>
      </c>
      <c r="Q959" s="34">
        <v>7</v>
      </c>
      <c r="R959" s="35">
        <f t="shared" si="74"/>
        <v>0.58333333333333337</v>
      </c>
      <c r="S959" s="49">
        <f>ROUND(Q959/Summary!$C$3*Summary!$C$2,0)</f>
        <v>22</v>
      </c>
      <c r="T959" s="44">
        <f t="shared" si="75"/>
        <v>1.8333333333333333</v>
      </c>
      <c r="U959" s="34">
        <v>0</v>
      </c>
      <c r="V959" s="34">
        <v>1</v>
      </c>
      <c r="W959" s="34">
        <v>0</v>
      </c>
      <c r="X959" s="34">
        <v>0</v>
      </c>
    </row>
    <row r="960" spans="1:24" hidden="1">
      <c r="A960" s="34" t="s">
        <v>3312</v>
      </c>
      <c r="B960" s="34" t="s">
        <v>430</v>
      </c>
      <c r="C960" s="34" t="s">
        <v>81</v>
      </c>
      <c r="D960" s="34" t="s">
        <v>9</v>
      </c>
      <c r="E960" s="34" t="s">
        <v>9</v>
      </c>
      <c r="F960" s="34" t="s">
        <v>3313</v>
      </c>
      <c r="G960" s="54">
        <v>1711952508</v>
      </c>
      <c r="H960" s="54" t="s">
        <v>229</v>
      </c>
      <c r="I960" s="54" t="s">
        <v>3514</v>
      </c>
      <c r="J960" s="34" t="s">
        <v>3421</v>
      </c>
      <c r="K960" s="50">
        <v>130000</v>
      </c>
      <c r="L960" s="43">
        <v>61775</v>
      </c>
      <c r="M960" s="44">
        <f t="shared" si="72"/>
        <v>0.47519230769230769</v>
      </c>
      <c r="N960" s="49">
        <f>ROUND(L960/Summary!$C$3*Summary!$C$2,0)</f>
        <v>191503</v>
      </c>
      <c r="O960" s="44">
        <f t="shared" si="73"/>
        <v>1.4731000000000001</v>
      </c>
      <c r="P960" s="78">
        <v>10</v>
      </c>
      <c r="Q960" s="34">
        <v>3</v>
      </c>
      <c r="R960" s="35">
        <f t="shared" si="74"/>
        <v>0.3</v>
      </c>
      <c r="S960" s="49">
        <f>ROUND(Q960/Summary!$C$3*Summary!$C$2,0)</f>
        <v>9</v>
      </c>
      <c r="T960" s="44">
        <f t="shared" si="75"/>
        <v>0.9</v>
      </c>
      <c r="U960" s="34">
        <v>1</v>
      </c>
      <c r="V960" s="34">
        <v>0</v>
      </c>
      <c r="W960" s="34">
        <v>0</v>
      </c>
      <c r="X960" s="34">
        <v>0</v>
      </c>
    </row>
    <row r="961" spans="1:24" hidden="1">
      <c r="A961" s="34" t="s">
        <v>3422</v>
      </c>
      <c r="B961" s="34" t="s">
        <v>3423</v>
      </c>
      <c r="C961" s="34" t="s">
        <v>81</v>
      </c>
      <c r="D961" s="34" t="s">
        <v>9</v>
      </c>
      <c r="E961" s="34" t="s">
        <v>9</v>
      </c>
      <c r="F961" s="34" t="s">
        <v>3424</v>
      </c>
      <c r="G961" s="54">
        <v>1713311711</v>
      </c>
      <c r="H961" s="54" t="s">
        <v>229</v>
      </c>
      <c r="I961" s="54" t="s">
        <v>3514</v>
      </c>
      <c r="J961" s="34" t="s">
        <v>3419</v>
      </c>
      <c r="K961" s="50">
        <v>250000</v>
      </c>
      <c r="L961" s="43">
        <v>58754</v>
      </c>
      <c r="M961" s="44">
        <f t="shared" si="72"/>
        <v>0.235016</v>
      </c>
      <c r="N961" s="49">
        <f>ROUND(L961/Summary!$C$3*Summary!$C$2,0)</f>
        <v>182137</v>
      </c>
      <c r="O961" s="44">
        <f t="shared" si="73"/>
        <v>0.72854799999999997</v>
      </c>
      <c r="P961" s="78">
        <v>15</v>
      </c>
      <c r="Q961" s="34">
        <v>4</v>
      </c>
      <c r="R961" s="35">
        <f t="shared" si="74"/>
        <v>0.26666666666666666</v>
      </c>
      <c r="S961" s="49">
        <f>ROUND(Q961/Summary!$C$3*Summary!$C$2,0)</f>
        <v>12</v>
      </c>
      <c r="T961" s="44">
        <f t="shared" si="75"/>
        <v>0.8</v>
      </c>
      <c r="U961" s="34">
        <v>0</v>
      </c>
      <c r="V961" s="34">
        <v>0</v>
      </c>
      <c r="W961" s="34">
        <v>0</v>
      </c>
      <c r="X961" s="34">
        <v>0</v>
      </c>
    </row>
    <row r="962" spans="1:24" hidden="1">
      <c r="A962" s="34" t="s">
        <v>812</v>
      </c>
      <c r="B962" s="34" t="s">
        <v>813</v>
      </c>
      <c r="C962" s="34" t="s">
        <v>81</v>
      </c>
      <c r="D962" s="34" t="s">
        <v>9</v>
      </c>
      <c r="E962" s="34" t="s">
        <v>9</v>
      </c>
      <c r="F962" s="34" t="s">
        <v>814</v>
      </c>
      <c r="G962" s="54">
        <v>1747560666</v>
      </c>
      <c r="H962" s="54" t="s">
        <v>229</v>
      </c>
      <c r="I962" s="54" t="s">
        <v>3514</v>
      </c>
      <c r="J962" s="34" t="s">
        <v>3515</v>
      </c>
      <c r="K962" s="50">
        <v>150000</v>
      </c>
      <c r="L962" s="43">
        <v>42780</v>
      </c>
      <c r="M962" s="44">
        <f t="shared" si="72"/>
        <v>0.28520000000000001</v>
      </c>
      <c r="N962" s="49">
        <f>ROUND(L962/Summary!$C$3*Summary!$C$2,0)</f>
        <v>132618</v>
      </c>
      <c r="O962" s="44">
        <f t="shared" si="73"/>
        <v>0.88412000000000002</v>
      </c>
      <c r="P962" s="78">
        <v>10</v>
      </c>
      <c r="Q962" s="34">
        <v>3</v>
      </c>
      <c r="R962" s="35">
        <f t="shared" si="74"/>
        <v>0.3</v>
      </c>
      <c r="S962" s="49">
        <f>ROUND(Q962/Summary!$C$3*Summary!$C$2,0)</f>
        <v>9</v>
      </c>
      <c r="T962" s="44">
        <f t="shared" si="75"/>
        <v>0.9</v>
      </c>
      <c r="U962" s="34">
        <v>0</v>
      </c>
      <c r="V962" s="34">
        <v>2</v>
      </c>
      <c r="W962" s="34">
        <v>0</v>
      </c>
      <c r="X962" s="34">
        <v>0</v>
      </c>
    </row>
    <row r="963" spans="1:24" hidden="1">
      <c r="A963" s="34" t="s">
        <v>718</v>
      </c>
      <c r="B963" s="34" t="s">
        <v>719</v>
      </c>
      <c r="C963" s="34" t="s">
        <v>180</v>
      </c>
      <c r="D963" s="34" t="s">
        <v>181</v>
      </c>
      <c r="E963" s="34" t="s">
        <v>9</v>
      </c>
      <c r="F963" s="34" t="s">
        <v>720</v>
      </c>
      <c r="G963" s="54">
        <v>1720545501</v>
      </c>
      <c r="H963" s="54" t="s">
        <v>229</v>
      </c>
      <c r="I963" s="54" t="s">
        <v>3514</v>
      </c>
      <c r="J963" s="34" t="s">
        <v>3421</v>
      </c>
      <c r="K963" s="50">
        <v>160000</v>
      </c>
      <c r="L963" s="43">
        <v>51110</v>
      </c>
      <c r="M963" s="44">
        <f t="shared" si="72"/>
        <v>0.31943749999999999</v>
      </c>
      <c r="N963" s="49">
        <f>ROUND(L963/Summary!$C$3*Summary!$C$2,0)</f>
        <v>158441</v>
      </c>
      <c r="O963" s="44">
        <f t="shared" si="73"/>
        <v>0.99025624999999995</v>
      </c>
      <c r="P963" s="78">
        <v>10</v>
      </c>
      <c r="Q963" s="34">
        <v>4</v>
      </c>
      <c r="R963" s="35">
        <f t="shared" si="74"/>
        <v>0.4</v>
      </c>
      <c r="S963" s="49">
        <f>ROUND(Q963/Summary!$C$3*Summary!$C$2,0)</f>
        <v>12</v>
      </c>
      <c r="T963" s="44">
        <f t="shared" si="75"/>
        <v>1.2</v>
      </c>
      <c r="U963" s="34">
        <v>0</v>
      </c>
      <c r="V963" s="34">
        <v>0</v>
      </c>
      <c r="W963" s="34">
        <v>0</v>
      </c>
      <c r="X963" s="34">
        <v>0</v>
      </c>
    </row>
    <row r="964" spans="1:24" hidden="1">
      <c r="A964" s="34" t="s">
        <v>791</v>
      </c>
      <c r="B964" s="34" t="s">
        <v>792</v>
      </c>
      <c r="C964" s="34" t="s">
        <v>180</v>
      </c>
      <c r="D964" s="34" t="s">
        <v>181</v>
      </c>
      <c r="E964" s="34" t="s">
        <v>9</v>
      </c>
      <c r="F964" s="34" t="s">
        <v>793</v>
      </c>
      <c r="G964" s="54">
        <v>1730957378</v>
      </c>
      <c r="H964" s="54" t="s">
        <v>229</v>
      </c>
      <c r="I964" s="54" t="s">
        <v>3514</v>
      </c>
      <c r="J964" s="34" t="s">
        <v>3419</v>
      </c>
      <c r="K964" s="50">
        <v>165810</v>
      </c>
      <c r="L964" s="43">
        <v>86600</v>
      </c>
      <c r="M964" s="44">
        <f t="shared" si="72"/>
        <v>0.52228454254870027</v>
      </c>
      <c r="N964" s="49">
        <f>ROUND(L964/Summary!$C$3*Summary!$C$2,0)</f>
        <v>268460</v>
      </c>
      <c r="O964" s="44">
        <f t="shared" si="73"/>
        <v>1.619082081900971</v>
      </c>
      <c r="P964" s="78">
        <v>10</v>
      </c>
      <c r="Q964" s="34">
        <v>4</v>
      </c>
      <c r="R964" s="35">
        <f t="shared" si="74"/>
        <v>0.4</v>
      </c>
      <c r="S964" s="49">
        <f>ROUND(Q964/Summary!$C$3*Summary!$C$2,0)</f>
        <v>12</v>
      </c>
      <c r="T964" s="44">
        <f t="shared" si="75"/>
        <v>1.2</v>
      </c>
      <c r="U964" s="34">
        <v>3</v>
      </c>
      <c r="V964" s="34">
        <v>2</v>
      </c>
      <c r="W964" s="34">
        <v>0</v>
      </c>
      <c r="X964" s="34">
        <v>0</v>
      </c>
    </row>
    <row r="965" spans="1:24" hidden="1">
      <c r="A965" s="34" t="s">
        <v>679</v>
      </c>
      <c r="B965" s="34" t="s">
        <v>680</v>
      </c>
      <c r="C965" s="34" t="s">
        <v>180</v>
      </c>
      <c r="D965" s="34" t="s">
        <v>181</v>
      </c>
      <c r="E965" s="34" t="s">
        <v>9</v>
      </c>
      <c r="F965" s="34" t="s">
        <v>681</v>
      </c>
      <c r="G965" s="54">
        <v>1751241868</v>
      </c>
      <c r="H965" s="54" t="s">
        <v>229</v>
      </c>
      <c r="I965" s="54" t="s">
        <v>3514</v>
      </c>
      <c r="J965" s="34" t="s">
        <v>3421</v>
      </c>
      <c r="K965" s="50">
        <v>130000</v>
      </c>
      <c r="L965" s="43">
        <v>23110</v>
      </c>
      <c r="M965" s="44">
        <f t="shared" si="72"/>
        <v>0.17776923076923076</v>
      </c>
      <c r="N965" s="49">
        <f>ROUND(L965/Summary!$C$3*Summary!$C$2,0)</f>
        <v>71641</v>
      </c>
      <c r="O965" s="44">
        <f t="shared" si="73"/>
        <v>0.55108461538461539</v>
      </c>
      <c r="P965" s="78">
        <v>10</v>
      </c>
      <c r="Q965" s="34">
        <v>1</v>
      </c>
      <c r="R965" s="35">
        <f t="shared" si="74"/>
        <v>0.1</v>
      </c>
      <c r="S965" s="49">
        <f>ROUND(Q965/Summary!$C$3*Summary!$C$2,0)</f>
        <v>3</v>
      </c>
      <c r="T965" s="44">
        <f t="shared" si="75"/>
        <v>0.3</v>
      </c>
      <c r="U965" s="34">
        <v>0</v>
      </c>
      <c r="V965" s="34">
        <v>1</v>
      </c>
      <c r="W965" s="34">
        <v>0</v>
      </c>
      <c r="X965" s="34">
        <v>0</v>
      </c>
    </row>
    <row r="966" spans="1:24" hidden="1">
      <c r="A966" s="34" t="s">
        <v>768</v>
      </c>
      <c r="B966" s="34" t="s">
        <v>769</v>
      </c>
      <c r="C966" s="34" t="s">
        <v>180</v>
      </c>
      <c r="D966" s="34" t="s">
        <v>181</v>
      </c>
      <c r="E966" s="34" t="s">
        <v>9</v>
      </c>
      <c r="F966" s="34" t="s">
        <v>770</v>
      </c>
      <c r="G966" s="54">
        <v>1729189560</v>
      </c>
      <c r="H966" s="54" t="s">
        <v>229</v>
      </c>
      <c r="I966" s="54" t="s">
        <v>3514</v>
      </c>
      <c r="J966" s="34" t="s">
        <v>3419</v>
      </c>
      <c r="K966" s="50">
        <v>130000</v>
      </c>
      <c r="L966" s="43">
        <v>60390</v>
      </c>
      <c r="M966" s="44">
        <f t="shared" si="72"/>
        <v>0.46453846153846151</v>
      </c>
      <c r="N966" s="49">
        <f>ROUND(L966/Summary!$C$3*Summary!$C$2,0)</f>
        <v>187209</v>
      </c>
      <c r="O966" s="44">
        <f t="shared" si="73"/>
        <v>1.4400692307692309</v>
      </c>
      <c r="P966" s="78">
        <v>10</v>
      </c>
      <c r="Q966" s="34">
        <v>4</v>
      </c>
      <c r="R966" s="35">
        <f t="shared" si="74"/>
        <v>0.4</v>
      </c>
      <c r="S966" s="49">
        <f>ROUND(Q966/Summary!$C$3*Summary!$C$2,0)</f>
        <v>12</v>
      </c>
      <c r="T966" s="44">
        <f t="shared" si="75"/>
        <v>1.2</v>
      </c>
      <c r="U966" s="34">
        <v>0</v>
      </c>
      <c r="V966" s="34">
        <v>3</v>
      </c>
      <c r="W966" s="34">
        <v>0</v>
      </c>
      <c r="X966" s="34">
        <v>0</v>
      </c>
    </row>
    <row r="967" spans="1:24" hidden="1">
      <c r="A967" s="34" t="s">
        <v>712</v>
      </c>
      <c r="B967" s="34" t="s">
        <v>713</v>
      </c>
      <c r="C967" s="34" t="s">
        <v>180</v>
      </c>
      <c r="D967" s="34" t="s">
        <v>181</v>
      </c>
      <c r="E967" s="34" t="s">
        <v>9</v>
      </c>
      <c r="F967" s="34" t="s">
        <v>714</v>
      </c>
      <c r="G967" s="54">
        <v>1757800411</v>
      </c>
      <c r="H967" s="54" t="s">
        <v>229</v>
      </c>
      <c r="I967" s="54" t="s">
        <v>3514</v>
      </c>
      <c r="J967" s="34" t="s">
        <v>3419</v>
      </c>
      <c r="K967" s="50">
        <v>210000</v>
      </c>
      <c r="L967" s="43">
        <v>51019</v>
      </c>
      <c r="M967" s="44">
        <f t="shared" si="72"/>
        <v>0.24294761904761905</v>
      </c>
      <c r="N967" s="49">
        <f>ROUND(L967/Summary!$C$3*Summary!$C$2,0)</f>
        <v>158159</v>
      </c>
      <c r="O967" s="44">
        <f t="shared" si="73"/>
        <v>0.75313809523809527</v>
      </c>
      <c r="P967" s="78">
        <v>10</v>
      </c>
      <c r="Q967" s="34">
        <v>2</v>
      </c>
      <c r="R967" s="35">
        <f t="shared" si="74"/>
        <v>0.2</v>
      </c>
      <c r="S967" s="49">
        <f>ROUND(Q967/Summary!$C$3*Summary!$C$2,0)</f>
        <v>6</v>
      </c>
      <c r="T967" s="44">
        <f t="shared" si="75"/>
        <v>0.6</v>
      </c>
      <c r="U967" s="34">
        <v>1</v>
      </c>
      <c r="V967" s="34">
        <v>1</v>
      </c>
      <c r="W967" s="34">
        <v>1</v>
      </c>
      <c r="X967" s="34">
        <v>0</v>
      </c>
    </row>
    <row r="968" spans="1:24" hidden="1">
      <c r="A968" s="34" t="s">
        <v>774</v>
      </c>
      <c r="B968" s="34" t="s">
        <v>775</v>
      </c>
      <c r="C968" s="34" t="s">
        <v>180</v>
      </c>
      <c r="D968" s="34" t="s">
        <v>181</v>
      </c>
      <c r="E968" s="34" t="s">
        <v>9</v>
      </c>
      <c r="F968" s="34" t="s">
        <v>776</v>
      </c>
      <c r="G968" s="54">
        <v>1862580268</v>
      </c>
      <c r="H968" s="54" t="s">
        <v>229</v>
      </c>
      <c r="I968" s="54" t="s">
        <v>3514</v>
      </c>
      <c r="J968" s="34" t="s">
        <v>3421</v>
      </c>
      <c r="K968" s="50">
        <v>155349</v>
      </c>
      <c r="L968" s="43">
        <v>53710</v>
      </c>
      <c r="M968" s="44">
        <f t="shared" si="72"/>
        <v>0.34573766165215097</v>
      </c>
      <c r="N968" s="49">
        <f>ROUND(L968/Summary!$C$3*Summary!$C$2,0)</f>
        <v>166501</v>
      </c>
      <c r="O968" s="44">
        <f t="shared" si="73"/>
        <v>1.0717867511216679</v>
      </c>
      <c r="P968" s="78">
        <v>10</v>
      </c>
      <c r="Q968" s="34">
        <v>5</v>
      </c>
      <c r="R968" s="35">
        <f t="shared" si="74"/>
        <v>0.5</v>
      </c>
      <c r="S968" s="49">
        <f>ROUND(Q968/Summary!$C$3*Summary!$C$2,0)</f>
        <v>16</v>
      </c>
      <c r="T968" s="44">
        <f t="shared" si="75"/>
        <v>1.6</v>
      </c>
      <c r="U968" s="34">
        <v>0</v>
      </c>
      <c r="V968" s="34">
        <v>2</v>
      </c>
      <c r="W968" s="34">
        <v>0</v>
      </c>
      <c r="X968" s="34">
        <v>0</v>
      </c>
    </row>
    <row r="969" spans="1:24" hidden="1">
      <c r="A969" s="34" t="s">
        <v>3110</v>
      </c>
      <c r="B969" s="34" t="s">
        <v>3111</v>
      </c>
      <c r="C969" s="34" t="s">
        <v>180</v>
      </c>
      <c r="D969" s="34" t="s">
        <v>181</v>
      </c>
      <c r="E969" s="34" t="s">
        <v>9</v>
      </c>
      <c r="F969" s="34" t="s">
        <v>3112</v>
      </c>
      <c r="G969" s="54">
        <v>1752026460</v>
      </c>
      <c r="H969" s="54" t="s">
        <v>229</v>
      </c>
      <c r="I969" s="54" t="s">
        <v>3518</v>
      </c>
      <c r="J969" s="34" t="s">
        <v>3421</v>
      </c>
      <c r="K969" s="50">
        <v>340000</v>
      </c>
      <c r="L969" s="43">
        <v>137829</v>
      </c>
      <c r="M969" s="44">
        <f t="shared" si="72"/>
        <v>0.40537941176470588</v>
      </c>
      <c r="N969" s="49">
        <f>ROUND(L969/Summary!$C$3*Summary!$C$2,0)</f>
        <v>427270</v>
      </c>
      <c r="O969" s="44">
        <f t="shared" si="73"/>
        <v>1.2566764705882354</v>
      </c>
      <c r="P969" s="78">
        <v>20</v>
      </c>
      <c r="Q969" s="34">
        <v>11</v>
      </c>
      <c r="R969" s="35">
        <f t="shared" si="74"/>
        <v>0.55000000000000004</v>
      </c>
      <c r="S969" s="49">
        <f>ROUND(Q969/Summary!$C$3*Summary!$C$2,0)</f>
        <v>34</v>
      </c>
      <c r="T969" s="44">
        <f t="shared" si="75"/>
        <v>1.7</v>
      </c>
      <c r="U969" s="34">
        <v>0</v>
      </c>
      <c r="V969" s="34">
        <v>5</v>
      </c>
      <c r="W969" s="34">
        <v>0</v>
      </c>
      <c r="X969" s="34">
        <v>0</v>
      </c>
    </row>
    <row r="970" spans="1:24" hidden="1">
      <c r="A970" s="34" t="s">
        <v>788</v>
      </c>
      <c r="B970" s="34" t="s">
        <v>789</v>
      </c>
      <c r="C970" s="34" t="s">
        <v>180</v>
      </c>
      <c r="D970" s="34" t="s">
        <v>181</v>
      </c>
      <c r="E970" s="34" t="s">
        <v>9</v>
      </c>
      <c r="F970" s="34" t="s">
        <v>790</v>
      </c>
      <c r="G970" s="54">
        <v>1719418244</v>
      </c>
      <c r="H970" s="54" t="s">
        <v>229</v>
      </c>
      <c r="I970" s="54" t="s">
        <v>3514</v>
      </c>
      <c r="J970" s="34" t="s">
        <v>3421</v>
      </c>
      <c r="K970" s="50">
        <v>280000</v>
      </c>
      <c r="L970" s="43">
        <v>105020</v>
      </c>
      <c r="M970" s="44">
        <f t="shared" ref="M970:M1033" si="76">L970/K970</f>
        <v>0.37507142857142856</v>
      </c>
      <c r="N970" s="49">
        <f>ROUND(L970/Summary!$C$3*Summary!$C$2,0)</f>
        <v>325562</v>
      </c>
      <c r="O970" s="44">
        <f t="shared" ref="O970:O1033" si="77">N970/K970</f>
        <v>1.1627214285714285</v>
      </c>
      <c r="P970" s="78">
        <v>15</v>
      </c>
      <c r="Q970" s="34">
        <v>8</v>
      </c>
      <c r="R970" s="35">
        <f t="shared" ref="R970:R1033" si="78">Q970/P970</f>
        <v>0.53333333333333333</v>
      </c>
      <c r="S970" s="49">
        <f>ROUND(Q970/Summary!$C$3*Summary!$C$2,0)</f>
        <v>25</v>
      </c>
      <c r="T970" s="44">
        <f t="shared" ref="T970:T1033" si="79">S970/P970</f>
        <v>1.6666666666666667</v>
      </c>
      <c r="U970" s="34">
        <v>3</v>
      </c>
      <c r="V970" s="34">
        <v>2</v>
      </c>
      <c r="W970" s="34">
        <v>0</v>
      </c>
      <c r="X970" s="34">
        <v>0</v>
      </c>
    </row>
    <row r="971" spans="1:24" hidden="1">
      <c r="A971" s="34" t="s">
        <v>715</v>
      </c>
      <c r="B971" s="34" t="s">
        <v>716</v>
      </c>
      <c r="C971" s="34" t="s">
        <v>180</v>
      </c>
      <c r="D971" s="34" t="s">
        <v>181</v>
      </c>
      <c r="E971" s="34" t="s">
        <v>9</v>
      </c>
      <c r="F971" s="34" t="s">
        <v>717</v>
      </c>
      <c r="G971" s="54">
        <v>1740021002</v>
      </c>
      <c r="H971" s="54" t="s">
        <v>229</v>
      </c>
      <c r="I971" s="54" t="s">
        <v>3514</v>
      </c>
      <c r="J971" s="34" t="s">
        <v>3419</v>
      </c>
      <c r="K971" s="50">
        <v>270032</v>
      </c>
      <c r="L971" s="43">
        <v>113608</v>
      </c>
      <c r="M971" s="44">
        <f t="shared" si="76"/>
        <v>0.42072050719914678</v>
      </c>
      <c r="N971" s="49">
        <f>ROUND(L971/Summary!$C$3*Summary!$C$2,0)</f>
        <v>352185</v>
      </c>
      <c r="O971" s="44">
        <f t="shared" si="77"/>
        <v>1.3042343129703147</v>
      </c>
      <c r="P971" s="78">
        <v>19</v>
      </c>
      <c r="Q971" s="34">
        <v>3</v>
      </c>
      <c r="R971" s="35">
        <f t="shared" si="78"/>
        <v>0.15789473684210525</v>
      </c>
      <c r="S971" s="49">
        <f>ROUND(Q971/Summary!$C$3*Summary!$C$2,0)</f>
        <v>9</v>
      </c>
      <c r="T971" s="44">
        <f t="shared" si="79"/>
        <v>0.47368421052631576</v>
      </c>
      <c r="U971" s="34">
        <v>1</v>
      </c>
      <c r="V971" s="34">
        <v>0</v>
      </c>
      <c r="W971" s="34">
        <v>0</v>
      </c>
      <c r="X971" s="34">
        <v>0</v>
      </c>
    </row>
    <row r="972" spans="1:24" hidden="1">
      <c r="A972" s="34" t="s">
        <v>703</v>
      </c>
      <c r="B972" s="34" t="s">
        <v>704</v>
      </c>
      <c r="C972" s="34" t="s">
        <v>180</v>
      </c>
      <c r="D972" s="34" t="s">
        <v>181</v>
      </c>
      <c r="E972" s="34" t="s">
        <v>9</v>
      </c>
      <c r="F972" s="34" t="s">
        <v>705</v>
      </c>
      <c r="G972" s="54">
        <v>1726257257</v>
      </c>
      <c r="H972" s="54" t="s">
        <v>229</v>
      </c>
      <c r="I972" s="54" t="s">
        <v>3514</v>
      </c>
      <c r="J972" s="34" t="s">
        <v>3421</v>
      </c>
      <c r="K972" s="50">
        <v>157182</v>
      </c>
      <c r="L972" s="43">
        <v>29340</v>
      </c>
      <c r="M972" s="44">
        <f t="shared" si="76"/>
        <v>0.18666259495362064</v>
      </c>
      <c r="N972" s="49">
        <f>ROUND(L972/Summary!$C$3*Summary!$C$2,0)</f>
        <v>90954</v>
      </c>
      <c r="O972" s="44">
        <f t="shared" si="77"/>
        <v>0.57865404435622403</v>
      </c>
      <c r="P972" s="78">
        <v>10</v>
      </c>
      <c r="Q972" s="34">
        <v>0</v>
      </c>
      <c r="R972" s="35">
        <f t="shared" si="78"/>
        <v>0</v>
      </c>
      <c r="S972" s="49">
        <f>ROUND(Q972/Summary!$C$3*Summary!$C$2,0)</f>
        <v>0</v>
      </c>
      <c r="T972" s="44">
        <f t="shared" si="79"/>
        <v>0</v>
      </c>
      <c r="U972" s="34">
        <v>1</v>
      </c>
      <c r="V972" s="34">
        <v>0</v>
      </c>
      <c r="W972" s="34">
        <v>0</v>
      </c>
      <c r="X972" s="34">
        <v>0</v>
      </c>
    </row>
    <row r="973" spans="1:24" hidden="1">
      <c r="A973" s="34" t="s">
        <v>3113</v>
      </c>
      <c r="B973" s="34" t="s">
        <v>3114</v>
      </c>
      <c r="C973" s="34" t="s">
        <v>180</v>
      </c>
      <c r="D973" s="34" t="s">
        <v>181</v>
      </c>
      <c r="E973" s="34" t="s">
        <v>9</v>
      </c>
      <c r="F973" s="34" t="s">
        <v>1255</v>
      </c>
      <c r="G973" s="54">
        <v>1717796774</v>
      </c>
      <c r="H973" s="54" t="s">
        <v>229</v>
      </c>
      <c r="I973" s="54" t="s">
        <v>3514</v>
      </c>
      <c r="J973" s="34" t="s">
        <v>3421</v>
      </c>
      <c r="K973" s="50">
        <v>180000</v>
      </c>
      <c r="L973" s="43">
        <v>128350</v>
      </c>
      <c r="M973" s="44">
        <f t="shared" si="76"/>
        <v>0.71305555555555555</v>
      </c>
      <c r="N973" s="49">
        <f>ROUND(L973/Summary!$C$3*Summary!$C$2,0)</f>
        <v>397885</v>
      </c>
      <c r="O973" s="44">
        <f t="shared" si="77"/>
        <v>2.2104722222222222</v>
      </c>
      <c r="P973" s="78">
        <v>10</v>
      </c>
      <c r="Q973" s="34">
        <v>7</v>
      </c>
      <c r="R973" s="35">
        <f t="shared" si="78"/>
        <v>0.7</v>
      </c>
      <c r="S973" s="49">
        <f>ROUND(Q973/Summary!$C$3*Summary!$C$2,0)</f>
        <v>22</v>
      </c>
      <c r="T973" s="44">
        <f t="shared" si="79"/>
        <v>2.2000000000000002</v>
      </c>
      <c r="U973" s="34">
        <v>4</v>
      </c>
      <c r="V973" s="34">
        <v>2</v>
      </c>
      <c r="W973" s="34">
        <v>0</v>
      </c>
      <c r="X973" s="34">
        <v>0</v>
      </c>
    </row>
    <row r="974" spans="1:24" hidden="1">
      <c r="A974" s="34" t="s">
        <v>800</v>
      </c>
      <c r="B974" s="34" t="s">
        <v>801</v>
      </c>
      <c r="C974" s="34" t="s">
        <v>183</v>
      </c>
      <c r="D974" s="34" t="s">
        <v>181</v>
      </c>
      <c r="E974" s="34" t="s">
        <v>9</v>
      </c>
      <c r="F974" s="34" t="s">
        <v>802</v>
      </c>
      <c r="G974" s="54">
        <v>1710974736</v>
      </c>
      <c r="H974" s="54" t="s">
        <v>229</v>
      </c>
      <c r="I974" s="54" t="s">
        <v>3514</v>
      </c>
      <c r="J974" s="34" t="s">
        <v>3421</v>
      </c>
      <c r="K974" s="50">
        <v>130000</v>
      </c>
      <c r="L974" s="43">
        <v>5690</v>
      </c>
      <c r="M974" s="44">
        <f t="shared" si="76"/>
        <v>4.3769230769230769E-2</v>
      </c>
      <c r="N974" s="49">
        <f>ROUND(L974/Summary!$C$3*Summary!$C$2,0)</f>
        <v>17639</v>
      </c>
      <c r="O974" s="44">
        <f t="shared" si="77"/>
        <v>0.13568461538461538</v>
      </c>
      <c r="P974" s="78">
        <v>10</v>
      </c>
      <c r="Q974" s="34">
        <v>0</v>
      </c>
      <c r="R974" s="35">
        <f t="shared" si="78"/>
        <v>0</v>
      </c>
      <c r="S974" s="49">
        <f>ROUND(Q974/Summary!$C$3*Summary!$C$2,0)</f>
        <v>0</v>
      </c>
      <c r="T974" s="44">
        <f t="shared" si="79"/>
        <v>0</v>
      </c>
      <c r="U974" s="34">
        <v>0</v>
      </c>
      <c r="V974" s="34">
        <v>0</v>
      </c>
      <c r="W974" s="34">
        <v>0</v>
      </c>
      <c r="X974" s="34">
        <v>0</v>
      </c>
    </row>
    <row r="975" spans="1:24" hidden="1">
      <c r="A975" s="34" t="s">
        <v>738</v>
      </c>
      <c r="B975" s="34" t="s">
        <v>739</v>
      </c>
      <c r="C975" s="34" t="s">
        <v>183</v>
      </c>
      <c r="D975" s="34" t="s">
        <v>181</v>
      </c>
      <c r="E975" s="34" t="s">
        <v>9</v>
      </c>
      <c r="F975" s="34" t="s">
        <v>740</v>
      </c>
      <c r="G975" s="54">
        <v>1742558833</v>
      </c>
      <c r="H975" s="54" t="s">
        <v>229</v>
      </c>
      <c r="I975" s="54" t="s">
        <v>3514</v>
      </c>
      <c r="J975" s="34" t="s">
        <v>3421</v>
      </c>
      <c r="K975" s="50">
        <v>130000</v>
      </c>
      <c r="L975" s="43">
        <v>8480</v>
      </c>
      <c r="M975" s="44">
        <f t="shared" si="76"/>
        <v>6.5230769230769231E-2</v>
      </c>
      <c r="N975" s="49">
        <f>ROUND(L975/Summary!$C$3*Summary!$C$2,0)</f>
        <v>26288</v>
      </c>
      <c r="O975" s="44">
        <f t="shared" si="77"/>
        <v>0.2022153846153846</v>
      </c>
      <c r="P975" s="78">
        <v>10</v>
      </c>
      <c r="Q975" s="34">
        <v>0</v>
      </c>
      <c r="R975" s="35">
        <f t="shared" si="78"/>
        <v>0</v>
      </c>
      <c r="S975" s="49">
        <f>ROUND(Q975/Summary!$C$3*Summary!$C$2,0)</f>
        <v>0</v>
      </c>
      <c r="T975" s="44">
        <f t="shared" si="79"/>
        <v>0</v>
      </c>
      <c r="U975" s="34">
        <v>0</v>
      </c>
      <c r="V975" s="34">
        <v>0</v>
      </c>
      <c r="W975" s="34">
        <v>0</v>
      </c>
      <c r="X975" s="34">
        <v>0</v>
      </c>
    </row>
    <row r="976" spans="1:24" hidden="1">
      <c r="A976" s="34" t="s">
        <v>842</v>
      </c>
      <c r="B976" s="34" t="s">
        <v>843</v>
      </c>
      <c r="C976" s="34" t="s">
        <v>183</v>
      </c>
      <c r="D976" s="34" t="s">
        <v>181</v>
      </c>
      <c r="E976" s="34" t="s">
        <v>9</v>
      </c>
      <c r="F976" s="34" t="s">
        <v>844</v>
      </c>
      <c r="G976" s="54">
        <v>1747929498</v>
      </c>
      <c r="H976" s="54" t="s">
        <v>229</v>
      </c>
      <c r="I976" s="54" t="s">
        <v>3514</v>
      </c>
      <c r="J976" s="34" t="s">
        <v>3421</v>
      </c>
      <c r="K976" s="50">
        <v>130000</v>
      </c>
      <c r="L976" s="43">
        <v>49265</v>
      </c>
      <c r="M976" s="44">
        <f t="shared" si="76"/>
        <v>0.37896153846153846</v>
      </c>
      <c r="N976" s="49">
        <f>ROUND(L976/Summary!$C$3*Summary!$C$2,0)</f>
        <v>152722</v>
      </c>
      <c r="O976" s="44">
        <f t="shared" si="77"/>
        <v>1.1747846153846153</v>
      </c>
      <c r="P976" s="78">
        <v>10</v>
      </c>
      <c r="Q976" s="34">
        <v>4</v>
      </c>
      <c r="R976" s="35">
        <f t="shared" si="78"/>
        <v>0.4</v>
      </c>
      <c r="S976" s="49">
        <f>ROUND(Q976/Summary!$C$3*Summary!$C$2,0)</f>
        <v>12</v>
      </c>
      <c r="T976" s="44">
        <f t="shared" si="79"/>
        <v>1.2</v>
      </c>
      <c r="U976" s="34">
        <v>1</v>
      </c>
      <c r="V976" s="34">
        <v>1</v>
      </c>
      <c r="W976" s="34">
        <v>0</v>
      </c>
      <c r="X976" s="34">
        <v>1</v>
      </c>
    </row>
    <row r="977" spans="1:24" hidden="1">
      <c r="A977" s="34" t="s">
        <v>697</v>
      </c>
      <c r="B977" s="34" t="s">
        <v>698</v>
      </c>
      <c r="C977" s="34" t="s">
        <v>183</v>
      </c>
      <c r="D977" s="34" t="s">
        <v>181</v>
      </c>
      <c r="E977" s="34" t="s">
        <v>9</v>
      </c>
      <c r="F977" s="34" t="s">
        <v>699</v>
      </c>
      <c r="G977" s="54">
        <v>1711352074</v>
      </c>
      <c r="H977" s="54" t="s">
        <v>229</v>
      </c>
      <c r="I977" s="54" t="s">
        <v>3518</v>
      </c>
      <c r="J977" s="34" t="s">
        <v>3419</v>
      </c>
      <c r="K977" s="50">
        <v>481574</v>
      </c>
      <c r="L977" s="43">
        <v>153818</v>
      </c>
      <c r="M977" s="44">
        <f t="shared" si="76"/>
        <v>0.31940677860515726</v>
      </c>
      <c r="N977" s="49">
        <f>ROUND(L977/Summary!$C$3*Summary!$C$2,0)</f>
        <v>476836</v>
      </c>
      <c r="O977" s="44">
        <f t="shared" si="77"/>
        <v>0.99016142898080051</v>
      </c>
      <c r="P977" s="78">
        <v>24</v>
      </c>
      <c r="Q977" s="34">
        <v>4</v>
      </c>
      <c r="R977" s="35">
        <f t="shared" si="78"/>
        <v>0.16666666666666666</v>
      </c>
      <c r="S977" s="49">
        <f>ROUND(Q977/Summary!$C$3*Summary!$C$2,0)</f>
        <v>12</v>
      </c>
      <c r="T977" s="44">
        <f t="shared" si="79"/>
        <v>0.5</v>
      </c>
      <c r="U977" s="34">
        <v>4</v>
      </c>
      <c r="V977" s="34">
        <v>1</v>
      </c>
      <c r="W977" s="34">
        <v>0</v>
      </c>
      <c r="X977" s="34">
        <v>0</v>
      </c>
    </row>
    <row r="978" spans="1:24" hidden="1">
      <c r="A978" s="34" t="s">
        <v>794</v>
      </c>
      <c r="B978" s="34" t="s">
        <v>795</v>
      </c>
      <c r="C978" s="34" t="s">
        <v>183</v>
      </c>
      <c r="D978" s="34" t="s">
        <v>181</v>
      </c>
      <c r="E978" s="34" t="s">
        <v>9</v>
      </c>
      <c r="F978" s="34" t="s">
        <v>796</v>
      </c>
      <c r="G978" s="54">
        <v>1757834897</v>
      </c>
      <c r="H978" s="54" t="s">
        <v>229</v>
      </c>
      <c r="I978" s="54" t="s">
        <v>3514</v>
      </c>
      <c r="J978" s="34" t="s">
        <v>3421</v>
      </c>
      <c r="K978" s="50">
        <v>130000</v>
      </c>
      <c r="L978" s="43">
        <v>39590</v>
      </c>
      <c r="M978" s="44">
        <f t="shared" si="76"/>
        <v>0.30453846153846154</v>
      </c>
      <c r="N978" s="49">
        <f>ROUND(L978/Summary!$C$3*Summary!$C$2,0)</f>
        <v>122729</v>
      </c>
      <c r="O978" s="44">
        <f t="shared" si="77"/>
        <v>0.94406923076923077</v>
      </c>
      <c r="P978" s="78">
        <v>10</v>
      </c>
      <c r="Q978" s="34">
        <v>3</v>
      </c>
      <c r="R978" s="35">
        <f t="shared" si="78"/>
        <v>0.3</v>
      </c>
      <c r="S978" s="49">
        <f>ROUND(Q978/Summary!$C$3*Summary!$C$2,0)</f>
        <v>9</v>
      </c>
      <c r="T978" s="44">
        <f t="shared" si="79"/>
        <v>0.9</v>
      </c>
      <c r="U978" s="34">
        <v>2</v>
      </c>
      <c r="V978" s="34">
        <v>2</v>
      </c>
      <c r="W978" s="34">
        <v>0</v>
      </c>
      <c r="X978" s="34">
        <v>0</v>
      </c>
    </row>
    <row r="979" spans="1:24" hidden="1">
      <c r="A979" s="34" t="s">
        <v>692</v>
      </c>
      <c r="B979" s="34" t="s">
        <v>217</v>
      </c>
      <c r="C979" s="34" t="s">
        <v>183</v>
      </c>
      <c r="D979" s="34" t="s">
        <v>181</v>
      </c>
      <c r="E979" s="34" t="s">
        <v>9</v>
      </c>
      <c r="F979" s="34" t="s">
        <v>693</v>
      </c>
      <c r="G979" s="54">
        <v>1786811941</v>
      </c>
      <c r="H979" s="54" t="s">
        <v>229</v>
      </c>
      <c r="I979" s="54" t="s">
        <v>3518</v>
      </c>
      <c r="J979" s="34" t="s">
        <v>3419</v>
      </c>
      <c r="K979" s="50">
        <v>383604</v>
      </c>
      <c r="L979" s="43">
        <v>95505</v>
      </c>
      <c r="M979" s="44">
        <f t="shared" si="76"/>
        <v>0.24896768542559514</v>
      </c>
      <c r="N979" s="49">
        <f>ROUND(L979/Summary!$C$3*Summary!$C$2,0)</f>
        <v>296066</v>
      </c>
      <c r="O979" s="44">
        <f t="shared" si="77"/>
        <v>0.77180112824683789</v>
      </c>
      <c r="P979" s="78">
        <v>23</v>
      </c>
      <c r="Q979" s="34">
        <v>3</v>
      </c>
      <c r="R979" s="35">
        <f t="shared" si="78"/>
        <v>0.13043478260869565</v>
      </c>
      <c r="S979" s="49">
        <f>ROUND(Q979/Summary!$C$3*Summary!$C$2,0)</f>
        <v>9</v>
      </c>
      <c r="T979" s="44">
        <f t="shared" si="79"/>
        <v>0.39130434782608697</v>
      </c>
      <c r="U979" s="34">
        <v>4</v>
      </c>
      <c r="V979" s="34">
        <v>1</v>
      </c>
      <c r="W979" s="34">
        <v>0</v>
      </c>
      <c r="X979" s="34">
        <v>0</v>
      </c>
    </row>
    <row r="980" spans="1:24" hidden="1">
      <c r="A980" s="34" t="s">
        <v>3187</v>
      </c>
      <c r="B980" s="34" t="s">
        <v>82</v>
      </c>
      <c r="C980" s="34" t="s">
        <v>183</v>
      </c>
      <c r="D980" s="34" t="s">
        <v>181</v>
      </c>
      <c r="E980" s="34" t="s">
        <v>9</v>
      </c>
      <c r="F980" s="34" t="s">
        <v>2833</v>
      </c>
      <c r="G980" s="54">
        <v>1772025916</v>
      </c>
      <c r="H980" s="54" t="s">
        <v>229</v>
      </c>
      <c r="I980" s="54" t="s">
        <v>3514</v>
      </c>
      <c r="J980" s="34" t="s">
        <v>3421</v>
      </c>
      <c r="K980" s="50">
        <v>150000</v>
      </c>
      <c r="L980" s="43">
        <v>56535</v>
      </c>
      <c r="M980" s="44">
        <f t="shared" si="76"/>
        <v>0.37690000000000001</v>
      </c>
      <c r="N980" s="49">
        <f>ROUND(L980/Summary!$C$3*Summary!$C$2,0)</f>
        <v>175259</v>
      </c>
      <c r="O980" s="44">
        <f t="shared" si="77"/>
        <v>1.1683933333333334</v>
      </c>
      <c r="P980" s="78">
        <v>10</v>
      </c>
      <c r="Q980" s="34">
        <v>2</v>
      </c>
      <c r="R980" s="35">
        <f t="shared" si="78"/>
        <v>0.2</v>
      </c>
      <c r="S980" s="49">
        <f>ROUND(Q980/Summary!$C$3*Summary!$C$2,0)</f>
        <v>6</v>
      </c>
      <c r="T980" s="44">
        <f t="shared" si="79"/>
        <v>0.6</v>
      </c>
      <c r="U980" s="34">
        <v>2</v>
      </c>
      <c r="V980" s="34">
        <v>1</v>
      </c>
      <c r="W980" s="34">
        <v>0</v>
      </c>
      <c r="X980" s="34">
        <v>0</v>
      </c>
    </row>
    <row r="981" spans="1:24" hidden="1">
      <c r="A981" s="34" t="s">
        <v>3406</v>
      </c>
      <c r="B981" s="34" t="s">
        <v>3407</v>
      </c>
      <c r="C981" s="34" t="s">
        <v>183</v>
      </c>
      <c r="D981" s="34" t="s">
        <v>181</v>
      </c>
      <c r="E981" s="34" t="s">
        <v>9</v>
      </c>
      <c r="F981" s="34" t="s">
        <v>3405</v>
      </c>
      <c r="G981" s="54">
        <v>1740569777</v>
      </c>
      <c r="H981" s="54" t="s">
        <v>229</v>
      </c>
      <c r="I981" s="54" t="s">
        <v>3514</v>
      </c>
      <c r="J981" s="34" t="s">
        <v>3421</v>
      </c>
      <c r="K981" s="50">
        <v>130000</v>
      </c>
      <c r="L981" s="43">
        <v>32090</v>
      </c>
      <c r="M981" s="44">
        <f t="shared" si="76"/>
        <v>0.24684615384615385</v>
      </c>
      <c r="N981" s="49">
        <f>ROUND(L981/Summary!$C$3*Summary!$C$2,0)</f>
        <v>99479</v>
      </c>
      <c r="O981" s="44">
        <f t="shared" si="77"/>
        <v>0.76522307692307689</v>
      </c>
      <c r="P981" s="78">
        <v>10</v>
      </c>
      <c r="Q981" s="34">
        <v>0</v>
      </c>
      <c r="R981" s="35">
        <f t="shared" si="78"/>
        <v>0</v>
      </c>
      <c r="S981" s="49">
        <f>ROUND(Q981/Summary!$C$3*Summary!$C$2,0)</f>
        <v>0</v>
      </c>
      <c r="T981" s="44">
        <f t="shared" si="79"/>
        <v>0</v>
      </c>
      <c r="U981" s="34">
        <v>3</v>
      </c>
      <c r="V981" s="34">
        <v>0</v>
      </c>
      <c r="W981" s="34">
        <v>0</v>
      </c>
      <c r="X981" s="34">
        <v>0</v>
      </c>
    </row>
    <row r="982" spans="1:24" hidden="1">
      <c r="A982" s="34" t="s">
        <v>729</v>
      </c>
      <c r="B982" s="34" t="s">
        <v>730</v>
      </c>
      <c r="C982" s="34" t="s">
        <v>183</v>
      </c>
      <c r="D982" s="34" t="s">
        <v>181</v>
      </c>
      <c r="E982" s="34" t="s">
        <v>9</v>
      </c>
      <c r="F982" s="34" t="s">
        <v>731</v>
      </c>
      <c r="G982" s="54">
        <v>1791938924</v>
      </c>
      <c r="H982" s="54" t="s">
        <v>229</v>
      </c>
      <c r="I982" s="54" t="s">
        <v>3514</v>
      </c>
      <c r="J982" s="34" t="s">
        <v>3421</v>
      </c>
      <c r="K982" s="50">
        <v>130000</v>
      </c>
      <c r="L982" s="43">
        <v>37740</v>
      </c>
      <c r="M982" s="44">
        <f t="shared" si="76"/>
        <v>0.29030769230769232</v>
      </c>
      <c r="N982" s="49">
        <f>ROUND(L982/Summary!$C$3*Summary!$C$2,0)</f>
        <v>116994</v>
      </c>
      <c r="O982" s="44">
        <f t="shared" si="77"/>
        <v>0.8999538461538461</v>
      </c>
      <c r="P982" s="78">
        <v>10</v>
      </c>
      <c r="Q982" s="34">
        <v>2</v>
      </c>
      <c r="R982" s="35">
        <f t="shared" si="78"/>
        <v>0.2</v>
      </c>
      <c r="S982" s="49">
        <f>ROUND(Q982/Summary!$C$3*Summary!$C$2,0)</f>
        <v>6</v>
      </c>
      <c r="T982" s="44">
        <f t="shared" si="79"/>
        <v>0.6</v>
      </c>
      <c r="U982" s="34">
        <v>1</v>
      </c>
      <c r="V982" s="34">
        <v>1</v>
      </c>
      <c r="W982" s="34">
        <v>0</v>
      </c>
      <c r="X982" s="34">
        <v>0</v>
      </c>
    </row>
    <row r="983" spans="1:24" hidden="1">
      <c r="A983" s="34" t="s">
        <v>1284</v>
      </c>
      <c r="B983" s="34" t="s">
        <v>1285</v>
      </c>
      <c r="C983" s="34" t="s">
        <v>1286</v>
      </c>
      <c r="D983" s="34" t="s">
        <v>114</v>
      </c>
      <c r="E983" s="34" t="s">
        <v>2</v>
      </c>
      <c r="F983" s="34" t="s">
        <v>1287</v>
      </c>
      <c r="G983" s="54">
        <v>1712471916</v>
      </c>
      <c r="H983" s="54" t="s">
        <v>229</v>
      </c>
      <c r="I983" s="54" t="s">
        <v>3514</v>
      </c>
      <c r="J983" s="34" t="s">
        <v>3419</v>
      </c>
      <c r="K983" s="50">
        <v>200000</v>
      </c>
      <c r="L983" s="43">
        <v>35000</v>
      </c>
      <c r="M983" s="44">
        <f t="shared" si="76"/>
        <v>0.17499999999999999</v>
      </c>
      <c r="N983" s="49">
        <f>ROUND(L983/Summary!$C$3*Summary!$C$2,0)</f>
        <v>108500</v>
      </c>
      <c r="O983" s="44">
        <f t="shared" si="77"/>
        <v>0.54249999999999998</v>
      </c>
      <c r="P983" s="78">
        <v>13</v>
      </c>
      <c r="Q983" s="34">
        <v>3</v>
      </c>
      <c r="R983" s="35">
        <f t="shared" si="78"/>
        <v>0.23076923076923078</v>
      </c>
      <c r="S983" s="49">
        <f>ROUND(Q983/Summary!$C$3*Summary!$C$2,0)</f>
        <v>9</v>
      </c>
      <c r="T983" s="44">
        <f t="shared" si="79"/>
        <v>0.69230769230769229</v>
      </c>
      <c r="U983" s="34">
        <v>0</v>
      </c>
      <c r="V983" s="34">
        <v>0</v>
      </c>
      <c r="W983" s="34">
        <v>0</v>
      </c>
      <c r="X983" s="34">
        <v>1</v>
      </c>
    </row>
    <row r="984" spans="1:24" hidden="1">
      <c r="A984" s="34" t="s">
        <v>1294</v>
      </c>
      <c r="B984" s="34" t="s">
        <v>1295</v>
      </c>
      <c r="C984" s="34" t="s">
        <v>1286</v>
      </c>
      <c r="D984" s="34" t="s">
        <v>114</v>
      </c>
      <c r="E984" s="34" t="s">
        <v>2</v>
      </c>
      <c r="F984" s="34" t="s">
        <v>1296</v>
      </c>
      <c r="G984" s="54">
        <v>1710868286</v>
      </c>
      <c r="H984" s="54" t="s">
        <v>229</v>
      </c>
      <c r="I984" s="54" t="s">
        <v>3514</v>
      </c>
      <c r="J984" s="34" t="s">
        <v>3419</v>
      </c>
      <c r="K984" s="50">
        <v>202691</v>
      </c>
      <c r="L984" s="43">
        <v>80625</v>
      </c>
      <c r="M984" s="44">
        <f t="shared" si="76"/>
        <v>0.3977729647591654</v>
      </c>
      <c r="N984" s="49">
        <f>ROUND(L984/Summary!$C$3*Summary!$C$2,0)</f>
        <v>249938</v>
      </c>
      <c r="O984" s="44">
        <f t="shared" si="77"/>
        <v>1.2330986575624967</v>
      </c>
      <c r="P984" s="78">
        <v>10</v>
      </c>
      <c r="Q984" s="34">
        <v>2</v>
      </c>
      <c r="R984" s="35">
        <f t="shared" si="78"/>
        <v>0.2</v>
      </c>
      <c r="S984" s="49">
        <f>ROUND(Q984/Summary!$C$3*Summary!$C$2,0)</f>
        <v>6</v>
      </c>
      <c r="T984" s="44">
        <f t="shared" si="79"/>
        <v>0.6</v>
      </c>
      <c r="U984" s="34">
        <v>0</v>
      </c>
      <c r="V984" s="34">
        <v>0</v>
      </c>
      <c r="W984" s="34">
        <v>0</v>
      </c>
      <c r="X984" s="34">
        <v>0</v>
      </c>
    </row>
    <row r="985" spans="1:24" hidden="1">
      <c r="A985" s="34" t="s">
        <v>1316</v>
      </c>
      <c r="B985" s="34" t="s">
        <v>1317</v>
      </c>
      <c r="C985" s="34" t="s">
        <v>1286</v>
      </c>
      <c r="D985" s="34" t="s">
        <v>114</v>
      </c>
      <c r="E985" s="34" t="s">
        <v>2</v>
      </c>
      <c r="F985" s="34" t="s">
        <v>1318</v>
      </c>
      <c r="G985" s="54">
        <v>1716111377</v>
      </c>
      <c r="H985" s="54" t="s">
        <v>229</v>
      </c>
      <c r="I985" s="54" t="s">
        <v>3514</v>
      </c>
      <c r="J985" s="34" t="s">
        <v>3419</v>
      </c>
      <c r="K985" s="50">
        <v>150000</v>
      </c>
      <c r="L985" s="43">
        <v>76220</v>
      </c>
      <c r="M985" s="44">
        <f t="shared" si="76"/>
        <v>0.50813333333333333</v>
      </c>
      <c r="N985" s="49">
        <f>ROUND(L985/Summary!$C$3*Summary!$C$2,0)</f>
        <v>236282</v>
      </c>
      <c r="O985" s="44">
        <f t="shared" si="77"/>
        <v>1.5752133333333334</v>
      </c>
      <c r="P985" s="78">
        <v>11</v>
      </c>
      <c r="Q985" s="34">
        <v>4</v>
      </c>
      <c r="R985" s="35">
        <f t="shared" si="78"/>
        <v>0.36363636363636365</v>
      </c>
      <c r="S985" s="49">
        <f>ROUND(Q985/Summary!$C$3*Summary!$C$2,0)</f>
        <v>12</v>
      </c>
      <c r="T985" s="44">
        <f t="shared" si="79"/>
        <v>1.0909090909090908</v>
      </c>
      <c r="U985" s="34">
        <v>3</v>
      </c>
      <c r="V985" s="34">
        <v>1</v>
      </c>
      <c r="W985" s="34">
        <v>0</v>
      </c>
      <c r="X985" s="34">
        <v>0</v>
      </c>
    </row>
    <row r="986" spans="1:24" hidden="1">
      <c r="A986" s="34" t="s">
        <v>1304</v>
      </c>
      <c r="B986" s="34" t="s">
        <v>1305</v>
      </c>
      <c r="C986" s="34" t="s">
        <v>1286</v>
      </c>
      <c r="D986" s="34" t="s">
        <v>114</v>
      </c>
      <c r="E986" s="34" t="s">
        <v>2</v>
      </c>
      <c r="F986" s="34" t="s">
        <v>1306</v>
      </c>
      <c r="G986" s="54">
        <v>1811751878</v>
      </c>
      <c r="H986" s="54" t="s">
        <v>229</v>
      </c>
      <c r="I986" s="54" t="s">
        <v>3522</v>
      </c>
      <c r="J986" s="34" t="s">
        <v>3419</v>
      </c>
      <c r="K986" s="50">
        <v>600000</v>
      </c>
      <c r="L986" s="43">
        <v>155879</v>
      </c>
      <c r="M986" s="44">
        <f t="shared" si="76"/>
        <v>0.25979833333333335</v>
      </c>
      <c r="N986" s="49">
        <f>ROUND(L986/Summary!$C$3*Summary!$C$2,0)</f>
        <v>483225</v>
      </c>
      <c r="O986" s="44">
        <f t="shared" si="77"/>
        <v>0.80537499999999995</v>
      </c>
      <c r="P986" s="78">
        <v>41</v>
      </c>
      <c r="Q986" s="34">
        <v>7</v>
      </c>
      <c r="R986" s="35">
        <f t="shared" si="78"/>
        <v>0.17073170731707318</v>
      </c>
      <c r="S986" s="49">
        <f>ROUND(Q986/Summary!$C$3*Summary!$C$2,0)</f>
        <v>22</v>
      </c>
      <c r="T986" s="44">
        <f t="shared" si="79"/>
        <v>0.53658536585365857</v>
      </c>
      <c r="U986" s="34">
        <v>1</v>
      </c>
      <c r="V986" s="34">
        <v>1</v>
      </c>
      <c r="W986" s="34">
        <v>0</v>
      </c>
      <c r="X986" s="34">
        <v>0</v>
      </c>
    </row>
    <row r="987" spans="1:24" hidden="1">
      <c r="A987" s="34" t="s">
        <v>1297</v>
      </c>
      <c r="B987" s="34" t="s">
        <v>1298</v>
      </c>
      <c r="C987" s="34" t="s">
        <v>1286</v>
      </c>
      <c r="D987" s="34" t="s">
        <v>114</v>
      </c>
      <c r="E987" s="34" t="s">
        <v>2</v>
      </c>
      <c r="F987" s="34" t="s">
        <v>1299</v>
      </c>
      <c r="G987" s="54">
        <v>1717506653</v>
      </c>
      <c r="H987" s="54" t="s">
        <v>229</v>
      </c>
      <c r="I987" s="54" t="s">
        <v>3514</v>
      </c>
      <c r="J987" s="34" t="s">
        <v>3421</v>
      </c>
      <c r="K987" s="50">
        <v>152000</v>
      </c>
      <c r="L987" s="43">
        <v>51550</v>
      </c>
      <c r="M987" s="44">
        <f t="shared" si="76"/>
        <v>0.33914473684210528</v>
      </c>
      <c r="N987" s="49">
        <f>ROUND(L987/Summary!$C$3*Summary!$C$2,0)</f>
        <v>159805</v>
      </c>
      <c r="O987" s="44">
        <f t="shared" si="77"/>
        <v>1.0513486842105264</v>
      </c>
      <c r="P987" s="78">
        <v>10</v>
      </c>
      <c r="Q987" s="34">
        <v>1</v>
      </c>
      <c r="R987" s="35">
        <f t="shared" si="78"/>
        <v>0.1</v>
      </c>
      <c r="S987" s="49">
        <f>ROUND(Q987/Summary!$C$3*Summary!$C$2,0)</f>
        <v>3</v>
      </c>
      <c r="T987" s="44">
        <f t="shared" si="79"/>
        <v>0.3</v>
      </c>
      <c r="U987" s="34">
        <v>0</v>
      </c>
      <c r="V987" s="34">
        <v>0</v>
      </c>
      <c r="W987" s="34">
        <v>1</v>
      </c>
      <c r="X987" s="34">
        <v>0</v>
      </c>
    </row>
    <row r="988" spans="1:24" hidden="1">
      <c r="A988" s="34" t="s">
        <v>1307</v>
      </c>
      <c r="B988" s="34" t="s">
        <v>1308</v>
      </c>
      <c r="C988" s="34" t="s">
        <v>83</v>
      </c>
      <c r="D988" s="34" t="s">
        <v>114</v>
      </c>
      <c r="E988" s="34" t="s">
        <v>2</v>
      </c>
      <c r="F988" s="34" t="s">
        <v>1309</v>
      </c>
      <c r="G988" s="54">
        <v>1773109696</v>
      </c>
      <c r="H988" s="54" t="s">
        <v>229</v>
      </c>
      <c r="I988" s="54" t="s">
        <v>3514</v>
      </c>
      <c r="J988" s="34" t="s">
        <v>3419</v>
      </c>
      <c r="K988" s="50">
        <v>190000</v>
      </c>
      <c r="L988" s="43">
        <v>46930</v>
      </c>
      <c r="M988" s="44">
        <f t="shared" si="76"/>
        <v>0.247</v>
      </c>
      <c r="N988" s="49">
        <f>ROUND(L988/Summary!$C$3*Summary!$C$2,0)</f>
        <v>145483</v>
      </c>
      <c r="O988" s="44">
        <f t="shared" si="77"/>
        <v>0.76570000000000005</v>
      </c>
      <c r="P988" s="78">
        <v>12</v>
      </c>
      <c r="Q988" s="34">
        <v>3</v>
      </c>
      <c r="R988" s="35">
        <f t="shared" si="78"/>
        <v>0.25</v>
      </c>
      <c r="S988" s="49">
        <f>ROUND(Q988/Summary!$C$3*Summary!$C$2,0)</f>
        <v>9</v>
      </c>
      <c r="T988" s="44">
        <f t="shared" si="79"/>
        <v>0.75</v>
      </c>
      <c r="U988" s="34">
        <v>1</v>
      </c>
      <c r="V988" s="34">
        <v>0</v>
      </c>
      <c r="W988" s="34">
        <v>0</v>
      </c>
      <c r="X988" s="34">
        <v>2</v>
      </c>
    </row>
    <row r="989" spans="1:24" hidden="1">
      <c r="A989" s="34" t="s">
        <v>3409</v>
      </c>
      <c r="B989" s="34" t="s">
        <v>3410</v>
      </c>
      <c r="C989" s="34" t="s">
        <v>83</v>
      </c>
      <c r="D989" s="34" t="s">
        <v>114</v>
      </c>
      <c r="E989" s="34" t="s">
        <v>2</v>
      </c>
      <c r="F989" s="34" t="s">
        <v>3408</v>
      </c>
      <c r="G989" s="54">
        <v>1714862297</v>
      </c>
      <c r="H989" s="54" t="s">
        <v>229</v>
      </c>
      <c r="I989" s="54" t="s">
        <v>3514</v>
      </c>
      <c r="J989" s="34" t="s">
        <v>3421</v>
      </c>
      <c r="K989" s="50">
        <v>225121</v>
      </c>
      <c r="L989" s="43">
        <v>68675</v>
      </c>
      <c r="M989" s="44">
        <f t="shared" si="76"/>
        <v>0.305058168718156</v>
      </c>
      <c r="N989" s="49">
        <f>ROUND(L989/Summary!$C$3*Summary!$C$2,0)</f>
        <v>212893</v>
      </c>
      <c r="O989" s="44">
        <f t="shared" si="77"/>
        <v>0.94568254405408647</v>
      </c>
      <c r="P989" s="78">
        <v>13</v>
      </c>
      <c r="Q989" s="34">
        <v>5</v>
      </c>
      <c r="R989" s="35">
        <f t="shared" si="78"/>
        <v>0.38461538461538464</v>
      </c>
      <c r="S989" s="49">
        <f>ROUND(Q989/Summary!$C$3*Summary!$C$2,0)</f>
        <v>16</v>
      </c>
      <c r="T989" s="44">
        <f t="shared" si="79"/>
        <v>1.2307692307692308</v>
      </c>
      <c r="U989" s="34">
        <v>1</v>
      </c>
      <c r="V989" s="34">
        <v>2</v>
      </c>
      <c r="W989" s="34">
        <v>0</v>
      </c>
      <c r="X989" s="34">
        <v>1</v>
      </c>
    </row>
    <row r="990" spans="1:24" hidden="1">
      <c r="A990" s="34" t="s">
        <v>1291</v>
      </c>
      <c r="B990" s="34" t="s">
        <v>1292</v>
      </c>
      <c r="C990" s="34" t="s">
        <v>83</v>
      </c>
      <c r="D990" s="34" t="s">
        <v>114</v>
      </c>
      <c r="E990" s="34" t="s">
        <v>2</v>
      </c>
      <c r="F990" s="34" t="s">
        <v>1293</v>
      </c>
      <c r="G990" s="54">
        <v>1881913234</v>
      </c>
      <c r="H990" s="54" t="s">
        <v>229</v>
      </c>
      <c r="I990" s="54" t="s">
        <v>3514</v>
      </c>
      <c r="J990" s="34" t="s">
        <v>3421</v>
      </c>
      <c r="K990" s="50">
        <v>130000</v>
      </c>
      <c r="L990" s="43">
        <v>33690</v>
      </c>
      <c r="M990" s="44">
        <f t="shared" si="76"/>
        <v>0.25915384615384618</v>
      </c>
      <c r="N990" s="49">
        <f>ROUND(L990/Summary!$C$3*Summary!$C$2,0)</f>
        <v>104439</v>
      </c>
      <c r="O990" s="44">
        <f t="shared" si="77"/>
        <v>0.8033769230769231</v>
      </c>
      <c r="P990" s="78">
        <v>10</v>
      </c>
      <c r="Q990" s="34">
        <v>2</v>
      </c>
      <c r="R990" s="35">
        <f t="shared" si="78"/>
        <v>0.2</v>
      </c>
      <c r="S990" s="49">
        <f>ROUND(Q990/Summary!$C$3*Summary!$C$2,0)</f>
        <v>6</v>
      </c>
      <c r="T990" s="44">
        <f t="shared" si="79"/>
        <v>0.6</v>
      </c>
      <c r="U990" s="34">
        <v>0</v>
      </c>
      <c r="V990" s="34">
        <v>0</v>
      </c>
      <c r="W990" s="34">
        <v>0</v>
      </c>
      <c r="X990" s="34">
        <v>0</v>
      </c>
    </row>
    <row r="991" spans="1:24" hidden="1">
      <c r="A991" s="34" t="s">
        <v>1281</v>
      </c>
      <c r="B991" s="34" t="s">
        <v>1282</v>
      </c>
      <c r="C991" s="34" t="s">
        <v>83</v>
      </c>
      <c r="D991" s="34" t="s">
        <v>114</v>
      </c>
      <c r="E991" s="34" t="s">
        <v>2</v>
      </c>
      <c r="F991" s="34" t="s">
        <v>1283</v>
      </c>
      <c r="G991" s="54">
        <v>1724443737</v>
      </c>
      <c r="H991" s="54" t="s">
        <v>229</v>
      </c>
      <c r="I991" s="54" t="s">
        <v>3514</v>
      </c>
      <c r="J991" s="34" t="s">
        <v>3421</v>
      </c>
      <c r="K991" s="50">
        <v>130000</v>
      </c>
      <c r="L991" s="43">
        <v>14679</v>
      </c>
      <c r="M991" s="44">
        <f t="shared" si="76"/>
        <v>0.11291538461538461</v>
      </c>
      <c r="N991" s="49">
        <f>ROUND(L991/Summary!$C$3*Summary!$C$2,0)</f>
        <v>45505</v>
      </c>
      <c r="O991" s="44">
        <f t="shared" si="77"/>
        <v>0.35003846153846152</v>
      </c>
      <c r="P991" s="78">
        <v>10</v>
      </c>
      <c r="Q991" s="34">
        <v>1</v>
      </c>
      <c r="R991" s="35">
        <f t="shared" si="78"/>
        <v>0.1</v>
      </c>
      <c r="S991" s="49">
        <f>ROUND(Q991/Summary!$C$3*Summary!$C$2,0)</f>
        <v>3</v>
      </c>
      <c r="T991" s="44">
        <f t="shared" si="79"/>
        <v>0.3</v>
      </c>
      <c r="U991" s="34">
        <v>0</v>
      </c>
      <c r="V991" s="34">
        <v>1</v>
      </c>
      <c r="W991" s="34">
        <v>0</v>
      </c>
      <c r="X991" s="34">
        <v>0</v>
      </c>
    </row>
    <row r="992" spans="1:24" hidden="1">
      <c r="A992" s="34" t="s">
        <v>1352</v>
      </c>
      <c r="B992" s="34" t="s">
        <v>1353</v>
      </c>
      <c r="C992" s="34" t="s">
        <v>83</v>
      </c>
      <c r="D992" s="34" t="s">
        <v>114</v>
      </c>
      <c r="E992" s="34" t="s">
        <v>2</v>
      </c>
      <c r="F992" s="34" t="s">
        <v>1354</v>
      </c>
      <c r="G992" s="54">
        <v>1717817732</v>
      </c>
      <c r="H992" s="54" t="s">
        <v>229</v>
      </c>
      <c r="I992" s="54" t="s">
        <v>3514</v>
      </c>
      <c r="J992" s="34" t="s">
        <v>3419</v>
      </c>
      <c r="K992" s="50">
        <v>171911</v>
      </c>
      <c r="L992" s="43">
        <v>30640</v>
      </c>
      <c r="M992" s="44">
        <f t="shared" si="76"/>
        <v>0.17823175945692829</v>
      </c>
      <c r="N992" s="49">
        <f>ROUND(L992/Summary!$C$3*Summary!$C$2,0)</f>
        <v>94984</v>
      </c>
      <c r="O992" s="44">
        <f t="shared" si="77"/>
        <v>0.55251845431647773</v>
      </c>
      <c r="P992" s="78">
        <v>10</v>
      </c>
      <c r="Q992" s="34">
        <v>1</v>
      </c>
      <c r="R992" s="35">
        <f t="shared" si="78"/>
        <v>0.1</v>
      </c>
      <c r="S992" s="49">
        <f>ROUND(Q992/Summary!$C$3*Summary!$C$2,0)</f>
        <v>3</v>
      </c>
      <c r="T992" s="44">
        <f t="shared" si="79"/>
        <v>0.3</v>
      </c>
      <c r="U992" s="34">
        <v>1</v>
      </c>
      <c r="V992" s="34">
        <v>0</v>
      </c>
      <c r="W992" s="34">
        <v>0</v>
      </c>
      <c r="X992" s="34">
        <v>0</v>
      </c>
    </row>
    <row r="993" spans="1:24" hidden="1">
      <c r="A993" s="34" t="s">
        <v>1334</v>
      </c>
      <c r="B993" s="34" t="s">
        <v>1335</v>
      </c>
      <c r="C993" s="34" t="s">
        <v>83</v>
      </c>
      <c r="D993" s="34" t="s">
        <v>114</v>
      </c>
      <c r="E993" s="34" t="s">
        <v>2</v>
      </c>
      <c r="F993" s="34" t="s">
        <v>1336</v>
      </c>
      <c r="G993" s="54">
        <v>1740474747</v>
      </c>
      <c r="H993" s="54" t="s">
        <v>229</v>
      </c>
      <c r="I993" s="54" t="s">
        <v>3514</v>
      </c>
      <c r="J993" s="34" t="s">
        <v>3421</v>
      </c>
      <c r="K993" s="50">
        <v>130000</v>
      </c>
      <c r="L993" s="43">
        <v>49320</v>
      </c>
      <c r="M993" s="44">
        <f t="shared" si="76"/>
        <v>0.37938461538461538</v>
      </c>
      <c r="N993" s="49">
        <f>ROUND(L993/Summary!$C$3*Summary!$C$2,0)</f>
        <v>152892</v>
      </c>
      <c r="O993" s="44">
        <f t="shared" si="77"/>
        <v>1.1760923076923078</v>
      </c>
      <c r="P993" s="78">
        <v>10</v>
      </c>
      <c r="Q993" s="34">
        <v>3</v>
      </c>
      <c r="R993" s="35">
        <f t="shared" si="78"/>
        <v>0.3</v>
      </c>
      <c r="S993" s="49">
        <f>ROUND(Q993/Summary!$C$3*Summary!$C$2,0)</f>
        <v>9</v>
      </c>
      <c r="T993" s="44">
        <f t="shared" si="79"/>
        <v>0.9</v>
      </c>
      <c r="U993" s="34">
        <v>3</v>
      </c>
      <c r="V993" s="34">
        <v>1</v>
      </c>
      <c r="W993" s="34">
        <v>0</v>
      </c>
      <c r="X993" s="34">
        <v>0</v>
      </c>
    </row>
    <row r="994" spans="1:24" hidden="1">
      <c r="A994" s="34" t="s">
        <v>2950</v>
      </c>
      <c r="B994" s="34" t="s">
        <v>2951</v>
      </c>
      <c r="C994" s="34" t="s">
        <v>83</v>
      </c>
      <c r="D994" s="34" t="s">
        <v>114</v>
      </c>
      <c r="E994" s="34" t="s">
        <v>2</v>
      </c>
      <c r="F994" s="34" t="s">
        <v>2952</v>
      </c>
      <c r="G994" s="54">
        <v>1722434758</v>
      </c>
      <c r="H994" s="54" t="s">
        <v>229</v>
      </c>
      <c r="I994" s="54" t="s">
        <v>3514</v>
      </c>
      <c r="J994" s="34" t="s">
        <v>3419</v>
      </c>
      <c r="K994" s="50">
        <v>130000</v>
      </c>
      <c r="L994" s="43">
        <v>66430</v>
      </c>
      <c r="M994" s="44">
        <f t="shared" si="76"/>
        <v>0.51100000000000001</v>
      </c>
      <c r="N994" s="49">
        <f>ROUND(L994/Summary!$C$3*Summary!$C$2,0)</f>
        <v>205933</v>
      </c>
      <c r="O994" s="44">
        <f t="shared" si="77"/>
        <v>1.5841000000000001</v>
      </c>
      <c r="P994" s="78">
        <v>11</v>
      </c>
      <c r="Q994" s="34">
        <v>5</v>
      </c>
      <c r="R994" s="35">
        <f t="shared" si="78"/>
        <v>0.45454545454545453</v>
      </c>
      <c r="S994" s="49">
        <f>ROUND(Q994/Summary!$C$3*Summary!$C$2,0)</f>
        <v>16</v>
      </c>
      <c r="T994" s="44">
        <f t="shared" si="79"/>
        <v>1.4545454545454546</v>
      </c>
      <c r="U994" s="34">
        <v>2</v>
      </c>
      <c r="V994" s="34">
        <v>0</v>
      </c>
      <c r="W994" s="34">
        <v>0</v>
      </c>
      <c r="X994" s="34">
        <v>0</v>
      </c>
    </row>
    <row r="995" spans="1:24" hidden="1">
      <c r="A995" s="75" t="s">
        <v>3643</v>
      </c>
      <c r="B995" s="75" t="s">
        <v>3644</v>
      </c>
      <c r="C995" s="75" t="s">
        <v>83</v>
      </c>
      <c r="D995" s="75" t="s">
        <v>114</v>
      </c>
      <c r="E995" s="75" t="s">
        <v>2</v>
      </c>
      <c r="F995" s="75" t="s">
        <v>3645</v>
      </c>
      <c r="G995" s="67">
        <v>1711416818</v>
      </c>
      <c r="H995" s="54" t="s">
        <v>229</v>
      </c>
      <c r="I995" s="54" t="s">
        <v>3514</v>
      </c>
      <c r="J995" s="34" t="s">
        <v>3419</v>
      </c>
      <c r="K995" s="50">
        <v>200000</v>
      </c>
      <c r="L995" s="43">
        <v>43930</v>
      </c>
      <c r="M995" s="44">
        <f t="shared" si="76"/>
        <v>0.21965000000000001</v>
      </c>
      <c r="N995" s="49">
        <f>ROUND(L995/Summary!$C$3*Summary!$C$2,0)</f>
        <v>136183</v>
      </c>
      <c r="O995" s="44">
        <f t="shared" si="77"/>
        <v>0.68091500000000005</v>
      </c>
      <c r="P995" s="78">
        <v>20</v>
      </c>
      <c r="Q995" s="34">
        <v>3</v>
      </c>
      <c r="R995" s="35">
        <f t="shared" si="78"/>
        <v>0.15</v>
      </c>
      <c r="S995" s="49">
        <f>ROUND(Q995/Summary!$C$3*Summary!$C$2,0)</f>
        <v>9</v>
      </c>
      <c r="T995" s="44">
        <f t="shared" si="79"/>
        <v>0.45</v>
      </c>
      <c r="U995" s="34">
        <v>0</v>
      </c>
      <c r="V995" s="34">
        <v>0</v>
      </c>
      <c r="W995" s="34">
        <v>1</v>
      </c>
      <c r="X995" s="34">
        <v>0</v>
      </c>
    </row>
    <row r="996" spans="1:24" hidden="1">
      <c r="A996" s="34" t="s">
        <v>1288</v>
      </c>
      <c r="B996" s="34" t="s">
        <v>1289</v>
      </c>
      <c r="C996" s="34" t="s">
        <v>83</v>
      </c>
      <c r="D996" s="34" t="s">
        <v>114</v>
      </c>
      <c r="E996" s="34" t="s">
        <v>2</v>
      </c>
      <c r="F996" s="34" t="s">
        <v>1290</v>
      </c>
      <c r="G996" s="54">
        <v>1754171770</v>
      </c>
      <c r="H996" s="54" t="s">
        <v>229</v>
      </c>
      <c r="I996" s="54" t="s">
        <v>3514</v>
      </c>
      <c r="J996" s="34" t="s">
        <v>3419</v>
      </c>
      <c r="K996" s="50">
        <v>130000</v>
      </c>
      <c r="L996" s="43">
        <v>35440</v>
      </c>
      <c r="M996" s="44">
        <f t="shared" si="76"/>
        <v>0.27261538461538459</v>
      </c>
      <c r="N996" s="49">
        <f>ROUND(L996/Summary!$C$3*Summary!$C$2,0)</f>
        <v>109864</v>
      </c>
      <c r="O996" s="44">
        <f t="shared" si="77"/>
        <v>0.84510769230769234</v>
      </c>
      <c r="P996" s="78">
        <v>10</v>
      </c>
      <c r="Q996" s="34">
        <v>1</v>
      </c>
      <c r="R996" s="35">
        <f t="shared" si="78"/>
        <v>0.1</v>
      </c>
      <c r="S996" s="49">
        <f>ROUND(Q996/Summary!$C$3*Summary!$C$2,0)</f>
        <v>3</v>
      </c>
      <c r="T996" s="44">
        <f t="shared" si="79"/>
        <v>0.3</v>
      </c>
      <c r="U996" s="34">
        <v>1</v>
      </c>
      <c r="V996" s="34">
        <v>0</v>
      </c>
      <c r="W996" s="34">
        <v>0</v>
      </c>
      <c r="X996" s="34">
        <v>0</v>
      </c>
    </row>
    <row r="997" spans="1:24" hidden="1">
      <c r="A997" s="34" t="s">
        <v>1322</v>
      </c>
      <c r="B997" s="34" t="s">
        <v>1323</v>
      </c>
      <c r="C997" s="34" t="s">
        <v>83</v>
      </c>
      <c r="D997" s="34" t="s">
        <v>114</v>
      </c>
      <c r="E997" s="34" t="s">
        <v>2</v>
      </c>
      <c r="F997" s="34" t="s">
        <v>1324</v>
      </c>
      <c r="G997" s="54">
        <v>1772947104</v>
      </c>
      <c r="H997" s="54" t="s">
        <v>229</v>
      </c>
      <c r="I997" s="54" t="s">
        <v>3514</v>
      </c>
      <c r="J997" s="34" t="s">
        <v>3421</v>
      </c>
      <c r="K997" s="50">
        <v>263114</v>
      </c>
      <c r="L997" s="43">
        <v>80670</v>
      </c>
      <c r="M997" s="44">
        <f t="shared" si="76"/>
        <v>0.30659714040301922</v>
      </c>
      <c r="N997" s="49">
        <f>ROUND(L997/Summary!$C$3*Summary!$C$2,0)</f>
        <v>250077</v>
      </c>
      <c r="O997" s="44">
        <f t="shared" si="77"/>
        <v>0.95045113524935965</v>
      </c>
      <c r="P997" s="78">
        <v>18</v>
      </c>
      <c r="Q997" s="34">
        <v>5</v>
      </c>
      <c r="R997" s="35">
        <f t="shared" si="78"/>
        <v>0.27777777777777779</v>
      </c>
      <c r="S997" s="49">
        <f>ROUND(Q997/Summary!$C$3*Summary!$C$2,0)</f>
        <v>16</v>
      </c>
      <c r="T997" s="44">
        <f t="shared" si="79"/>
        <v>0.88888888888888884</v>
      </c>
      <c r="U997" s="34">
        <v>2</v>
      </c>
      <c r="V997" s="34">
        <v>0</v>
      </c>
      <c r="W997" s="34">
        <v>1</v>
      </c>
      <c r="X997" s="34">
        <v>1</v>
      </c>
    </row>
    <row r="998" spans="1:24" hidden="1">
      <c r="A998" s="34" t="s">
        <v>1363</v>
      </c>
      <c r="B998" s="34" t="s">
        <v>1364</v>
      </c>
      <c r="C998" s="34" t="s">
        <v>161</v>
      </c>
      <c r="D998" s="34" t="s">
        <v>162</v>
      </c>
      <c r="E998" s="34" t="s">
        <v>2</v>
      </c>
      <c r="F998" s="34" t="s">
        <v>1365</v>
      </c>
      <c r="G998" s="54">
        <v>1740929533</v>
      </c>
      <c r="H998" s="54" t="s">
        <v>229</v>
      </c>
      <c r="I998" s="54" t="s">
        <v>3514</v>
      </c>
      <c r="J998" s="34" t="s">
        <v>3419</v>
      </c>
      <c r="K998" s="50">
        <v>130000</v>
      </c>
      <c r="L998" s="43">
        <v>21560</v>
      </c>
      <c r="M998" s="44">
        <f t="shared" si="76"/>
        <v>0.16584615384615384</v>
      </c>
      <c r="N998" s="49">
        <f>ROUND(L998/Summary!$C$3*Summary!$C$2,0)</f>
        <v>66836</v>
      </c>
      <c r="O998" s="44">
        <f t="shared" si="77"/>
        <v>0.5141230769230769</v>
      </c>
      <c r="P998" s="78">
        <v>14</v>
      </c>
      <c r="Q998" s="34">
        <v>0</v>
      </c>
      <c r="R998" s="35">
        <f t="shared" si="78"/>
        <v>0</v>
      </c>
      <c r="S998" s="49">
        <f>ROUND(Q998/Summary!$C$3*Summary!$C$2,0)</f>
        <v>0</v>
      </c>
      <c r="T998" s="44">
        <f t="shared" si="79"/>
        <v>0</v>
      </c>
      <c r="U998" s="34">
        <v>1</v>
      </c>
      <c r="V998" s="34">
        <v>0</v>
      </c>
      <c r="W998" s="34">
        <v>0</v>
      </c>
      <c r="X998" s="34">
        <v>0</v>
      </c>
    </row>
    <row r="999" spans="1:24" hidden="1">
      <c r="A999" s="34" t="s">
        <v>1448</v>
      </c>
      <c r="B999" s="34" t="s">
        <v>1449</v>
      </c>
      <c r="C999" s="34" t="s">
        <v>161</v>
      </c>
      <c r="D999" s="34" t="s">
        <v>162</v>
      </c>
      <c r="E999" s="34" t="s">
        <v>2</v>
      </c>
      <c r="F999" s="34" t="s">
        <v>1450</v>
      </c>
      <c r="G999" s="54">
        <v>1729119191</v>
      </c>
      <c r="H999" s="54" t="s">
        <v>229</v>
      </c>
      <c r="I999" s="54" t="s">
        <v>3514</v>
      </c>
      <c r="J999" s="34" t="s">
        <v>3421</v>
      </c>
      <c r="K999" s="50">
        <v>200000</v>
      </c>
      <c r="L999" s="43">
        <v>32390</v>
      </c>
      <c r="M999" s="44">
        <f t="shared" si="76"/>
        <v>0.16195000000000001</v>
      </c>
      <c r="N999" s="49">
        <f>ROUND(L999/Summary!$C$3*Summary!$C$2,0)</f>
        <v>100409</v>
      </c>
      <c r="O999" s="44">
        <f t="shared" si="77"/>
        <v>0.50204499999999996</v>
      </c>
      <c r="P999" s="78">
        <v>12</v>
      </c>
      <c r="Q999" s="34">
        <v>2</v>
      </c>
      <c r="R999" s="35">
        <f t="shared" si="78"/>
        <v>0.16666666666666666</v>
      </c>
      <c r="S999" s="49">
        <f>ROUND(Q999/Summary!$C$3*Summary!$C$2,0)</f>
        <v>6</v>
      </c>
      <c r="T999" s="44">
        <f t="shared" si="79"/>
        <v>0.5</v>
      </c>
      <c r="U999" s="34">
        <v>0</v>
      </c>
      <c r="V999" s="34">
        <v>2</v>
      </c>
      <c r="W999" s="34">
        <v>0</v>
      </c>
      <c r="X999" s="34">
        <v>0</v>
      </c>
    </row>
    <row r="1000" spans="1:24" hidden="1">
      <c r="A1000" s="34" t="s">
        <v>1422</v>
      </c>
      <c r="B1000" s="34" t="s">
        <v>1423</v>
      </c>
      <c r="C1000" s="34" t="s">
        <v>161</v>
      </c>
      <c r="D1000" s="34" t="s">
        <v>162</v>
      </c>
      <c r="E1000" s="34" t="s">
        <v>2</v>
      </c>
      <c r="F1000" s="34" t="s">
        <v>1424</v>
      </c>
      <c r="G1000" s="54">
        <v>1722061005</v>
      </c>
      <c r="H1000" s="54" t="s">
        <v>229</v>
      </c>
      <c r="I1000" s="54" t="s">
        <v>3514</v>
      </c>
      <c r="J1000" s="34" t="s">
        <v>3515</v>
      </c>
      <c r="K1000" s="50">
        <v>251670</v>
      </c>
      <c r="L1000" s="43">
        <v>31340</v>
      </c>
      <c r="M1000" s="44">
        <f t="shared" si="76"/>
        <v>0.12452815194500735</v>
      </c>
      <c r="N1000" s="49">
        <f>ROUND(L1000/Summary!$C$3*Summary!$C$2,0)</f>
        <v>97154</v>
      </c>
      <c r="O1000" s="44">
        <f t="shared" si="77"/>
        <v>0.38603727102952279</v>
      </c>
      <c r="P1000" s="78">
        <v>14</v>
      </c>
      <c r="Q1000" s="34">
        <v>1</v>
      </c>
      <c r="R1000" s="35">
        <f t="shared" si="78"/>
        <v>7.1428571428571425E-2</v>
      </c>
      <c r="S1000" s="49">
        <f>ROUND(Q1000/Summary!$C$3*Summary!$C$2,0)</f>
        <v>3</v>
      </c>
      <c r="T1000" s="44">
        <f t="shared" si="79"/>
        <v>0.21428571428571427</v>
      </c>
      <c r="U1000" s="34">
        <v>0</v>
      </c>
      <c r="V1000" s="34">
        <v>0</v>
      </c>
      <c r="W1000" s="34">
        <v>0</v>
      </c>
      <c r="X1000" s="34">
        <v>0</v>
      </c>
    </row>
    <row r="1001" spans="1:24" hidden="1">
      <c r="A1001" s="34" t="s">
        <v>1389</v>
      </c>
      <c r="B1001" s="34" t="s">
        <v>1390</v>
      </c>
      <c r="C1001" s="34" t="s">
        <v>161</v>
      </c>
      <c r="D1001" s="34" t="s">
        <v>162</v>
      </c>
      <c r="E1001" s="34" t="s">
        <v>2</v>
      </c>
      <c r="F1001" s="34" t="s">
        <v>1391</v>
      </c>
      <c r="G1001" s="54">
        <v>1713706522</v>
      </c>
      <c r="H1001" s="54" t="s">
        <v>229</v>
      </c>
      <c r="I1001" s="54" t="s">
        <v>3514</v>
      </c>
      <c r="J1001" s="34" t="s">
        <v>3419</v>
      </c>
      <c r="K1001" s="50">
        <v>130000</v>
      </c>
      <c r="L1001" s="43">
        <v>28545</v>
      </c>
      <c r="M1001" s="44">
        <f t="shared" si="76"/>
        <v>0.21957692307692309</v>
      </c>
      <c r="N1001" s="49">
        <f>ROUND(L1001/Summary!$C$3*Summary!$C$2,0)</f>
        <v>88490</v>
      </c>
      <c r="O1001" s="44">
        <f t="shared" si="77"/>
        <v>0.68069230769230771</v>
      </c>
      <c r="P1001" s="78">
        <v>10</v>
      </c>
      <c r="Q1001" s="34">
        <v>3</v>
      </c>
      <c r="R1001" s="35">
        <f t="shared" si="78"/>
        <v>0.3</v>
      </c>
      <c r="S1001" s="49">
        <f>ROUND(Q1001/Summary!$C$3*Summary!$C$2,0)</f>
        <v>9</v>
      </c>
      <c r="T1001" s="44">
        <f t="shared" si="79"/>
        <v>0.9</v>
      </c>
      <c r="U1001" s="34">
        <v>1</v>
      </c>
      <c r="V1001" s="34">
        <v>1</v>
      </c>
      <c r="W1001" s="34">
        <v>0</v>
      </c>
      <c r="X1001" s="34">
        <v>0</v>
      </c>
    </row>
    <row r="1002" spans="1:24" hidden="1">
      <c r="A1002" s="34" t="s">
        <v>3314</v>
      </c>
      <c r="B1002" s="34" t="s">
        <v>3315</v>
      </c>
      <c r="C1002" s="34" t="s">
        <v>161</v>
      </c>
      <c r="D1002" s="34" t="s">
        <v>162</v>
      </c>
      <c r="E1002" s="34" t="s">
        <v>2</v>
      </c>
      <c r="F1002" s="34" t="s">
        <v>3316</v>
      </c>
      <c r="G1002" s="54">
        <v>1820655274</v>
      </c>
      <c r="H1002" s="54" t="s">
        <v>229</v>
      </c>
      <c r="I1002" s="54" t="s">
        <v>3514</v>
      </c>
      <c r="J1002" s="34" t="s">
        <v>3421</v>
      </c>
      <c r="K1002" s="50">
        <v>130000</v>
      </c>
      <c r="L1002" s="43">
        <v>39530</v>
      </c>
      <c r="M1002" s="44">
        <f t="shared" si="76"/>
        <v>0.30407692307692308</v>
      </c>
      <c r="N1002" s="49">
        <f>ROUND(L1002/Summary!$C$3*Summary!$C$2,0)</f>
        <v>122543</v>
      </c>
      <c r="O1002" s="44">
        <f t="shared" si="77"/>
        <v>0.94263846153846154</v>
      </c>
      <c r="P1002" s="78">
        <v>10</v>
      </c>
      <c r="Q1002" s="34">
        <v>3</v>
      </c>
      <c r="R1002" s="35">
        <f t="shared" si="78"/>
        <v>0.3</v>
      </c>
      <c r="S1002" s="49">
        <f>ROUND(Q1002/Summary!$C$3*Summary!$C$2,0)</f>
        <v>9</v>
      </c>
      <c r="T1002" s="44">
        <f t="shared" si="79"/>
        <v>0.9</v>
      </c>
      <c r="U1002" s="34">
        <v>0</v>
      </c>
      <c r="V1002" s="34">
        <v>1</v>
      </c>
      <c r="W1002" s="34">
        <v>1</v>
      </c>
      <c r="X1002" s="34">
        <v>0</v>
      </c>
    </row>
    <row r="1003" spans="1:24" hidden="1">
      <c r="A1003" s="34" t="s">
        <v>1410</v>
      </c>
      <c r="B1003" s="34" t="s">
        <v>161</v>
      </c>
      <c r="C1003" s="34" t="s">
        <v>161</v>
      </c>
      <c r="D1003" s="34" t="s">
        <v>162</v>
      </c>
      <c r="E1003" s="34" t="s">
        <v>2</v>
      </c>
      <c r="F1003" s="34" t="s">
        <v>3128</v>
      </c>
      <c r="G1003" s="54">
        <v>1755295289</v>
      </c>
      <c r="H1003" s="54" t="s">
        <v>229</v>
      </c>
      <c r="I1003" s="54" t="s">
        <v>3518</v>
      </c>
      <c r="J1003" s="34" t="s">
        <v>3419</v>
      </c>
      <c r="K1003" s="50">
        <v>309728</v>
      </c>
      <c r="L1003" s="43">
        <v>83180</v>
      </c>
      <c r="M1003" s="44">
        <f t="shared" si="76"/>
        <v>0.26855821882425873</v>
      </c>
      <c r="N1003" s="49">
        <f>ROUND(L1003/Summary!$C$3*Summary!$C$2,0)</f>
        <v>257858</v>
      </c>
      <c r="O1003" s="44">
        <f t="shared" si="77"/>
        <v>0.832530478355202</v>
      </c>
      <c r="P1003" s="78">
        <v>23</v>
      </c>
      <c r="Q1003" s="34">
        <v>6</v>
      </c>
      <c r="R1003" s="35">
        <f t="shared" si="78"/>
        <v>0.2608695652173913</v>
      </c>
      <c r="S1003" s="49">
        <f>ROUND(Q1003/Summary!$C$3*Summary!$C$2,0)</f>
        <v>19</v>
      </c>
      <c r="T1003" s="44">
        <f t="shared" si="79"/>
        <v>0.82608695652173914</v>
      </c>
      <c r="U1003" s="34">
        <v>2</v>
      </c>
      <c r="V1003" s="34">
        <v>4</v>
      </c>
      <c r="W1003" s="34">
        <v>0</v>
      </c>
      <c r="X1003" s="34">
        <v>0</v>
      </c>
    </row>
    <row r="1004" spans="1:24" hidden="1">
      <c r="A1004" s="34" t="s">
        <v>1416</v>
      </c>
      <c r="B1004" s="34" t="s">
        <v>1417</v>
      </c>
      <c r="C1004" s="34" t="s">
        <v>161</v>
      </c>
      <c r="D1004" s="34" t="s">
        <v>162</v>
      </c>
      <c r="E1004" s="34" t="s">
        <v>2</v>
      </c>
      <c r="F1004" s="34" t="s">
        <v>1418</v>
      </c>
      <c r="G1004" s="54">
        <v>1757962917</v>
      </c>
      <c r="H1004" s="54" t="s">
        <v>229</v>
      </c>
      <c r="I1004" s="54" t="s">
        <v>3518</v>
      </c>
      <c r="J1004" s="34" t="s">
        <v>3419</v>
      </c>
      <c r="K1004" s="50">
        <v>332097</v>
      </c>
      <c r="L1004" s="43">
        <v>96755</v>
      </c>
      <c r="M1004" s="44">
        <f t="shared" si="76"/>
        <v>0.29134560083349142</v>
      </c>
      <c r="N1004" s="49">
        <f>ROUND(L1004/Summary!$C$3*Summary!$C$2,0)</f>
        <v>299941</v>
      </c>
      <c r="O1004" s="44">
        <f t="shared" si="77"/>
        <v>0.90317286816803521</v>
      </c>
      <c r="P1004" s="78">
        <v>18</v>
      </c>
      <c r="Q1004" s="34">
        <v>6</v>
      </c>
      <c r="R1004" s="35">
        <f t="shared" si="78"/>
        <v>0.33333333333333331</v>
      </c>
      <c r="S1004" s="49">
        <f>ROUND(Q1004/Summary!$C$3*Summary!$C$2,0)</f>
        <v>19</v>
      </c>
      <c r="T1004" s="44">
        <f t="shared" si="79"/>
        <v>1.0555555555555556</v>
      </c>
      <c r="U1004" s="34">
        <v>0</v>
      </c>
      <c r="V1004" s="34">
        <v>2</v>
      </c>
      <c r="W1004" s="34">
        <v>0</v>
      </c>
      <c r="X1004" s="34">
        <v>0</v>
      </c>
    </row>
    <row r="1005" spans="1:24" hidden="1">
      <c r="A1005" s="34" t="s">
        <v>1374</v>
      </c>
      <c r="B1005" s="34" t="s">
        <v>1375</v>
      </c>
      <c r="C1005" s="34" t="s">
        <v>161</v>
      </c>
      <c r="D1005" s="34" t="s">
        <v>162</v>
      </c>
      <c r="E1005" s="34" t="s">
        <v>2</v>
      </c>
      <c r="F1005" s="34" t="s">
        <v>1376</v>
      </c>
      <c r="G1005" s="54">
        <v>1711412125</v>
      </c>
      <c r="H1005" s="54" t="s">
        <v>229</v>
      </c>
      <c r="I1005" s="54" t="s">
        <v>3514</v>
      </c>
      <c r="J1005" s="34" t="s">
        <v>3421</v>
      </c>
      <c r="K1005" s="50">
        <v>130000</v>
      </c>
      <c r="L1005" s="43">
        <v>29890</v>
      </c>
      <c r="M1005" s="44">
        <f t="shared" si="76"/>
        <v>0.22992307692307692</v>
      </c>
      <c r="N1005" s="49">
        <f>ROUND(L1005/Summary!$C$3*Summary!$C$2,0)</f>
        <v>92659</v>
      </c>
      <c r="O1005" s="44">
        <f t="shared" si="77"/>
        <v>0.71276153846153845</v>
      </c>
      <c r="P1005" s="78">
        <v>10</v>
      </c>
      <c r="Q1005" s="34">
        <v>0</v>
      </c>
      <c r="R1005" s="35">
        <f t="shared" si="78"/>
        <v>0</v>
      </c>
      <c r="S1005" s="49">
        <f>ROUND(Q1005/Summary!$C$3*Summary!$C$2,0)</f>
        <v>0</v>
      </c>
      <c r="T1005" s="44">
        <f t="shared" si="79"/>
        <v>0</v>
      </c>
      <c r="U1005" s="34">
        <v>0</v>
      </c>
      <c r="V1005" s="34">
        <v>0</v>
      </c>
      <c r="W1005" s="34">
        <v>0</v>
      </c>
      <c r="X1005" s="34">
        <v>0</v>
      </c>
    </row>
    <row r="1006" spans="1:24" hidden="1">
      <c r="A1006" s="34" t="s">
        <v>1366</v>
      </c>
      <c r="B1006" s="34" t="s">
        <v>134</v>
      </c>
      <c r="C1006" s="34" t="s">
        <v>161</v>
      </c>
      <c r="D1006" s="34" t="s">
        <v>162</v>
      </c>
      <c r="E1006" s="34" t="s">
        <v>2</v>
      </c>
      <c r="F1006" s="34" t="s">
        <v>1367</v>
      </c>
      <c r="G1006" s="54">
        <v>1761511150</v>
      </c>
      <c r="H1006" s="54" t="s">
        <v>229</v>
      </c>
      <c r="I1006" s="54" t="s">
        <v>3514</v>
      </c>
      <c r="J1006" s="34" t="s">
        <v>3421</v>
      </c>
      <c r="K1006" s="50">
        <v>130000</v>
      </c>
      <c r="L1006" s="43">
        <v>36140</v>
      </c>
      <c r="M1006" s="44">
        <f t="shared" si="76"/>
        <v>0.27800000000000002</v>
      </c>
      <c r="N1006" s="49">
        <f>ROUND(L1006/Summary!$C$3*Summary!$C$2,0)</f>
        <v>112034</v>
      </c>
      <c r="O1006" s="44">
        <f t="shared" si="77"/>
        <v>0.86180000000000001</v>
      </c>
      <c r="P1006" s="78">
        <v>10</v>
      </c>
      <c r="Q1006" s="34">
        <v>2</v>
      </c>
      <c r="R1006" s="35">
        <f t="shared" si="78"/>
        <v>0.2</v>
      </c>
      <c r="S1006" s="49">
        <f>ROUND(Q1006/Summary!$C$3*Summary!$C$2,0)</f>
        <v>6</v>
      </c>
      <c r="T1006" s="44">
        <f t="shared" si="79"/>
        <v>0.6</v>
      </c>
      <c r="U1006" s="34">
        <v>0</v>
      </c>
      <c r="V1006" s="34">
        <v>1</v>
      </c>
      <c r="W1006" s="34">
        <v>0</v>
      </c>
      <c r="X1006" s="34">
        <v>0</v>
      </c>
    </row>
    <row r="1007" spans="1:24" hidden="1">
      <c r="A1007" s="34" t="s">
        <v>1425</v>
      </c>
      <c r="B1007" s="34" t="s">
        <v>1426</v>
      </c>
      <c r="C1007" s="34" t="s">
        <v>161</v>
      </c>
      <c r="D1007" s="34" t="s">
        <v>162</v>
      </c>
      <c r="E1007" s="34" t="s">
        <v>2</v>
      </c>
      <c r="F1007" s="34" t="s">
        <v>1427</v>
      </c>
      <c r="G1007" s="54">
        <v>1713706273</v>
      </c>
      <c r="H1007" s="54" t="s">
        <v>229</v>
      </c>
      <c r="I1007" s="54" t="s">
        <v>3514</v>
      </c>
      <c r="J1007" s="34" t="s">
        <v>3515</v>
      </c>
      <c r="K1007" s="50">
        <v>130000</v>
      </c>
      <c r="L1007" s="43">
        <v>29935</v>
      </c>
      <c r="M1007" s="44">
        <f t="shared" si="76"/>
        <v>0.23026923076923078</v>
      </c>
      <c r="N1007" s="49">
        <f>ROUND(L1007/Summary!$C$3*Summary!$C$2,0)</f>
        <v>92799</v>
      </c>
      <c r="O1007" s="44">
        <f t="shared" si="77"/>
        <v>0.71383846153846153</v>
      </c>
      <c r="P1007" s="78">
        <v>10</v>
      </c>
      <c r="Q1007" s="34">
        <v>1</v>
      </c>
      <c r="R1007" s="35">
        <f t="shared" si="78"/>
        <v>0.1</v>
      </c>
      <c r="S1007" s="49">
        <f>ROUND(Q1007/Summary!$C$3*Summary!$C$2,0)</f>
        <v>3</v>
      </c>
      <c r="T1007" s="44">
        <f t="shared" si="79"/>
        <v>0.3</v>
      </c>
      <c r="U1007" s="34">
        <v>2</v>
      </c>
      <c r="V1007" s="34">
        <v>0</v>
      </c>
      <c r="W1007" s="34">
        <v>0</v>
      </c>
      <c r="X1007" s="34">
        <v>0</v>
      </c>
    </row>
    <row r="1008" spans="1:24" hidden="1">
      <c r="A1008" s="34" t="s">
        <v>1360</v>
      </c>
      <c r="B1008" s="34" t="s">
        <v>1361</v>
      </c>
      <c r="C1008" s="34" t="s">
        <v>161</v>
      </c>
      <c r="D1008" s="34" t="s">
        <v>162</v>
      </c>
      <c r="E1008" s="34" t="s">
        <v>2</v>
      </c>
      <c r="F1008" s="34" t="s">
        <v>1362</v>
      </c>
      <c r="G1008" s="54">
        <v>1716077886</v>
      </c>
      <c r="H1008" s="54" t="s">
        <v>229</v>
      </c>
      <c r="I1008" s="54" t="s">
        <v>3514</v>
      </c>
      <c r="J1008" s="34" t="s">
        <v>3515</v>
      </c>
      <c r="K1008" s="50">
        <v>130000</v>
      </c>
      <c r="L1008" s="43">
        <v>37165</v>
      </c>
      <c r="M1008" s="44">
        <f t="shared" si="76"/>
        <v>0.2858846153846154</v>
      </c>
      <c r="N1008" s="49">
        <f>ROUND(L1008/Summary!$C$3*Summary!$C$2,0)</f>
        <v>115212</v>
      </c>
      <c r="O1008" s="44">
        <f t="shared" si="77"/>
        <v>0.88624615384615379</v>
      </c>
      <c r="P1008" s="78">
        <v>10</v>
      </c>
      <c r="Q1008" s="34">
        <v>3</v>
      </c>
      <c r="R1008" s="35">
        <f t="shared" si="78"/>
        <v>0.3</v>
      </c>
      <c r="S1008" s="49">
        <f>ROUND(Q1008/Summary!$C$3*Summary!$C$2,0)</f>
        <v>9</v>
      </c>
      <c r="T1008" s="44">
        <f t="shared" si="79"/>
        <v>0.9</v>
      </c>
      <c r="U1008" s="34">
        <v>0</v>
      </c>
      <c r="V1008" s="34">
        <v>1</v>
      </c>
      <c r="W1008" s="34">
        <v>0</v>
      </c>
      <c r="X1008" s="34">
        <v>0</v>
      </c>
    </row>
    <row r="1009" spans="1:24" hidden="1">
      <c r="A1009" s="34" t="s">
        <v>1475</v>
      </c>
      <c r="B1009" s="34" t="s">
        <v>1476</v>
      </c>
      <c r="C1009" s="34" t="s">
        <v>163</v>
      </c>
      <c r="D1009" s="34" t="s">
        <v>162</v>
      </c>
      <c r="E1009" s="34" t="s">
        <v>2</v>
      </c>
      <c r="F1009" s="34" t="s">
        <v>1477</v>
      </c>
      <c r="G1009" s="54">
        <v>1730988320</v>
      </c>
      <c r="H1009" s="54" t="s">
        <v>229</v>
      </c>
      <c r="I1009" s="54" t="s">
        <v>3514</v>
      </c>
      <c r="J1009" s="34" t="s">
        <v>3419</v>
      </c>
      <c r="K1009" s="50">
        <v>175105</v>
      </c>
      <c r="L1009" s="43">
        <v>48855</v>
      </c>
      <c r="M1009" s="44">
        <f t="shared" si="76"/>
        <v>0.27900402615573511</v>
      </c>
      <c r="N1009" s="49">
        <f>ROUND(L1009/Summary!$C$3*Summary!$C$2,0)</f>
        <v>151451</v>
      </c>
      <c r="O1009" s="44">
        <f t="shared" si="77"/>
        <v>0.86491533651237829</v>
      </c>
      <c r="P1009" s="78">
        <v>10</v>
      </c>
      <c r="Q1009" s="34">
        <v>3</v>
      </c>
      <c r="R1009" s="35">
        <f t="shared" si="78"/>
        <v>0.3</v>
      </c>
      <c r="S1009" s="49">
        <f>ROUND(Q1009/Summary!$C$3*Summary!$C$2,0)</f>
        <v>9</v>
      </c>
      <c r="T1009" s="44">
        <f t="shared" si="79"/>
        <v>0.9</v>
      </c>
      <c r="U1009" s="34">
        <v>1</v>
      </c>
      <c r="V1009" s="34">
        <v>0</v>
      </c>
      <c r="W1009" s="34">
        <v>0</v>
      </c>
      <c r="X1009" s="34">
        <v>0</v>
      </c>
    </row>
    <row r="1010" spans="1:24" hidden="1">
      <c r="A1010" s="34" t="s">
        <v>1454</v>
      </c>
      <c r="B1010" s="34" t="s">
        <v>1455</v>
      </c>
      <c r="C1010" s="34" t="s">
        <v>163</v>
      </c>
      <c r="D1010" s="34" t="s">
        <v>162</v>
      </c>
      <c r="E1010" s="34" t="s">
        <v>2</v>
      </c>
      <c r="F1010" s="34" t="s">
        <v>1456</v>
      </c>
      <c r="G1010" s="54">
        <v>1770991547</v>
      </c>
      <c r="H1010" s="54" t="s">
        <v>229</v>
      </c>
      <c r="I1010" s="54" t="s">
        <v>3514</v>
      </c>
      <c r="J1010" s="34" t="s">
        <v>3419</v>
      </c>
      <c r="K1010" s="50">
        <v>200000</v>
      </c>
      <c r="L1010" s="43">
        <v>43565</v>
      </c>
      <c r="M1010" s="44">
        <f t="shared" si="76"/>
        <v>0.21782499999999999</v>
      </c>
      <c r="N1010" s="49">
        <f>ROUND(L1010/Summary!$C$3*Summary!$C$2,0)</f>
        <v>135052</v>
      </c>
      <c r="O1010" s="44">
        <f t="shared" si="77"/>
        <v>0.67525999999999997</v>
      </c>
      <c r="P1010" s="78">
        <v>11</v>
      </c>
      <c r="Q1010" s="34">
        <v>3</v>
      </c>
      <c r="R1010" s="35">
        <f t="shared" si="78"/>
        <v>0.27272727272727271</v>
      </c>
      <c r="S1010" s="49">
        <f>ROUND(Q1010/Summary!$C$3*Summary!$C$2,0)</f>
        <v>9</v>
      </c>
      <c r="T1010" s="44">
        <f t="shared" si="79"/>
        <v>0.81818181818181823</v>
      </c>
      <c r="U1010" s="34">
        <v>0</v>
      </c>
      <c r="V1010" s="34">
        <v>0</v>
      </c>
      <c r="W1010" s="34">
        <v>0</v>
      </c>
      <c r="X1010" s="34">
        <v>0</v>
      </c>
    </row>
    <row r="1011" spans="1:24" hidden="1">
      <c r="A1011" s="34" t="s">
        <v>1490</v>
      </c>
      <c r="B1011" s="34" t="s">
        <v>1491</v>
      </c>
      <c r="C1011" s="34" t="s">
        <v>163</v>
      </c>
      <c r="D1011" s="34" t="s">
        <v>162</v>
      </c>
      <c r="E1011" s="34" t="s">
        <v>2</v>
      </c>
      <c r="F1011" s="34" t="s">
        <v>1492</v>
      </c>
      <c r="G1011" s="54">
        <v>1778763492</v>
      </c>
      <c r="H1011" s="54" t="s">
        <v>229</v>
      </c>
      <c r="I1011" s="54" t="s">
        <v>3518</v>
      </c>
      <c r="J1011" s="34" t="s">
        <v>3515</v>
      </c>
      <c r="K1011" s="50">
        <v>400000</v>
      </c>
      <c r="L1011" s="43">
        <v>94390</v>
      </c>
      <c r="M1011" s="44">
        <f t="shared" si="76"/>
        <v>0.23597499999999999</v>
      </c>
      <c r="N1011" s="49">
        <f>ROUND(L1011/Summary!$C$3*Summary!$C$2,0)</f>
        <v>292609</v>
      </c>
      <c r="O1011" s="44">
        <f t="shared" si="77"/>
        <v>0.73152249999999996</v>
      </c>
      <c r="P1011" s="78">
        <v>25</v>
      </c>
      <c r="Q1011" s="34">
        <v>4</v>
      </c>
      <c r="R1011" s="35">
        <f t="shared" si="78"/>
        <v>0.16</v>
      </c>
      <c r="S1011" s="49">
        <f>ROUND(Q1011/Summary!$C$3*Summary!$C$2,0)</f>
        <v>12</v>
      </c>
      <c r="T1011" s="44">
        <f t="shared" si="79"/>
        <v>0.48</v>
      </c>
      <c r="U1011" s="34">
        <v>0</v>
      </c>
      <c r="V1011" s="34">
        <v>1</v>
      </c>
      <c r="W1011" s="34">
        <v>0</v>
      </c>
      <c r="X1011" s="34">
        <v>1</v>
      </c>
    </row>
    <row r="1012" spans="1:24" hidden="1">
      <c r="A1012" s="34" t="s">
        <v>1438</v>
      </c>
      <c r="B1012" s="34" t="s">
        <v>1439</v>
      </c>
      <c r="C1012" s="34" t="s">
        <v>163</v>
      </c>
      <c r="D1012" s="34" t="s">
        <v>162</v>
      </c>
      <c r="E1012" s="34" t="s">
        <v>2</v>
      </c>
      <c r="F1012" s="34" t="s">
        <v>1440</v>
      </c>
      <c r="G1012" s="54">
        <v>1944828240</v>
      </c>
      <c r="H1012" s="54" t="s">
        <v>229</v>
      </c>
      <c r="I1012" s="54" t="s">
        <v>3514</v>
      </c>
      <c r="J1012" s="34" t="s">
        <v>3421</v>
      </c>
      <c r="K1012" s="50">
        <v>159190</v>
      </c>
      <c r="L1012" s="43">
        <v>27800</v>
      </c>
      <c r="M1012" s="44">
        <f t="shared" si="76"/>
        <v>0.17463408505559394</v>
      </c>
      <c r="N1012" s="49">
        <f>ROUND(L1012/Summary!$C$3*Summary!$C$2,0)</f>
        <v>86180</v>
      </c>
      <c r="O1012" s="44">
        <f t="shared" si="77"/>
        <v>0.54136566367234118</v>
      </c>
      <c r="P1012" s="78">
        <v>10</v>
      </c>
      <c r="Q1012" s="34">
        <v>1</v>
      </c>
      <c r="R1012" s="35">
        <f t="shared" si="78"/>
        <v>0.1</v>
      </c>
      <c r="S1012" s="49">
        <f>ROUND(Q1012/Summary!$C$3*Summary!$C$2,0)</f>
        <v>3</v>
      </c>
      <c r="T1012" s="44">
        <f t="shared" si="79"/>
        <v>0.3</v>
      </c>
      <c r="U1012" s="34">
        <v>0</v>
      </c>
      <c r="V1012" s="34">
        <v>0</v>
      </c>
      <c r="W1012" s="34">
        <v>0</v>
      </c>
      <c r="X1012" s="34">
        <v>0</v>
      </c>
    </row>
    <row r="1013" spans="1:24" hidden="1">
      <c r="A1013" s="34" t="s">
        <v>2953</v>
      </c>
      <c r="B1013" s="34" t="s">
        <v>1502</v>
      </c>
      <c r="C1013" s="34" t="s">
        <v>163</v>
      </c>
      <c r="D1013" s="34" t="s">
        <v>162</v>
      </c>
      <c r="E1013" s="34" t="s">
        <v>2</v>
      </c>
      <c r="F1013" s="34" t="s">
        <v>1503</v>
      </c>
      <c r="G1013" s="54">
        <v>1731482080</v>
      </c>
      <c r="H1013" s="54" t="s">
        <v>229</v>
      </c>
      <c r="I1013" s="54" t="s">
        <v>3514</v>
      </c>
      <c r="J1013" s="34" t="s">
        <v>3421</v>
      </c>
      <c r="K1013" s="50">
        <v>130000</v>
      </c>
      <c r="L1013" s="43">
        <v>31490</v>
      </c>
      <c r="M1013" s="44">
        <f t="shared" si="76"/>
        <v>0.24223076923076922</v>
      </c>
      <c r="N1013" s="49">
        <f>ROUND(L1013/Summary!$C$3*Summary!$C$2,0)</f>
        <v>97619</v>
      </c>
      <c r="O1013" s="44">
        <f t="shared" si="77"/>
        <v>0.75091538461538465</v>
      </c>
      <c r="P1013" s="78">
        <v>10</v>
      </c>
      <c r="Q1013" s="34">
        <v>2</v>
      </c>
      <c r="R1013" s="35">
        <f t="shared" si="78"/>
        <v>0.2</v>
      </c>
      <c r="S1013" s="49">
        <f>ROUND(Q1013/Summary!$C$3*Summary!$C$2,0)</f>
        <v>6</v>
      </c>
      <c r="T1013" s="44">
        <f t="shared" si="79"/>
        <v>0.6</v>
      </c>
      <c r="U1013" s="34">
        <v>0</v>
      </c>
      <c r="V1013" s="34">
        <v>2</v>
      </c>
      <c r="W1013" s="34">
        <v>0</v>
      </c>
      <c r="X1013" s="34">
        <v>0</v>
      </c>
    </row>
    <row r="1014" spans="1:24" hidden="1">
      <c r="A1014" s="34" t="s">
        <v>3412</v>
      </c>
      <c r="B1014" s="34" t="s">
        <v>3413</v>
      </c>
      <c r="C1014" s="34" t="s">
        <v>47</v>
      </c>
      <c r="D1014" s="34" t="s">
        <v>48</v>
      </c>
      <c r="E1014" s="34" t="s">
        <v>2</v>
      </c>
      <c r="F1014" s="34" t="s">
        <v>3411</v>
      </c>
      <c r="G1014" s="54">
        <v>1721010799</v>
      </c>
      <c r="H1014" s="54" t="s">
        <v>229</v>
      </c>
      <c r="I1014" s="54" t="s">
        <v>3514</v>
      </c>
      <c r="J1014" s="34" t="s">
        <v>3421</v>
      </c>
      <c r="K1014" s="50">
        <v>130000</v>
      </c>
      <c r="L1014" s="43">
        <v>31740</v>
      </c>
      <c r="M1014" s="44">
        <f t="shared" si="76"/>
        <v>0.24415384615384617</v>
      </c>
      <c r="N1014" s="49">
        <f>ROUND(L1014/Summary!$C$3*Summary!$C$2,0)</f>
        <v>98394</v>
      </c>
      <c r="O1014" s="44">
        <f t="shared" si="77"/>
        <v>0.75687692307692311</v>
      </c>
      <c r="P1014" s="78">
        <v>10</v>
      </c>
      <c r="Q1014" s="34">
        <v>1</v>
      </c>
      <c r="R1014" s="35">
        <f t="shared" si="78"/>
        <v>0.1</v>
      </c>
      <c r="S1014" s="49">
        <f>ROUND(Q1014/Summary!$C$3*Summary!$C$2,0)</f>
        <v>3</v>
      </c>
      <c r="T1014" s="44">
        <f t="shared" si="79"/>
        <v>0.3</v>
      </c>
      <c r="U1014" s="34">
        <v>0</v>
      </c>
      <c r="V1014" s="34">
        <v>0</v>
      </c>
      <c r="W1014" s="34">
        <v>0</v>
      </c>
      <c r="X1014" s="34">
        <v>0</v>
      </c>
    </row>
    <row r="1015" spans="1:24" hidden="1">
      <c r="A1015" s="34" t="s">
        <v>3317</v>
      </c>
      <c r="B1015" s="34" t="s">
        <v>2265</v>
      </c>
      <c r="C1015" s="34" t="s">
        <v>47</v>
      </c>
      <c r="D1015" s="34" t="s">
        <v>48</v>
      </c>
      <c r="E1015" s="34" t="s">
        <v>2</v>
      </c>
      <c r="F1015" s="34" t="s">
        <v>3318</v>
      </c>
      <c r="G1015" s="54">
        <v>1711414935</v>
      </c>
      <c r="H1015" s="54" t="s">
        <v>229</v>
      </c>
      <c r="I1015" s="54" t="s">
        <v>3514</v>
      </c>
      <c r="J1015" s="34" t="s">
        <v>3515</v>
      </c>
      <c r="K1015" s="50">
        <v>130000</v>
      </c>
      <c r="L1015" s="43">
        <v>50104</v>
      </c>
      <c r="M1015" s="44">
        <f t="shared" si="76"/>
        <v>0.3854153846153846</v>
      </c>
      <c r="N1015" s="49">
        <f>ROUND(L1015/Summary!$C$3*Summary!$C$2,0)</f>
        <v>155322</v>
      </c>
      <c r="O1015" s="44">
        <f t="shared" si="77"/>
        <v>1.1947846153846153</v>
      </c>
      <c r="P1015" s="78">
        <v>10</v>
      </c>
      <c r="Q1015" s="34">
        <v>3</v>
      </c>
      <c r="R1015" s="35">
        <f t="shared" si="78"/>
        <v>0.3</v>
      </c>
      <c r="S1015" s="49">
        <f>ROUND(Q1015/Summary!$C$3*Summary!$C$2,0)</f>
        <v>9</v>
      </c>
      <c r="T1015" s="44">
        <f t="shared" si="79"/>
        <v>0.9</v>
      </c>
      <c r="U1015" s="34">
        <v>1</v>
      </c>
      <c r="V1015" s="34">
        <v>0</v>
      </c>
      <c r="W1015" s="34">
        <v>0</v>
      </c>
      <c r="X1015" s="34">
        <v>0</v>
      </c>
    </row>
    <row r="1016" spans="1:24" hidden="1">
      <c r="A1016" s="34" t="s">
        <v>1460</v>
      </c>
      <c r="B1016" s="34" t="s">
        <v>1461</v>
      </c>
      <c r="C1016" s="34" t="s">
        <v>47</v>
      </c>
      <c r="D1016" s="34" t="s">
        <v>48</v>
      </c>
      <c r="E1016" s="34" t="s">
        <v>2</v>
      </c>
      <c r="F1016" s="34" t="s">
        <v>1462</v>
      </c>
      <c r="G1016" s="54">
        <v>1720436797</v>
      </c>
      <c r="H1016" s="54" t="s">
        <v>229</v>
      </c>
      <c r="I1016" s="54" t="s">
        <v>3518</v>
      </c>
      <c r="J1016" s="34" t="s">
        <v>3515</v>
      </c>
      <c r="K1016" s="50">
        <v>302320</v>
      </c>
      <c r="L1016" s="43">
        <v>70500</v>
      </c>
      <c r="M1016" s="44">
        <f t="shared" si="76"/>
        <v>0.2331966128605451</v>
      </c>
      <c r="N1016" s="49">
        <f>ROUND(L1016/Summary!$C$3*Summary!$C$2,0)</f>
        <v>218550</v>
      </c>
      <c r="O1016" s="44">
        <f t="shared" si="77"/>
        <v>0.72290949986768982</v>
      </c>
      <c r="P1016" s="78">
        <v>10</v>
      </c>
      <c r="Q1016" s="34">
        <v>1</v>
      </c>
      <c r="R1016" s="35">
        <f t="shared" si="78"/>
        <v>0.1</v>
      </c>
      <c r="S1016" s="49">
        <f>ROUND(Q1016/Summary!$C$3*Summary!$C$2,0)</f>
        <v>3</v>
      </c>
      <c r="T1016" s="44">
        <f t="shared" si="79"/>
        <v>0.3</v>
      </c>
      <c r="U1016" s="34">
        <v>0</v>
      </c>
      <c r="V1016" s="34">
        <v>0</v>
      </c>
      <c r="W1016" s="34">
        <v>0</v>
      </c>
      <c r="X1016" s="34">
        <v>0</v>
      </c>
    </row>
    <row r="1017" spans="1:24" hidden="1">
      <c r="A1017" s="34" t="s">
        <v>1419</v>
      </c>
      <c r="B1017" s="34" t="s">
        <v>1420</v>
      </c>
      <c r="C1017" s="34" t="s">
        <v>47</v>
      </c>
      <c r="D1017" s="34" t="s">
        <v>48</v>
      </c>
      <c r="E1017" s="34" t="s">
        <v>2</v>
      </c>
      <c r="F1017" s="34" t="s">
        <v>1421</v>
      </c>
      <c r="G1017" s="54">
        <v>1717423317</v>
      </c>
      <c r="H1017" s="54" t="s">
        <v>229</v>
      </c>
      <c r="I1017" s="54" t="s">
        <v>3514</v>
      </c>
      <c r="J1017" s="34" t="s">
        <v>3419</v>
      </c>
      <c r="K1017" s="50">
        <v>130000</v>
      </c>
      <c r="L1017" s="43">
        <v>63490</v>
      </c>
      <c r="M1017" s="44">
        <f t="shared" si="76"/>
        <v>0.48838461538461536</v>
      </c>
      <c r="N1017" s="49">
        <f>ROUND(L1017/Summary!$C$3*Summary!$C$2,0)</f>
        <v>196819</v>
      </c>
      <c r="O1017" s="44">
        <f t="shared" si="77"/>
        <v>1.5139923076923076</v>
      </c>
      <c r="P1017" s="78">
        <v>10</v>
      </c>
      <c r="Q1017" s="34">
        <v>5</v>
      </c>
      <c r="R1017" s="35">
        <f t="shared" si="78"/>
        <v>0.5</v>
      </c>
      <c r="S1017" s="49">
        <f>ROUND(Q1017/Summary!$C$3*Summary!$C$2,0)</f>
        <v>16</v>
      </c>
      <c r="T1017" s="44">
        <f t="shared" si="79"/>
        <v>1.6</v>
      </c>
      <c r="U1017" s="34">
        <v>1</v>
      </c>
      <c r="V1017" s="34">
        <v>1</v>
      </c>
      <c r="W1017" s="34">
        <v>0</v>
      </c>
      <c r="X1017" s="34">
        <v>0</v>
      </c>
    </row>
    <row r="1018" spans="1:24" hidden="1">
      <c r="A1018" s="34" t="s">
        <v>2939</v>
      </c>
      <c r="B1018" s="34" t="s">
        <v>2940</v>
      </c>
      <c r="C1018" s="34" t="s">
        <v>47</v>
      </c>
      <c r="D1018" s="34" t="s">
        <v>48</v>
      </c>
      <c r="E1018" s="34" t="s">
        <v>2</v>
      </c>
      <c r="F1018" s="34" t="s">
        <v>1188</v>
      </c>
      <c r="G1018" s="54">
        <v>1723795324</v>
      </c>
      <c r="H1018" s="54" t="s">
        <v>229</v>
      </c>
      <c r="I1018" s="54" t="s">
        <v>3514</v>
      </c>
      <c r="J1018" s="34" t="s">
        <v>3421</v>
      </c>
      <c r="K1018" s="50">
        <v>180000</v>
      </c>
      <c r="L1018" s="43">
        <v>37980</v>
      </c>
      <c r="M1018" s="44">
        <f t="shared" si="76"/>
        <v>0.21099999999999999</v>
      </c>
      <c r="N1018" s="49">
        <f>ROUND(L1018/Summary!$C$3*Summary!$C$2,0)</f>
        <v>117738</v>
      </c>
      <c r="O1018" s="44">
        <f t="shared" si="77"/>
        <v>0.65410000000000001</v>
      </c>
      <c r="P1018" s="78">
        <v>10</v>
      </c>
      <c r="Q1018" s="34">
        <v>1</v>
      </c>
      <c r="R1018" s="35">
        <f t="shared" si="78"/>
        <v>0.1</v>
      </c>
      <c r="S1018" s="49">
        <f>ROUND(Q1018/Summary!$C$3*Summary!$C$2,0)</f>
        <v>3</v>
      </c>
      <c r="T1018" s="44">
        <f t="shared" si="79"/>
        <v>0.3</v>
      </c>
      <c r="U1018" s="34">
        <v>0</v>
      </c>
      <c r="V1018" s="34">
        <v>1</v>
      </c>
      <c r="W1018" s="34">
        <v>0</v>
      </c>
      <c r="X1018" s="34">
        <v>0</v>
      </c>
    </row>
    <row r="1019" spans="1:24" hidden="1">
      <c r="A1019" s="34" t="s">
        <v>1446</v>
      </c>
      <c r="B1019" s="34" t="s">
        <v>1447</v>
      </c>
      <c r="C1019" s="34" t="s">
        <v>76</v>
      </c>
      <c r="D1019" s="34" t="s">
        <v>48</v>
      </c>
      <c r="E1019" s="34" t="s">
        <v>2</v>
      </c>
      <c r="F1019" s="34" t="s">
        <v>1293</v>
      </c>
      <c r="G1019" s="54">
        <v>1740972629</v>
      </c>
      <c r="H1019" s="54" t="s">
        <v>229</v>
      </c>
      <c r="I1019" s="54" t="s">
        <v>3514</v>
      </c>
      <c r="J1019" s="34" t="s">
        <v>3419</v>
      </c>
      <c r="K1019" s="50">
        <v>173427</v>
      </c>
      <c r="L1019" s="43">
        <v>69700</v>
      </c>
      <c r="M1019" s="44">
        <f t="shared" si="76"/>
        <v>0.40189820500844736</v>
      </c>
      <c r="N1019" s="49">
        <f>ROUND(L1019/Summary!$C$3*Summary!$C$2,0)</f>
        <v>216070</v>
      </c>
      <c r="O1019" s="44">
        <f t="shared" si="77"/>
        <v>1.2458844355261869</v>
      </c>
      <c r="P1019" s="78">
        <v>10</v>
      </c>
      <c r="Q1019" s="34">
        <v>0</v>
      </c>
      <c r="R1019" s="35">
        <f t="shared" si="78"/>
        <v>0</v>
      </c>
      <c r="S1019" s="49">
        <f>ROUND(Q1019/Summary!$C$3*Summary!$C$2,0)</f>
        <v>0</v>
      </c>
      <c r="T1019" s="44">
        <f t="shared" si="79"/>
        <v>0</v>
      </c>
      <c r="U1019" s="34">
        <v>0</v>
      </c>
      <c r="V1019" s="34">
        <v>0</v>
      </c>
      <c r="W1019" s="34">
        <v>0</v>
      </c>
      <c r="X1019" s="34">
        <v>0</v>
      </c>
    </row>
    <row r="1020" spans="1:24" hidden="1">
      <c r="A1020" s="34" t="s">
        <v>3495</v>
      </c>
      <c r="B1020" s="34" t="s">
        <v>3496</v>
      </c>
      <c r="C1020" s="34" t="s">
        <v>76</v>
      </c>
      <c r="D1020" s="34" t="s">
        <v>48</v>
      </c>
      <c r="E1020" s="34" t="s">
        <v>2</v>
      </c>
      <c r="F1020" s="34" t="s">
        <v>3497</v>
      </c>
      <c r="G1020" s="54">
        <v>1750899046</v>
      </c>
      <c r="H1020" s="54" t="s">
        <v>229</v>
      </c>
      <c r="I1020" s="54" t="s">
        <v>3514</v>
      </c>
      <c r="J1020" s="34" t="s">
        <v>3419</v>
      </c>
      <c r="K1020" s="50">
        <v>130000</v>
      </c>
      <c r="L1020" s="43">
        <v>58310</v>
      </c>
      <c r="M1020" s="44">
        <f t="shared" si="76"/>
        <v>0.44853846153846155</v>
      </c>
      <c r="N1020" s="49">
        <f>ROUND(L1020/Summary!$C$3*Summary!$C$2,0)</f>
        <v>180761</v>
      </c>
      <c r="O1020" s="44">
        <f t="shared" si="77"/>
        <v>1.3904692307692308</v>
      </c>
      <c r="P1020" s="78">
        <v>10</v>
      </c>
      <c r="Q1020" s="34">
        <v>6</v>
      </c>
      <c r="R1020" s="35">
        <f t="shared" si="78"/>
        <v>0.6</v>
      </c>
      <c r="S1020" s="49">
        <f>ROUND(Q1020/Summary!$C$3*Summary!$C$2,0)</f>
        <v>19</v>
      </c>
      <c r="T1020" s="44">
        <f t="shared" si="79"/>
        <v>1.9</v>
      </c>
      <c r="U1020" s="34">
        <v>1</v>
      </c>
      <c r="V1020" s="34">
        <v>2</v>
      </c>
      <c r="W1020" s="34">
        <v>1</v>
      </c>
      <c r="X1020" s="34">
        <v>0</v>
      </c>
    </row>
    <row r="1021" spans="1:24" hidden="1">
      <c r="A1021" s="34" t="s">
        <v>3319</v>
      </c>
      <c r="B1021" s="34" t="s">
        <v>3320</v>
      </c>
      <c r="C1021" s="34" t="s">
        <v>76</v>
      </c>
      <c r="D1021" s="34" t="s">
        <v>48</v>
      </c>
      <c r="E1021" s="34" t="s">
        <v>2</v>
      </c>
      <c r="F1021" s="34" t="s">
        <v>3321</v>
      </c>
      <c r="G1021" s="54">
        <v>1717185100</v>
      </c>
      <c r="H1021" s="54" t="s">
        <v>229</v>
      </c>
      <c r="I1021" s="54" t="s">
        <v>3514</v>
      </c>
      <c r="J1021" s="34" t="s">
        <v>3421</v>
      </c>
      <c r="K1021" s="50">
        <v>130000</v>
      </c>
      <c r="L1021" s="43">
        <v>15970</v>
      </c>
      <c r="M1021" s="44">
        <f t="shared" si="76"/>
        <v>0.12284615384615384</v>
      </c>
      <c r="N1021" s="49">
        <f>ROUND(L1021/Summary!$C$3*Summary!$C$2,0)</f>
        <v>49507</v>
      </c>
      <c r="O1021" s="44">
        <f t="shared" si="77"/>
        <v>0.38082307692307693</v>
      </c>
      <c r="P1021" s="78">
        <v>10</v>
      </c>
      <c r="Q1021" s="34">
        <v>1</v>
      </c>
      <c r="R1021" s="35">
        <f t="shared" si="78"/>
        <v>0.1</v>
      </c>
      <c r="S1021" s="49">
        <f>ROUND(Q1021/Summary!$C$3*Summary!$C$2,0)</f>
        <v>3</v>
      </c>
      <c r="T1021" s="44">
        <f t="shared" si="79"/>
        <v>0.3</v>
      </c>
      <c r="U1021" s="34">
        <v>0</v>
      </c>
      <c r="V1021" s="34">
        <v>1</v>
      </c>
      <c r="W1021" s="34">
        <v>0</v>
      </c>
      <c r="X1021" s="34">
        <v>0</v>
      </c>
    </row>
    <row r="1022" spans="1:24" hidden="1">
      <c r="A1022" s="34" t="s">
        <v>2941</v>
      </c>
      <c r="B1022" s="34" t="s">
        <v>2942</v>
      </c>
      <c r="C1022" s="34" t="s">
        <v>76</v>
      </c>
      <c r="D1022" s="34" t="s">
        <v>48</v>
      </c>
      <c r="E1022" s="34" t="s">
        <v>2</v>
      </c>
      <c r="F1022" s="34" t="s">
        <v>2943</v>
      </c>
      <c r="G1022" s="54">
        <v>1717141428</v>
      </c>
      <c r="H1022" s="54" t="s">
        <v>229</v>
      </c>
      <c r="I1022" s="54" t="s">
        <v>3514</v>
      </c>
      <c r="J1022" s="34" t="s">
        <v>3419</v>
      </c>
      <c r="K1022" s="50">
        <v>130000</v>
      </c>
      <c r="L1022" s="43">
        <v>62000</v>
      </c>
      <c r="M1022" s="44">
        <f t="shared" si="76"/>
        <v>0.47692307692307695</v>
      </c>
      <c r="N1022" s="49">
        <f>ROUND(L1022/Summary!$C$3*Summary!$C$2,0)</f>
        <v>192200</v>
      </c>
      <c r="O1022" s="44">
        <f t="shared" si="77"/>
        <v>1.4784615384615385</v>
      </c>
      <c r="P1022" s="78">
        <v>10</v>
      </c>
      <c r="Q1022" s="34">
        <v>6</v>
      </c>
      <c r="R1022" s="35">
        <f t="shared" si="78"/>
        <v>0.6</v>
      </c>
      <c r="S1022" s="49">
        <f>ROUND(Q1022/Summary!$C$3*Summary!$C$2,0)</f>
        <v>19</v>
      </c>
      <c r="T1022" s="44">
        <f t="shared" si="79"/>
        <v>1.9</v>
      </c>
      <c r="U1022" s="34">
        <v>0</v>
      </c>
      <c r="V1022" s="34">
        <v>0</v>
      </c>
      <c r="W1022" s="34">
        <v>0</v>
      </c>
      <c r="X1022" s="34">
        <v>0</v>
      </c>
    </row>
    <row r="1023" spans="1:24" hidden="1">
      <c r="A1023" s="34" t="s">
        <v>1472</v>
      </c>
      <c r="B1023" s="34" t="s">
        <v>1473</v>
      </c>
      <c r="C1023" s="34" t="s">
        <v>76</v>
      </c>
      <c r="D1023" s="34" t="s">
        <v>48</v>
      </c>
      <c r="E1023" s="34" t="s">
        <v>2</v>
      </c>
      <c r="F1023" s="34" t="s">
        <v>1474</v>
      </c>
      <c r="G1023" s="54">
        <v>1719709048</v>
      </c>
      <c r="H1023" s="54" t="s">
        <v>229</v>
      </c>
      <c r="I1023" s="54" t="s">
        <v>3514</v>
      </c>
      <c r="J1023" s="34" t="s">
        <v>3419</v>
      </c>
      <c r="K1023" s="50">
        <v>169442</v>
      </c>
      <c r="L1023" s="43">
        <v>69730</v>
      </c>
      <c r="M1023" s="44">
        <f t="shared" si="76"/>
        <v>0.41152724826194215</v>
      </c>
      <c r="N1023" s="49">
        <f>ROUND(L1023/Summary!$C$3*Summary!$C$2,0)</f>
        <v>216163</v>
      </c>
      <c r="O1023" s="44">
        <f t="shared" si="77"/>
        <v>1.2757344696120205</v>
      </c>
      <c r="P1023" s="78">
        <v>10</v>
      </c>
      <c r="Q1023" s="34">
        <v>3</v>
      </c>
      <c r="R1023" s="35">
        <f t="shared" si="78"/>
        <v>0.3</v>
      </c>
      <c r="S1023" s="49">
        <f>ROUND(Q1023/Summary!$C$3*Summary!$C$2,0)</f>
        <v>9</v>
      </c>
      <c r="T1023" s="44">
        <f t="shared" si="79"/>
        <v>0.9</v>
      </c>
      <c r="U1023" s="34">
        <v>3</v>
      </c>
      <c r="V1023" s="34">
        <v>1</v>
      </c>
      <c r="W1023" s="34">
        <v>0</v>
      </c>
      <c r="X1023" s="34">
        <v>0</v>
      </c>
    </row>
    <row r="1024" spans="1:24" hidden="1">
      <c r="A1024" s="34" t="s">
        <v>1496</v>
      </c>
      <c r="B1024" s="34" t="s">
        <v>1497</v>
      </c>
      <c r="C1024" s="34" t="s">
        <v>76</v>
      </c>
      <c r="D1024" s="34" t="s">
        <v>48</v>
      </c>
      <c r="E1024" s="34" t="s">
        <v>2</v>
      </c>
      <c r="F1024" s="34" t="s">
        <v>1498</v>
      </c>
      <c r="G1024" s="54">
        <v>1730912599</v>
      </c>
      <c r="H1024" s="54" t="s">
        <v>229</v>
      </c>
      <c r="I1024" s="54" t="s">
        <v>3514</v>
      </c>
      <c r="J1024" s="34" t="s">
        <v>3421</v>
      </c>
      <c r="K1024" s="50">
        <v>130000</v>
      </c>
      <c r="L1024" s="43">
        <v>23560</v>
      </c>
      <c r="M1024" s="44">
        <f t="shared" si="76"/>
        <v>0.18123076923076922</v>
      </c>
      <c r="N1024" s="49">
        <f>ROUND(L1024/Summary!$C$3*Summary!$C$2,0)</f>
        <v>73036</v>
      </c>
      <c r="O1024" s="44">
        <f t="shared" si="77"/>
        <v>0.56181538461538461</v>
      </c>
      <c r="P1024" s="78">
        <v>10</v>
      </c>
      <c r="Q1024" s="34">
        <v>1</v>
      </c>
      <c r="R1024" s="35">
        <f t="shared" si="78"/>
        <v>0.1</v>
      </c>
      <c r="S1024" s="49">
        <f>ROUND(Q1024/Summary!$C$3*Summary!$C$2,0)</f>
        <v>3</v>
      </c>
      <c r="T1024" s="44">
        <f t="shared" si="79"/>
        <v>0.3</v>
      </c>
      <c r="U1024" s="34">
        <v>0</v>
      </c>
      <c r="V1024" s="34">
        <v>0</v>
      </c>
      <c r="W1024" s="34">
        <v>0</v>
      </c>
      <c r="X1024" s="34">
        <v>0</v>
      </c>
    </row>
    <row r="1025" spans="1:24" hidden="1">
      <c r="A1025" s="34" t="s">
        <v>1319</v>
      </c>
      <c r="B1025" s="34" t="s">
        <v>1320</v>
      </c>
      <c r="C1025" s="34" t="s">
        <v>164</v>
      </c>
      <c r="D1025" s="34" t="s">
        <v>165</v>
      </c>
      <c r="E1025" s="34" t="s">
        <v>2</v>
      </c>
      <c r="F1025" s="34" t="s">
        <v>1321</v>
      </c>
      <c r="G1025" s="54">
        <v>1738340730</v>
      </c>
      <c r="H1025" s="54" t="s">
        <v>229</v>
      </c>
      <c r="I1025" s="54" t="s">
        <v>3514</v>
      </c>
      <c r="J1025" s="34" t="s">
        <v>3515</v>
      </c>
      <c r="K1025" s="50">
        <v>154764</v>
      </c>
      <c r="L1025" s="43">
        <v>63990</v>
      </c>
      <c r="M1025" s="44">
        <f t="shared" si="76"/>
        <v>0.4134682484298674</v>
      </c>
      <c r="N1025" s="49">
        <f>ROUND(L1025/Summary!$C$3*Summary!$C$2,0)</f>
        <v>198369</v>
      </c>
      <c r="O1025" s="44">
        <f t="shared" si="77"/>
        <v>1.281751570132589</v>
      </c>
      <c r="P1025" s="78">
        <v>10</v>
      </c>
      <c r="Q1025" s="34">
        <v>5</v>
      </c>
      <c r="R1025" s="35">
        <f t="shared" si="78"/>
        <v>0.5</v>
      </c>
      <c r="S1025" s="49">
        <f>ROUND(Q1025/Summary!$C$3*Summary!$C$2,0)</f>
        <v>16</v>
      </c>
      <c r="T1025" s="44">
        <f t="shared" si="79"/>
        <v>1.6</v>
      </c>
      <c r="U1025" s="34">
        <v>1</v>
      </c>
      <c r="V1025" s="34">
        <v>2</v>
      </c>
      <c r="W1025" s="34">
        <v>0</v>
      </c>
      <c r="X1025" s="34">
        <v>0</v>
      </c>
    </row>
    <row r="1026" spans="1:24" hidden="1">
      <c r="A1026" s="34" t="s">
        <v>1478</v>
      </c>
      <c r="B1026" s="34" t="s">
        <v>1479</v>
      </c>
      <c r="C1026" s="34" t="s">
        <v>164</v>
      </c>
      <c r="D1026" s="34" t="s">
        <v>165</v>
      </c>
      <c r="E1026" s="34" t="s">
        <v>2</v>
      </c>
      <c r="F1026" s="34" t="s">
        <v>1480</v>
      </c>
      <c r="G1026" s="54">
        <v>1761898121</v>
      </c>
      <c r="H1026" s="54" t="s">
        <v>229</v>
      </c>
      <c r="I1026" s="54" t="s">
        <v>3514</v>
      </c>
      <c r="J1026" s="34" t="s">
        <v>3515</v>
      </c>
      <c r="K1026" s="50">
        <v>130000</v>
      </c>
      <c r="L1026" s="43">
        <v>42030</v>
      </c>
      <c r="M1026" s="44">
        <f t="shared" si="76"/>
        <v>0.3233076923076923</v>
      </c>
      <c r="N1026" s="49">
        <f>ROUND(L1026/Summary!$C$3*Summary!$C$2,0)</f>
        <v>130293</v>
      </c>
      <c r="O1026" s="44">
        <f t="shared" si="77"/>
        <v>1.0022538461538462</v>
      </c>
      <c r="P1026" s="78">
        <v>10</v>
      </c>
      <c r="Q1026" s="34">
        <v>2</v>
      </c>
      <c r="R1026" s="35">
        <f t="shared" si="78"/>
        <v>0.2</v>
      </c>
      <c r="S1026" s="49">
        <f>ROUND(Q1026/Summary!$C$3*Summary!$C$2,0)</f>
        <v>6</v>
      </c>
      <c r="T1026" s="44">
        <f t="shared" si="79"/>
        <v>0.6</v>
      </c>
      <c r="U1026" s="34">
        <v>1</v>
      </c>
      <c r="V1026" s="34">
        <v>0</v>
      </c>
      <c r="W1026" s="34">
        <v>0</v>
      </c>
      <c r="X1026" s="34">
        <v>0</v>
      </c>
    </row>
    <row r="1027" spans="1:24" hidden="1">
      <c r="A1027" s="34" t="s">
        <v>1487</v>
      </c>
      <c r="B1027" s="34" t="s">
        <v>1488</v>
      </c>
      <c r="C1027" s="34" t="s">
        <v>164</v>
      </c>
      <c r="D1027" s="34" t="s">
        <v>165</v>
      </c>
      <c r="E1027" s="34" t="s">
        <v>2</v>
      </c>
      <c r="F1027" s="34" t="s">
        <v>1489</v>
      </c>
      <c r="G1027" s="54">
        <v>1750457937</v>
      </c>
      <c r="H1027" s="54" t="s">
        <v>229</v>
      </c>
      <c r="I1027" s="54" t="s">
        <v>3514</v>
      </c>
      <c r="J1027" s="34" t="s">
        <v>3421</v>
      </c>
      <c r="K1027" s="50">
        <v>130000</v>
      </c>
      <c r="L1027" s="43">
        <v>70980</v>
      </c>
      <c r="M1027" s="44">
        <f t="shared" si="76"/>
        <v>0.54600000000000004</v>
      </c>
      <c r="N1027" s="49">
        <f>ROUND(L1027/Summary!$C$3*Summary!$C$2,0)</f>
        <v>220038</v>
      </c>
      <c r="O1027" s="44">
        <f t="shared" si="77"/>
        <v>1.6926000000000001</v>
      </c>
      <c r="P1027" s="78">
        <v>10</v>
      </c>
      <c r="Q1027" s="34">
        <v>4</v>
      </c>
      <c r="R1027" s="35">
        <f t="shared" si="78"/>
        <v>0.4</v>
      </c>
      <c r="S1027" s="49">
        <f>ROUND(Q1027/Summary!$C$3*Summary!$C$2,0)</f>
        <v>12</v>
      </c>
      <c r="T1027" s="44">
        <f t="shared" si="79"/>
        <v>1.2</v>
      </c>
      <c r="U1027" s="34">
        <v>0</v>
      </c>
      <c r="V1027" s="34">
        <v>3</v>
      </c>
      <c r="W1027" s="34">
        <v>0</v>
      </c>
      <c r="X1027" s="34">
        <v>0</v>
      </c>
    </row>
    <row r="1028" spans="1:24" hidden="1">
      <c r="A1028" s="85" t="s">
        <v>1428</v>
      </c>
      <c r="B1028" s="85" t="s">
        <v>164</v>
      </c>
      <c r="C1028" s="85" t="s">
        <v>164</v>
      </c>
      <c r="D1028" s="85" t="s">
        <v>165</v>
      </c>
      <c r="E1028" s="85" t="s">
        <v>2</v>
      </c>
      <c r="F1028" s="85" t="s">
        <v>3646</v>
      </c>
      <c r="G1028" s="81">
        <v>1788166533</v>
      </c>
      <c r="H1028" s="54" t="s">
        <v>229</v>
      </c>
      <c r="I1028" s="54" t="s">
        <v>3514</v>
      </c>
      <c r="J1028" s="34" t="s">
        <v>3419</v>
      </c>
      <c r="K1028" s="50">
        <v>130000</v>
      </c>
      <c r="L1028" s="43">
        <v>79480</v>
      </c>
      <c r="M1028" s="44">
        <f t="shared" si="76"/>
        <v>0.61138461538461542</v>
      </c>
      <c r="N1028" s="49">
        <f>ROUND(L1028/Summary!$C$3*Summary!$C$2,0)</f>
        <v>246388</v>
      </c>
      <c r="O1028" s="44">
        <f t="shared" si="77"/>
        <v>1.8952923076923076</v>
      </c>
      <c r="P1028" s="78">
        <v>10</v>
      </c>
      <c r="Q1028" s="34">
        <v>5</v>
      </c>
      <c r="R1028" s="35">
        <f t="shared" si="78"/>
        <v>0.5</v>
      </c>
      <c r="S1028" s="49">
        <f>ROUND(Q1028/Summary!$C$3*Summary!$C$2,0)</f>
        <v>16</v>
      </c>
      <c r="T1028" s="44">
        <f t="shared" si="79"/>
        <v>1.6</v>
      </c>
      <c r="U1028" s="34">
        <v>1</v>
      </c>
      <c r="V1028" s="34">
        <v>0</v>
      </c>
      <c r="W1028" s="34">
        <v>0</v>
      </c>
      <c r="X1028" s="34">
        <v>1</v>
      </c>
    </row>
    <row r="1029" spans="1:24" hidden="1">
      <c r="A1029" s="34" t="s">
        <v>1481</v>
      </c>
      <c r="B1029" s="34" t="s">
        <v>1482</v>
      </c>
      <c r="C1029" s="34" t="s">
        <v>164</v>
      </c>
      <c r="D1029" s="34" t="s">
        <v>165</v>
      </c>
      <c r="E1029" s="34" t="s">
        <v>2</v>
      </c>
      <c r="F1029" s="34" t="s">
        <v>1483</v>
      </c>
      <c r="G1029" s="54">
        <v>1729122202</v>
      </c>
      <c r="H1029" s="54" t="s">
        <v>229</v>
      </c>
      <c r="I1029" s="54" t="s">
        <v>3514</v>
      </c>
      <c r="J1029" s="34" t="s">
        <v>3421</v>
      </c>
      <c r="K1029" s="50">
        <v>130000</v>
      </c>
      <c r="L1029" s="43">
        <v>43080</v>
      </c>
      <c r="M1029" s="44">
        <f t="shared" si="76"/>
        <v>0.33138461538461539</v>
      </c>
      <c r="N1029" s="49">
        <f>ROUND(L1029/Summary!$C$3*Summary!$C$2,0)</f>
        <v>133548</v>
      </c>
      <c r="O1029" s="44">
        <f t="shared" si="77"/>
        <v>1.0272923076923077</v>
      </c>
      <c r="P1029" s="78">
        <v>10</v>
      </c>
      <c r="Q1029" s="34">
        <v>2</v>
      </c>
      <c r="R1029" s="35">
        <f t="shared" si="78"/>
        <v>0.2</v>
      </c>
      <c r="S1029" s="49">
        <f>ROUND(Q1029/Summary!$C$3*Summary!$C$2,0)</f>
        <v>6</v>
      </c>
      <c r="T1029" s="44">
        <f t="shared" si="79"/>
        <v>0.6</v>
      </c>
      <c r="U1029" s="34">
        <v>1</v>
      </c>
      <c r="V1029" s="34">
        <v>1</v>
      </c>
      <c r="W1029" s="34">
        <v>0</v>
      </c>
      <c r="X1029" s="34">
        <v>0</v>
      </c>
    </row>
    <row r="1030" spans="1:24" hidden="1">
      <c r="A1030" s="34" t="s">
        <v>1404</v>
      </c>
      <c r="B1030" s="34" t="s">
        <v>1405</v>
      </c>
      <c r="C1030" s="34" t="s">
        <v>197</v>
      </c>
      <c r="D1030" s="34" t="s">
        <v>165</v>
      </c>
      <c r="E1030" s="34" t="s">
        <v>2</v>
      </c>
      <c r="F1030" s="34" t="s">
        <v>1406</v>
      </c>
      <c r="G1030" s="54">
        <v>1855066678</v>
      </c>
      <c r="H1030" s="54" t="s">
        <v>229</v>
      </c>
      <c r="I1030" s="54" t="s">
        <v>3514</v>
      </c>
      <c r="J1030" s="34" t="s">
        <v>3515</v>
      </c>
      <c r="K1030" s="50">
        <v>130000</v>
      </c>
      <c r="L1030" s="43">
        <v>30399</v>
      </c>
      <c r="M1030" s="44">
        <f t="shared" si="76"/>
        <v>0.23383846153846155</v>
      </c>
      <c r="N1030" s="49">
        <f>ROUND(L1030/Summary!$C$3*Summary!$C$2,0)</f>
        <v>94237</v>
      </c>
      <c r="O1030" s="44">
        <f t="shared" si="77"/>
        <v>0.72489999999999999</v>
      </c>
      <c r="P1030" s="78">
        <v>10</v>
      </c>
      <c r="Q1030" s="34">
        <v>0</v>
      </c>
      <c r="R1030" s="35">
        <f t="shared" si="78"/>
        <v>0</v>
      </c>
      <c r="S1030" s="49">
        <f>ROUND(Q1030/Summary!$C$3*Summary!$C$2,0)</f>
        <v>0</v>
      </c>
      <c r="T1030" s="44">
        <f t="shared" si="79"/>
        <v>0</v>
      </c>
      <c r="U1030" s="34">
        <v>1</v>
      </c>
      <c r="V1030" s="34">
        <v>0</v>
      </c>
      <c r="W1030" s="34">
        <v>0</v>
      </c>
      <c r="X1030" s="34">
        <v>0</v>
      </c>
    </row>
    <row r="1031" spans="1:24" hidden="1">
      <c r="A1031" s="34" t="s">
        <v>1346</v>
      </c>
      <c r="B1031" s="34" t="s">
        <v>1347</v>
      </c>
      <c r="C1031" s="34" t="s">
        <v>197</v>
      </c>
      <c r="D1031" s="34" t="s">
        <v>165</v>
      </c>
      <c r="E1031" s="34" t="s">
        <v>2</v>
      </c>
      <c r="F1031" s="34" t="s">
        <v>1348</v>
      </c>
      <c r="G1031" s="54">
        <v>1719514561</v>
      </c>
      <c r="H1031" s="54" t="s">
        <v>229</v>
      </c>
      <c r="I1031" s="54" t="s">
        <v>3514</v>
      </c>
      <c r="J1031" s="34" t="s">
        <v>3419</v>
      </c>
      <c r="K1031" s="50">
        <v>220000</v>
      </c>
      <c r="L1031" s="43">
        <v>59190</v>
      </c>
      <c r="M1031" s="44">
        <f t="shared" si="76"/>
        <v>0.26904545454545453</v>
      </c>
      <c r="N1031" s="49">
        <f>ROUND(L1031/Summary!$C$3*Summary!$C$2,0)</f>
        <v>183489</v>
      </c>
      <c r="O1031" s="44">
        <f t="shared" si="77"/>
        <v>0.83404090909090911</v>
      </c>
      <c r="P1031" s="78">
        <v>10</v>
      </c>
      <c r="Q1031" s="34">
        <v>3</v>
      </c>
      <c r="R1031" s="35">
        <f t="shared" si="78"/>
        <v>0.3</v>
      </c>
      <c r="S1031" s="49">
        <f>ROUND(Q1031/Summary!$C$3*Summary!$C$2,0)</f>
        <v>9</v>
      </c>
      <c r="T1031" s="44">
        <f t="shared" si="79"/>
        <v>0.9</v>
      </c>
      <c r="U1031" s="34">
        <v>1</v>
      </c>
      <c r="V1031" s="34">
        <v>1</v>
      </c>
      <c r="W1031" s="34">
        <v>0</v>
      </c>
      <c r="X1031" s="34">
        <v>1</v>
      </c>
    </row>
    <row r="1032" spans="1:24" hidden="1">
      <c r="A1032" s="75" t="s">
        <v>3647</v>
      </c>
      <c r="B1032" s="75" t="s">
        <v>3648</v>
      </c>
      <c r="C1032" s="75" t="s">
        <v>197</v>
      </c>
      <c r="D1032" s="75" t="s">
        <v>165</v>
      </c>
      <c r="E1032" s="75" t="s">
        <v>2</v>
      </c>
      <c r="F1032" s="75" t="s">
        <v>3649</v>
      </c>
      <c r="G1032" s="67">
        <v>1718192828</v>
      </c>
      <c r="H1032" s="54" t="s">
        <v>229</v>
      </c>
      <c r="I1032" s="54" t="s">
        <v>3514</v>
      </c>
      <c r="J1032" s="34" t="s">
        <v>3419</v>
      </c>
      <c r="K1032" s="50">
        <v>150000</v>
      </c>
      <c r="L1032" s="43">
        <v>61399</v>
      </c>
      <c r="M1032" s="44">
        <f t="shared" si="76"/>
        <v>0.40932666666666667</v>
      </c>
      <c r="N1032" s="49">
        <f>ROUND(L1032/Summary!$C$3*Summary!$C$2,0)</f>
        <v>190337</v>
      </c>
      <c r="O1032" s="44">
        <f t="shared" si="77"/>
        <v>1.2689133333333333</v>
      </c>
      <c r="P1032" s="78">
        <v>10</v>
      </c>
      <c r="Q1032" s="34">
        <v>3</v>
      </c>
      <c r="R1032" s="35">
        <f t="shared" si="78"/>
        <v>0.3</v>
      </c>
      <c r="S1032" s="49">
        <f>ROUND(Q1032/Summary!$C$3*Summary!$C$2,0)</f>
        <v>9</v>
      </c>
      <c r="T1032" s="44">
        <f t="shared" si="79"/>
        <v>0.9</v>
      </c>
      <c r="U1032" s="34">
        <v>1</v>
      </c>
      <c r="V1032" s="34">
        <v>0</v>
      </c>
      <c r="W1032" s="34">
        <v>1</v>
      </c>
      <c r="X1032" s="34">
        <v>0</v>
      </c>
    </row>
    <row r="1033" spans="1:24" hidden="1">
      <c r="A1033" s="34" t="s">
        <v>1457</v>
      </c>
      <c r="B1033" s="34" t="s">
        <v>1458</v>
      </c>
      <c r="C1033" s="34" t="s">
        <v>197</v>
      </c>
      <c r="D1033" s="34" t="s">
        <v>165</v>
      </c>
      <c r="E1033" s="34" t="s">
        <v>2</v>
      </c>
      <c r="F1033" s="34" t="s">
        <v>1459</v>
      </c>
      <c r="G1033" s="54">
        <v>1750582828</v>
      </c>
      <c r="H1033" s="54" t="s">
        <v>229</v>
      </c>
      <c r="I1033" s="54" t="s">
        <v>3514</v>
      </c>
      <c r="J1033" s="34" t="s">
        <v>3419</v>
      </c>
      <c r="K1033" s="50">
        <v>220000</v>
      </c>
      <c r="L1033" s="43">
        <v>114010</v>
      </c>
      <c r="M1033" s="44">
        <f t="shared" si="76"/>
        <v>0.51822727272727276</v>
      </c>
      <c r="N1033" s="49">
        <f>ROUND(L1033/Summary!$C$3*Summary!$C$2,0)</f>
        <v>353431</v>
      </c>
      <c r="O1033" s="44">
        <f t="shared" si="77"/>
        <v>1.6065045454545455</v>
      </c>
      <c r="P1033" s="78">
        <v>14</v>
      </c>
      <c r="Q1033" s="34">
        <v>6</v>
      </c>
      <c r="R1033" s="35">
        <f t="shared" si="78"/>
        <v>0.42857142857142855</v>
      </c>
      <c r="S1033" s="49">
        <f>ROUND(Q1033/Summary!$C$3*Summary!$C$2,0)</f>
        <v>19</v>
      </c>
      <c r="T1033" s="44">
        <f t="shared" si="79"/>
        <v>1.3571428571428572</v>
      </c>
      <c r="U1033" s="34">
        <v>0</v>
      </c>
      <c r="V1033" s="34">
        <v>0</v>
      </c>
      <c r="W1033" s="34">
        <v>0</v>
      </c>
      <c r="X1033" s="34">
        <v>0</v>
      </c>
    </row>
    <row r="1034" spans="1:24" hidden="1">
      <c r="A1034" s="34" t="s">
        <v>1469</v>
      </c>
      <c r="B1034" s="34" t="s">
        <v>1470</v>
      </c>
      <c r="C1034" s="34" t="s">
        <v>197</v>
      </c>
      <c r="D1034" s="34" t="s">
        <v>165</v>
      </c>
      <c r="E1034" s="34" t="s">
        <v>2</v>
      </c>
      <c r="F1034" s="34" t="s">
        <v>1471</v>
      </c>
      <c r="G1034" s="54">
        <v>1723862799</v>
      </c>
      <c r="H1034" s="54" t="s">
        <v>229</v>
      </c>
      <c r="I1034" s="54" t="s">
        <v>3514</v>
      </c>
      <c r="J1034" s="34" t="s">
        <v>3419</v>
      </c>
      <c r="K1034" s="50">
        <v>150000</v>
      </c>
      <c r="L1034" s="43">
        <v>62075</v>
      </c>
      <c r="M1034" s="44">
        <f t="shared" ref="M1034:M1097" si="80">L1034/K1034</f>
        <v>0.41383333333333333</v>
      </c>
      <c r="N1034" s="49">
        <f>ROUND(L1034/Summary!$C$3*Summary!$C$2,0)</f>
        <v>192433</v>
      </c>
      <c r="O1034" s="44">
        <f t="shared" ref="O1034:O1097" si="81">N1034/K1034</f>
        <v>1.2828866666666667</v>
      </c>
      <c r="P1034" s="78">
        <v>10</v>
      </c>
      <c r="Q1034" s="34">
        <v>4</v>
      </c>
      <c r="R1034" s="35">
        <f t="shared" ref="R1034:R1097" si="82">Q1034/P1034</f>
        <v>0.4</v>
      </c>
      <c r="S1034" s="49">
        <f>ROUND(Q1034/Summary!$C$3*Summary!$C$2,0)</f>
        <v>12</v>
      </c>
      <c r="T1034" s="44">
        <f t="shared" ref="T1034:T1097" si="83">S1034/P1034</f>
        <v>1.2</v>
      </c>
      <c r="U1034" s="34">
        <v>0</v>
      </c>
      <c r="V1034" s="34">
        <v>2</v>
      </c>
      <c r="W1034" s="34">
        <v>0</v>
      </c>
      <c r="X1034" s="34">
        <v>0</v>
      </c>
    </row>
    <row r="1035" spans="1:24" hidden="1">
      <c r="A1035" s="34" t="s">
        <v>1395</v>
      </c>
      <c r="B1035" s="34" t="s">
        <v>1396</v>
      </c>
      <c r="C1035" s="34" t="s">
        <v>197</v>
      </c>
      <c r="D1035" s="34" t="s">
        <v>165</v>
      </c>
      <c r="E1035" s="34" t="s">
        <v>2</v>
      </c>
      <c r="F1035" s="34" t="s">
        <v>1397</v>
      </c>
      <c r="G1035" s="54">
        <v>1717976697</v>
      </c>
      <c r="H1035" s="54" t="s">
        <v>229</v>
      </c>
      <c r="I1035" s="54" t="s">
        <v>3514</v>
      </c>
      <c r="J1035" s="34" t="s">
        <v>3419</v>
      </c>
      <c r="K1035" s="50">
        <v>130000</v>
      </c>
      <c r="L1035" s="43">
        <v>5690</v>
      </c>
      <c r="M1035" s="44">
        <f t="shared" si="80"/>
        <v>4.3769230769230769E-2</v>
      </c>
      <c r="N1035" s="49">
        <f>ROUND(L1035/Summary!$C$3*Summary!$C$2,0)</f>
        <v>17639</v>
      </c>
      <c r="O1035" s="44">
        <f t="shared" si="81"/>
        <v>0.13568461538461538</v>
      </c>
      <c r="P1035" s="78">
        <v>10</v>
      </c>
      <c r="Q1035" s="34">
        <v>0</v>
      </c>
      <c r="R1035" s="35">
        <f t="shared" si="82"/>
        <v>0</v>
      </c>
      <c r="S1035" s="49">
        <f>ROUND(Q1035/Summary!$C$3*Summary!$C$2,0)</f>
        <v>0</v>
      </c>
      <c r="T1035" s="44">
        <f t="shared" si="83"/>
        <v>0</v>
      </c>
      <c r="U1035" s="34">
        <v>0</v>
      </c>
      <c r="V1035" s="34">
        <v>0</v>
      </c>
      <c r="W1035" s="34">
        <v>0</v>
      </c>
      <c r="X1035" s="34">
        <v>0</v>
      </c>
    </row>
    <row r="1036" spans="1:24" hidden="1">
      <c r="A1036" s="34" t="s">
        <v>1383</v>
      </c>
      <c r="B1036" s="34" t="s">
        <v>1384</v>
      </c>
      <c r="C1036" s="34" t="s">
        <v>197</v>
      </c>
      <c r="D1036" s="34" t="s">
        <v>165</v>
      </c>
      <c r="E1036" s="34" t="s">
        <v>2</v>
      </c>
      <c r="F1036" s="34" t="s">
        <v>1385</v>
      </c>
      <c r="G1036" s="54">
        <v>1722670485</v>
      </c>
      <c r="H1036" s="54" t="s">
        <v>229</v>
      </c>
      <c r="I1036" s="54" t="s">
        <v>3514</v>
      </c>
      <c r="J1036" s="34" t="s">
        <v>3419</v>
      </c>
      <c r="K1036" s="50">
        <v>150000</v>
      </c>
      <c r="L1036" s="43">
        <v>71250</v>
      </c>
      <c r="M1036" s="44">
        <f t="shared" si="80"/>
        <v>0.47499999999999998</v>
      </c>
      <c r="N1036" s="49">
        <f>ROUND(L1036/Summary!$C$3*Summary!$C$2,0)</f>
        <v>220875</v>
      </c>
      <c r="O1036" s="44">
        <f t="shared" si="81"/>
        <v>1.4724999999999999</v>
      </c>
      <c r="P1036" s="78">
        <v>10</v>
      </c>
      <c r="Q1036" s="34">
        <v>1</v>
      </c>
      <c r="R1036" s="35">
        <f t="shared" si="82"/>
        <v>0.1</v>
      </c>
      <c r="S1036" s="49">
        <f>ROUND(Q1036/Summary!$C$3*Summary!$C$2,0)</f>
        <v>3</v>
      </c>
      <c r="T1036" s="44">
        <f t="shared" si="83"/>
        <v>0.3</v>
      </c>
      <c r="U1036" s="34">
        <v>0</v>
      </c>
      <c r="V1036" s="34">
        <v>1</v>
      </c>
      <c r="W1036" s="34">
        <v>0</v>
      </c>
      <c r="X1036" s="34">
        <v>0</v>
      </c>
    </row>
    <row r="1037" spans="1:24" hidden="1">
      <c r="A1037" s="34" t="s">
        <v>3322</v>
      </c>
      <c r="B1037" s="34" t="s">
        <v>1423</v>
      </c>
      <c r="C1037" s="34" t="s">
        <v>197</v>
      </c>
      <c r="D1037" s="34" t="s">
        <v>165</v>
      </c>
      <c r="E1037" s="34" t="s">
        <v>2</v>
      </c>
      <c r="F1037" s="34" t="s">
        <v>3323</v>
      </c>
      <c r="G1037" s="54">
        <v>1797968700</v>
      </c>
      <c r="H1037" s="54" t="s">
        <v>229</v>
      </c>
      <c r="I1037" s="54" t="s">
        <v>3514</v>
      </c>
      <c r="J1037" s="34" t="s">
        <v>3421</v>
      </c>
      <c r="K1037" s="50">
        <v>140000</v>
      </c>
      <c r="L1037" s="43">
        <v>47560</v>
      </c>
      <c r="M1037" s="44">
        <f t="shared" si="80"/>
        <v>0.33971428571428569</v>
      </c>
      <c r="N1037" s="49">
        <f>ROUND(L1037/Summary!$C$3*Summary!$C$2,0)</f>
        <v>147436</v>
      </c>
      <c r="O1037" s="44">
        <f t="shared" si="81"/>
        <v>1.0531142857142857</v>
      </c>
      <c r="P1037" s="78">
        <v>10</v>
      </c>
      <c r="Q1037" s="34">
        <v>0</v>
      </c>
      <c r="R1037" s="35">
        <f t="shared" si="82"/>
        <v>0</v>
      </c>
      <c r="S1037" s="49">
        <f>ROUND(Q1037/Summary!$C$3*Summary!$C$2,0)</f>
        <v>0</v>
      </c>
      <c r="T1037" s="44">
        <f t="shared" si="83"/>
        <v>0</v>
      </c>
      <c r="U1037" s="34">
        <v>1</v>
      </c>
      <c r="V1037" s="34">
        <v>0</v>
      </c>
      <c r="W1037" s="34">
        <v>0</v>
      </c>
      <c r="X1037" s="34">
        <v>0</v>
      </c>
    </row>
    <row r="1038" spans="1:24" hidden="1">
      <c r="A1038" s="34" t="s">
        <v>1349</v>
      </c>
      <c r="B1038" s="34" t="s">
        <v>1350</v>
      </c>
      <c r="C1038" s="34" t="s">
        <v>197</v>
      </c>
      <c r="D1038" s="34" t="s">
        <v>165</v>
      </c>
      <c r="E1038" s="34" t="s">
        <v>2</v>
      </c>
      <c r="F1038" s="34" t="s">
        <v>1351</v>
      </c>
      <c r="G1038" s="54">
        <v>1925343348</v>
      </c>
      <c r="H1038" s="54" t="s">
        <v>229</v>
      </c>
      <c r="I1038" s="54" t="s">
        <v>3518</v>
      </c>
      <c r="J1038" s="34" t="s">
        <v>3419</v>
      </c>
      <c r="K1038" s="50">
        <v>301000</v>
      </c>
      <c r="L1038" s="43">
        <v>111894</v>
      </c>
      <c r="M1038" s="44">
        <f t="shared" si="80"/>
        <v>0.37174086378737542</v>
      </c>
      <c r="N1038" s="49">
        <f>ROUND(L1038/Summary!$C$3*Summary!$C$2,0)</f>
        <v>346871</v>
      </c>
      <c r="O1038" s="44">
        <f t="shared" si="81"/>
        <v>1.1523953488372094</v>
      </c>
      <c r="P1038" s="78">
        <v>18</v>
      </c>
      <c r="Q1038" s="34">
        <v>4</v>
      </c>
      <c r="R1038" s="35">
        <f t="shared" si="82"/>
        <v>0.22222222222222221</v>
      </c>
      <c r="S1038" s="49">
        <f>ROUND(Q1038/Summary!$C$3*Summary!$C$2,0)</f>
        <v>12</v>
      </c>
      <c r="T1038" s="44">
        <f t="shared" si="83"/>
        <v>0.66666666666666663</v>
      </c>
      <c r="U1038" s="34">
        <v>0</v>
      </c>
      <c r="V1038" s="34">
        <v>1</v>
      </c>
      <c r="W1038" s="34">
        <v>0</v>
      </c>
      <c r="X1038" s="34">
        <v>1</v>
      </c>
    </row>
    <row r="1039" spans="1:24" hidden="1">
      <c r="A1039" s="34" t="s">
        <v>3138</v>
      </c>
      <c r="B1039" s="34" t="s">
        <v>3139</v>
      </c>
      <c r="C1039" s="34" t="s">
        <v>197</v>
      </c>
      <c r="D1039" s="34" t="s">
        <v>165</v>
      </c>
      <c r="E1039" s="34" t="s">
        <v>2</v>
      </c>
      <c r="F1039" s="34" t="s">
        <v>3140</v>
      </c>
      <c r="G1039" s="54">
        <v>1788220678</v>
      </c>
      <c r="H1039" s="54" t="s">
        <v>229</v>
      </c>
      <c r="I1039" s="54" t="s">
        <v>3514</v>
      </c>
      <c r="J1039" s="34" t="s">
        <v>3421</v>
      </c>
      <c r="K1039" s="50">
        <v>130000</v>
      </c>
      <c r="L1039" s="43">
        <v>40530</v>
      </c>
      <c r="M1039" s="44">
        <f t="shared" si="80"/>
        <v>0.31176923076923074</v>
      </c>
      <c r="N1039" s="49">
        <f>ROUND(L1039/Summary!$C$3*Summary!$C$2,0)</f>
        <v>125643</v>
      </c>
      <c r="O1039" s="44">
        <f t="shared" si="81"/>
        <v>0.96648461538461539</v>
      </c>
      <c r="P1039" s="78">
        <v>10</v>
      </c>
      <c r="Q1039" s="34">
        <v>3</v>
      </c>
      <c r="R1039" s="35">
        <f t="shared" si="82"/>
        <v>0.3</v>
      </c>
      <c r="S1039" s="49">
        <f>ROUND(Q1039/Summary!$C$3*Summary!$C$2,0)</f>
        <v>9</v>
      </c>
      <c r="T1039" s="44">
        <f t="shared" si="83"/>
        <v>0.9</v>
      </c>
      <c r="U1039" s="34">
        <v>0</v>
      </c>
      <c r="V1039" s="34">
        <v>0</v>
      </c>
      <c r="W1039" s="34">
        <v>0</v>
      </c>
      <c r="X1039" s="34">
        <v>0</v>
      </c>
    </row>
    <row r="1040" spans="1:24" hidden="1">
      <c r="A1040" s="34" t="s">
        <v>1337</v>
      </c>
      <c r="B1040" s="34" t="s">
        <v>1338</v>
      </c>
      <c r="C1040" s="34" t="s">
        <v>197</v>
      </c>
      <c r="D1040" s="34" t="s">
        <v>165</v>
      </c>
      <c r="E1040" s="34" t="s">
        <v>2</v>
      </c>
      <c r="F1040" s="34" t="s">
        <v>1339</v>
      </c>
      <c r="G1040" s="54">
        <v>1770713765</v>
      </c>
      <c r="H1040" s="54" t="s">
        <v>229</v>
      </c>
      <c r="I1040" s="54" t="s">
        <v>3514</v>
      </c>
      <c r="J1040" s="34" t="s">
        <v>3515</v>
      </c>
      <c r="K1040" s="50">
        <v>150000</v>
      </c>
      <c r="L1040" s="43">
        <v>28800</v>
      </c>
      <c r="M1040" s="44">
        <f t="shared" si="80"/>
        <v>0.192</v>
      </c>
      <c r="N1040" s="49">
        <f>ROUND(L1040/Summary!$C$3*Summary!$C$2,0)</f>
        <v>89280</v>
      </c>
      <c r="O1040" s="44">
        <f t="shared" si="81"/>
        <v>0.59519999999999995</v>
      </c>
      <c r="P1040" s="78">
        <v>10</v>
      </c>
      <c r="Q1040" s="34">
        <v>1</v>
      </c>
      <c r="R1040" s="35">
        <f t="shared" si="82"/>
        <v>0.1</v>
      </c>
      <c r="S1040" s="49">
        <f>ROUND(Q1040/Summary!$C$3*Summary!$C$2,0)</f>
        <v>3</v>
      </c>
      <c r="T1040" s="44">
        <f t="shared" si="83"/>
        <v>0.3</v>
      </c>
      <c r="U1040" s="34">
        <v>1</v>
      </c>
      <c r="V1040" s="34">
        <v>0</v>
      </c>
      <c r="W1040" s="34">
        <v>0</v>
      </c>
      <c r="X1040" s="34">
        <v>0</v>
      </c>
    </row>
    <row r="1041" spans="1:24" hidden="1">
      <c r="A1041" s="34" t="s">
        <v>1392</v>
      </c>
      <c r="B1041" s="34" t="s">
        <v>1393</v>
      </c>
      <c r="C1041" s="34" t="s">
        <v>197</v>
      </c>
      <c r="D1041" s="34" t="s">
        <v>165</v>
      </c>
      <c r="E1041" s="34" t="s">
        <v>2</v>
      </c>
      <c r="F1041" s="34" t="s">
        <v>1394</v>
      </c>
      <c r="G1041" s="54">
        <v>1755101500</v>
      </c>
      <c r="H1041" s="54" t="s">
        <v>229</v>
      </c>
      <c r="I1041" s="54" t="s">
        <v>3514</v>
      </c>
      <c r="J1041" s="34" t="s">
        <v>3419</v>
      </c>
      <c r="K1041" s="50">
        <v>180000</v>
      </c>
      <c r="L1041" s="43">
        <v>34099</v>
      </c>
      <c r="M1041" s="44">
        <f t="shared" si="80"/>
        <v>0.18943888888888888</v>
      </c>
      <c r="N1041" s="49">
        <f>ROUND(L1041/Summary!$C$3*Summary!$C$2,0)</f>
        <v>105707</v>
      </c>
      <c r="O1041" s="44">
        <f t="shared" si="81"/>
        <v>0.58726111111111112</v>
      </c>
      <c r="P1041" s="78">
        <v>10</v>
      </c>
      <c r="Q1041" s="34">
        <v>1</v>
      </c>
      <c r="R1041" s="35">
        <f t="shared" si="82"/>
        <v>0.1</v>
      </c>
      <c r="S1041" s="49">
        <f>ROUND(Q1041/Summary!$C$3*Summary!$C$2,0)</f>
        <v>3</v>
      </c>
      <c r="T1041" s="44">
        <f t="shared" si="83"/>
        <v>0.3</v>
      </c>
      <c r="U1041" s="34">
        <v>0</v>
      </c>
      <c r="V1041" s="34">
        <v>0</v>
      </c>
      <c r="W1041" s="34">
        <v>0</v>
      </c>
      <c r="X1041" s="34">
        <v>0</v>
      </c>
    </row>
    <row r="1042" spans="1:24" hidden="1">
      <c r="A1042" s="34" t="s">
        <v>1432</v>
      </c>
      <c r="B1042" s="34" t="s">
        <v>1433</v>
      </c>
      <c r="C1042" s="34" t="s">
        <v>197</v>
      </c>
      <c r="D1042" s="34" t="s">
        <v>165</v>
      </c>
      <c r="E1042" s="34" t="s">
        <v>2</v>
      </c>
      <c r="F1042" s="34" t="s">
        <v>1434</v>
      </c>
      <c r="G1042" s="54">
        <v>1719391989</v>
      </c>
      <c r="H1042" s="54" t="s">
        <v>229</v>
      </c>
      <c r="I1042" s="54" t="s">
        <v>3514</v>
      </c>
      <c r="J1042" s="34" t="s">
        <v>3515</v>
      </c>
      <c r="K1042" s="50">
        <v>170000</v>
      </c>
      <c r="L1042" s="43">
        <v>49909</v>
      </c>
      <c r="M1042" s="44">
        <f t="shared" si="80"/>
        <v>0.29358235294117646</v>
      </c>
      <c r="N1042" s="49">
        <f>ROUND(L1042/Summary!$C$3*Summary!$C$2,0)</f>
        <v>154718</v>
      </c>
      <c r="O1042" s="44">
        <f t="shared" si="81"/>
        <v>0.91010588235294121</v>
      </c>
      <c r="P1042" s="78">
        <v>10</v>
      </c>
      <c r="Q1042" s="34">
        <v>1</v>
      </c>
      <c r="R1042" s="35">
        <f t="shared" si="82"/>
        <v>0.1</v>
      </c>
      <c r="S1042" s="49">
        <f>ROUND(Q1042/Summary!$C$3*Summary!$C$2,0)</f>
        <v>3</v>
      </c>
      <c r="T1042" s="44">
        <f t="shared" si="83"/>
        <v>0.3</v>
      </c>
      <c r="U1042" s="34">
        <v>0</v>
      </c>
      <c r="V1042" s="34">
        <v>0</v>
      </c>
      <c r="W1042" s="34">
        <v>0</v>
      </c>
      <c r="X1042" s="34">
        <v>0</v>
      </c>
    </row>
    <row r="1043" spans="1:24" hidden="1">
      <c r="A1043" s="34" t="s">
        <v>1413</v>
      </c>
      <c r="B1043" s="34" t="s">
        <v>1414</v>
      </c>
      <c r="C1043" s="34" t="s">
        <v>197</v>
      </c>
      <c r="D1043" s="34" t="s">
        <v>165</v>
      </c>
      <c r="E1043" s="34" t="s">
        <v>2</v>
      </c>
      <c r="F1043" s="34" t="s">
        <v>1415</v>
      </c>
      <c r="G1043" s="54">
        <v>1737794480</v>
      </c>
      <c r="H1043" s="54" t="s">
        <v>229</v>
      </c>
      <c r="I1043" s="54" t="s">
        <v>3514</v>
      </c>
      <c r="J1043" s="34" t="s">
        <v>3421</v>
      </c>
      <c r="K1043" s="50">
        <v>130000</v>
      </c>
      <c r="L1043" s="43">
        <v>15929</v>
      </c>
      <c r="M1043" s="44">
        <f t="shared" si="80"/>
        <v>0.12253076923076923</v>
      </c>
      <c r="N1043" s="49">
        <f>ROUND(L1043/Summary!$C$3*Summary!$C$2,0)</f>
        <v>49380</v>
      </c>
      <c r="O1043" s="44">
        <f t="shared" si="81"/>
        <v>0.37984615384615383</v>
      </c>
      <c r="P1043" s="78">
        <v>10</v>
      </c>
      <c r="Q1043" s="34">
        <v>0</v>
      </c>
      <c r="R1043" s="35">
        <f t="shared" si="82"/>
        <v>0</v>
      </c>
      <c r="S1043" s="49">
        <f>ROUND(Q1043/Summary!$C$3*Summary!$C$2,0)</f>
        <v>0</v>
      </c>
      <c r="T1043" s="44">
        <f t="shared" si="83"/>
        <v>0</v>
      </c>
      <c r="U1043" s="34">
        <v>0</v>
      </c>
      <c r="V1043" s="34">
        <v>0</v>
      </c>
      <c r="W1043" s="34">
        <v>0</v>
      </c>
      <c r="X1043" s="34">
        <v>0</v>
      </c>
    </row>
    <row r="1044" spans="1:24" hidden="1">
      <c r="A1044" s="34" t="s">
        <v>1357</v>
      </c>
      <c r="B1044" s="34" t="s">
        <v>1358</v>
      </c>
      <c r="C1044" s="34" t="s">
        <v>197</v>
      </c>
      <c r="D1044" s="34" t="s">
        <v>165</v>
      </c>
      <c r="E1044" s="34" t="s">
        <v>2</v>
      </c>
      <c r="F1044" s="34" t="s">
        <v>1359</v>
      </c>
      <c r="G1044" s="54">
        <v>1712415935</v>
      </c>
      <c r="H1044" s="54" t="s">
        <v>229</v>
      </c>
      <c r="I1044" s="54" t="s">
        <v>3514</v>
      </c>
      <c r="J1044" s="34" t="s">
        <v>3419</v>
      </c>
      <c r="K1044" s="50">
        <v>130000</v>
      </c>
      <c r="L1044" s="43">
        <v>36289</v>
      </c>
      <c r="M1044" s="44">
        <f t="shared" si="80"/>
        <v>0.27914615384615382</v>
      </c>
      <c r="N1044" s="49">
        <f>ROUND(L1044/Summary!$C$3*Summary!$C$2,0)</f>
        <v>112496</v>
      </c>
      <c r="O1044" s="44">
        <f t="shared" si="81"/>
        <v>0.86535384615384614</v>
      </c>
      <c r="P1044" s="78">
        <v>10</v>
      </c>
      <c r="Q1044" s="34">
        <v>1</v>
      </c>
      <c r="R1044" s="35">
        <f t="shared" si="82"/>
        <v>0.1</v>
      </c>
      <c r="S1044" s="49">
        <f>ROUND(Q1044/Summary!$C$3*Summary!$C$2,0)</f>
        <v>3</v>
      </c>
      <c r="T1044" s="44">
        <f t="shared" si="83"/>
        <v>0.3</v>
      </c>
      <c r="U1044" s="34">
        <v>0</v>
      </c>
      <c r="V1044" s="34">
        <v>0</v>
      </c>
      <c r="W1044" s="34">
        <v>0</v>
      </c>
      <c r="X1044" s="34">
        <v>0</v>
      </c>
    </row>
    <row r="1045" spans="1:24" hidden="1">
      <c r="A1045" s="34" t="s">
        <v>3201</v>
      </c>
      <c r="B1045" s="34" t="s">
        <v>3202</v>
      </c>
      <c r="C1045" s="34" t="s">
        <v>129</v>
      </c>
      <c r="D1045" s="34" t="s">
        <v>2</v>
      </c>
      <c r="E1045" s="34" t="s">
        <v>2</v>
      </c>
      <c r="F1045" s="34" t="s">
        <v>3203</v>
      </c>
      <c r="G1045" s="54">
        <v>1723535572</v>
      </c>
      <c r="H1045" s="54" t="s">
        <v>229</v>
      </c>
      <c r="I1045" s="54" t="s">
        <v>3514</v>
      </c>
      <c r="J1045" s="34" t="s">
        <v>3421</v>
      </c>
      <c r="K1045" s="50">
        <v>130000</v>
      </c>
      <c r="L1045" s="43">
        <v>29900</v>
      </c>
      <c r="M1045" s="44">
        <f t="shared" si="80"/>
        <v>0.23</v>
      </c>
      <c r="N1045" s="49">
        <f>ROUND(L1045/Summary!$C$3*Summary!$C$2,0)</f>
        <v>92690</v>
      </c>
      <c r="O1045" s="44">
        <f t="shared" si="81"/>
        <v>0.71299999999999997</v>
      </c>
      <c r="P1045" s="78">
        <v>10</v>
      </c>
      <c r="Q1045" s="34">
        <v>2</v>
      </c>
      <c r="R1045" s="35">
        <f t="shared" si="82"/>
        <v>0.2</v>
      </c>
      <c r="S1045" s="49">
        <f>ROUND(Q1045/Summary!$C$3*Summary!$C$2,0)</f>
        <v>6</v>
      </c>
      <c r="T1045" s="44">
        <f t="shared" si="83"/>
        <v>0.6</v>
      </c>
      <c r="U1045" s="34">
        <v>0</v>
      </c>
      <c r="V1045" s="34">
        <v>2</v>
      </c>
      <c r="W1045" s="34">
        <v>0</v>
      </c>
      <c r="X1045" s="34">
        <v>0</v>
      </c>
    </row>
    <row r="1046" spans="1:24" hidden="1">
      <c r="A1046" s="34" t="s">
        <v>1386</v>
      </c>
      <c r="B1046" s="34" t="s">
        <v>1387</v>
      </c>
      <c r="C1046" s="34" t="s">
        <v>129</v>
      </c>
      <c r="D1046" s="34" t="s">
        <v>2</v>
      </c>
      <c r="E1046" s="34" t="s">
        <v>2</v>
      </c>
      <c r="F1046" s="34" t="s">
        <v>1388</v>
      </c>
      <c r="G1046" s="54">
        <v>1724389618</v>
      </c>
      <c r="H1046" s="54" t="s">
        <v>229</v>
      </c>
      <c r="I1046" s="54" t="s">
        <v>3514</v>
      </c>
      <c r="J1046" s="34" t="s">
        <v>3419</v>
      </c>
      <c r="K1046" s="50">
        <v>140000</v>
      </c>
      <c r="L1046" s="43">
        <v>37640</v>
      </c>
      <c r="M1046" s="44">
        <f t="shared" si="80"/>
        <v>0.26885714285714285</v>
      </c>
      <c r="N1046" s="49">
        <f>ROUND(L1046/Summary!$C$3*Summary!$C$2,0)</f>
        <v>116684</v>
      </c>
      <c r="O1046" s="44">
        <f t="shared" si="81"/>
        <v>0.8334571428571429</v>
      </c>
      <c r="P1046" s="78">
        <v>10</v>
      </c>
      <c r="Q1046" s="34">
        <v>3</v>
      </c>
      <c r="R1046" s="35">
        <f t="shared" si="82"/>
        <v>0.3</v>
      </c>
      <c r="S1046" s="49">
        <f>ROUND(Q1046/Summary!$C$3*Summary!$C$2,0)</f>
        <v>9</v>
      </c>
      <c r="T1046" s="44">
        <f t="shared" si="83"/>
        <v>0.9</v>
      </c>
      <c r="U1046" s="34">
        <v>1</v>
      </c>
      <c r="V1046" s="34">
        <v>1</v>
      </c>
      <c r="W1046" s="34">
        <v>1</v>
      </c>
      <c r="X1046" s="34">
        <v>0</v>
      </c>
    </row>
    <row r="1047" spans="1:24" hidden="1">
      <c r="A1047" s="34" t="s">
        <v>1466</v>
      </c>
      <c r="B1047" s="34" t="s">
        <v>1467</v>
      </c>
      <c r="C1047" s="34" t="s">
        <v>129</v>
      </c>
      <c r="D1047" s="34" t="s">
        <v>2</v>
      </c>
      <c r="E1047" s="34" t="s">
        <v>2</v>
      </c>
      <c r="F1047" s="34" t="s">
        <v>1468</v>
      </c>
      <c r="G1047" s="54">
        <v>1919938592</v>
      </c>
      <c r="H1047" s="54" t="s">
        <v>229</v>
      </c>
      <c r="I1047" s="54" t="s">
        <v>3514</v>
      </c>
      <c r="J1047" s="34" t="s">
        <v>3421</v>
      </c>
      <c r="K1047" s="50">
        <v>130000</v>
      </c>
      <c r="L1047" s="43">
        <v>11180</v>
      </c>
      <c r="M1047" s="44">
        <f t="shared" si="80"/>
        <v>8.5999999999999993E-2</v>
      </c>
      <c r="N1047" s="49">
        <f>ROUND(L1047/Summary!$C$3*Summary!$C$2,0)</f>
        <v>34658</v>
      </c>
      <c r="O1047" s="44">
        <f t="shared" si="81"/>
        <v>0.2666</v>
      </c>
      <c r="P1047" s="78">
        <v>10</v>
      </c>
      <c r="Q1047" s="34">
        <v>0</v>
      </c>
      <c r="R1047" s="35">
        <f t="shared" si="82"/>
        <v>0</v>
      </c>
      <c r="S1047" s="49">
        <f>ROUND(Q1047/Summary!$C$3*Summary!$C$2,0)</f>
        <v>0</v>
      </c>
      <c r="T1047" s="44">
        <f t="shared" si="83"/>
        <v>0</v>
      </c>
      <c r="U1047" s="34">
        <v>1</v>
      </c>
      <c r="V1047" s="34">
        <v>0</v>
      </c>
      <c r="W1047" s="34">
        <v>0</v>
      </c>
      <c r="X1047" s="34">
        <v>0</v>
      </c>
    </row>
    <row r="1048" spans="1:24" hidden="1">
      <c r="A1048" s="34" t="s">
        <v>3198</v>
      </c>
      <c r="B1048" s="34" t="s">
        <v>3199</v>
      </c>
      <c r="C1048" s="34" t="s">
        <v>129</v>
      </c>
      <c r="D1048" s="34" t="s">
        <v>2</v>
      </c>
      <c r="E1048" s="34" t="s">
        <v>2</v>
      </c>
      <c r="F1048" s="34" t="s">
        <v>3200</v>
      </c>
      <c r="G1048" s="54">
        <v>1737494949</v>
      </c>
      <c r="H1048" s="54" t="s">
        <v>229</v>
      </c>
      <c r="I1048" s="54" t="s">
        <v>3514</v>
      </c>
      <c r="J1048" s="34" t="s">
        <v>3421</v>
      </c>
      <c r="K1048" s="50">
        <v>130000</v>
      </c>
      <c r="L1048" s="43">
        <v>19570</v>
      </c>
      <c r="M1048" s="44">
        <f t="shared" si="80"/>
        <v>0.15053846153846154</v>
      </c>
      <c r="N1048" s="49">
        <f>ROUND(L1048/Summary!$C$3*Summary!$C$2,0)</f>
        <v>60667</v>
      </c>
      <c r="O1048" s="44">
        <f t="shared" si="81"/>
        <v>0.46666923076923078</v>
      </c>
      <c r="P1048" s="78">
        <v>10</v>
      </c>
      <c r="Q1048" s="34">
        <v>1</v>
      </c>
      <c r="R1048" s="35">
        <f t="shared" si="82"/>
        <v>0.1</v>
      </c>
      <c r="S1048" s="49">
        <f>ROUND(Q1048/Summary!$C$3*Summary!$C$2,0)</f>
        <v>3</v>
      </c>
      <c r="T1048" s="44">
        <f t="shared" si="83"/>
        <v>0.3</v>
      </c>
      <c r="U1048" s="34">
        <v>2</v>
      </c>
      <c r="V1048" s="34">
        <v>0</v>
      </c>
      <c r="W1048" s="34">
        <v>0</v>
      </c>
      <c r="X1048" s="34">
        <v>0</v>
      </c>
    </row>
    <row r="1049" spans="1:24" hidden="1">
      <c r="A1049" s="34" t="s">
        <v>1377</v>
      </c>
      <c r="B1049" s="34" t="s">
        <v>1378</v>
      </c>
      <c r="C1049" s="34" t="s">
        <v>129</v>
      </c>
      <c r="D1049" s="34" t="s">
        <v>2</v>
      </c>
      <c r="E1049" s="34" t="s">
        <v>2</v>
      </c>
      <c r="F1049" s="34" t="s">
        <v>1379</v>
      </c>
      <c r="G1049" s="54">
        <v>1965502222</v>
      </c>
      <c r="H1049" s="54" t="s">
        <v>229</v>
      </c>
      <c r="I1049" s="54" t="s">
        <v>3514</v>
      </c>
      <c r="J1049" s="34" t="s">
        <v>3419</v>
      </c>
      <c r="K1049" s="50">
        <v>130000</v>
      </c>
      <c r="L1049" s="43">
        <v>59509</v>
      </c>
      <c r="M1049" s="44">
        <f t="shared" si="80"/>
        <v>0.45776153846153844</v>
      </c>
      <c r="N1049" s="49">
        <f>ROUND(L1049/Summary!$C$3*Summary!$C$2,0)</f>
        <v>184478</v>
      </c>
      <c r="O1049" s="44">
        <f t="shared" si="81"/>
        <v>1.4190615384615384</v>
      </c>
      <c r="P1049" s="78">
        <v>10</v>
      </c>
      <c r="Q1049" s="34">
        <v>5</v>
      </c>
      <c r="R1049" s="35">
        <f t="shared" si="82"/>
        <v>0.5</v>
      </c>
      <c r="S1049" s="49">
        <f>ROUND(Q1049/Summary!$C$3*Summary!$C$2,0)</f>
        <v>16</v>
      </c>
      <c r="T1049" s="44">
        <f t="shared" si="83"/>
        <v>1.6</v>
      </c>
      <c r="U1049" s="34">
        <v>0</v>
      </c>
      <c r="V1049" s="34">
        <v>2</v>
      </c>
      <c r="W1049" s="34">
        <v>0</v>
      </c>
      <c r="X1049" s="34">
        <v>0</v>
      </c>
    </row>
    <row r="1050" spans="1:24" hidden="1">
      <c r="A1050" s="34" t="s">
        <v>1493</v>
      </c>
      <c r="B1050" s="34" t="s">
        <v>1494</v>
      </c>
      <c r="C1050" s="34" t="s">
        <v>129</v>
      </c>
      <c r="D1050" s="34" t="s">
        <v>2</v>
      </c>
      <c r="E1050" s="34" t="s">
        <v>2</v>
      </c>
      <c r="F1050" s="34" t="s">
        <v>1495</v>
      </c>
      <c r="G1050" s="54">
        <v>1938899715</v>
      </c>
      <c r="H1050" s="54" t="s">
        <v>229</v>
      </c>
      <c r="I1050" s="54" t="s">
        <v>3514</v>
      </c>
      <c r="J1050" s="34" t="s">
        <v>3421</v>
      </c>
      <c r="K1050" s="50">
        <v>130000</v>
      </c>
      <c r="L1050" s="43">
        <v>17520</v>
      </c>
      <c r="M1050" s="44">
        <f t="shared" si="80"/>
        <v>0.13476923076923078</v>
      </c>
      <c r="N1050" s="49">
        <f>ROUND(L1050/Summary!$C$3*Summary!$C$2,0)</f>
        <v>54312</v>
      </c>
      <c r="O1050" s="44">
        <f t="shared" si="81"/>
        <v>0.41778461538461537</v>
      </c>
      <c r="P1050" s="78">
        <v>10</v>
      </c>
      <c r="Q1050" s="34">
        <v>1</v>
      </c>
      <c r="R1050" s="35">
        <f t="shared" si="82"/>
        <v>0.1</v>
      </c>
      <c r="S1050" s="49">
        <f>ROUND(Q1050/Summary!$C$3*Summary!$C$2,0)</f>
        <v>3</v>
      </c>
      <c r="T1050" s="44">
        <f t="shared" si="83"/>
        <v>0.3</v>
      </c>
      <c r="U1050" s="34">
        <v>1</v>
      </c>
      <c r="V1050" s="34">
        <v>0</v>
      </c>
      <c r="W1050" s="34">
        <v>0</v>
      </c>
      <c r="X1050" s="34">
        <v>0</v>
      </c>
    </row>
    <row r="1051" spans="1:24" hidden="1">
      <c r="A1051" s="34" t="s">
        <v>1310</v>
      </c>
      <c r="B1051" s="34" t="s">
        <v>1311</v>
      </c>
      <c r="C1051" s="34" t="s">
        <v>129</v>
      </c>
      <c r="D1051" s="34" t="s">
        <v>2</v>
      </c>
      <c r="E1051" s="34" t="s">
        <v>2</v>
      </c>
      <c r="F1051" s="34" t="s">
        <v>1312</v>
      </c>
      <c r="G1051" s="54">
        <v>1757867933</v>
      </c>
      <c r="H1051" s="54" t="s">
        <v>229</v>
      </c>
      <c r="I1051" s="54" t="s">
        <v>3514</v>
      </c>
      <c r="J1051" s="34" t="s">
        <v>3419</v>
      </c>
      <c r="K1051" s="50">
        <v>140000</v>
      </c>
      <c r="L1051" s="43">
        <v>28520</v>
      </c>
      <c r="M1051" s="44">
        <f t="shared" si="80"/>
        <v>0.20371428571428571</v>
      </c>
      <c r="N1051" s="49">
        <f>ROUND(L1051/Summary!$C$3*Summary!$C$2,0)</f>
        <v>88412</v>
      </c>
      <c r="O1051" s="44">
        <f t="shared" si="81"/>
        <v>0.63151428571428569</v>
      </c>
      <c r="P1051" s="78">
        <v>10</v>
      </c>
      <c r="Q1051" s="34">
        <v>3</v>
      </c>
      <c r="R1051" s="35">
        <f t="shared" si="82"/>
        <v>0.3</v>
      </c>
      <c r="S1051" s="49">
        <f>ROUND(Q1051/Summary!$C$3*Summary!$C$2,0)</f>
        <v>9</v>
      </c>
      <c r="T1051" s="44">
        <f t="shared" si="83"/>
        <v>0.9</v>
      </c>
      <c r="U1051" s="34">
        <v>0</v>
      </c>
      <c r="V1051" s="34">
        <v>1</v>
      </c>
      <c r="W1051" s="34">
        <v>0</v>
      </c>
      <c r="X1051" s="34">
        <v>1</v>
      </c>
    </row>
    <row r="1052" spans="1:24" hidden="1">
      <c r="A1052" s="34" t="s">
        <v>3324</v>
      </c>
      <c r="B1052" s="34" t="s">
        <v>3325</v>
      </c>
      <c r="C1052" s="34" t="s">
        <v>129</v>
      </c>
      <c r="D1052" s="34" t="s">
        <v>2</v>
      </c>
      <c r="E1052" s="34" t="s">
        <v>2</v>
      </c>
      <c r="F1052" s="34" t="s">
        <v>3326</v>
      </c>
      <c r="G1052" s="54">
        <v>1722775387</v>
      </c>
      <c r="H1052" s="54" t="s">
        <v>229</v>
      </c>
      <c r="I1052" s="54" t="s">
        <v>3514</v>
      </c>
      <c r="J1052" s="34" t="s">
        <v>3419</v>
      </c>
      <c r="K1052" s="50">
        <v>160000</v>
      </c>
      <c r="L1052" s="43">
        <v>26160</v>
      </c>
      <c r="M1052" s="44">
        <f t="shared" si="80"/>
        <v>0.16350000000000001</v>
      </c>
      <c r="N1052" s="49">
        <f>ROUND(L1052/Summary!$C$3*Summary!$C$2,0)</f>
        <v>81096</v>
      </c>
      <c r="O1052" s="44">
        <f t="shared" si="81"/>
        <v>0.50685000000000002</v>
      </c>
      <c r="P1052" s="78">
        <v>10</v>
      </c>
      <c r="Q1052" s="34">
        <v>2</v>
      </c>
      <c r="R1052" s="35">
        <f t="shared" si="82"/>
        <v>0.2</v>
      </c>
      <c r="S1052" s="49">
        <f>ROUND(Q1052/Summary!$C$3*Summary!$C$2,0)</f>
        <v>6</v>
      </c>
      <c r="T1052" s="44">
        <f t="shared" si="83"/>
        <v>0.6</v>
      </c>
      <c r="U1052" s="34">
        <v>0</v>
      </c>
      <c r="V1052" s="34">
        <v>0</v>
      </c>
      <c r="W1052" s="34">
        <v>0</v>
      </c>
      <c r="X1052" s="34">
        <v>0</v>
      </c>
    </row>
    <row r="1053" spans="1:24" hidden="1">
      <c r="A1053" s="34" t="s">
        <v>2947</v>
      </c>
      <c r="B1053" s="34" t="s">
        <v>2948</v>
      </c>
      <c r="C1053" s="34" t="s">
        <v>206</v>
      </c>
      <c r="D1053" s="34" t="s">
        <v>2</v>
      </c>
      <c r="E1053" s="34" t="s">
        <v>2</v>
      </c>
      <c r="F1053" s="34" t="s">
        <v>2949</v>
      </c>
      <c r="G1053" s="54">
        <v>1713798233</v>
      </c>
      <c r="H1053" s="54" t="s">
        <v>229</v>
      </c>
      <c r="I1053" s="54" t="s">
        <v>3514</v>
      </c>
      <c r="J1053" s="34" t="s">
        <v>3515</v>
      </c>
      <c r="K1053" s="50">
        <v>200000</v>
      </c>
      <c r="L1053" s="43">
        <v>59743</v>
      </c>
      <c r="M1053" s="44">
        <f t="shared" si="80"/>
        <v>0.29871500000000001</v>
      </c>
      <c r="N1053" s="49">
        <f>ROUND(L1053/Summary!$C$3*Summary!$C$2,0)</f>
        <v>185203</v>
      </c>
      <c r="O1053" s="44">
        <f t="shared" si="81"/>
        <v>0.92601500000000003</v>
      </c>
      <c r="P1053" s="78">
        <v>10</v>
      </c>
      <c r="Q1053" s="34">
        <v>2</v>
      </c>
      <c r="R1053" s="35">
        <f t="shared" si="82"/>
        <v>0.2</v>
      </c>
      <c r="S1053" s="49">
        <f>ROUND(Q1053/Summary!$C$3*Summary!$C$2,0)</f>
        <v>6</v>
      </c>
      <c r="T1053" s="44">
        <f t="shared" si="83"/>
        <v>0.6</v>
      </c>
      <c r="U1053" s="34">
        <v>0</v>
      </c>
      <c r="V1053" s="34">
        <v>0</v>
      </c>
      <c r="W1053" s="34">
        <v>1</v>
      </c>
      <c r="X1053" s="34">
        <v>0</v>
      </c>
    </row>
    <row r="1054" spans="1:24" hidden="1">
      <c r="A1054" s="34" t="s">
        <v>1331</v>
      </c>
      <c r="B1054" s="34" t="s">
        <v>1332</v>
      </c>
      <c r="C1054" s="34" t="s">
        <v>206</v>
      </c>
      <c r="D1054" s="34" t="s">
        <v>2</v>
      </c>
      <c r="E1054" s="34" t="s">
        <v>2</v>
      </c>
      <c r="F1054" s="34" t="s">
        <v>1333</v>
      </c>
      <c r="G1054" s="54">
        <v>1744551137</v>
      </c>
      <c r="H1054" s="54" t="s">
        <v>229</v>
      </c>
      <c r="I1054" s="54" t="s">
        <v>3514</v>
      </c>
      <c r="J1054" s="34" t="s">
        <v>3419</v>
      </c>
      <c r="K1054" s="50">
        <v>130000</v>
      </c>
      <c r="L1054" s="43">
        <v>27950</v>
      </c>
      <c r="M1054" s="44">
        <f t="shared" si="80"/>
        <v>0.215</v>
      </c>
      <c r="N1054" s="49">
        <f>ROUND(L1054/Summary!$C$3*Summary!$C$2,0)</f>
        <v>86645</v>
      </c>
      <c r="O1054" s="44">
        <f t="shared" si="81"/>
        <v>0.66649999999999998</v>
      </c>
      <c r="P1054" s="78">
        <v>10</v>
      </c>
      <c r="Q1054" s="34">
        <v>1</v>
      </c>
      <c r="R1054" s="35">
        <f t="shared" si="82"/>
        <v>0.1</v>
      </c>
      <c r="S1054" s="49">
        <f>ROUND(Q1054/Summary!$C$3*Summary!$C$2,0)</f>
        <v>3</v>
      </c>
      <c r="T1054" s="44">
        <f t="shared" si="83"/>
        <v>0.3</v>
      </c>
      <c r="U1054" s="34">
        <v>0</v>
      </c>
      <c r="V1054" s="34">
        <v>0</v>
      </c>
      <c r="W1054" s="34">
        <v>0</v>
      </c>
      <c r="X1054" s="34">
        <v>1</v>
      </c>
    </row>
    <row r="1055" spans="1:24" hidden="1">
      <c r="A1055" s="34" t="s">
        <v>1463</v>
      </c>
      <c r="B1055" s="34" t="s">
        <v>1464</v>
      </c>
      <c r="C1055" s="34" t="s">
        <v>206</v>
      </c>
      <c r="D1055" s="34" t="s">
        <v>2</v>
      </c>
      <c r="E1055" s="34" t="s">
        <v>2</v>
      </c>
      <c r="F1055" s="34" t="s">
        <v>1465</v>
      </c>
      <c r="G1055" s="54">
        <v>1722978294</v>
      </c>
      <c r="H1055" s="54" t="s">
        <v>229</v>
      </c>
      <c r="I1055" s="54" t="s">
        <v>3514</v>
      </c>
      <c r="J1055" s="34" t="s">
        <v>3515</v>
      </c>
      <c r="K1055" s="50">
        <v>200000</v>
      </c>
      <c r="L1055" s="43">
        <v>61550</v>
      </c>
      <c r="M1055" s="44">
        <f t="shared" si="80"/>
        <v>0.30775000000000002</v>
      </c>
      <c r="N1055" s="49">
        <f>ROUND(L1055/Summary!$C$3*Summary!$C$2,0)</f>
        <v>190805</v>
      </c>
      <c r="O1055" s="44">
        <f t="shared" si="81"/>
        <v>0.95402500000000001</v>
      </c>
      <c r="P1055" s="78">
        <v>10</v>
      </c>
      <c r="Q1055" s="34">
        <v>4</v>
      </c>
      <c r="R1055" s="35">
        <f t="shared" si="82"/>
        <v>0.4</v>
      </c>
      <c r="S1055" s="49">
        <f>ROUND(Q1055/Summary!$C$3*Summary!$C$2,0)</f>
        <v>12</v>
      </c>
      <c r="T1055" s="44">
        <f t="shared" si="83"/>
        <v>1.2</v>
      </c>
      <c r="U1055" s="34">
        <v>1</v>
      </c>
      <c r="V1055" s="34">
        <v>0</v>
      </c>
      <c r="W1055" s="34">
        <v>0</v>
      </c>
      <c r="X1055" s="34">
        <v>0</v>
      </c>
    </row>
    <row r="1056" spans="1:24" hidden="1">
      <c r="A1056" s="34" t="s">
        <v>1443</v>
      </c>
      <c r="B1056" s="34" t="s">
        <v>1444</v>
      </c>
      <c r="C1056" s="34" t="s">
        <v>206</v>
      </c>
      <c r="D1056" s="34" t="s">
        <v>2</v>
      </c>
      <c r="E1056" s="34" t="s">
        <v>2</v>
      </c>
      <c r="F1056" s="34" t="s">
        <v>1445</v>
      </c>
      <c r="G1056" s="54">
        <v>1711354796</v>
      </c>
      <c r="H1056" s="54" t="s">
        <v>229</v>
      </c>
      <c r="I1056" s="54" t="s">
        <v>3514</v>
      </c>
      <c r="J1056" s="34" t="s">
        <v>3419</v>
      </c>
      <c r="K1056" s="50">
        <v>200000</v>
      </c>
      <c r="L1056" s="43">
        <v>65149</v>
      </c>
      <c r="M1056" s="44">
        <f t="shared" si="80"/>
        <v>0.32574500000000001</v>
      </c>
      <c r="N1056" s="49">
        <f>ROUND(L1056/Summary!$C$3*Summary!$C$2,0)</f>
        <v>201962</v>
      </c>
      <c r="O1056" s="44">
        <f t="shared" si="81"/>
        <v>1.0098100000000001</v>
      </c>
      <c r="P1056" s="78">
        <v>10</v>
      </c>
      <c r="Q1056" s="34">
        <v>3</v>
      </c>
      <c r="R1056" s="35">
        <f t="shared" si="82"/>
        <v>0.3</v>
      </c>
      <c r="S1056" s="49">
        <f>ROUND(Q1056/Summary!$C$3*Summary!$C$2,0)</f>
        <v>9</v>
      </c>
      <c r="T1056" s="44">
        <f t="shared" si="83"/>
        <v>0.9</v>
      </c>
      <c r="U1056" s="34">
        <v>0</v>
      </c>
      <c r="V1056" s="34">
        <v>1</v>
      </c>
      <c r="W1056" s="34">
        <v>0</v>
      </c>
      <c r="X1056" s="34">
        <v>0</v>
      </c>
    </row>
    <row r="1057" spans="1:24" hidden="1">
      <c r="A1057" s="34" t="s">
        <v>1451</v>
      </c>
      <c r="B1057" s="34" t="s">
        <v>1452</v>
      </c>
      <c r="C1057" s="34" t="s">
        <v>206</v>
      </c>
      <c r="D1057" s="34" t="s">
        <v>2</v>
      </c>
      <c r="E1057" s="34" t="s">
        <v>2</v>
      </c>
      <c r="F1057" s="34" t="s">
        <v>1453</v>
      </c>
      <c r="G1057" s="54">
        <v>1717293000</v>
      </c>
      <c r="H1057" s="54" t="s">
        <v>229</v>
      </c>
      <c r="I1057" s="54" t="s">
        <v>3514</v>
      </c>
      <c r="J1057" s="34" t="s">
        <v>3419</v>
      </c>
      <c r="K1057" s="50">
        <v>130000</v>
      </c>
      <c r="L1057" s="43">
        <v>12580</v>
      </c>
      <c r="M1057" s="44">
        <f t="shared" si="80"/>
        <v>9.6769230769230774E-2</v>
      </c>
      <c r="N1057" s="49">
        <f>ROUND(L1057/Summary!$C$3*Summary!$C$2,0)</f>
        <v>38998</v>
      </c>
      <c r="O1057" s="44">
        <f t="shared" si="81"/>
        <v>0.29998461538461541</v>
      </c>
      <c r="P1057" s="78">
        <v>10</v>
      </c>
      <c r="Q1057" s="34">
        <v>1</v>
      </c>
      <c r="R1057" s="35">
        <f t="shared" si="82"/>
        <v>0.1</v>
      </c>
      <c r="S1057" s="49">
        <f>ROUND(Q1057/Summary!$C$3*Summary!$C$2,0)</f>
        <v>3</v>
      </c>
      <c r="T1057" s="44">
        <f t="shared" si="83"/>
        <v>0.3</v>
      </c>
      <c r="U1057" s="34">
        <v>0</v>
      </c>
      <c r="V1057" s="34">
        <v>0</v>
      </c>
      <c r="W1057" s="34">
        <v>1</v>
      </c>
      <c r="X1057" s="34">
        <v>0</v>
      </c>
    </row>
    <row r="1058" spans="1:24" hidden="1">
      <c r="A1058" s="34" t="s">
        <v>3135</v>
      </c>
      <c r="B1058" s="34" t="s">
        <v>3136</v>
      </c>
      <c r="C1058" s="34" t="s">
        <v>206</v>
      </c>
      <c r="D1058" s="34" t="s">
        <v>2</v>
      </c>
      <c r="E1058" s="34" t="s">
        <v>2</v>
      </c>
      <c r="F1058" s="34" t="s">
        <v>3137</v>
      </c>
      <c r="G1058" s="54">
        <v>1719710603</v>
      </c>
      <c r="H1058" s="54" t="s">
        <v>229</v>
      </c>
      <c r="I1058" s="54" t="s">
        <v>3514</v>
      </c>
      <c r="J1058" s="34" t="s">
        <v>3421</v>
      </c>
      <c r="K1058" s="50">
        <v>130000</v>
      </c>
      <c r="L1058" s="43">
        <v>30850</v>
      </c>
      <c r="M1058" s="44">
        <f t="shared" si="80"/>
        <v>0.2373076923076923</v>
      </c>
      <c r="N1058" s="49">
        <f>ROUND(L1058/Summary!$C$3*Summary!$C$2,0)</f>
        <v>95635</v>
      </c>
      <c r="O1058" s="44">
        <f t="shared" si="81"/>
        <v>0.7356538461538461</v>
      </c>
      <c r="P1058" s="78">
        <v>10</v>
      </c>
      <c r="Q1058" s="34">
        <v>1</v>
      </c>
      <c r="R1058" s="35">
        <f t="shared" si="82"/>
        <v>0.1</v>
      </c>
      <c r="S1058" s="49">
        <f>ROUND(Q1058/Summary!$C$3*Summary!$C$2,0)</f>
        <v>3</v>
      </c>
      <c r="T1058" s="44">
        <f t="shared" si="83"/>
        <v>0.3</v>
      </c>
      <c r="U1058" s="34">
        <v>0</v>
      </c>
      <c r="V1058" s="34">
        <v>0</v>
      </c>
      <c r="W1058" s="34">
        <v>0</v>
      </c>
      <c r="X1058" s="34">
        <v>0</v>
      </c>
    </row>
    <row r="1059" spans="1:24" hidden="1">
      <c r="A1059" s="34" t="s">
        <v>1435</v>
      </c>
      <c r="B1059" s="34" t="s">
        <v>1436</v>
      </c>
      <c r="C1059" s="34" t="s">
        <v>206</v>
      </c>
      <c r="D1059" s="34" t="s">
        <v>2</v>
      </c>
      <c r="E1059" s="34" t="s">
        <v>2</v>
      </c>
      <c r="F1059" s="34" t="s">
        <v>1437</v>
      </c>
      <c r="G1059" s="54">
        <v>1761650950</v>
      </c>
      <c r="H1059" s="54" t="s">
        <v>229</v>
      </c>
      <c r="I1059" s="54" t="s">
        <v>3514</v>
      </c>
      <c r="J1059" s="34" t="s">
        <v>3515</v>
      </c>
      <c r="K1059" s="50">
        <v>200000</v>
      </c>
      <c r="L1059" s="43">
        <v>121724</v>
      </c>
      <c r="M1059" s="44">
        <f t="shared" si="80"/>
        <v>0.60862000000000005</v>
      </c>
      <c r="N1059" s="49">
        <f>ROUND(L1059/Summary!$C$3*Summary!$C$2,0)</f>
        <v>377344</v>
      </c>
      <c r="O1059" s="44">
        <f t="shared" si="81"/>
        <v>1.88672</v>
      </c>
      <c r="P1059" s="78">
        <v>10</v>
      </c>
      <c r="Q1059" s="34">
        <v>5</v>
      </c>
      <c r="R1059" s="35">
        <f t="shared" si="82"/>
        <v>0.5</v>
      </c>
      <c r="S1059" s="49">
        <f>ROUND(Q1059/Summary!$C$3*Summary!$C$2,0)</f>
        <v>16</v>
      </c>
      <c r="T1059" s="44">
        <f t="shared" si="83"/>
        <v>1.6</v>
      </c>
      <c r="U1059" s="34">
        <v>1</v>
      </c>
      <c r="V1059" s="34">
        <v>1</v>
      </c>
      <c r="W1059" s="34">
        <v>0</v>
      </c>
      <c r="X1059" s="34">
        <v>1</v>
      </c>
    </row>
    <row r="1060" spans="1:24" hidden="1">
      <c r="A1060" s="34" t="s">
        <v>2944</v>
      </c>
      <c r="B1060" s="34" t="s">
        <v>2945</v>
      </c>
      <c r="C1060" s="34" t="s">
        <v>206</v>
      </c>
      <c r="D1060" s="34" t="s">
        <v>2</v>
      </c>
      <c r="E1060" s="34" t="s">
        <v>2</v>
      </c>
      <c r="F1060" s="34" t="s">
        <v>2946</v>
      </c>
      <c r="G1060" s="54">
        <v>1773320448</v>
      </c>
      <c r="H1060" s="54" t="s">
        <v>229</v>
      </c>
      <c r="I1060" s="54" t="s">
        <v>3514</v>
      </c>
      <c r="J1060" s="34" t="s">
        <v>3515</v>
      </c>
      <c r="K1060" s="50">
        <v>130000</v>
      </c>
      <c r="L1060" s="43">
        <v>45520</v>
      </c>
      <c r="M1060" s="44">
        <f t="shared" si="80"/>
        <v>0.35015384615384615</v>
      </c>
      <c r="N1060" s="49">
        <f>ROUND(L1060/Summary!$C$3*Summary!$C$2,0)</f>
        <v>141112</v>
      </c>
      <c r="O1060" s="44">
        <f t="shared" si="81"/>
        <v>1.085476923076923</v>
      </c>
      <c r="P1060" s="78">
        <v>10</v>
      </c>
      <c r="Q1060" s="34">
        <v>2</v>
      </c>
      <c r="R1060" s="35">
        <f t="shared" si="82"/>
        <v>0.2</v>
      </c>
      <c r="S1060" s="49">
        <f>ROUND(Q1060/Summary!$C$3*Summary!$C$2,0)</f>
        <v>6</v>
      </c>
      <c r="T1060" s="44">
        <f t="shared" si="83"/>
        <v>0.6</v>
      </c>
      <c r="U1060" s="34">
        <v>1</v>
      </c>
      <c r="V1060" s="34">
        <v>0</v>
      </c>
      <c r="W1060" s="34">
        <v>0</v>
      </c>
      <c r="X1060" s="34">
        <v>0</v>
      </c>
    </row>
    <row r="1061" spans="1:24" hidden="1">
      <c r="A1061" s="34" t="s">
        <v>1407</v>
      </c>
      <c r="B1061" s="34" t="s">
        <v>1408</v>
      </c>
      <c r="C1061" s="34" t="s">
        <v>188</v>
      </c>
      <c r="D1061" s="34" t="s">
        <v>189</v>
      </c>
      <c r="E1061" s="34" t="s">
        <v>2</v>
      </c>
      <c r="F1061" s="34" t="s">
        <v>1409</v>
      </c>
      <c r="G1061" s="54">
        <v>1738539666</v>
      </c>
      <c r="H1061" s="54" t="s">
        <v>229</v>
      </c>
      <c r="I1061" s="54" t="s">
        <v>3514</v>
      </c>
      <c r="J1061" s="34" t="s">
        <v>3419</v>
      </c>
      <c r="K1061" s="50">
        <v>219913</v>
      </c>
      <c r="L1061" s="43">
        <v>61525</v>
      </c>
      <c r="M1061" s="44">
        <f t="shared" si="80"/>
        <v>0.27976972711936082</v>
      </c>
      <c r="N1061" s="49">
        <f>ROUND(L1061/Summary!$C$3*Summary!$C$2,0)</f>
        <v>190728</v>
      </c>
      <c r="O1061" s="44">
        <f t="shared" si="81"/>
        <v>0.86728842769640724</v>
      </c>
      <c r="P1061" s="78">
        <v>10</v>
      </c>
      <c r="Q1061" s="34">
        <v>3</v>
      </c>
      <c r="R1061" s="35">
        <f t="shared" si="82"/>
        <v>0.3</v>
      </c>
      <c r="S1061" s="49">
        <f>ROUND(Q1061/Summary!$C$3*Summary!$C$2,0)</f>
        <v>9</v>
      </c>
      <c r="T1061" s="44">
        <f t="shared" si="83"/>
        <v>0.9</v>
      </c>
      <c r="U1061" s="34">
        <v>1</v>
      </c>
      <c r="V1061" s="34">
        <v>0</v>
      </c>
      <c r="W1061" s="34">
        <v>0</v>
      </c>
      <c r="X1061" s="34">
        <v>0</v>
      </c>
    </row>
    <row r="1062" spans="1:24" hidden="1">
      <c r="A1062" s="34" t="s">
        <v>3132</v>
      </c>
      <c r="B1062" s="34" t="s">
        <v>3133</v>
      </c>
      <c r="C1062" s="34" t="s">
        <v>188</v>
      </c>
      <c r="D1062" s="34" t="s">
        <v>189</v>
      </c>
      <c r="E1062" s="34" t="s">
        <v>2</v>
      </c>
      <c r="F1062" s="34" t="s">
        <v>3134</v>
      </c>
      <c r="G1062" s="54">
        <v>1773377772</v>
      </c>
      <c r="H1062" s="54" t="s">
        <v>229</v>
      </c>
      <c r="I1062" s="54" t="s">
        <v>3514</v>
      </c>
      <c r="J1062" s="34" t="s">
        <v>3421</v>
      </c>
      <c r="K1062" s="50">
        <v>165000</v>
      </c>
      <c r="L1062" s="43">
        <v>48720</v>
      </c>
      <c r="M1062" s="44">
        <f t="shared" si="80"/>
        <v>0.2952727272727273</v>
      </c>
      <c r="N1062" s="49">
        <f>ROUND(L1062/Summary!$C$3*Summary!$C$2,0)</f>
        <v>151032</v>
      </c>
      <c r="O1062" s="44">
        <f t="shared" si="81"/>
        <v>0.91534545454545457</v>
      </c>
      <c r="P1062" s="78">
        <v>10</v>
      </c>
      <c r="Q1062" s="34">
        <v>2</v>
      </c>
      <c r="R1062" s="35">
        <f t="shared" si="82"/>
        <v>0.2</v>
      </c>
      <c r="S1062" s="49">
        <f>ROUND(Q1062/Summary!$C$3*Summary!$C$2,0)</f>
        <v>6</v>
      </c>
      <c r="T1062" s="44">
        <f t="shared" si="83"/>
        <v>0.6</v>
      </c>
      <c r="U1062" s="34">
        <v>2</v>
      </c>
      <c r="V1062" s="34">
        <v>0</v>
      </c>
      <c r="W1062" s="34">
        <v>0</v>
      </c>
      <c r="X1062" s="34">
        <v>0</v>
      </c>
    </row>
    <row r="1063" spans="1:24" hidden="1">
      <c r="A1063" s="34" t="s">
        <v>1398</v>
      </c>
      <c r="B1063" s="34" t="s">
        <v>1399</v>
      </c>
      <c r="C1063" s="34" t="s">
        <v>188</v>
      </c>
      <c r="D1063" s="34" t="s">
        <v>189</v>
      </c>
      <c r="E1063" s="34" t="s">
        <v>2</v>
      </c>
      <c r="F1063" s="34" t="s">
        <v>1400</v>
      </c>
      <c r="G1063" s="54">
        <v>1737050558</v>
      </c>
      <c r="H1063" s="54" t="s">
        <v>229</v>
      </c>
      <c r="I1063" s="54" t="s">
        <v>3514</v>
      </c>
      <c r="J1063" s="34" t="s">
        <v>3421</v>
      </c>
      <c r="K1063" s="50">
        <v>130000</v>
      </c>
      <c r="L1063" s="43">
        <v>61500</v>
      </c>
      <c r="M1063" s="44">
        <f t="shared" si="80"/>
        <v>0.47307692307692306</v>
      </c>
      <c r="N1063" s="49">
        <f>ROUND(L1063/Summary!$C$3*Summary!$C$2,0)</f>
        <v>190650</v>
      </c>
      <c r="O1063" s="44">
        <f t="shared" si="81"/>
        <v>1.4665384615384616</v>
      </c>
      <c r="P1063" s="78">
        <v>10</v>
      </c>
      <c r="Q1063" s="34">
        <v>4</v>
      </c>
      <c r="R1063" s="35">
        <f t="shared" si="82"/>
        <v>0.4</v>
      </c>
      <c r="S1063" s="49">
        <f>ROUND(Q1063/Summary!$C$3*Summary!$C$2,0)</f>
        <v>12</v>
      </c>
      <c r="T1063" s="44">
        <f t="shared" si="83"/>
        <v>1.2</v>
      </c>
      <c r="U1063" s="34">
        <v>0</v>
      </c>
      <c r="V1063" s="34">
        <v>0</v>
      </c>
      <c r="W1063" s="34">
        <v>0</v>
      </c>
      <c r="X1063" s="34">
        <v>0</v>
      </c>
    </row>
    <row r="1064" spans="1:24" hidden="1">
      <c r="A1064" s="34" t="s">
        <v>3498</v>
      </c>
      <c r="B1064" s="34" t="s">
        <v>3499</v>
      </c>
      <c r="C1064" s="34" t="s">
        <v>188</v>
      </c>
      <c r="D1064" s="34" t="s">
        <v>189</v>
      </c>
      <c r="E1064" s="34" t="s">
        <v>2</v>
      </c>
      <c r="F1064" s="34" t="s">
        <v>3500</v>
      </c>
      <c r="G1064" s="54">
        <v>1713705616</v>
      </c>
      <c r="H1064" s="54" t="s">
        <v>229</v>
      </c>
      <c r="I1064" s="54" t="s">
        <v>3514</v>
      </c>
      <c r="J1064" s="34" t="s">
        <v>3419</v>
      </c>
      <c r="K1064" s="50">
        <v>170000</v>
      </c>
      <c r="L1064" s="43">
        <v>47270</v>
      </c>
      <c r="M1064" s="44">
        <f t="shared" si="80"/>
        <v>0.27805882352941175</v>
      </c>
      <c r="N1064" s="49">
        <f>ROUND(L1064/Summary!$C$3*Summary!$C$2,0)</f>
        <v>146537</v>
      </c>
      <c r="O1064" s="44">
        <f t="shared" si="81"/>
        <v>0.86198235294117642</v>
      </c>
      <c r="P1064" s="78">
        <v>13</v>
      </c>
      <c r="Q1064" s="34">
        <v>3</v>
      </c>
      <c r="R1064" s="35">
        <f t="shared" si="82"/>
        <v>0.23076923076923078</v>
      </c>
      <c r="S1064" s="49">
        <f>ROUND(Q1064/Summary!$C$3*Summary!$C$2,0)</f>
        <v>9</v>
      </c>
      <c r="T1064" s="44">
        <f t="shared" si="83"/>
        <v>0.69230769230769229</v>
      </c>
      <c r="U1064" s="34">
        <v>0</v>
      </c>
      <c r="V1064" s="34">
        <v>1</v>
      </c>
      <c r="W1064" s="34">
        <v>0</v>
      </c>
      <c r="X1064" s="34">
        <v>0</v>
      </c>
    </row>
    <row r="1065" spans="1:24" hidden="1">
      <c r="A1065" s="34" t="s">
        <v>1371</v>
      </c>
      <c r="B1065" s="34" t="s">
        <v>1372</v>
      </c>
      <c r="C1065" s="34" t="s">
        <v>188</v>
      </c>
      <c r="D1065" s="34" t="s">
        <v>189</v>
      </c>
      <c r="E1065" s="34" t="s">
        <v>2</v>
      </c>
      <c r="F1065" s="34" t="s">
        <v>1373</v>
      </c>
      <c r="G1065" s="54">
        <v>1717875559</v>
      </c>
      <c r="H1065" s="54" t="s">
        <v>229</v>
      </c>
      <c r="I1065" s="54" t="s">
        <v>3514</v>
      </c>
      <c r="J1065" s="34" t="s">
        <v>3421</v>
      </c>
      <c r="K1065" s="50">
        <v>130000</v>
      </c>
      <c r="L1065" s="43">
        <v>16470</v>
      </c>
      <c r="M1065" s="44">
        <f t="shared" si="80"/>
        <v>0.12669230769230769</v>
      </c>
      <c r="N1065" s="49">
        <f>ROUND(L1065/Summary!$C$3*Summary!$C$2,0)</f>
        <v>51057</v>
      </c>
      <c r="O1065" s="44">
        <f t="shared" si="81"/>
        <v>0.39274615384615386</v>
      </c>
      <c r="P1065" s="78">
        <v>10</v>
      </c>
      <c r="Q1065" s="34">
        <v>0</v>
      </c>
      <c r="R1065" s="35">
        <f t="shared" si="82"/>
        <v>0</v>
      </c>
      <c r="S1065" s="49">
        <f>ROUND(Q1065/Summary!$C$3*Summary!$C$2,0)</f>
        <v>0</v>
      </c>
      <c r="T1065" s="44">
        <f t="shared" si="83"/>
        <v>0</v>
      </c>
      <c r="U1065" s="34">
        <v>0</v>
      </c>
      <c r="V1065" s="34">
        <v>0</v>
      </c>
      <c r="W1065" s="34">
        <v>0</v>
      </c>
      <c r="X1065" s="34">
        <v>0</v>
      </c>
    </row>
    <row r="1066" spans="1:24" hidden="1">
      <c r="A1066" s="34" t="s">
        <v>1401</v>
      </c>
      <c r="B1066" s="34" t="s">
        <v>1402</v>
      </c>
      <c r="C1066" s="34" t="s">
        <v>188</v>
      </c>
      <c r="D1066" s="34" t="s">
        <v>189</v>
      </c>
      <c r="E1066" s="34" t="s">
        <v>2</v>
      </c>
      <c r="F1066" s="34" t="s">
        <v>1403</v>
      </c>
      <c r="G1066" s="54">
        <v>1713705597</v>
      </c>
      <c r="H1066" s="54" t="s">
        <v>229</v>
      </c>
      <c r="I1066" s="54" t="s">
        <v>3514</v>
      </c>
      <c r="J1066" s="34" t="s">
        <v>3419</v>
      </c>
      <c r="K1066" s="50">
        <v>130000</v>
      </c>
      <c r="L1066" s="43">
        <v>30630</v>
      </c>
      <c r="M1066" s="44">
        <f t="shared" si="80"/>
        <v>0.23561538461538462</v>
      </c>
      <c r="N1066" s="49">
        <f>ROUND(L1066/Summary!$C$3*Summary!$C$2,0)</f>
        <v>94953</v>
      </c>
      <c r="O1066" s="44">
        <f t="shared" si="81"/>
        <v>0.73040769230769231</v>
      </c>
      <c r="P1066" s="78">
        <v>10</v>
      </c>
      <c r="Q1066" s="34">
        <v>0</v>
      </c>
      <c r="R1066" s="35">
        <f t="shared" si="82"/>
        <v>0</v>
      </c>
      <c r="S1066" s="49">
        <f>ROUND(Q1066/Summary!$C$3*Summary!$C$2,0)</f>
        <v>0</v>
      </c>
      <c r="T1066" s="44">
        <f t="shared" si="83"/>
        <v>0</v>
      </c>
      <c r="U1066" s="34">
        <v>2</v>
      </c>
      <c r="V1066" s="34">
        <v>0</v>
      </c>
      <c r="W1066" s="34">
        <v>0</v>
      </c>
      <c r="X1066" s="34">
        <v>0</v>
      </c>
    </row>
    <row r="1067" spans="1:24" hidden="1">
      <c r="A1067" s="34" t="s">
        <v>1340</v>
      </c>
      <c r="B1067" s="34" t="s">
        <v>1341</v>
      </c>
      <c r="C1067" s="34" t="s">
        <v>188</v>
      </c>
      <c r="D1067" s="34" t="s">
        <v>189</v>
      </c>
      <c r="E1067" s="34" t="s">
        <v>2</v>
      </c>
      <c r="F1067" s="34" t="s">
        <v>1342</v>
      </c>
      <c r="G1067" s="54">
        <v>1774037692</v>
      </c>
      <c r="H1067" s="54" t="s">
        <v>229</v>
      </c>
      <c r="I1067" s="54" t="s">
        <v>3514</v>
      </c>
      <c r="J1067" s="34" t="s">
        <v>3419</v>
      </c>
      <c r="K1067" s="50">
        <v>280289</v>
      </c>
      <c r="L1067" s="43">
        <v>100200</v>
      </c>
      <c r="M1067" s="44">
        <f t="shared" si="80"/>
        <v>0.35748816400215494</v>
      </c>
      <c r="N1067" s="49">
        <f>ROUND(L1067/Summary!$C$3*Summary!$C$2,0)</f>
        <v>310620</v>
      </c>
      <c r="O1067" s="44">
        <f t="shared" si="81"/>
        <v>1.1082133084066803</v>
      </c>
      <c r="P1067" s="78">
        <v>15</v>
      </c>
      <c r="Q1067" s="34">
        <v>7</v>
      </c>
      <c r="R1067" s="35">
        <f t="shared" si="82"/>
        <v>0.46666666666666667</v>
      </c>
      <c r="S1067" s="49">
        <f>ROUND(Q1067/Summary!$C$3*Summary!$C$2,0)</f>
        <v>22</v>
      </c>
      <c r="T1067" s="44">
        <f t="shared" si="83"/>
        <v>1.4666666666666666</v>
      </c>
      <c r="U1067" s="34">
        <v>0</v>
      </c>
      <c r="V1067" s="34">
        <v>0</v>
      </c>
      <c r="W1067" s="34">
        <v>0</v>
      </c>
      <c r="X1067" s="34">
        <v>1</v>
      </c>
    </row>
    <row r="1068" spans="1:24" hidden="1">
      <c r="A1068" s="34" t="s">
        <v>1429</v>
      </c>
      <c r="B1068" s="34" t="s">
        <v>1430</v>
      </c>
      <c r="C1068" s="34" t="s">
        <v>188</v>
      </c>
      <c r="D1068" s="34" t="s">
        <v>189</v>
      </c>
      <c r="E1068" s="34" t="s">
        <v>2</v>
      </c>
      <c r="F1068" s="34" t="s">
        <v>1431</v>
      </c>
      <c r="G1068" s="54">
        <v>1722809473</v>
      </c>
      <c r="H1068" s="54" t="s">
        <v>229</v>
      </c>
      <c r="I1068" s="54" t="s">
        <v>3514</v>
      </c>
      <c r="J1068" s="34" t="s">
        <v>3419</v>
      </c>
      <c r="K1068" s="50">
        <v>210830</v>
      </c>
      <c r="L1068" s="43">
        <v>87669</v>
      </c>
      <c r="M1068" s="44">
        <f t="shared" si="80"/>
        <v>0.41582791822795617</v>
      </c>
      <c r="N1068" s="49">
        <f>ROUND(L1068/Summary!$C$3*Summary!$C$2,0)</f>
        <v>271774</v>
      </c>
      <c r="O1068" s="44">
        <f t="shared" si="81"/>
        <v>1.2890670208224635</v>
      </c>
      <c r="P1068" s="78">
        <v>16</v>
      </c>
      <c r="Q1068" s="34">
        <v>7</v>
      </c>
      <c r="R1068" s="35">
        <f t="shared" si="82"/>
        <v>0.4375</v>
      </c>
      <c r="S1068" s="49">
        <f>ROUND(Q1068/Summary!$C$3*Summary!$C$2,0)</f>
        <v>22</v>
      </c>
      <c r="T1068" s="44">
        <f t="shared" si="83"/>
        <v>1.375</v>
      </c>
      <c r="U1068" s="34">
        <v>0</v>
      </c>
      <c r="V1068" s="34">
        <v>1</v>
      </c>
      <c r="W1068" s="34">
        <v>0</v>
      </c>
      <c r="X1068" s="34">
        <v>0</v>
      </c>
    </row>
    <row r="1069" spans="1:24" hidden="1">
      <c r="A1069" s="34" t="s">
        <v>1313</v>
      </c>
      <c r="B1069" s="34" t="s">
        <v>1314</v>
      </c>
      <c r="C1069" s="34" t="s">
        <v>188</v>
      </c>
      <c r="D1069" s="34" t="s">
        <v>189</v>
      </c>
      <c r="E1069" s="34" t="s">
        <v>2</v>
      </c>
      <c r="F1069" s="34" t="s">
        <v>1315</v>
      </c>
      <c r="G1069" s="54">
        <v>1717975545</v>
      </c>
      <c r="H1069" s="54" t="s">
        <v>229</v>
      </c>
      <c r="I1069" s="54" t="s">
        <v>3514</v>
      </c>
      <c r="J1069" s="34" t="s">
        <v>3421</v>
      </c>
      <c r="K1069" s="50">
        <v>130000</v>
      </c>
      <c r="L1069" s="43">
        <v>4740</v>
      </c>
      <c r="M1069" s="44">
        <f t="shared" si="80"/>
        <v>3.6461538461538462E-2</v>
      </c>
      <c r="N1069" s="49">
        <f>ROUND(L1069/Summary!$C$3*Summary!$C$2,0)</f>
        <v>14694</v>
      </c>
      <c r="O1069" s="44">
        <f t="shared" si="81"/>
        <v>0.11303076923076923</v>
      </c>
      <c r="P1069" s="78">
        <v>10</v>
      </c>
      <c r="Q1069" s="34">
        <v>0</v>
      </c>
      <c r="R1069" s="35">
        <f t="shared" si="82"/>
        <v>0</v>
      </c>
      <c r="S1069" s="49">
        <f>ROUND(Q1069/Summary!$C$3*Summary!$C$2,0)</f>
        <v>0</v>
      </c>
      <c r="T1069" s="44">
        <f t="shared" si="83"/>
        <v>0</v>
      </c>
      <c r="U1069" s="34">
        <v>0</v>
      </c>
      <c r="V1069" s="34">
        <v>0</v>
      </c>
      <c r="W1069" s="34">
        <v>0</v>
      </c>
      <c r="X1069" s="34">
        <v>0</v>
      </c>
    </row>
    <row r="1070" spans="1:24" hidden="1">
      <c r="A1070" s="34" t="s">
        <v>3327</v>
      </c>
      <c r="B1070" s="34" t="s">
        <v>3328</v>
      </c>
      <c r="C1070" s="34" t="s">
        <v>188</v>
      </c>
      <c r="D1070" s="34" t="s">
        <v>189</v>
      </c>
      <c r="E1070" s="34" t="s">
        <v>2</v>
      </c>
      <c r="F1070" s="34" t="s">
        <v>3329</v>
      </c>
      <c r="G1070" s="54">
        <v>1985749224</v>
      </c>
      <c r="H1070" s="54" t="s">
        <v>229</v>
      </c>
      <c r="I1070" s="54" t="s">
        <v>3514</v>
      </c>
      <c r="J1070" s="34" t="s">
        <v>3421</v>
      </c>
      <c r="K1070" s="50">
        <v>130000</v>
      </c>
      <c r="L1070" s="43">
        <v>31590</v>
      </c>
      <c r="M1070" s="44">
        <f t="shared" si="80"/>
        <v>0.24299999999999999</v>
      </c>
      <c r="N1070" s="49">
        <f>ROUND(L1070/Summary!$C$3*Summary!$C$2,0)</f>
        <v>97929</v>
      </c>
      <c r="O1070" s="44">
        <f t="shared" si="81"/>
        <v>0.75329999999999997</v>
      </c>
      <c r="P1070" s="78">
        <v>10</v>
      </c>
      <c r="Q1070" s="34">
        <v>1</v>
      </c>
      <c r="R1070" s="35">
        <f t="shared" si="82"/>
        <v>0.1</v>
      </c>
      <c r="S1070" s="49">
        <f>ROUND(Q1070/Summary!$C$3*Summary!$C$2,0)</f>
        <v>3</v>
      </c>
      <c r="T1070" s="44">
        <f t="shared" si="83"/>
        <v>0.3</v>
      </c>
      <c r="U1070" s="34">
        <v>0</v>
      </c>
      <c r="V1070" s="34">
        <v>0</v>
      </c>
      <c r="W1070" s="34">
        <v>0</v>
      </c>
      <c r="X1070" s="34">
        <v>0</v>
      </c>
    </row>
    <row r="1071" spans="1:24" hidden="1">
      <c r="A1071" s="75" t="s">
        <v>3650</v>
      </c>
      <c r="B1071" s="75" t="s">
        <v>73</v>
      </c>
      <c r="C1071" s="75" t="s">
        <v>188</v>
      </c>
      <c r="D1071" s="75" t="s">
        <v>189</v>
      </c>
      <c r="E1071" s="75" t="s">
        <v>2</v>
      </c>
      <c r="F1071" s="75" t="s">
        <v>3651</v>
      </c>
      <c r="G1071" s="67">
        <v>1713708298</v>
      </c>
      <c r="H1071" s="54" t="s">
        <v>229</v>
      </c>
      <c r="I1071" s="54" t="s">
        <v>3514</v>
      </c>
      <c r="J1071" s="34" t="s">
        <v>3421</v>
      </c>
      <c r="K1071" s="50">
        <v>130000</v>
      </c>
      <c r="L1071" s="43">
        <v>15570</v>
      </c>
      <c r="M1071" s="44">
        <f t="shared" si="80"/>
        <v>0.11976923076923077</v>
      </c>
      <c r="N1071" s="49">
        <f>ROUND(L1071/Summary!$C$3*Summary!$C$2,0)</f>
        <v>48267</v>
      </c>
      <c r="O1071" s="44">
        <f t="shared" si="81"/>
        <v>0.37128461538461538</v>
      </c>
      <c r="P1071" s="78">
        <v>10</v>
      </c>
      <c r="Q1071" s="34">
        <v>1</v>
      </c>
      <c r="R1071" s="35">
        <f t="shared" si="82"/>
        <v>0.1</v>
      </c>
      <c r="S1071" s="49">
        <f>ROUND(Q1071/Summary!$C$3*Summary!$C$2,0)</f>
        <v>3</v>
      </c>
      <c r="T1071" s="44">
        <f t="shared" si="83"/>
        <v>0.3</v>
      </c>
      <c r="U1071" s="34">
        <v>0</v>
      </c>
      <c r="V1071" s="34">
        <v>0</v>
      </c>
      <c r="W1071" s="34">
        <v>0</v>
      </c>
      <c r="X1071" s="34">
        <v>0</v>
      </c>
    </row>
    <row r="1072" spans="1:24" hidden="1">
      <c r="A1072" s="34" t="s">
        <v>3207</v>
      </c>
      <c r="B1072" s="34" t="s">
        <v>3208</v>
      </c>
      <c r="C1072" s="34" t="s">
        <v>188</v>
      </c>
      <c r="D1072" s="34" t="s">
        <v>189</v>
      </c>
      <c r="E1072" s="34" t="s">
        <v>2</v>
      </c>
      <c r="F1072" s="34" t="s">
        <v>3209</v>
      </c>
      <c r="G1072" s="54">
        <v>1713712871</v>
      </c>
      <c r="H1072" s="54" t="s">
        <v>229</v>
      </c>
      <c r="I1072" s="54" t="s">
        <v>3514</v>
      </c>
      <c r="J1072" s="34" t="s">
        <v>3419</v>
      </c>
      <c r="K1072" s="50">
        <v>130000</v>
      </c>
      <c r="L1072" s="43">
        <v>5390</v>
      </c>
      <c r="M1072" s="44">
        <f t="shared" si="80"/>
        <v>4.1461538461538459E-2</v>
      </c>
      <c r="N1072" s="49">
        <f>ROUND(L1072/Summary!$C$3*Summary!$C$2,0)</f>
        <v>16709</v>
      </c>
      <c r="O1072" s="44">
        <f t="shared" si="81"/>
        <v>0.12853076923076923</v>
      </c>
      <c r="P1072" s="78">
        <v>10</v>
      </c>
      <c r="Q1072" s="34">
        <v>0</v>
      </c>
      <c r="R1072" s="35">
        <f t="shared" si="82"/>
        <v>0</v>
      </c>
      <c r="S1072" s="49">
        <f>ROUND(Q1072/Summary!$C$3*Summary!$C$2,0)</f>
        <v>0</v>
      </c>
      <c r="T1072" s="44">
        <f t="shared" si="83"/>
        <v>0</v>
      </c>
      <c r="U1072" s="34">
        <v>0</v>
      </c>
      <c r="V1072" s="34">
        <v>0</v>
      </c>
      <c r="W1072" s="34">
        <v>0</v>
      </c>
      <c r="X1072" s="34">
        <v>0</v>
      </c>
    </row>
    <row r="1073" spans="1:24" hidden="1">
      <c r="A1073" s="34" t="s">
        <v>3204</v>
      </c>
      <c r="B1073" s="34" t="s">
        <v>3205</v>
      </c>
      <c r="C1073" s="34" t="s">
        <v>188</v>
      </c>
      <c r="D1073" s="34" t="s">
        <v>189</v>
      </c>
      <c r="E1073" s="34" t="s">
        <v>2</v>
      </c>
      <c r="F1073" s="34" t="s">
        <v>3206</v>
      </c>
      <c r="G1073" s="54">
        <v>1774232799</v>
      </c>
      <c r="H1073" s="54" t="s">
        <v>229</v>
      </c>
      <c r="I1073" s="54" t="s">
        <v>3514</v>
      </c>
      <c r="J1073" s="34" t="s">
        <v>3421</v>
      </c>
      <c r="K1073" s="50">
        <v>130000</v>
      </c>
      <c r="L1073" s="43">
        <v>64390</v>
      </c>
      <c r="M1073" s="44">
        <f t="shared" si="80"/>
        <v>0.49530769230769228</v>
      </c>
      <c r="N1073" s="49">
        <f>ROUND(L1073/Summary!$C$3*Summary!$C$2,0)</f>
        <v>199609</v>
      </c>
      <c r="O1073" s="44">
        <f t="shared" si="81"/>
        <v>1.5354538461538461</v>
      </c>
      <c r="P1073" s="78">
        <v>10</v>
      </c>
      <c r="Q1073" s="34">
        <v>3</v>
      </c>
      <c r="R1073" s="35">
        <f t="shared" si="82"/>
        <v>0.3</v>
      </c>
      <c r="S1073" s="49">
        <f>ROUND(Q1073/Summary!$C$3*Summary!$C$2,0)</f>
        <v>9</v>
      </c>
      <c r="T1073" s="44">
        <f t="shared" si="83"/>
        <v>0.9</v>
      </c>
      <c r="U1073" s="34">
        <v>1</v>
      </c>
      <c r="V1073" s="34">
        <v>1</v>
      </c>
      <c r="W1073" s="34">
        <v>0</v>
      </c>
      <c r="X1073" s="34">
        <v>1</v>
      </c>
    </row>
    <row r="1074" spans="1:24" hidden="1">
      <c r="A1074" s="34" t="s">
        <v>1411</v>
      </c>
      <c r="B1074" s="34" t="s">
        <v>82</v>
      </c>
      <c r="C1074" s="34" t="s">
        <v>188</v>
      </c>
      <c r="D1074" s="34" t="s">
        <v>189</v>
      </c>
      <c r="E1074" s="34" t="s">
        <v>2</v>
      </c>
      <c r="F1074" s="34" t="s">
        <v>1412</v>
      </c>
      <c r="G1074" s="54">
        <v>1717675447</v>
      </c>
      <c r="H1074" s="54" t="s">
        <v>229</v>
      </c>
      <c r="I1074" s="54" t="s">
        <v>3514</v>
      </c>
      <c r="J1074" s="34" t="s">
        <v>3421</v>
      </c>
      <c r="K1074" s="50">
        <v>130000</v>
      </c>
      <c r="L1074" s="43">
        <v>51100</v>
      </c>
      <c r="M1074" s="44">
        <f t="shared" si="80"/>
        <v>0.3930769230769231</v>
      </c>
      <c r="N1074" s="49">
        <f>ROUND(L1074/Summary!$C$3*Summary!$C$2,0)</f>
        <v>158410</v>
      </c>
      <c r="O1074" s="44">
        <f t="shared" si="81"/>
        <v>1.2185384615384616</v>
      </c>
      <c r="P1074" s="78">
        <v>10</v>
      </c>
      <c r="Q1074" s="34">
        <v>6</v>
      </c>
      <c r="R1074" s="35">
        <f t="shared" si="82"/>
        <v>0.6</v>
      </c>
      <c r="S1074" s="49">
        <f>ROUND(Q1074/Summary!$C$3*Summary!$C$2,0)</f>
        <v>19</v>
      </c>
      <c r="T1074" s="44">
        <f t="shared" si="83"/>
        <v>1.9</v>
      </c>
      <c r="U1074" s="34">
        <v>1</v>
      </c>
      <c r="V1074" s="34">
        <v>1</v>
      </c>
      <c r="W1074" s="34">
        <v>0</v>
      </c>
      <c r="X1074" s="34">
        <v>0</v>
      </c>
    </row>
    <row r="1075" spans="1:24" hidden="1">
      <c r="A1075" s="34" t="s">
        <v>1343</v>
      </c>
      <c r="B1075" s="34" t="s">
        <v>1344</v>
      </c>
      <c r="C1075" s="34" t="s">
        <v>188</v>
      </c>
      <c r="D1075" s="34" t="s">
        <v>189</v>
      </c>
      <c r="E1075" s="34" t="s">
        <v>2</v>
      </c>
      <c r="F1075" s="34" t="s">
        <v>1345</v>
      </c>
      <c r="G1075" s="54">
        <v>1716243697</v>
      </c>
      <c r="H1075" s="54" t="s">
        <v>229</v>
      </c>
      <c r="I1075" s="54" t="s">
        <v>3518</v>
      </c>
      <c r="J1075" s="34" t="s">
        <v>3419</v>
      </c>
      <c r="K1075" s="50">
        <v>300000</v>
      </c>
      <c r="L1075" s="43">
        <v>118580</v>
      </c>
      <c r="M1075" s="44">
        <f t="shared" si="80"/>
        <v>0.39526666666666666</v>
      </c>
      <c r="N1075" s="49">
        <f>ROUND(L1075/Summary!$C$3*Summary!$C$2,0)</f>
        <v>367598</v>
      </c>
      <c r="O1075" s="44">
        <f t="shared" si="81"/>
        <v>1.2253266666666667</v>
      </c>
      <c r="P1075" s="78">
        <v>17</v>
      </c>
      <c r="Q1075" s="34">
        <v>6</v>
      </c>
      <c r="R1075" s="35">
        <f t="shared" si="82"/>
        <v>0.35294117647058826</v>
      </c>
      <c r="S1075" s="49">
        <f>ROUND(Q1075/Summary!$C$3*Summary!$C$2,0)</f>
        <v>19</v>
      </c>
      <c r="T1075" s="44">
        <f t="shared" si="83"/>
        <v>1.1176470588235294</v>
      </c>
      <c r="U1075" s="34">
        <v>2</v>
      </c>
      <c r="V1075" s="34">
        <v>0</v>
      </c>
      <c r="W1075" s="34">
        <v>0</v>
      </c>
      <c r="X1075" s="34">
        <v>0</v>
      </c>
    </row>
    <row r="1076" spans="1:24" hidden="1">
      <c r="A1076" s="75" t="s">
        <v>3652</v>
      </c>
      <c r="B1076" s="75" t="s">
        <v>3653</v>
      </c>
      <c r="C1076" s="75" t="s">
        <v>188</v>
      </c>
      <c r="D1076" s="75" t="s">
        <v>189</v>
      </c>
      <c r="E1076" s="75" t="s">
        <v>2</v>
      </c>
      <c r="F1076" s="75" t="s">
        <v>3654</v>
      </c>
      <c r="G1076" s="67">
        <v>1706348864</v>
      </c>
      <c r="H1076" s="54" t="s">
        <v>229</v>
      </c>
      <c r="I1076" s="54" t="s">
        <v>3514</v>
      </c>
      <c r="J1076" s="34" t="s">
        <v>3421</v>
      </c>
      <c r="K1076" s="50">
        <v>130000</v>
      </c>
      <c r="L1076" s="43">
        <v>40280</v>
      </c>
      <c r="M1076" s="44">
        <f t="shared" si="80"/>
        <v>0.30984615384615383</v>
      </c>
      <c r="N1076" s="49">
        <f>ROUND(L1076/Summary!$C$3*Summary!$C$2,0)</f>
        <v>124868</v>
      </c>
      <c r="O1076" s="44">
        <f t="shared" si="81"/>
        <v>0.96052307692307692</v>
      </c>
      <c r="P1076" s="78">
        <v>10</v>
      </c>
      <c r="Q1076" s="34">
        <v>3</v>
      </c>
      <c r="R1076" s="35">
        <f t="shared" si="82"/>
        <v>0.3</v>
      </c>
      <c r="S1076" s="49">
        <f>ROUND(Q1076/Summary!$C$3*Summary!$C$2,0)</f>
        <v>9</v>
      </c>
      <c r="T1076" s="44">
        <f t="shared" si="83"/>
        <v>0.9</v>
      </c>
      <c r="U1076" s="34">
        <v>0</v>
      </c>
      <c r="V1076" s="34">
        <v>1</v>
      </c>
      <c r="W1076" s="34">
        <v>0</v>
      </c>
      <c r="X1076" s="34">
        <v>0</v>
      </c>
    </row>
    <row r="1077" spans="1:24" hidden="1">
      <c r="A1077" s="34" t="s">
        <v>1328</v>
      </c>
      <c r="B1077" s="34" t="s">
        <v>1329</v>
      </c>
      <c r="C1077" s="34" t="s">
        <v>188</v>
      </c>
      <c r="D1077" s="34" t="s">
        <v>189</v>
      </c>
      <c r="E1077" s="34" t="s">
        <v>2</v>
      </c>
      <c r="F1077" s="34" t="s">
        <v>1330</v>
      </c>
      <c r="G1077" s="54">
        <v>1854926463</v>
      </c>
      <c r="H1077" s="54" t="s">
        <v>229</v>
      </c>
      <c r="I1077" s="54" t="s">
        <v>3514</v>
      </c>
      <c r="J1077" s="34" t="s">
        <v>3515</v>
      </c>
      <c r="K1077" s="50">
        <v>275000</v>
      </c>
      <c r="L1077" s="43">
        <v>73230</v>
      </c>
      <c r="M1077" s="44">
        <f t="shared" si="80"/>
        <v>0.26629090909090908</v>
      </c>
      <c r="N1077" s="49">
        <f>ROUND(L1077/Summary!$C$3*Summary!$C$2,0)</f>
        <v>227013</v>
      </c>
      <c r="O1077" s="44">
        <f t="shared" si="81"/>
        <v>0.82550181818181823</v>
      </c>
      <c r="P1077" s="78">
        <v>20</v>
      </c>
      <c r="Q1077" s="34">
        <v>6</v>
      </c>
      <c r="R1077" s="35">
        <f t="shared" si="82"/>
        <v>0.3</v>
      </c>
      <c r="S1077" s="49">
        <f>ROUND(Q1077/Summary!$C$3*Summary!$C$2,0)</f>
        <v>19</v>
      </c>
      <c r="T1077" s="44">
        <f t="shared" si="83"/>
        <v>0.95</v>
      </c>
      <c r="U1077" s="34">
        <v>0</v>
      </c>
      <c r="V1077" s="34">
        <v>1</v>
      </c>
      <c r="W1077" s="34">
        <v>0</v>
      </c>
      <c r="X1077" s="34">
        <v>0</v>
      </c>
    </row>
    <row r="1078" spans="1:24" hidden="1">
      <c r="A1078" s="34" t="s">
        <v>3501</v>
      </c>
      <c r="B1078" s="34" t="s">
        <v>3502</v>
      </c>
      <c r="C1078" s="34" t="s">
        <v>188</v>
      </c>
      <c r="D1078" s="34" t="s">
        <v>189</v>
      </c>
      <c r="E1078" s="34" t="s">
        <v>2</v>
      </c>
      <c r="F1078" s="34" t="s">
        <v>3503</v>
      </c>
      <c r="G1078" s="54">
        <v>1718532619</v>
      </c>
      <c r="H1078" s="54" t="s">
        <v>229</v>
      </c>
      <c r="I1078" s="54" t="s">
        <v>3514</v>
      </c>
      <c r="J1078" s="34" t="s">
        <v>3515</v>
      </c>
      <c r="K1078" s="50">
        <v>250000</v>
      </c>
      <c r="L1078" s="43">
        <v>57475</v>
      </c>
      <c r="M1078" s="44">
        <f t="shared" si="80"/>
        <v>0.22989999999999999</v>
      </c>
      <c r="N1078" s="49">
        <f>ROUND(L1078/Summary!$C$3*Summary!$C$2,0)</f>
        <v>178173</v>
      </c>
      <c r="O1078" s="44">
        <f t="shared" si="81"/>
        <v>0.71269199999999999</v>
      </c>
      <c r="P1078" s="78">
        <v>19</v>
      </c>
      <c r="Q1078" s="34">
        <v>4</v>
      </c>
      <c r="R1078" s="35">
        <f t="shared" si="82"/>
        <v>0.21052631578947367</v>
      </c>
      <c r="S1078" s="49">
        <f>ROUND(Q1078/Summary!$C$3*Summary!$C$2,0)</f>
        <v>12</v>
      </c>
      <c r="T1078" s="44">
        <f t="shared" si="83"/>
        <v>0.63157894736842102</v>
      </c>
      <c r="U1078" s="34">
        <v>0</v>
      </c>
      <c r="V1078" s="34">
        <v>1</v>
      </c>
      <c r="W1078" s="34">
        <v>0</v>
      </c>
      <c r="X1078" s="34">
        <v>0</v>
      </c>
    </row>
    <row r="1079" spans="1:24" hidden="1">
      <c r="A1079" s="34" t="s">
        <v>1441</v>
      </c>
      <c r="B1079" s="34" t="s">
        <v>158</v>
      </c>
      <c r="C1079" s="34" t="s">
        <v>1302</v>
      </c>
      <c r="D1079" s="34" t="s">
        <v>189</v>
      </c>
      <c r="E1079" s="34" t="s">
        <v>2</v>
      </c>
      <c r="F1079" s="34" t="s">
        <v>1442</v>
      </c>
      <c r="G1079" s="54">
        <v>1734411487</v>
      </c>
      <c r="H1079" s="54" t="s">
        <v>229</v>
      </c>
      <c r="I1079" s="54" t="s">
        <v>3514</v>
      </c>
      <c r="J1079" s="34" t="s">
        <v>3419</v>
      </c>
      <c r="K1079" s="50">
        <v>200000</v>
      </c>
      <c r="L1079" s="43">
        <v>56894</v>
      </c>
      <c r="M1079" s="44">
        <f t="shared" si="80"/>
        <v>0.28447</v>
      </c>
      <c r="N1079" s="49">
        <f>ROUND(L1079/Summary!$C$3*Summary!$C$2,0)</f>
        <v>176371</v>
      </c>
      <c r="O1079" s="44">
        <f t="shared" si="81"/>
        <v>0.88185500000000006</v>
      </c>
      <c r="P1079" s="78">
        <v>13</v>
      </c>
      <c r="Q1079" s="34">
        <v>3</v>
      </c>
      <c r="R1079" s="35">
        <f t="shared" si="82"/>
        <v>0.23076923076923078</v>
      </c>
      <c r="S1079" s="49">
        <f>ROUND(Q1079/Summary!$C$3*Summary!$C$2,0)</f>
        <v>9</v>
      </c>
      <c r="T1079" s="44">
        <f t="shared" si="83"/>
        <v>0.69230769230769229</v>
      </c>
      <c r="U1079" s="34">
        <v>0</v>
      </c>
      <c r="V1079" s="34">
        <v>1</v>
      </c>
      <c r="W1079" s="34">
        <v>0</v>
      </c>
      <c r="X1079" s="34">
        <v>0</v>
      </c>
    </row>
    <row r="1080" spans="1:24" hidden="1">
      <c r="A1080" s="34" t="s">
        <v>1484</v>
      </c>
      <c r="B1080" s="34" t="s">
        <v>1485</v>
      </c>
      <c r="C1080" s="34" t="s">
        <v>1302</v>
      </c>
      <c r="D1080" s="34" t="s">
        <v>189</v>
      </c>
      <c r="E1080" s="34" t="s">
        <v>2</v>
      </c>
      <c r="F1080" s="34" t="s">
        <v>1486</v>
      </c>
      <c r="G1080" s="54">
        <v>1735751113</v>
      </c>
      <c r="H1080" s="54" t="s">
        <v>229</v>
      </c>
      <c r="I1080" s="54" t="s">
        <v>3514</v>
      </c>
      <c r="J1080" s="34" t="s">
        <v>3421</v>
      </c>
      <c r="K1080" s="50">
        <v>130000</v>
      </c>
      <c r="L1080" s="43">
        <v>32099</v>
      </c>
      <c r="M1080" s="44">
        <f t="shared" si="80"/>
        <v>0.24691538461538462</v>
      </c>
      <c r="N1080" s="49">
        <f>ROUND(L1080/Summary!$C$3*Summary!$C$2,0)</f>
        <v>99507</v>
      </c>
      <c r="O1080" s="44">
        <f t="shared" si="81"/>
        <v>0.76543846153846151</v>
      </c>
      <c r="P1080" s="78">
        <v>10</v>
      </c>
      <c r="Q1080" s="34">
        <v>2</v>
      </c>
      <c r="R1080" s="35">
        <f t="shared" si="82"/>
        <v>0.2</v>
      </c>
      <c r="S1080" s="49">
        <f>ROUND(Q1080/Summary!$C$3*Summary!$C$2,0)</f>
        <v>6</v>
      </c>
      <c r="T1080" s="44">
        <f t="shared" si="83"/>
        <v>0.6</v>
      </c>
      <c r="U1080" s="34">
        <v>0</v>
      </c>
      <c r="V1080" s="34">
        <v>0</v>
      </c>
      <c r="W1080" s="34">
        <v>0</v>
      </c>
      <c r="X1080" s="34">
        <v>0</v>
      </c>
    </row>
    <row r="1081" spans="1:24" hidden="1">
      <c r="A1081" s="34" t="s">
        <v>1325</v>
      </c>
      <c r="B1081" s="34" t="s">
        <v>1326</v>
      </c>
      <c r="C1081" s="34" t="s">
        <v>1302</v>
      </c>
      <c r="D1081" s="34" t="s">
        <v>189</v>
      </c>
      <c r="E1081" s="34" t="s">
        <v>2</v>
      </c>
      <c r="F1081" s="34" t="s">
        <v>1327</v>
      </c>
      <c r="G1081" s="54">
        <v>1723410986</v>
      </c>
      <c r="H1081" s="54" t="s">
        <v>229</v>
      </c>
      <c r="I1081" s="54" t="s">
        <v>3518</v>
      </c>
      <c r="J1081" s="34" t="s">
        <v>3419</v>
      </c>
      <c r="K1081" s="50">
        <v>345734</v>
      </c>
      <c r="L1081" s="43">
        <v>136760</v>
      </c>
      <c r="M1081" s="44">
        <f t="shared" si="80"/>
        <v>0.39556421989159296</v>
      </c>
      <c r="N1081" s="49">
        <f>ROUND(L1081/Summary!$C$3*Summary!$C$2,0)</f>
        <v>423956</v>
      </c>
      <c r="O1081" s="44">
        <f t="shared" si="81"/>
        <v>1.2262490816639382</v>
      </c>
      <c r="P1081" s="78">
        <v>18</v>
      </c>
      <c r="Q1081" s="34">
        <v>8</v>
      </c>
      <c r="R1081" s="35">
        <f t="shared" si="82"/>
        <v>0.44444444444444442</v>
      </c>
      <c r="S1081" s="49">
        <f>ROUND(Q1081/Summary!$C$3*Summary!$C$2,0)</f>
        <v>25</v>
      </c>
      <c r="T1081" s="44">
        <f t="shared" si="83"/>
        <v>1.3888888888888888</v>
      </c>
      <c r="U1081" s="34">
        <v>0</v>
      </c>
      <c r="V1081" s="34">
        <v>2</v>
      </c>
      <c r="W1081" s="34">
        <v>0</v>
      </c>
      <c r="X1081" s="34">
        <v>0</v>
      </c>
    </row>
    <row r="1082" spans="1:24" hidden="1">
      <c r="A1082" s="34" t="s">
        <v>1368</v>
      </c>
      <c r="B1082" s="34" t="s">
        <v>1369</v>
      </c>
      <c r="C1082" s="34" t="s">
        <v>1302</v>
      </c>
      <c r="D1082" s="34" t="s">
        <v>189</v>
      </c>
      <c r="E1082" s="34" t="s">
        <v>2</v>
      </c>
      <c r="F1082" s="34" t="s">
        <v>1370</v>
      </c>
      <c r="G1082" s="54">
        <v>1717675711</v>
      </c>
      <c r="H1082" s="54" t="s">
        <v>229</v>
      </c>
      <c r="I1082" s="54" t="s">
        <v>3514</v>
      </c>
      <c r="J1082" s="34" t="s">
        <v>3419</v>
      </c>
      <c r="K1082" s="50">
        <v>170000</v>
      </c>
      <c r="L1082" s="43">
        <v>113015</v>
      </c>
      <c r="M1082" s="44">
        <f t="shared" si="80"/>
        <v>0.66479411764705887</v>
      </c>
      <c r="N1082" s="49">
        <f>ROUND(L1082/Summary!$C$3*Summary!$C$2,0)</f>
        <v>350347</v>
      </c>
      <c r="O1082" s="44">
        <f t="shared" si="81"/>
        <v>2.060864705882353</v>
      </c>
      <c r="P1082" s="78">
        <v>10</v>
      </c>
      <c r="Q1082" s="34">
        <v>10</v>
      </c>
      <c r="R1082" s="35">
        <f t="shared" si="82"/>
        <v>1</v>
      </c>
      <c r="S1082" s="49">
        <f>ROUND(Q1082/Summary!$C$3*Summary!$C$2,0)</f>
        <v>31</v>
      </c>
      <c r="T1082" s="44">
        <f t="shared" si="83"/>
        <v>3.1</v>
      </c>
      <c r="U1082" s="34">
        <v>1</v>
      </c>
      <c r="V1082" s="34">
        <v>2</v>
      </c>
      <c r="W1082" s="34">
        <v>0</v>
      </c>
      <c r="X1082" s="34">
        <v>0</v>
      </c>
    </row>
    <row r="1083" spans="1:24" hidden="1">
      <c r="A1083" s="34" t="s">
        <v>3129</v>
      </c>
      <c r="B1083" s="34" t="s">
        <v>3130</v>
      </c>
      <c r="C1083" s="34" t="s">
        <v>1302</v>
      </c>
      <c r="D1083" s="34" t="s">
        <v>189</v>
      </c>
      <c r="E1083" s="34" t="s">
        <v>2</v>
      </c>
      <c r="F1083" s="34" t="s">
        <v>3131</v>
      </c>
      <c r="G1083" s="54">
        <v>1725495699</v>
      </c>
      <c r="H1083" s="54" t="s">
        <v>229</v>
      </c>
      <c r="I1083" s="54" t="s">
        <v>3514</v>
      </c>
      <c r="J1083" s="34" t="s">
        <v>3421</v>
      </c>
      <c r="K1083" s="50">
        <v>130000</v>
      </c>
      <c r="L1083" s="43">
        <v>36080</v>
      </c>
      <c r="M1083" s="44">
        <f t="shared" si="80"/>
        <v>0.27753846153846151</v>
      </c>
      <c r="N1083" s="49">
        <f>ROUND(L1083/Summary!$C$3*Summary!$C$2,0)</f>
        <v>111848</v>
      </c>
      <c r="O1083" s="44">
        <f t="shared" si="81"/>
        <v>0.86036923076923078</v>
      </c>
      <c r="P1083" s="78">
        <v>10</v>
      </c>
      <c r="Q1083" s="34">
        <v>1</v>
      </c>
      <c r="R1083" s="35">
        <f t="shared" si="82"/>
        <v>0.1</v>
      </c>
      <c r="S1083" s="49">
        <f>ROUND(Q1083/Summary!$C$3*Summary!$C$2,0)</f>
        <v>3</v>
      </c>
      <c r="T1083" s="44">
        <f t="shared" si="83"/>
        <v>0.3</v>
      </c>
      <c r="U1083" s="34">
        <v>1</v>
      </c>
      <c r="V1083" s="34">
        <v>0</v>
      </c>
      <c r="W1083" s="34">
        <v>0</v>
      </c>
      <c r="X1083" s="34">
        <v>0</v>
      </c>
    </row>
    <row r="1084" spans="1:24" hidden="1">
      <c r="A1084" s="34" t="s">
        <v>1355</v>
      </c>
      <c r="B1084" s="34" t="s">
        <v>337</v>
      </c>
      <c r="C1084" s="34" t="s">
        <v>1302</v>
      </c>
      <c r="D1084" s="34" t="s">
        <v>189</v>
      </c>
      <c r="E1084" s="34" t="s">
        <v>2</v>
      </c>
      <c r="F1084" s="34" t="s">
        <v>1356</v>
      </c>
      <c r="G1084" s="54">
        <v>1745194303</v>
      </c>
      <c r="H1084" s="54" t="s">
        <v>229</v>
      </c>
      <c r="I1084" s="54" t="s">
        <v>3514</v>
      </c>
      <c r="J1084" s="34" t="s">
        <v>3419</v>
      </c>
      <c r="K1084" s="50">
        <v>190000</v>
      </c>
      <c r="L1084" s="43">
        <v>55120</v>
      </c>
      <c r="M1084" s="44">
        <f t="shared" si="80"/>
        <v>0.29010526315789475</v>
      </c>
      <c r="N1084" s="49">
        <f>ROUND(L1084/Summary!$C$3*Summary!$C$2,0)</f>
        <v>170872</v>
      </c>
      <c r="O1084" s="44">
        <f t="shared" si="81"/>
        <v>0.89932631578947364</v>
      </c>
      <c r="P1084" s="78">
        <v>10</v>
      </c>
      <c r="Q1084" s="34">
        <v>3</v>
      </c>
      <c r="R1084" s="35">
        <f t="shared" si="82"/>
        <v>0.3</v>
      </c>
      <c r="S1084" s="49">
        <f>ROUND(Q1084/Summary!$C$3*Summary!$C$2,0)</f>
        <v>9</v>
      </c>
      <c r="T1084" s="44">
        <f t="shared" si="83"/>
        <v>0.9</v>
      </c>
      <c r="U1084" s="34">
        <v>0</v>
      </c>
      <c r="V1084" s="34">
        <v>0</v>
      </c>
      <c r="W1084" s="34">
        <v>0</v>
      </c>
      <c r="X1084" s="34">
        <v>0</v>
      </c>
    </row>
    <row r="1085" spans="1:24" hidden="1">
      <c r="A1085" s="34" t="s">
        <v>1380</v>
      </c>
      <c r="B1085" s="34" t="s">
        <v>1381</v>
      </c>
      <c r="C1085" s="34" t="s">
        <v>1302</v>
      </c>
      <c r="D1085" s="34" t="s">
        <v>189</v>
      </c>
      <c r="E1085" s="34" t="s">
        <v>2</v>
      </c>
      <c r="F1085" s="34" t="s">
        <v>1382</v>
      </c>
      <c r="G1085" s="54">
        <v>1730902476</v>
      </c>
      <c r="H1085" s="54" t="s">
        <v>229</v>
      </c>
      <c r="I1085" s="54" t="s">
        <v>3514</v>
      </c>
      <c r="J1085" s="34" t="s">
        <v>3419</v>
      </c>
      <c r="K1085" s="50">
        <v>250000</v>
      </c>
      <c r="L1085" s="43">
        <v>55209</v>
      </c>
      <c r="M1085" s="44">
        <f t="shared" si="80"/>
        <v>0.220836</v>
      </c>
      <c r="N1085" s="49">
        <f>ROUND(L1085/Summary!$C$3*Summary!$C$2,0)</f>
        <v>171148</v>
      </c>
      <c r="O1085" s="44">
        <f t="shared" si="81"/>
        <v>0.68459199999999998</v>
      </c>
      <c r="P1085" s="78">
        <v>15</v>
      </c>
      <c r="Q1085" s="34">
        <v>4</v>
      </c>
      <c r="R1085" s="35">
        <f t="shared" si="82"/>
        <v>0.26666666666666666</v>
      </c>
      <c r="S1085" s="49">
        <f>ROUND(Q1085/Summary!$C$3*Summary!$C$2,0)</f>
        <v>12</v>
      </c>
      <c r="T1085" s="44">
        <f t="shared" si="83"/>
        <v>0.8</v>
      </c>
      <c r="U1085" s="34">
        <v>0</v>
      </c>
      <c r="V1085" s="34">
        <v>0</v>
      </c>
      <c r="W1085" s="34">
        <v>1</v>
      </c>
      <c r="X1085" s="34">
        <v>0</v>
      </c>
    </row>
    <row r="1086" spans="1:24" hidden="1">
      <c r="A1086" s="34" t="s">
        <v>1300</v>
      </c>
      <c r="B1086" s="34" t="s">
        <v>1301</v>
      </c>
      <c r="C1086" s="34" t="s">
        <v>1302</v>
      </c>
      <c r="D1086" s="34" t="s">
        <v>189</v>
      </c>
      <c r="E1086" s="34" t="s">
        <v>2</v>
      </c>
      <c r="F1086" s="34" t="s">
        <v>1303</v>
      </c>
      <c r="G1086" s="54">
        <v>1740999360</v>
      </c>
      <c r="H1086" s="54" t="s">
        <v>229</v>
      </c>
      <c r="I1086" s="54" t="s">
        <v>3518</v>
      </c>
      <c r="J1086" s="34" t="s">
        <v>3419</v>
      </c>
      <c r="K1086" s="50">
        <v>310000</v>
      </c>
      <c r="L1086" s="43">
        <v>84275</v>
      </c>
      <c r="M1086" s="44">
        <f t="shared" si="80"/>
        <v>0.27185483870967742</v>
      </c>
      <c r="N1086" s="49">
        <f>ROUND(L1086/Summary!$C$3*Summary!$C$2,0)</f>
        <v>261253</v>
      </c>
      <c r="O1086" s="44">
        <f t="shared" si="81"/>
        <v>0.84275161290322576</v>
      </c>
      <c r="P1086" s="78">
        <v>19</v>
      </c>
      <c r="Q1086" s="34">
        <v>5</v>
      </c>
      <c r="R1086" s="35">
        <f t="shared" si="82"/>
        <v>0.26315789473684209</v>
      </c>
      <c r="S1086" s="49">
        <f>ROUND(Q1086/Summary!$C$3*Summary!$C$2,0)</f>
        <v>16</v>
      </c>
      <c r="T1086" s="44">
        <f t="shared" si="83"/>
        <v>0.84210526315789469</v>
      </c>
      <c r="U1086" s="34">
        <v>0</v>
      </c>
      <c r="V1086" s="34">
        <v>1</v>
      </c>
      <c r="W1086" s="34">
        <v>0</v>
      </c>
      <c r="X1086" s="34">
        <v>0</v>
      </c>
    </row>
    <row r="1087" spans="1:24" hidden="1">
      <c r="A1087" s="34" t="s">
        <v>1499</v>
      </c>
      <c r="B1087" s="34" t="s">
        <v>1500</v>
      </c>
      <c r="C1087" s="34" t="s">
        <v>1302</v>
      </c>
      <c r="D1087" s="34" t="s">
        <v>189</v>
      </c>
      <c r="E1087" s="34" t="s">
        <v>2</v>
      </c>
      <c r="F1087" s="34" t="s">
        <v>1501</v>
      </c>
      <c r="G1087" s="54">
        <v>1737591143</v>
      </c>
      <c r="H1087" s="54" t="s">
        <v>229</v>
      </c>
      <c r="I1087" s="54" t="s">
        <v>3514</v>
      </c>
      <c r="J1087" s="34" t="s">
        <v>3421</v>
      </c>
      <c r="K1087" s="50">
        <v>130000</v>
      </c>
      <c r="L1087" s="43">
        <v>8580</v>
      </c>
      <c r="M1087" s="44">
        <f t="shared" si="80"/>
        <v>6.6000000000000003E-2</v>
      </c>
      <c r="N1087" s="49">
        <f>ROUND(L1087/Summary!$C$3*Summary!$C$2,0)</f>
        <v>26598</v>
      </c>
      <c r="O1087" s="44">
        <f t="shared" si="81"/>
        <v>0.2046</v>
      </c>
      <c r="P1087" s="78">
        <v>10</v>
      </c>
      <c r="Q1087" s="34">
        <v>0</v>
      </c>
      <c r="R1087" s="35">
        <f t="shared" si="82"/>
        <v>0</v>
      </c>
      <c r="S1087" s="49">
        <f>ROUND(Q1087/Summary!$C$3*Summary!$C$2,0)</f>
        <v>0</v>
      </c>
      <c r="T1087" s="44">
        <f t="shared" si="83"/>
        <v>0</v>
      </c>
      <c r="U1087" s="34">
        <v>0</v>
      </c>
      <c r="V1087" s="34">
        <v>0</v>
      </c>
      <c r="W1087" s="34">
        <v>0</v>
      </c>
      <c r="X1087" s="34">
        <v>0</v>
      </c>
    </row>
    <row r="1088" spans="1:24" hidden="1">
      <c r="A1088" s="34" t="s">
        <v>858</v>
      </c>
      <c r="B1088" s="34" t="s">
        <v>859</v>
      </c>
      <c r="C1088" s="34" t="s">
        <v>213</v>
      </c>
      <c r="D1088" s="34" t="s">
        <v>185</v>
      </c>
      <c r="E1088" s="34" t="s">
        <v>1</v>
      </c>
      <c r="F1088" s="34" t="s">
        <v>235</v>
      </c>
      <c r="G1088" s="54">
        <v>1732386889</v>
      </c>
      <c r="H1088" s="54" t="s">
        <v>229</v>
      </c>
      <c r="I1088" s="54" t="s">
        <v>3514</v>
      </c>
      <c r="J1088" s="34" t="s">
        <v>3419</v>
      </c>
      <c r="K1088" s="50">
        <v>248264</v>
      </c>
      <c r="L1088" s="43">
        <v>67865</v>
      </c>
      <c r="M1088" s="44">
        <f t="shared" si="80"/>
        <v>0.27335819933619049</v>
      </c>
      <c r="N1088" s="49">
        <f>ROUND(L1088/Summary!$C$3*Summary!$C$2,0)</f>
        <v>210382</v>
      </c>
      <c r="O1088" s="44">
        <f t="shared" si="81"/>
        <v>0.8474124319273032</v>
      </c>
      <c r="P1088" s="78">
        <v>10</v>
      </c>
      <c r="Q1088" s="34">
        <v>2</v>
      </c>
      <c r="R1088" s="35">
        <f t="shared" si="82"/>
        <v>0.2</v>
      </c>
      <c r="S1088" s="49">
        <f>ROUND(Q1088/Summary!$C$3*Summary!$C$2,0)</f>
        <v>6</v>
      </c>
      <c r="T1088" s="44">
        <f t="shared" si="83"/>
        <v>0.6</v>
      </c>
      <c r="U1088" s="34">
        <v>2</v>
      </c>
      <c r="V1088" s="34">
        <v>0</v>
      </c>
      <c r="W1088" s="34">
        <v>0</v>
      </c>
      <c r="X1088" s="34">
        <v>0</v>
      </c>
    </row>
    <row r="1089" spans="1:24" hidden="1">
      <c r="A1089" s="34" t="s">
        <v>1008</v>
      </c>
      <c r="B1089" s="34" t="s">
        <v>850</v>
      </c>
      <c r="C1089" s="34" t="s">
        <v>213</v>
      </c>
      <c r="D1089" s="34" t="s">
        <v>185</v>
      </c>
      <c r="E1089" s="34" t="s">
        <v>1</v>
      </c>
      <c r="F1089" s="34" t="s">
        <v>1009</v>
      </c>
      <c r="G1089" s="54">
        <v>1793022847</v>
      </c>
      <c r="H1089" s="54" t="s">
        <v>229</v>
      </c>
      <c r="I1089" s="54" t="s">
        <v>3514</v>
      </c>
      <c r="J1089" s="34" t="s">
        <v>3419</v>
      </c>
      <c r="K1089" s="50">
        <v>270696</v>
      </c>
      <c r="L1089" s="43">
        <v>105000</v>
      </c>
      <c r="M1089" s="44">
        <f t="shared" si="80"/>
        <v>0.38788899725152937</v>
      </c>
      <c r="N1089" s="49">
        <f>ROUND(L1089/Summary!$C$3*Summary!$C$2,0)</f>
        <v>325500</v>
      </c>
      <c r="O1089" s="44">
        <f t="shared" si="81"/>
        <v>1.2024558914797412</v>
      </c>
      <c r="P1089" s="78">
        <v>10</v>
      </c>
      <c r="Q1089" s="34">
        <v>4</v>
      </c>
      <c r="R1089" s="35">
        <f t="shared" si="82"/>
        <v>0.4</v>
      </c>
      <c r="S1089" s="49">
        <f>ROUND(Q1089/Summary!$C$3*Summary!$C$2,0)</f>
        <v>12</v>
      </c>
      <c r="T1089" s="44">
        <f t="shared" si="83"/>
        <v>1.2</v>
      </c>
      <c r="U1089" s="34">
        <v>0</v>
      </c>
      <c r="V1089" s="34">
        <v>0</v>
      </c>
      <c r="W1089" s="34">
        <v>0</v>
      </c>
      <c r="X1089" s="34">
        <v>0</v>
      </c>
    </row>
    <row r="1090" spans="1:24" hidden="1">
      <c r="A1090" s="34" t="s">
        <v>1058</v>
      </c>
      <c r="B1090" s="34" t="s">
        <v>217</v>
      </c>
      <c r="C1090" s="34" t="s">
        <v>213</v>
      </c>
      <c r="D1090" s="34" t="s">
        <v>185</v>
      </c>
      <c r="E1090" s="34" t="s">
        <v>1</v>
      </c>
      <c r="F1090" s="34" t="s">
        <v>1059</v>
      </c>
      <c r="G1090" s="54">
        <v>1772244666</v>
      </c>
      <c r="H1090" s="54" t="s">
        <v>229</v>
      </c>
      <c r="I1090" s="54" t="s">
        <v>3514</v>
      </c>
      <c r="J1090" s="34" t="s">
        <v>3515</v>
      </c>
      <c r="K1090" s="50">
        <v>209034</v>
      </c>
      <c r="L1090" s="43">
        <v>64910</v>
      </c>
      <c r="M1090" s="44">
        <f t="shared" si="80"/>
        <v>0.31052364687084399</v>
      </c>
      <c r="N1090" s="49">
        <f>ROUND(L1090/Summary!$C$3*Summary!$C$2,0)</f>
        <v>201221</v>
      </c>
      <c r="O1090" s="44">
        <f t="shared" si="81"/>
        <v>0.96262330529961637</v>
      </c>
      <c r="P1090" s="78">
        <v>10</v>
      </c>
      <c r="Q1090" s="34">
        <v>3</v>
      </c>
      <c r="R1090" s="35">
        <f t="shared" si="82"/>
        <v>0.3</v>
      </c>
      <c r="S1090" s="49">
        <f>ROUND(Q1090/Summary!$C$3*Summary!$C$2,0)</f>
        <v>9</v>
      </c>
      <c r="T1090" s="44">
        <f t="shared" si="83"/>
        <v>0.9</v>
      </c>
      <c r="U1090" s="34">
        <v>0</v>
      </c>
      <c r="V1090" s="34">
        <v>0</v>
      </c>
      <c r="W1090" s="34">
        <v>0</v>
      </c>
      <c r="X1090" s="34">
        <v>1</v>
      </c>
    </row>
    <row r="1091" spans="1:24" hidden="1">
      <c r="A1091" s="34" t="s">
        <v>2956</v>
      </c>
      <c r="B1091" s="34" t="s">
        <v>834</v>
      </c>
      <c r="C1091" s="34" t="s">
        <v>213</v>
      </c>
      <c r="D1091" s="34" t="s">
        <v>185</v>
      </c>
      <c r="E1091" s="34" t="s">
        <v>1</v>
      </c>
      <c r="F1091" s="34" t="s">
        <v>2957</v>
      </c>
      <c r="G1091" s="54">
        <v>1680722511</v>
      </c>
      <c r="H1091" s="54" t="s">
        <v>229</v>
      </c>
      <c r="I1091" s="54" t="s">
        <v>3514</v>
      </c>
      <c r="J1091" s="34" t="s">
        <v>3515</v>
      </c>
      <c r="K1091" s="50">
        <v>130000</v>
      </c>
      <c r="L1091" s="43">
        <v>13220</v>
      </c>
      <c r="M1091" s="44">
        <f t="shared" si="80"/>
        <v>0.10169230769230769</v>
      </c>
      <c r="N1091" s="49">
        <f>ROUND(L1091/Summary!$C$3*Summary!$C$2,0)</f>
        <v>40982</v>
      </c>
      <c r="O1091" s="44">
        <f t="shared" si="81"/>
        <v>0.31524615384615384</v>
      </c>
      <c r="P1091" s="78">
        <v>10</v>
      </c>
      <c r="Q1091" s="34">
        <v>0</v>
      </c>
      <c r="R1091" s="35">
        <f t="shared" si="82"/>
        <v>0</v>
      </c>
      <c r="S1091" s="49">
        <f>ROUND(Q1091/Summary!$C$3*Summary!$C$2,0)</f>
        <v>0</v>
      </c>
      <c r="T1091" s="44">
        <f t="shared" si="83"/>
        <v>0</v>
      </c>
      <c r="U1091" s="34">
        <v>0</v>
      </c>
      <c r="V1091" s="34">
        <v>0</v>
      </c>
      <c r="W1091" s="34">
        <v>0</v>
      </c>
      <c r="X1091" s="34">
        <v>0</v>
      </c>
    </row>
    <row r="1092" spans="1:24" hidden="1">
      <c r="A1092" s="34" t="s">
        <v>855</v>
      </c>
      <c r="B1092" s="34" t="s">
        <v>856</v>
      </c>
      <c r="C1092" s="34" t="s">
        <v>184</v>
      </c>
      <c r="D1092" s="34" t="s">
        <v>185</v>
      </c>
      <c r="E1092" s="34" t="s">
        <v>1</v>
      </c>
      <c r="F1092" s="34" t="s">
        <v>857</v>
      </c>
      <c r="G1092" s="54">
        <v>1730903900</v>
      </c>
      <c r="H1092" s="54" t="s">
        <v>229</v>
      </c>
      <c r="I1092" s="54" t="s">
        <v>3514</v>
      </c>
      <c r="J1092" s="34" t="s">
        <v>3419</v>
      </c>
      <c r="K1092" s="50">
        <v>130000</v>
      </c>
      <c r="L1092" s="43">
        <v>18170</v>
      </c>
      <c r="M1092" s="44">
        <f t="shared" si="80"/>
        <v>0.13976923076923076</v>
      </c>
      <c r="N1092" s="49">
        <f>ROUND(L1092/Summary!$C$3*Summary!$C$2,0)</f>
        <v>56327</v>
      </c>
      <c r="O1092" s="44">
        <f t="shared" si="81"/>
        <v>0.43328461538461538</v>
      </c>
      <c r="P1092" s="78">
        <v>10</v>
      </c>
      <c r="Q1092" s="34">
        <v>1</v>
      </c>
      <c r="R1092" s="35">
        <f t="shared" si="82"/>
        <v>0.1</v>
      </c>
      <c r="S1092" s="49">
        <f>ROUND(Q1092/Summary!$C$3*Summary!$C$2,0)</f>
        <v>3</v>
      </c>
      <c r="T1092" s="44">
        <f t="shared" si="83"/>
        <v>0.3</v>
      </c>
      <c r="U1092" s="34">
        <v>0</v>
      </c>
      <c r="V1092" s="34">
        <v>0</v>
      </c>
      <c r="W1092" s="34">
        <v>0</v>
      </c>
      <c r="X1092" s="34">
        <v>0</v>
      </c>
    </row>
    <row r="1093" spans="1:24" hidden="1">
      <c r="A1093" s="34" t="s">
        <v>893</v>
      </c>
      <c r="B1093" s="34" t="s">
        <v>894</v>
      </c>
      <c r="C1093" s="34" t="s">
        <v>184</v>
      </c>
      <c r="D1093" s="34" t="s">
        <v>185</v>
      </c>
      <c r="E1093" s="34" t="s">
        <v>1</v>
      </c>
      <c r="F1093" s="34" t="s">
        <v>895</v>
      </c>
      <c r="G1093" s="54">
        <v>1686460102</v>
      </c>
      <c r="H1093" s="54" t="s">
        <v>229</v>
      </c>
      <c r="I1093" s="54" t="s">
        <v>3514</v>
      </c>
      <c r="J1093" s="34" t="s">
        <v>3421</v>
      </c>
      <c r="K1093" s="50">
        <v>130000</v>
      </c>
      <c r="L1093" s="43">
        <v>4740</v>
      </c>
      <c r="M1093" s="44">
        <f t="shared" si="80"/>
        <v>3.6461538461538462E-2</v>
      </c>
      <c r="N1093" s="49">
        <f>ROUND(L1093/Summary!$C$3*Summary!$C$2,0)</f>
        <v>14694</v>
      </c>
      <c r="O1093" s="44">
        <f t="shared" si="81"/>
        <v>0.11303076923076923</v>
      </c>
      <c r="P1093" s="78">
        <v>10</v>
      </c>
      <c r="Q1093" s="34">
        <v>0</v>
      </c>
      <c r="R1093" s="35">
        <f t="shared" si="82"/>
        <v>0</v>
      </c>
      <c r="S1093" s="49">
        <f>ROUND(Q1093/Summary!$C$3*Summary!$C$2,0)</f>
        <v>0</v>
      </c>
      <c r="T1093" s="44">
        <f t="shared" si="83"/>
        <v>0</v>
      </c>
      <c r="U1093" s="34">
        <v>0</v>
      </c>
      <c r="V1093" s="34">
        <v>0</v>
      </c>
      <c r="W1093" s="34">
        <v>0</v>
      </c>
      <c r="X1093" s="34">
        <v>0</v>
      </c>
    </row>
    <row r="1094" spans="1:24" hidden="1">
      <c r="A1094" s="34" t="s">
        <v>1028</v>
      </c>
      <c r="B1094" s="34" t="s">
        <v>1029</v>
      </c>
      <c r="C1094" s="34" t="s">
        <v>184</v>
      </c>
      <c r="D1094" s="34" t="s">
        <v>185</v>
      </c>
      <c r="E1094" s="34" t="s">
        <v>1</v>
      </c>
      <c r="F1094" s="34" t="s">
        <v>520</v>
      </c>
      <c r="G1094" s="54">
        <v>1751533333</v>
      </c>
      <c r="H1094" s="54" t="s">
        <v>229</v>
      </c>
      <c r="I1094" s="54" t="s">
        <v>3514</v>
      </c>
      <c r="J1094" s="34" t="s">
        <v>3419</v>
      </c>
      <c r="K1094" s="50">
        <v>161049</v>
      </c>
      <c r="L1094" s="43">
        <v>40770</v>
      </c>
      <c r="M1094" s="44">
        <f t="shared" si="80"/>
        <v>0.2531527671702401</v>
      </c>
      <c r="N1094" s="49">
        <f>ROUND(L1094/Summary!$C$3*Summary!$C$2,0)</f>
        <v>126387</v>
      </c>
      <c r="O1094" s="44">
        <f t="shared" si="81"/>
        <v>0.78477357822774441</v>
      </c>
      <c r="P1094" s="78">
        <v>10</v>
      </c>
      <c r="Q1094" s="34">
        <v>1</v>
      </c>
      <c r="R1094" s="35">
        <f t="shared" si="82"/>
        <v>0.1</v>
      </c>
      <c r="S1094" s="49">
        <f>ROUND(Q1094/Summary!$C$3*Summary!$C$2,0)</f>
        <v>3</v>
      </c>
      <c r="T1094" s="44">
        <f t="shared" si="83"/>
        <v>0.3</v>
      </c>
      <c r="U1094" s="34">
        <v>0</v>
      </c>
      <c r="V1094" s="34">
        <v>0</v>
      </c>
      <c r="W1094" s="34">
        <v>1</v>
      </c>
      <c r="X1094" s="34">
        <v>0</v>
      </c>
    </row>
    <row r="1095" spans="1:24" hidden="1">
      <c r="A1095" s="34" t="s">
        <v>3190</v>
      </c>
      <c r="B1095" s="34" t="s">
        <v>557</v>
      </c>
      <c r="C1095" s="34" t="s">
        <v>184</v>
      </c>
      <c r="D1095" s="34" t="s">
        <v>185</v>
      </c>
      <c r="E1095" s="34" t="s">
        <v>1</v>
      </c>
      <c r="F1095" s="34" t="s">
        <v>3191</v>
      </c>
      <c r="G1095" s="54">
        <v>1788000444</v>
      </c>
      <c r="H1095" s="54" t="s">
        <v>229</v>
      </c>
      <c r="I1095" s="54" t="s">
        <v>3514</v>
      </c>
      <c r="J1095" s="34" t="s">
        <v>3419</v>
      </c>
      <c r="K1095" s="50">
        <v>130000</v>
      </c>
      <c r="L1095" s="43">
        <v>35350</v>
      </c>
      <c r="M1095" s="44">
        <f t="shared" si="80"/>
        <v>0.27192307692307693</v>
      </c>
      <c r="N1095" s="49">
        <f>ROUND(L1095/Summary!$C$3*Summary!$C$2,0)</f>
        <v>109585</v>
      </c>
      <c r="O1095" s="44">
        <f t="shared" si="81"/>
        <v>0.84296153846153843</v>
      </c>
      <c r="P1095" s="78">
        <v>10</v>
      </c>
      <c r="Q1095" s="34">
        <v>2</v>
      </c>
      <c r="R1095" s="35">
        <f t="shared" si="82"/>
        <v>0.2</v>
      </c>
      <c r="S1095" s="49">
        <f>ROUND(Q1095/Summary!$C$3*Summary!$C$2,0)</f>
        <v>6</v>
      </c>
      <c r="T1095" s="44">
        <f t="shared" si="83"/>
        <v>0.6</v>
      </c>
      <c r="U1095" s="34">
        <v>2</v>
      </c>
      <c r="V1095" s="34">
        <v>1</v>
      </c>
      <c r="W1095" s="34">
        <v>0</v>
      </c>
      <c r="X1095" s="34">
        <v>0</v>
      </c>
    </row>
    <row r="1096" spans="1:24" hidden="1">
      <c r="A1096" s="34" t="s">
        <v>1056</v>
      </c>
      <c r="B1096" s="34" t="s">
        <v>78</v>
      </c>
      <c r="C1096" s="34" t="s">
        <v>184</v>
      </c>
      <c r="D1096" s="34" t="s">
        <v>185</v>
      </c>
      <c r="E1096" s="34" t="s">
        <v>1</v>
      </c>
      <c r="F1096" s="34" t="s">
        <v>1057</v>
      </c>
      <c r="G1096" s="54">
        <v>1711964000</v>
      </c>
      <c r="H1096" s="54" t="s">
        <v>229</v>
      </c>
      <c r="I1096" s="54" t="s">
        <v>3514</v>
      </c>
      <c r="J1096" s="34" t="s">
        <v>3419</v>
      </c>
      <c r="K1096" s="50">
        <v>130000</v>
      </c>
      <c r="L1096" s="43">
        <v>22310</v>
      </c>
      <c r="M1096" s="44">
        <f t="shared" si="80"/>
        <v>0.17161538461538461</v>
      </c>
      <c r="N1096" s="49">
        <f>ROUND(L1096/Summary!$C$3*Summary!$C$2,0)</f>
        <v>69161</v>
      </c>
      <c r="O1096" s="44">
        <f t="shared" si="81"/>
        <v>0.53200769230769229</v>
      </c>
      <c r="P1096" s="78">
        <v>10</v>
      </c>
      <c r="Q1096" s="34">
        <v>1</v>
      </c>
      <c r="R1096" s="35">
        <f t="shared" si="82"/>
        <v>0.1</v>
      </c>
      <c r="S1096" s="49">
        <f>ROUND(Q1096/Summary!$C$3*Summary!$C$2,0)</f>
        <v>3</v>
      </c>
      <c r="T1096" s="44">
        <f t="shared" si="83"/>
        <v>0.3</v>
      </c>
      <c r="U1096" s="34">
        <v>0</v>
      </c>
      <c r="V1096" s="34">
        <v>0</v>
      </c>
      <c r="W1096" s="34">
        <v>0</v>
      </c>
      <c r="X1096" s="34">
        <v>0</v>
      </c>
    </row>
    <row r="1097" spans="1:24" hidden="1">
      <c r="A1097" s="34" t="s">
        <v>973</v>
      </c>
      <c r="B1097" s="34" t="s">
        <v>974</v>
      </c>
      <c r="C1097" s="34" t="s">
        <v>184</v>
      </c>
      <c r="D1097" s="34" t="s">
        <v>185</v>
      </c>
      <c r="E1097" s="34" t="s">
        <v>1</v>
      </c>
      <c r="F1097" s="34" t="s">
        <v>975</v>
      </c>
      <c r="G1097" s="54">
        <v>1734635343</v>
      </c>
      <c r="H1097" s="54" t="s">
        <v>229</v>
      </c>
      <c r="I1097" s="54" t="s">
        <v>3514</v>
      </c>
      <c r="J1097" s="34" t="s">
        <v>3515</v>
      </c>
      <c r="K1097" s="50">
        <v>156367</v>
      </c>
      <c r="L1097" s="43">
        <v>25960</v>
      </c>
      <c r="M1097" s="44">
        <f t="shared" si="80"/>
        <v>0.16601968446027615</v>
      </c>
      <c r="N1097" s="49">
        <f>ROUND(L1097/Summary!$C$3*Summary!$C$2,0)</f>
        <v>80476</v>
      </c>
      <c r="O1097" s="44">
        <f t="shared" si="81"/>
        <v>0.51466102182685602</v>
      </c>
      <c r="P1097" s="78">
        <v>10</v>
      </c>
      <c r="Q1097" s="34">
        <v>1</v>
      </c>
      <c r="R1097" s="35">
        <f t="shared" si="82"/>
        <v>0.1</v>
      </c>
      <c r="S1097" s="49">
        <f>ROUND(Q1097/Summary!$C$3*Summary!$C$2,0)</f>
        <v>3</v>
      </c>
      <c r="T1097" s="44">
        <f t="shared" si="83"/>
        <v>0.3</v>
      </c>
      <c r="U1097" s="34">
        <v>0</v>
      </c>
      <c r="V1097" s="34">
        <v>0</v>
      </c>
      <c r="W1097" s="34">
        <v>0</v>
      </c>
      <c r="X1097" s="34">
        <v>0</v>
      </c>
    </row>
    <row r="1098" spans="1:24" hidden="1">
      <c r="A1098" s="34" t="s">
        <v>877</v>
      </c>
      <c r="B1098" s="34" t="s">
        <v>878</v>
      </c>
      <c r="C1098" s="34" t="s">
        <v>184</v>
      </c>
      <c r="D1098" s="34" t="s">
        <v>185</v>
      </c>
      <c r="E1098" s="34" t="s">
        <v>1</v>
      </c>
      <c r="F1098" s="34" t="s">
        <v>879</v>
      </c>
      <c r="G1098" s="54">
        <v>1813844737</v>
      </c>
      <c r="H1098" s="54" t="s">
        <v>229</v>
      </c>
      <c r="I1098" s="54" t="s">
        <v>3514</v>
      </c>
      <c r="J1098" s="34" t="s">
        <v>3515</v>
      </c>
      <c r="K1098" s="50">
        <v>130000</v>
      </c>
      <c r="L1098" s="43">
        <v>4190</v>
      </c>
      <c r="M1098" s="44">
        <f t="shared" ref="M1098:M1160" si="84">L1098/K1098</f>
        <v>3.223076923076923E-2</v>
      </c>
      <c r="N1098" s="49">
        <f>ROUND(L1098/Summary!$C$3*Summary!$C$2,0)</f>
        <v>12989</v>
      </c>
      <c r="O1098" s="44">
        <f t="shared" ref="O1098:O1160" si="85">N1098/K1098</f>
        <v>9.9915384615384614E-2</v>
      </c>
      <c r="P1098" s="78">
        <v>10</v>
      </c>
      <c r="Q1098" s="34">
        <v>0</v>
      </c>
      <c r="R1098" s="35">
        <f t="shared" ref="R1098:R1160" si="86">Q1098/P1098</f>
        <v>0</v>
      </c>
      <c r="S1098" s="49">
        <f>ROUND(Q1098/Summary!$C$3*Summary!$C$2,0)</f>
        <v>0</v>
      </c>
      <c r="T1098" s="44">
        <f t="shared" ref="T1098:T1160" si="87">S1098/P1098</f>
        <v>0</v>
      </c>
      <c r="U1098" s="34">
        <v>0</v>
      </c>
      <c r="V1098" s="34">
        <v>0</v>
      </c>
      <c r="W1098" s="34">
        <v>0</v>
      </c>
      <c r="X1098" s="34">
        <v>0</v>
      </c>
    </row>
    <row r="1099" spans="1:24" hidden="1">
      <c r="A1099" s="34" t="s">
        <v>1083</v>
      </c>
      <c r="B1099" s="34" t="s">
        <v>1084</v>
      </c>
      <c r="C1099" s="34" t="s">
        <v>184</v>
      </c>
      <c r="D1099" s="34" t="s">
        <v>185</v>
      </c>
      <c r="E1099" s="34" t="s">
        <v>1</v>
      </c>
      <c r="F1099" s="34" t="s">
        <v>1085</v>
      </c>
      <c r="G1099" s="54">
        <v>1916801878</v>
      </c>
      <c r="H1099" s="54" t="s">
        <v>229</v>
      </c>
      <c r="I1099" s="54" t="s">
        <v>3514</v>
      </c>
      <c r="J1099" s="34" t="s">
        <v>3421</v>
      </c>
      <c r="K1099" s="50">
        <v>130000</v>
      </c>
      <c r="L1099" s="43">
        <v>4090</v>
      </c>
      <c r="M1099" s="44">
        <f t="shared" si="84"/>
        <v>3.1461538461538464E-2</v>
      </c>
      <c r="N1099" s="49">
        <f>ROUND(L1099/Summary!$C$3*Summary!$C$2,0)</f>
        <v>12679</v>
      </c>
      <c r="O1099" s="44">
        <f t="shared" si="85"/>
        <v>9.7530769230769226E-2</v>
      </c>
      <c r="P1099" s="78">
        <v>10</v>
      </c>
      <c r="Q1099" s="34">
        <v>0</v>
      </c>
      <c r="R1099" s="35">
        <f t="shared" si="86"/>
        <v>0</v>
      </c>
      <c r="S1099" s="49">
        <f>ROUND(Q1099/Summary!$C$3*Summary!$C$2,0)</f>
        <v>0</v>
      </c>
      <c r="T1099" s="44">
        <f t="shared" si="87"/>
        <v>0</v>
      </c>
      <c r="U1099" s="34">
        <v>0</v>
      </c>
      <c r="V1099" s="34">
        <v>0</v>
      </c>
      <c r="W1099" s="34">
        <v>0</v>
      </c>
      <c r="X1099" s="34">
        <v>0</v>
      </c>
    </row>
    <row r="1100" spans="1:24" hidden="1">
      <c r="A1100" s="34" t="s">
        <v>984</v>
      </c>
      <c r="B1100" s="34" t="s">
        <v>985</v>
      </c>
      <c r="C1100" s="34" t="s">
        <v>184</v>
      </c>
      <c r="D1100" s="34" t="s">
        <v>185</v>
      </c>
      <c r="E1100" s="34" t="s">
        <v>1</v>
      </c>
      <c r="F1100" s="34" t="s">
        <v>986</v>
      </c>
      <c r="G1100" s="54">
        <v>1710555050</v>
      </c>
      <c r="H1100" s="54" t="s">
        <v>229</v>
      </c>
      <c r="I1100" s="54" t="s">
        <v>3514</v>
      </c>
      <c r="J1100" s="34" t="s">
        <v>3515</v>
      </c>
      <c r="K1100" s="50">
        <v>130000</v>
      </c>
      <c r="L1100" s="43">
        <v>10370</v>
      </c>
      <c r="M1100" s="44">
        <f t="shared" si="84"/>
        <v>7.9769230769230773E-2</v>
      </c>
      <c r="N1100" s="49">
        <f>ROUND(L1100/Summary!$C$3*Summary!$C$2,0)</f>
        <v>32147</v>
      </c>
      <c r="O1100" s="44">
        <f t="shared" si="85"/>
        <v>0.24728461538461538</v>
      </c>
      <c r="P1100" s="78">
        <v>10</v>
      </c>
      <c r="Q1100" s="34">
        <v>0</v>
      </c>
      <c r="R1100" s="35">
        <f t="shared" si="86"/>
        <v>0</v>
      </c>
      <c r="S1100" s="49">
        <f>ROUND(Q1100/Summary!$C$3*Summary!$C$2,0)</f>
        <v>0</v>
      </c>
      <c r="T1100" s="44">
        <f t="shared" si="87"/>
        <v>0</v>
      </c>
      <c r="U1100" s="34">
        <v>0</v>
      </c>
      <c r="V1100" s="34">
        <v>0</v>
      </c>
      <c r="W1100" s="34">
        <v>0</v>
      </c>
      <c r="X1100" s="34">
        <v>0</v>
      </c>
    </row>
    <row r="1101" spans="1:24" hidden="1">
      <c r="A1101" s="34" t="s">
        <v>874</v>
      </c>
      <c r="B1101" s="34" t="s">
        <v>875</v>
      </c>
      <c r="C1101" s="34" t="s">
        <v>145</v>
      </c>
      <c r="D1101" s="34" t="s">
        <v>3414</v>
      </c>
      <c r="E1101" s="34" t="s">
        <v>1</v>
      </c>
      <c r="F1101" s="34" t="s">
        <v>876</v>
      </c>
      <c r="G1101" s="54">
        <v>1619796579</v>
      </c>
      <c r="H1101" s="54" t="s">
        <v>229</v>
      </c>
      <c r="I1101" s="54" t="s">
        <v>3514</v>
      </c>
      <c r="J1101" s="34" t="s">
        <v>3419</v>
      </c>
      <c r="K1101" s="50">
        <v>167841</v>
      </c>
      <c r="L1101" s="43">
        <v>58840</v>
      </c>
      <c r="M1101" s="44">
        <f t="shared" si="84"/>
        <v>0.35056988459315663</v>
      </c>
      <c r="N1101" s="49">
        <f>ROUND(L1101/Summary!$C$3*Summary!$C$2,0)</f>
        <v>182404</v>
      </c>
      <c r="O1101" s="44">
        <f t="shared" si="85"/>
        <v>1.0867666422387856</v>
      </c>
      <c r="P1101" s="78">
        <v>10</v>
      </c>
      <c r="Q1101" s="34">
        <v>2</v>
      </c>
      <c r="R1101" s="35">
        <f t="shared" si="86"/>
        <v>0.2</v>
      </c>
      <c r="S1101" s="49">
        <f>ROUND(Q1101/Summary!$C$3*Summary!$C$2,0)</f>
        <v>6</v>
      </c>
      <c r="T1101" s="44">
        <f t="shared" si="87"/>
        <v>0.6</v>
      </c>
      <c r="U1101" s="34">
        <v>2</v>
      </c>
      <c r="V1101" s="34">
        <v>0</v>
      </c>
      <c r="W1101" s="34">
        <v>0</v>
      </c>
      <c r="X1101" s="34">
        <v>0</v>
      </c>
    </row>
    <row r="1102" spans="1:24" hidden="1">
      <c r="A1102" s="34" t="s">
        <v>899</v>
      </c>
      <c r="B1102" s="34" t="s">
        <v>218</v>
      </c>
      <c r="C1102" s="34" t="s">
        <v>145</v>
      </c>
      <c r="D1102" s="34" t="s">
        <v>3414</v>
      </c>
      <c r="E1102" s="34" t="s">
        <v>1</v>
      </c>
      <c r="F1102" s="34" t="s">
        <v>900</v>
      </c>
      <c r="G1102" s="54">
        <v>1860114106</v>
      </c>
      <c r="H1102" s="54" t="s">
        <v>229</v>
      </c>
      <c r="I1102" s="54" t="s">
        <v>3518</v>
      </c>
      <c r="J1102" s="34" t="s">
        <v>3419</v>
      </c>
      <c r="K1102" s="50">
        <v>344372</v>
      </c>
      <c r="L1102" s="43">
        <v>117850</v>
      </c>
      <c r="M1102" s="44">
        <f t="shared" si="84"/>
        <v>0.34221713728177666</v>
      </c>
      <c r="N1102" s="49">
        <f>ROUND(L1102/Summary!$C$3*Summary!$C$2,0)</f>
        <v>365335</v>
      </c>
      <c r="O1102" s="44">
        <f t="shared" si="85"/>
        <v>1.0608731255735078</v>
      </c>
      <c r="P1102" s="78">
        <v>18</v>
      </c>
      <c r="Q1102" s="34">
        <v>5</v>
      </c>
      <c r="R1102" s="35">
        <f t="shared" si="86"/>
        <v>0.27777777777777779</v>
      </c>
      <c r="S1102" s="49">
        <f>ROUND(Q1102/Summary!$C$3*Summary!$C$2,0)</f>
        <v>16</v>
      </c>
      <c r="T1102" s="44">
        <f t="shared" si="87"/>
        <v>0.88888888888888884</v>
      </c>
      <c r="U1102" s="34">
        <v>2</v>
      </c>
      <c r="V1102" s="34">
        <v>1</v>
      </c>
      <c r="W1102" s="34">
        <v>0</v>
      </c>
      <c r="X1102" s="34">
        <v>0</v>
      </c>
    </row>
    <row r="1103" spans="1:24" hidden="1">
      <c r="A1103" s="34" t="s">
        <v>1005</v>
      </c>
      <c r="B1103" s="34" t="s">
        <v>1006</v>
      </c>
      <c r="C1103" s="34" t="s">
        <v>145</v>
      </c>
      <c r="D1103" s="34" t="s">
        <v>3414</v>
      </c>
      <c r="E1103" s="34" t="s">
        <v>1</v>
      </c>
      <c r="F1103" s="34" t="s">
        <v>1007</v>
      </c>
      <c r="G1103" s="54">
        <v>1864174717</v>
      </c>
      <c r="H1103" s="54" t="s">
        <v>229</v>
      </c>
      <c r="I1103" s="54" t="s">
        <v>3514</v>
      </c>
      <c r="J1103" s="34" t="s">
        <v>3515</v>
      </c>
      <c r="K1103" s="50">
        <v>130000</v>
      </c>
      <c r="L1103" s="43">
        <v>15570</v>
      </c>
      <c r="M1103" s="44">
        <f t="shared" si="84"/>
        <v>0.11976923076923077</v>
      </c>
      <c r="N1103" s="49">
        <f>ROUND(L1103/Summary!$C$3*Summary!$C$2,0)</f>
        <v>48267</v>
      </c>
      <c r="O1103" s="44">
        <f t="shared" si="85"/>
        <v>0.37128461538461538</v>
      </c>
      <c r="P1103" s="78">
        <v>10</v>
      </c>
      <c r="Q1103" s="34">
        <v>0</v>
      </c>
      <c r="R1103" s="35">
        <f t="shared" si="86"/>
        <v>0</v>
      </c>
      <c r="S1103" s="49">
        <f>ROUND(Q1103/Summary!$C$3*Summary!$C$2,0)</f>
        <v>0</v>
      </c>
      <c r="T1103" s="44">
        <f t="shared" si="87"/>
        <v>0</v>
      </c>
      <c r="U1103" s="34">
        <v>0</v>
      </c>
      <c r="V1103" s="34">
        <v>0</v>
      </c>
      <c r="W1103" s="34">
        <v>0</v>
      </c>
      <c r="X1103" s="34">
        <v>0</v>
      </c>
    </row>
    <row r="1104" spans="1:24" hidden="1">
      <c r="A1104" s="34" t="s">
        <v>970</v>
      </c>
      <c r="B1104" s="34" t="s">
        <v>971</v>
      </c>
      <c r="C1104" s="34" t="s">
        <v>145</v>
      </c>
      <c r="D1104" s="34" t="s">
        <v>3414</v>
      </c>
      <c r="E1104" s="34" t="s">
        <v>1</v>
      </c>
      <c r="F1104" s="34" t="s">
        <v>972</v>
      </c>
      <c r="G1104" s="54">
        <v>1746888858</v>
      </c>
      <c r="H1104" s="54" t="s">
        <v>229</v>
      </c>
      <c r="I1104" s="54" t="s">
        <v>3514</v>
      </c>
      <c r="J1104" s="34" t="s">
        <v>3419</v>
      </c>
      <c r="K1104" s="50">
        <v>223984</v>
      </c>
      <c r="L1104" s="43">
        <v>109555</v>
      </c>
      <c r="M1104" s="44">
        <f t="shared" si="84"/>
        <v>0.48911975855418244</v>
      </c>
      <c r="N1104" s="49">
        <f>ROUND(L1104/Summary!$C$3*Summary!$C$2,0)</f>
        <v>339621</v>
      </c>
      <c r="O1104" s="44">
        <f t="shared" si="85"/>
        <v>1.5162734838202729</v>
      </c>
      <c r="P1104" s="78">
        <v>10</v>
      </c>
      <c r="Q1104" s="34">
        <v>6</v>
      </c>
      <c r="R1104" s="35">
        <f t="shared" si="86"/>
        <v>0.6</v>
      </c>
      <c r="S1104" s="49">
        <f>ROUND(Q1104/Summary!$C$3*Summary!$C$2,0)</f>
        <v>19</v>
      </c>
      <c r="T1104" s="44">
        <f t="shared" si="87"/>
        <v>1.9</v>
      </c>
      <c r="U1104" s="34">
        <v>1</v>
      </c>
      <c r="V1104" s="34">
        <v>1</v>
      </c>
      <c r="W1104" s="34">
        <v>0</v>
      </c>
      <c r="X1104" s="34">
        <v>0</v>
      </c>
    </row>
    <row r="1105" spans="1:24" hidden="1">
      <c r="A1105" s="34" t="s">
        <v>890</v>
      </c>
      <c r="B1105" s="34" t="s">
        <v>891</v>
      </c>
      <c r="C1105" s="34" t="s">
        <v>145</v>
      </c>
      <c r="D1105" s="34" t="s">
        <v>3414</v>
      </c>
      <c r="E1105" s="34" t="s">
        <v>1</v>
      </c>
      <c r="F1105" s="34" t="s">
        <v>892</v>
      </c>
      <c r="G1105" s="54">
        <v>1823767536</v>
      </c>
      <c r="H1105" s="54" t="s">
        <v>229</v>
      </c>
      <c r="I1105" s="54" t="s">
        <v>3514</v>
      </c>
      <c r="J1105" s="34" t="s">
        <v>3419</v>
      </c>
      <c r="K1105" s="50">
        <v>289406</v>
      </c>
      <c r="L1105" s="43">
        <v>129800</v>
      </c>
      <c r="M1105" s="44">
        <f t="shared" si="84"/>
        <v>0.448504868592911</v>
      </c>
      <c r="N1105" s="49">
        <f>ROUND(L1105/Summary!$C$3*Summary!$C$2,0)</f>
        <v>402380</v>
      </c>
      <c r="O1105" s="44">
        <f t="shared" si="85"/>
        <v>1.390365092638024</v>
      </c>
      <c r="P1105" s="78">
        <v>10</v>
      </c>
      <c r="Q1105" s="34">
        <v>2</v>
      </c>
      <c r="R1105" s="35">
        <f t="shared" si="86"/>
        <v>0.2</v>
      </c>
      <c r="S1105" s="49">
        <f>ROUND(Q1105/Summary!$C$3*Summary!$C$2,0)</f>
        <v>6</v>
      </c>
      <c r="T1105" s="44">
        <f t="shared" si="87"/>
        <v>0.6</v>
      </c>
      <c r="U1105" s="34">
        <v>0</v>
      </c>
      <c r="V1105" s="34">
        <v>0</v>
      </c>
      <c r="W1105" s="34">
        <v>0</v>
      </c>
      <c r="X1105" s="34">
        <v>0</v>
      </c>
    </row>
    <row r="1106" spans="1:24" hidden="1">
      <c r="A1106" s="75" t="s">
        <v>3655</v>
      </c>
      <c r="B1106" s="75" t="s">
        <v>3656</v>
      </c>
      <c r="C1106" s="75" t="s">
        <v>145</v>
      </c>
      <c r="D1106" s="75" t="s">
        <v>3414</v>
      </c>
      <c r="E1106" s="75" t="s">
        <v>1</v>
      </c>
      <c r="F1106" s="75" t="s">
        <v>3657</v>
      </c>
      <c r="G1106" s="67">
        <v>1818016101</v>
      </c>
      <c r="H1106" s="54" t="s">
        <v>229</v>
      </c>
      <c r="I1106" s="54" t="s">
        <v>3514</v>
      </c>
      <c r="J1106" s="34" t="s">
        <v>3421</v>
      </c>
      <c r="K1106" s="50">
        <v>130000</v>
      </c>
      <c r="L1106" s="43">
        <v>44660</v>
      </c>
      <c r="M1106" s="44">
        <f t="shared" si="84"/>
        <v>0.34353846153846151</v>
      </c>
      <c r="N1106" s="49">
        <f>ROUND(L1106/Summary!$C$3*Summary!$C$2,0)</f>
        <v>138446</v>
      </c>
      <c r="O1106" s="44">
        <f t="shared" si="85"/>
        <v>1.0649692307692307</v>
      </c>
      <c r="P1106" s="78">
        <v>10</v>
      </c>
      <c r="Q1106" s="34">
        <v>0</v>
      </c>
      <c r="R1106" s="35">
        <f t="shared" si="86"/>
        <v>0</v>
      </c>
      <c r="S1106" s="49">
        <f>ROUND(Q1106/Summary!$C$3*Summary!$C$2,0)</f>
        <v>0</v>
      </c>
      <c r="T1106" s="44">
        <f t="shared" si="87"/>
        <v>0</v>
      </c>
      <c r="U1106" s="34">
        <v>1</v>
      </c>
      <c r="V1106" s="34">
        <v>0</v>
      </c>
      <c r="W1106" s="34">
        <v>0</v>
      </c>
      <c r="X1106" s="34">
        <v>0</v>
      </c>
    </row>
    <row r="1107" spans="1:24" hidden="1">
      <c r="A1107" s="34" t="s">
        <v>935</v>
      </c>
      <c r="B1107" s="34" t="s">
        <v>936</v>
      </c>
      <c r="C1107" s="34" t="s">
        <v>145</v>
      </c>
      <c r="D1107" s="34" t="s">
        <v>3414</v>
      </c>
      <c r="E1107" s="34" t="s">
        <v>1</v>
      </c>
      <c r="F1107" s="34" t="s">
        <v>937</v>
      </c>
      <c r="G1107" s="54">
        <v>1914114140</v>
      </c>
      <c r="H1107" s="54" t="s">
        <v>229</v>
      </c>
      <c r="I1107" s="54" t="s">
        <v>3514</v>
      </c>
      <c r="J1107" s="34" t="s">
        <v>3419</v>
      </c>
      <c r="K1107" s="50">
        <v>130000</v>
      </c>
      <c r="L1107" s="43">
        <v>41480</v>
      </c>
      <c r="M1107" s="44">
        <f t="shared" si="84"/>
        <v>0.31907692307692309</v>
      </c>
      <c r="N1107" s="49">
        <f>ROUND(L1107/Summary!$C$3*Summary!$C$2,0)</f>
        <v>128588</v>
      </c>
      <c r="O1107" s="44">
        <f t="shared" si="85"/>
        <v>0.98913846153846152</v>
      </c>
      <c r="P1107" s="78">
        <v>10</v>
      </c>
      <c r="Q1107" s="34">
        <v>2</v>
      </c>
      <c r="R1107" s="35">
        <f t="shared" si="86"/>
        <v>0.2</v>
      </c>
      <c r="S1107" s="49">
        <f>ROUND(Q1107/Summary!$C$3*Summary!$C$2,0)</f>
        <v>6</v>
      </c>
      <c r="T1107" s="44">
        <f t="shared" si="87"/>
        <v>0.6</v>
      </c>
      <c r="U1107" s="34">
        <v>1</v>
      </c>
      <c r="V1107" s="34">
        <v>0</v>
      </c>
      <c r="W1107" s="34">
        <v>0</v>
      </c>
      <c r="X1107" s="34">
        <v>0</v>
      </c>
    </row>
    <row r="1108" spans="1:24" hidden="1">
      <c r="A1108" s="75" t="s">
        <v>3658</v>
      </c>
      <c r="B1108" s="75" t="s">
        <v>3659</v>
      </c>
      <c r="C1108" s="75" t="s">
        <v>145</v>
      </c>
      <c r="D1108" s="75" t="s">
        <v>3414</v>
      </c>
      <c r="E1108" s="75" t="s">
        <v>1</v>
      </c>
      <c r="F1108" s="75" t="s">
        <v>3660</v>
      </c>
      <c r="G1108" s="67">
        <v>1814234123</v>
      </c>
      <c r="H1108" s="54" t="s">
        <v>229</v>
      </c>
      <c r="I1108" s="54" t="s">
        <v>3514</v>
      </c>
      <c r="J1108" s="34" t="s">
        <v>3419</v>
      </c>
      <c r="K1108" s="50">
        <v>180000</v>
      </c>
      <c r="L1108" s="43">
        <v>15470</v>
      </c>
      <c r="M1108" s="44">
        <f t="shared" si="84"/>
        <v>8.5944444444444448E-2</v>
      </c>
      <c r="N1108" s="49">
        <f>ROUND(L1108/Summary!$C$3*Summary!$C$2,0)</f>
        <v>47957</v>
      </c>
      <c r="O1108" s="44">
        <f t="shared" si="85"/>
        <v>0.26642777777777776</v>
      </c>
      <c r="P1108" s="78">
        <v>10</v>
      </c>
      <c r="Q1108" s="34">
        <v>1</v>
      </c>
      <c r="R1108" s="35">
        <f t="shared" si="86"/>
        <v>0.1</v>
      </c>
      <c r="S1108" s="49">
        <f>ROUND(Q1108/Summary!$C$3*Summary!$C$2,0)</f>
        <v>3</v>
      </c>
      <c r="T1108" s="44">
        <f t="shared" si="87"/>
        <v>0.3</v>
      </c>
      <c r="U1108" s="34">
        <v>1</v>
      </c>
      <c r="V1108" s="34">
        <v>1</v>
      </c>
      <c r="W1108" s="34">
        <v>0</v>
      </c>
      <c r="X1108" s="34">
        <v>0</v>
      </c>
    </row>
    <row r="1109" spans="1:24" hidden="1">
      <c r="A1109" s="34" t="s">
        <v>953</v>
      </c>
      <c r="B1109" s="34" t="s">
        <v>954</v>
      </c>
      <c r="C1109" s="34" t="s">
        <v>145</v>
      </c>
      <c r="D1109" s="34" t="s">
        <v>3414</v>
      </c>
      <c r="E1109" s="34" t="s">
        <v>1</v>
      </c>
      <c r="F1109" s="34" t="s">
        <v>955</v>
      </c>
      <c r="G1109" s="54">
        <v>1751000012</v>
      </c>
      <c r="H1109" s="54" t="s">
        <v>229</v>
      </c>
      <c r="I1109" s="54" t="s">
        <v>3518</v>
      </c>
      <c r="J1109" s="34" t="s">
        <v>3419</v>
      </c>
      <c r="K1109" s="50">
        <v>307011</v>
      </c>
      <c r="L1109" s="43">
        <v>84950</v>
      </c>
      <c r="M1109" s="44">
        <f t="shared" si="84"/>
        <v>0.27670018338105151</v>
      </c>
      <c r="N1109" s="49">
        <f>ROUND(L1109/Summary!$C$3*Summary!$C$2,0)</f>
        <v>263345</v>
      </c>
      <c r="O1109" s="44">
        <f t="shared" si="85"/>
        <v>0.85777056848125965</v>
      </c>
      <c r="P1109" s="78">
        <v>15</v>
      </c>
      <c r="Q1109" s="34">
        <v>5</v>
      </c>
      <c r="R1109" s="35">
        <f t="shared" si="86"/>
        <v>0.33333333333333331</v>
      </c>
      <c r="S1109" s="49">
        <f>ROUND(Q1109/Summary!$C$3*Summary!$C$2,0)</f>
        <v>16</v>
      </c>
      <c r="T1109" s="44">
        <f t="shared" si="87"/>
        <v>1.0666666666666667</v>
      </c>
      <c r="U1109" s="34">
        <v>1</v>
      </c>
      <c r="V1109" s="34">
        <v>2</v>
      </c>
      <c r="W1109" s="34">
        <v>0</v>
      </c>
      <c r="X1109" s="34">
        <v>0</v>
      </c>
    </row>
    <row r="1110" spans="1:24" hidden="1">
      <c r="A1110" s="34" t="s">
        <v>866</v>
      </c>
      <c r="B1110" s="34" t="s">
        <v>867</v>
      </c>
      <c r="C1110" s="34" t="s">
        <v>145</v>
      </c>
      <c r="D1110" s="34" t="s">
        <v>3414</v>
      </c>
      <c r="E1110" s="34" t="s">
        <v>1</v>
      </c>
      <c r="F1110" s="34" t="s">
        <v>228</v>
      </c>
      <c r="G1110" s="54">
        <v>1836676375</v>
      </c>
      <c r="H1110" s="54" t="s">
        <v>229</v>
      </c>
      <c r="I1110" s="54" t="s">
        <v>3514</v>
      </c>
      <c r="J1110" s="34" t="s">
        <v>3419</v>
      </c>
      <c r="K1110" s="50">
        <v>130000</v>
      </c>
      <c r="L1110" s="43">
        <v>86170</v>
      </c>
      <c r="M1110" s="44">
        <f t="shared" si="84"/>
        <v>0.66284615384615386</v>
      </c>
      <c r="N1110" s="49">
        <f>ROUND(L1110/Summary!$C$3*Summary!$C$2,0)</f>
        <v>267127</v>
      </c>
      <c r="O1110" s="44">
        <f t="shared" si="85"/>
        <v>2.0548230769230771</v>
      </c>
      <c r="P1110" s="78">
        <v>10</v>
      </c>
      <c r="Q1110" s="34">
        <v>6</v>
      </c>
      <c r="R1110" s="35">
        <f t="shared" si="86"/>
        <v>0.6</v>
      </c>
      <c r="S1110" s="49">
        <f>ROUND(Q1110/Summary!$C$3*Summary!$C$2,0)</f>
        <v>19</v>
      </c>
      <c r="T1110" s="44">
        <f t="shared" si="87"/>
        <v>1.9</v>
      </c>
      <c r="U1110" s="34">
        <v>1</v>
      </c>
      <c r="V1110" s="34">
        <v>0</v>
      </c>
      <c r="W1110" s="34">
        <v>0</v>
      </c>
      <c r="X1110" s="34">
        <v>0</v>
      </c>
    </row>
    <row r="1111" spans="1:24" hidden="1">
      <c r="A1111" s="34" t="s">
        <v>999</v>
      </c>
      <c r="B1111" s="34" t="s">
        <v>1000</v>
      </c>
      <c r="C1111" s="34" t="s">
        <v>145</v>
      </c>
      <c r="D1111" s="34" t="s">
        <v>3414</v>
      </c>
      <c r="E1111" s="34" t="s">
        <v>1</v>
      </c>
      <c r="F1111" s="34" t="s">
        <v>1001</v>
      </c>
      <c r="G1111" s="54">
        <v>1845249498</v>
      </c>
      <c r="H1111" s="54" t="s">
        <v>229</v>
      </c>
      <c r="I1111" s="54" t="s">
        <v>3514</v>
      </c>
      <c r="J1111" s="34" t="s">
        <v>3421</v>
      </c>
      <c r="K1111" s="50">
        <v>130000</v>
      </c>
      <c r="L1111" s="43">
        <v>38450</v>
      </c>
      <c r="M1111" s="44">
        <f t="shared" si="84"/>
        <v>0.29576923076923078</v>
      </c>
      <c r="N1111" s="49">
        <f>ROUND(L1111/Summary!$C$3*Summary!$C$2,0)</f>
        <v>119195</v>
      </c>
      <c r="O1111" s="44">
        <f t="shared" si="85"/>
        <v>0.91688461538461541</v>
      </c>
      <c r="P1111" s="78">
        <v>10</v>
      </c>
      <c r="Q1111" s="34">
        <v>4</v>
      </c>
      <c r="R1111" s="35">
        <f t="shared" si="86"/>
        <v>0.4</v>
      </c>
      <c r="S1111" s="49">
        <f>ROUND(Q1111/Summary!$C$3*Summary!$C$2,0)</f>
        <v>12</v>
      </c>
      <c r="T1111" s="44">
        <f t="shared" si="87"/>
        <v>1.2</v>
      </c>
      <c r="U1111" s="34">
        <v>0</v>
      </c>
      <c r="V1111" s="34">
        <v>0</v>
      </c>
      <c r="W1111" s="34">
        <v>1</v>
      </c>
      <c r="X1111" s="34">
        <v>0</v>
      </c>
    </row>
    <row r="1112" spans="1:24" hidden="1">
      <c r="A1112" s="34" t="s">
        <v>1064</v>
      </c>
      <c r="B1112" s="34" t="s">
        <v>1065</v>
      </c>
      <c r="C1112" s="34" t="s">
        <v>182</v>
      </c>
      <c r="D1112" s="34" t="s">
        <v>3414</v>
      </c>
      <c r="E1112" s="34" t="s">
        <v>1</v>
      </c>
      <c r="F1112" s="34" t="s">
        <v>1066</v>
      </c>
      <c r="G1112" s="54">
        <v>1818789685</v>
      </c>
      <c r="H1112" s="54" t="s">
        <v>229</v>
      </c>
      <c r="I1112" s="54" t="s">
        <v>3514</v>
      </c>
      <c r="J1112" s="34" t="s">
        <v>3421</v>
      </c>
      <c r="K1112" s="50">
        <v>130000</v>
      </c>
      <c r="L1112" s="43">
        <v>33389</v>
      </c>
      <c r="M1112" s="44">
        <f t="shared" si="84"/>
        <v>0.25683846153846152</v>
      </c>
      <c r="N1112" s="49">
        <f>ROUND(L1112/Summary!$C$3*Summary!$C$2,0)</f>
        <v>103506</v>
      </c>
      <c r="O1112" s="44">
        <f t="shared" si="85"/>
        <v>0.79620000000000002</v>
      </c>
      <c r="P1112" s="78">
        <v>10</v>
      </c>
      <c r="Q1112" s="34">
        <v>0</v>
      </c>
      <c r="R1112" s="35">
        <f t="shared" si="86"/>
        <v>0</v>
      </c>
      <c r="S1112" s="49">
        <f>ROUND(Q1112/Summary!$C$3*Summary!$C$2,0)</f>
        <v>0</v>
      </c>
      <c r="T1112" s="44">
        <f t="shared" si="87"/>
        <v>0</v>
      </c>
      <c r="U1112" s="34">
        <v>0</v>
      </c>
      <c r="V1112" s="34">
        <v>0</v>
      </c>
      <c r="W1112" s="34">
        <v>0</v>
      </c>
      <c r="X1112" s="34">
        <v>0</v>
      </c>
    </row>
    <row r="1113" spans="1:24" hidden="1">
      <c r="A1113" s="34" t="s">
        <v>1077</v>
      </c>
      <c r="B1113" s="34" t="s">
        <v>1078</v>
      </c>
      <c r="C1113" s="34" t="s">
        <v>182</v>
      </c>
      <c r="D1113" s="34" t="s">
        <v>3414</v>
      </c>
      <c r="E1113" s="34" t="s">
        <v>1</v>
      </c>
      <c r="F1113" s="34" t="s">
        <v>1079</v>
      </c>
      <c r="G1113" s="54">
        <v>1814759582</v>
      </c>
      <c r="H1113" s="54" t="s">
        <v>229</v>
      </c>
      <c r="I1113" s="54" t="s">
        <v>3514</v>
      </c>
      <c r="J1113" s="34" t="s">
        <v>3421</v>
      </c>
      <c r="K1113" s="50">
        <v>130000</v>
      </c>
      <c r="L1113" s="43">
        <v>39410</v>
      </c>
      <c r="M1113" s="44">
        <f t="shared" si="84"/>
        <v>0.30315384615384616</v>
      </c>
      <c r="N1113" s="49">
        <f>ROUND(L1113/Summary!$C$3*Summary!$C$2,0)</f>
        <v>122171</v>
      </c>
      <c r="O1113" s="44">
        <f t="shared" si="85"/>
        <v>0.93977692307692307</v>
      </c>
      <c r="P1113" s="78">
        <v>10</v>
      </c>
      <c r="Q1113" s="34">
        <v>3</v>
      </c>
      <c r="R1113" s="35">
        <f t="shared" si="86"/>
        <v>0.3</v>
      </c>
      <c r="S1113" s="49">
        <f>ROUND(Q1113/Summary!$C$3*Summary!$C$2,0)</f>
        <v>9</v>
      </c>
      <c r="T1113" s="44">
        <f t="shared" si="87"/>
        <v>0.9</v>
      </c>
      <c r="U1113" s="34">
        <v>0</v>
      </c>
      <c r="V1113" s="34">
        <v>0</v>
      </c>
      <c r="W1113" s="34">
        <v>0</v>
      </c>
      <c r="X1113" s="34">
        <v>0</v>
      </c>
    </row>
    <row r="1114" spans="1:24" hidden="1">
      <c r="A1114" s="34" t="s">
        <v>978</v>
      </c>
      <c r="B1114" s="34" t="s">
        <v>979</v>
      </c>
      <c r="C1114" s="34" t="s">
        <v>182</v>
      </c>
      <c r="D1114" s="34" t="s">
        <v>3414</v>
      </c>
      <c r="E1114" s="34" t="s">
        <v>1</v>
      </c>
      <c r="F1114" s="34" t="s">
        <v>980</v>
      </c>
      <c r="G1114" s="54">
        <v>1715709669</v>
      </c>
      <c r="H1114" s="54" t="s">
        <v>229</v>
      </c>
      <c r="I1114" s="54" t="s">
        <v>3514</v>
      </c>
      <c r="J1114" s="34" t="s">
        <v>3419</v>
      </c>
      <c r="K1114" s="50">
        <v>130000</v>
      </c>
      <c r="L1114" s="43">
        <v>19070</v>
      </c>
      <c r="M1114" s="44">
        <f t="shared" si="84"/>
        <v>0.14669230769230771</v>
      </c>
      <c r="N1114" s="49">
        <f>ROUND(L1114/Summary!$C$3*Summary!$C$2,0)</f>
        <v>59117</v>
      </c>
      <c r="O1114" s="44">
        <f t="shared" si="85"/>
        <v>0.45474615384615386</v>
      </c>
      <c r="P1114" s="78">
        <v>10</v>
      </c>
      <c r="Q1114" s="34">
        <v>2</v>
      </c>
      <c r="R1114" s="35">
        <f t="shared" si="86"/>
        <v>0.2</v>
      </c>
      <c r="S1114" s="49">
        <f>ROUND(Q1114/Summary!$C$3*Summary!$C$2,0)</f>
        <v>6</v>
      </c>
      <c r="T1114" s="44">
        <f t="shared" si="87"/>
        <v>0.6</v>
      </c>
      <c r="U1114" s="34">
        <v>0</v>
      </c>
      <c r="V1114" s="34">
        <v>0</v>
      </c>
      <c r="W1114" s="34">
        <v>0</v>
      </c>
      <c r="X1114" s="34">
        <v>0</v>
      </c>
    </row>
    <row r="1115" spans="1:24" hidden="1">
      <c r="A1115" s="34" t="s">
        <v>3188</v>
      </c>
      <c r="B1115" s="34" t="s">
        <v>3189</v>
      </c>
      <c r="C1115" s="34" t="s">
        <v>182</v>
      </c>
      <c r="D1115" s="34" t="s">
        <v>3414</v>
      </c>
      <c r="E1115" s="34" t="s">
        <v>1</v>
      </c>
      <c r="F1115" s="34" t="s">
        <v>1495</v>
      </c>
      <c r="G1115" s="54">
        <v>1913951905</v>
      </c>
      <c r="H1115" s="54" t="s">
        <v>229</v>
      </c>
      <c r="I1115" s="54" t="s">
        <v>3514</v>
      </c>
      <c r="J1115" s="34" t="s">
        <v>3419</v>
      </c>
      <c r="K1115" s="50">
        <v>179686</v>
      </c>
      <c r="L1115" s="43">
        <v>61044</v>
      </c>
      <c r="M1115" s="44">
        <f t="shared" si="84"/>
        <v>0.3397259664080674</v>
      </c>
      <c r="N1115" s="49">
        <f>ROUND(L1115/Summary!$C$3*Summary!$C$2,0)</f>
        <v>189236</v>
      </c>
      <c r="O1115" s="44">
        <f t="shared" si="85"/>
        <v>1.0531482697594694</v>
      </c>
      <c r="P1115" s="78">
        <v>10</v>
      </c>
      <c r="Q1115" s="34">
        <v>4</v>
      </c>
      <c r="R1115" s="35">
        <f t="shared" si="86"/>
        <v>0.4</v>
      </c>
      <c r="S1115" s="49">
        <f>ROUND(Q1115/Summary!$C$3*Summary!$C$2,0)</f>
        <v>12</v>
      </c>
      <c r="T1115" s="44">
        <f t="shared" si="87"/>
        <v>1.2</v>
      </c>
      <c r="U1115" s="34">
        <v>1</v>
      </c>
      <c r="V1115" s="34">
        <v>1</v>
      </c>
      <c r="W1115" s="34">
        <v>0</v>
      </c>
      <c r="X1115" s="34">
        <v>0</v>
      </c>
    </row>
    <row r="1116" spans="1:24" hidden="1">
      <c r="A1116" s="34" t="s">
        <v>964</v>
      </c>
      <c r="B1116" s="34" t="s">
        <v>965</v>
      </c>
      <c r="C1116" s="34" t="s">
        <v>182</v>
      </c>
      <c r="D1116" s="34" t="s">
        <v>3414</v>
      </c>
      <c r="E1116" s="34" t="s">
        <v>1</v>
      </c>
      <c r="F1116" s="34" t="s">
        <v>966</v>
      </c>
      <c r="G1116" s="54">
        <v>1919821604</v>
      </c>
      <c r="H1116" s="54" t="s">
        <v>229</v>
      </c>
      <c r="I1116" s="54" t="s">
        <v>3514</v>
      </c>
      <c r="J1116" s="34" t="s">
        <v>3515</v>
      </c>
      <c r="K1116" s="50">
        <v>167532</v>
      </c>
      <c r="L1116" s="43">
        <v>73630</v>
      </c>
      <c r="M1116" s="44">
        <f t="shared" si="84"/>
        <v>0.43949812573120361</v>
      </c>
      <c r="N1116" s="49">
        <f>ROUND(L1116/Summary!$C$3*Summary!$C$2,0)</f>
        <v>228253</v>
      </c>
      <c r="O1116" s="44">
        <f t="shared" si="85"/>
        <v>1.3624441897667312</v>
      </c>
      <c r="P1116" s="78">
        <v>10</v>
      </c>
      <c r="Q1116" s="34">
        <v>4</v>
      </c>
      <c r="R1116" s="35">
        <f t="shared" si="86"/>
        <v>0.4</v>
      </c>
      <c r="S1116" s="49">
        <f>ROUND(Q1116/Summary!$C$3*Summary!$C$2,0)</f>
        <v>12</v>
      </c>
      <c r="T1116" s="44">
        <f t="shared" si="87"/>
        <v>1.2</v>
      </c>
      <c r="U1116" s="34">
        <v>0</v>
      </c>
      <c r="V1116" s="34">
        <v>0</v>
      </c>
      <c r="W1116" s="34">
        <v>0</v>
      </c>
      <c r="X1116" s="34">
        <v>0</v>
      </c>
    </row>
    <row r="1117" spans="1:24" hidden="1">
      <c r="A1117" s="34" t="s">
        <v>1060</v>
      </c>
      <c r="B1117" s="34" t="s">
        <v>1061</v>
      </c>
      <c r="C1117" s="34" t="s">
        <v>182</v>
      </c>
      <c r="D1117" s="34" t="s">
        <v>3414</v>
      </c>
      <c r="E1117" s="34" t="s">
        <v>1</v>
      </c>
      <c r="F1117" s="34" t="s">
        <v>1062</v>
      </c>
      <c r="G1117" s="54">
        <v>1815588688</v>
      </c>
      <c r="H1117" s="54" t="s">
        <v>229</v>
      </c>
      <c r="I1117" s="54" t="s">
        <v>3514</v>
      </c>
      <c r="J1117" s="34" t="s">
        <v>3419</v>
      </c>
      <c r="K1117" s="50">
        <v>179506</v>
      </c>
      <c r="L1117" s="43">
        <v>54810</v>
      </c>
      <c r="M1117" s="44">
        <f t="shared" si="84"/>
        <v>0.30533798313148308</v>
      </c>
      <c r="N1117" s="49">
        <f>ROUND(L1117/Summary!$C$3*Summary!$C$2,0)</f>
        <v>169911</v>
      </c>
      <c r="O1117" s="44">
        <f t="shared" si="85"/>
        <v>0.94654774770759753</v>
      </c>
      <c r="P1117" s="78">
        <v>10</v>
      </c>
      <c r="Q1117" s="34">
        <v>3</v>
      </c>
      <c r="R1117" s="35">
        <f t="shared" si="86"/>
        <v>0.3</v>
      </c>
      <c r="S1117" s="49">
        <f>ROUND(Q1117/Summary!$C$3*Summary!$C$2,0)</f>
        <v>9</v>
      </c>
      <c r="T1117" s="44">
        <f t="shared" si="87"/>
        <v>0.9</v>
      </c>
      <c r="U1117" s="34">
        <v>1</v>
      </c>
      <c r="V1117" s="34">
        <v>0</v>
      </c>
      <c r="W1117" s="34">
        <v>0</v>
      </c>
      <c r="X1117" s="34">
        <v>0</v>
      </c>
    </row>
    <row r="1118" spans="1:24">
      <c r="A1118" s="34" t="s">
        <v>884</v>
      </c>
      <c r="B1118" s="34" t="s">
        <v>885</v>
      </c>
      <c r="C1118" s="34" t="s">
        <v>182</v>
      </c>
      <c r="D1118" s="34" t="s">
        <v>3414</v>
      </c>
      <c r="E1118" s="34" t="s">
        <v>1</v>
      </c>
      <c r="F1118" s="34" t="s">
        <v>886</v>
      </c>
      <c r="G1118" s="54">
        <v>1812805825</v>
      </c>
      <c r="H1118" s="54" t="s">
        <v>229</v>
      </c>
      <c r="I1118" s="54" t="s">
        <v>3514</v>
      </c>
      <c r="J1118" s="34" t="s">
        <v>3419</v>
      </c>
      <c r="K1118" s="50">
        <v>169483</v>
      </c>
      <c r="L1118" s="43">
        <v>0</v>
      </c>
      <c r="M1118" s="44">
        <f t="shared" si="84"/>
        <v>0</v>
      </c>
      <c r="N1118" s="49">
        <f>ROUND(L1118/Summary!$C$3*Summary!$C$2,0)</f>
        <v>0</v>
      </c>
      <c r="O1118" s="44">
        <f t="shared" si="85"/>
        <v>0</v>
      </c>
      <c r="P1118" s="78">
        <v>10</v>
      </c>
      <c r="Q1118" s="34">
        <v>0</v>
      </c>
      <c r="R1118" s="35">
        <f t="shared" si="86"/>
        <v>0</v>
      </c>
      <c r="S1118" s="49">
        <f>ROUND(Q1118/Summary!$C$3*Summary!$C$2,0)</f>
        <v>0</v>
      </c>
      <c r="T1118" s="44">
        <f t="shared" si="87"/>
        <v>0</v>
      </c>
      <c r="U1118" s="34">
        <v>0</v>
      </c>
      <c r="V1118" s="34">
        <v>0</v>
      </c>
      <c r="W1118" s="34">
        <v>0</v>
      </c>
      <c r="X1118" s="34">
        <v>0</v>
      </c>
    </row>
    <row r="1119" spans="1:24" hidden="1">
      <c r="A1119" s="34" t="s">
        <v>2990</v>
      </c>
      <c r="B1119" s="34" t="s">
        <v>2991</v>
      </c>
      <c r="C1119" s="34" t="s">
        <v>182</v>
      </c>
      <c r="D1119" s="34" t="s">
        <v>3414</v>
      </c>
      <c r="E1119" s="34" t="s">
        <v>1</v>
      </c>
      <c r="F1119" s="34" t="s">
        <v>2992</v>
      </c>
      <c r="G1119" s="54">
        <v>1924967444</v>
      </c>
      <c r="H1119" s="54" t="s">
        <v>229</v>
      </c>
      <c r="I1119" s="54" t="s">
        <v>3522</v>
      </c>
      <c r="J1119" s="34" t="s">
        <v>3419</v>
      </c>
      <c r="K1119" s="50">
        <v>525437</v>
      </c>
      <c r="L1119" s="43">
        <v>136515</v>
      </c>
      <c r="M1119" s="44">
        <f t="shared" si="84"/>
        <v>0.25981230861168891</v>
      </c>
      <c r="N1119" s="49">
        <f>ROUND(L1119/Summary!$C$3*Summary!$C$2,0)</f>
        <v>423197</v>
      </c>
      <c r="O1119" s="44">
        <f t="shared" si="85"/>
        <v>0.80541910828510366</v>
      </c>
      <c r="P1119" s="78">
        <v>24</v>
      </c>
      <c r="Q1119" s="34">
        <v>3</v>
      </c>
      <c r="R1119" s="35">
        <f t="shared" si="86"/>
        <v>0.125</v>
      </c>
      <c r="S1119" s="49">
        <f>ROUND(Q1119/Summary!$C$3*Summary!$C$2,0)</f>
        <v>9</v>
      </c>
      <c r="T1119" s="44">
        <f t="shared" si="87"/>
        <v>0.375</v>
      </c>
      <c r="U1119" s="34">
        <v>0</v>
      </c>
      <c r="V1119" s="34">
        <v>0</v>
      </c>
      <c r="W1119" s="34">
        <v>0</v>
      </c>
      <c r="X1119" s="34">
        <v>0</v>
      </c>
    </row>
    <row r="1120" spans="1:24" hidden="1">
      <c r="A1120" s="34" t="s">
        <v>950</v>
      </c>
      <c r="B1120" s="34" t="s">
        <v>951</v>
      </c>
      <c r="C1120" s="34" t="s">
        <v>182</v>
      </c>
      <c r="D1120" s="34" t="s">
        <v>3414</v>
      </c>
      <c r="E1120" s="34" t="s">
        <v>1</v>
      </c>
      <c r="F1120" s="34" t="s">
        <v>952</v>
      </c>
      <c r="G1120" s="54">
        <v>1776201085</v>
      </c>
      <c r="H1120" s="54" t="s">
        <v>229</v>
      </c>
      <c r="I1120" s="54" t="s">
        <v>3514</v>
      </c>
      <c r="J1120" s="34" t="s">
        <v>3419</v>
      </c>
      <c r="K1120" s="50">
        <v>296817</v>
      </c>
      <c r="L1120" s="43">
        <v>67770</v>
      </c>
      <c r="M1120" s="44">
        <f t="shared" si="84"/>
        <v>0.22832250174349852</v>
      </c>
      <c r="N1120" s="49">
        <f>ROUND(L1120/Summary!$C$3*Summary!$C$2,0)</f>
        <v>210087</v>
      </c>
      <c r="O1120" s="44">
        <f t="shared" si="85"/>
        <v>0.70779975540484541</v>
      </c>
      <c r="P1120" s="78">
        <v>10</v>
      </c>
      <c r="Q1120" s="34">
        <v>2</v>
      </c>
      <c r="R1120" s="35">
        <f t="shared" si="86"/>
        <v>0.2</v>
      </c>
      <c r="S1120" s="49">
        <f>ROUND(Q1120/Summary!$C$3*Summary!$C$2,0)</f>
        <v>6</v>
      </c>
      <c r="T1120" s="44">
        <f t="shared" si="87"/>
        <v>0.6</v>
      </c>
      <c r="U1120" s="34">
        <v>0</v>
      </c>
      <c r="V1120" s="34">
        <v>0</v>
      </c>
      <c r="W1120" s="34">
        <v>0</v>
      </c>
      <c r="X1120" s="34">
        <v>0</v>
      </c>
    </row>
    <row r="1121" spans="1:24" hidden="1">
      <c r="A1121" s="34" t="s">
        <v>3120</v>
      </c>
      <c r="B1121" s="34" t="s">
        <v>2945</v>
      </c>
      <c r="C1121" s="34" t="s">
        <v>182</v>
      </c>
      <c r="D1121" s="34" t="s">
        <v>3414</v>
      </c>
      <c r="E1121" s="34" t="s">
        <v>1</v>
      </c>
      <c r="F1121" s="34" t="s">
        <v>3121</v>
      </c>
      <c r="G1121" s="54">
        <v>1857887799</v>
      </c>
      <c r="H1121" s="54" t="s">
        <v>229</v>
      </c>
      <c r="I1121" s="54" t="s">
        <v>3514</v>
      </c>
      <c r="J1121" s="34" t="s">
        <v>3421</v>
      </c>
      <c r="K1121" s="50">
        <v>130000</v>
      </c>
      <c r="L1121" s="43">
        <v>5690</v>
      </c>
      <c r="M1121" s="44">
        <f t="shared" si="84"/>
        <v>4.3769230769230769E-2</v>
      </c>
      <c r="N1121" s="49">
        <f>ROUND(L1121/Summary!$C$3*Summary!$C$2,0)</f>
        <v>17639</v>
      </c>
      <c r="O1121" s="44">
        <f t="shared" si="85"/>
        <v>0.13568461538461538</v>
      </c>
      <c r="P1121" s="78">
        <v>10</v>
      </c>
      <c r="Q1121" s="34">
        <v>0</v>
      </c>
      <c r="R1121" s="35">
        <f t="shared" si="86"/>
        <v>0</v>
      </c>
      <c r="S1121" s="49">
        <f>ROUND(Q1121/Summary!$C$3*Summary!$C$2,0)</f>
        <v>0</v>
      </c>
      <c r="T1121" s="44">
        <f t="shared" si="87"/>
        <v>0</v>
      </c>
      <c r="U1121" s="34">
        <v>0</v>
      </c>
      <c r="V1121" s="34">
        <v>0</v>
      </c>
      <c r="W1121" s="34">
        <v>0</v>
      </c>
      <c r="X1121" s="34">
        <v>0</v>
      </c>
    </row>
    <row r="1122" spans="1:24" hidden="1">
      <c r="A1122" s="34" t="s">
        <v>852</v>
      </c>
      <c r="B1122" s="34" t="s">
        <v>853</v>
      </c>
      <c r="C1122" s="34" t="s">
        <v>182</v>
      </c>
      <c r="D1122" s="34" t="s">
        <v>3414</v>
      </c>
      <c r="E1122" s="34" t="s">
        <v>1</v>
      </c>
      <c r="F1122" s="34" t="s">
        <v>854</v>
      </c>
      <c r="G1122" s="54">
        <v>1752781122</v>
      </c>
      <c r="H1122" s="54" t="s">
        <v>229</v>
      </c>
      <c r="I1122" s="54" t="s">
        <v>3514</v>
      </c>
      <c r="J1122" s="34" t="s">
        <v>3419</v>
      </c>
      <c r="K1122" s="50">
        <v>163817</v>
      </c>
      <c r="L1122" s="43">
        <v>37130</v>
      </c>
      <c r="M1122" s="44">
        <f t="shared" si="84"/>
        <v>0.2266553532295183</v>
      </c>
      <c r="N1122" s="49">
        <f>ROUND(L1122/Summary!$C$3*Summary!$C$2,0)</f>
        <v>115103</v>
      </c>
      <c r="O1122" s="44">
        <f t="shared" si="85"/>
        <v>0.70263159501150674</v>
      </c>
      <c r="P1122" s="78">
        <v>10</v>
      </c>
      <c r="Q1122" s="34">
        <v>1</v>
      </c>
      <c r="R1122" s="35">
        <f t="shared" si="86"/>
        <v>0.1</v>
      </c>
      <c r="S1122" s="49">
        <f>ROUND(Q1122/Summary!$C$3*Summary!$C$2,0)</f>
        <v>3</v>
      </c>
      <c r="T1122" s="44">
        <f t="shared" si="87"/>
        <v>0.3</v>
      </c>
      <c r="U1122" s="34">
        <v>1</v>
      </c>
      <c r="V1122" s="34">
        <v>0</v>
      </c>
      <c r="W1122" s="34">
        <v>0</v>
      </c>
      <c r="X1122" s="34">
        <v>0</v>
      </c>
    </row>
    <row r="1123" spans="1:24" hidden="1">
      <c r="A1123" s="34" t="s">
        <v>3195</v>
      </c>
      <c r="B1123" s="34" t="s">
        <v>3196</v>
      </c>
      <c r="C1123" s="34" t="s">
        <v>182</v>
      </c>
      <c r="D1123" s="34" t="s">
        <v>3414</v>
      </c>
      <c r="E1123" s="34" t="s">
        <v>1</v>
      </c>
      <c r="F1123" s="34" t="s">
        <v>3197</v>
      </c>
      <c r="G1123" s="54">
        <v>1779547994</v>
      </c>
      <c r="H1123" s="54" t="s">
        <v>229</v>
      </c>
      <c r="I1123" s="54" t="s">
        <v>3514</v>
      </c>
      <c r="J1123" s="34" t="s">
        <v>3421</v>
      </c>
      <c r="K1123" s="50">
        <v>130000</v>
      </c>
      <c r="L1123" s="43">
        <v>44355</v>
      </c>
      <c r="M1123" s="44">
        <f t="shared" si="84"/>
        <v>0.34119230769230768</v>
      </c>
      <c r="N1123" s="49">
        <f>ROUND(L1123/Summary!$C$3*Summary!$C$2,0)</f>
        <v>137501</v>
      </c>
      <c r="O1123" s="44">
        <f t="shared" si="85"/>
        <v>1.0577000000000001</v>
      </c>
      <c r="P1123" s="78">
        <v>10</v>
      </c>
      <c r="Q1123" s="34">
        <v>2</v>
      </c>
      <c r="R1123" s="35">
        <f t="shared" si="86"/>
        <v>0.2</v>
      </c>
      <c r="S1123" s="49">
        <f>ROUND(Q1123/Summary!$C$3*Summary!$C$2,0)</f>
        <v>6</v>
      </c>
      <c r="T1123" s="44">
        <f t="shared" si="87"/>
        <v>0.6</v>
      </c>
      <c r="U1123" s="34">
        <v>0</v>
      </c>
      <c r="V1123" s="34">
        <v>0</v>
      </c>
      <c r="W1123" s="34">
        <v>0</v>
      </c>
      <c r="X1123" s="34">
        <v>0</v>
      </c>
    </row>
    <row r="1124" spans="1:24" hidden="1">
      <c r="A1124" s="34" t="s">
        <v>887</v>
      </c>
      <c r="B1124" s="34" t="s">
        <v>888</v>
      </c>
      <c r="C1124" s="34" t="s">
        <v>146</v>
      </c>
      <c r="D1124" s="34" t="s">
        <v>147</v>
      </c>
      <c r="E1124" s="34" t="s">
        <v>1</v>
      </c>
      <c r="F1124" s="34" t="s">
        <v>889</v>
      </c>
      <c r="G1124" s="54">
        <v>1725988505</v>
      </c>
      <c r="H1124" s="54" t="s">
        <v>229</v>
      </c>
      <c r="I1124" s="54" t="s">
        <v>3514</v>
      </c>
      <c r="J1124" s="34" t="s">
        <v>3419</v>
      </c>
      <c r="K1124" s="50">
        <v>130000</v>
      </c>
      <c r="L1124" s="43">
        <v>53490</v>
      </c>
      <c r="M1124" s="44">
        <f t="shared" si="84"/>
        <v>0.41146153846153843</v>
      </c>
      <c r="N1124" s="49">
        <f>ROUND(L1124/Summary!$C$3*Summary!$C$2,0)</f>
        <v>165819</v>
      </c>
      <c r="O1124" s="44">
        <f t="shared" si="85"/>
        <v>1.2755307692307691</v>
      </c>
      <c r="P1124" s="78">
        <v>10</v>
      </c>
      <c r="Q1124" s="34">
        <v>1</v>
      </c>
      <c r="R1124" s="35">
        <f t="shared" si="86"/>
        <v>0.1</v>
      </c>
      <c r="S1124" s="49">
        <f>ROUND(Q1124/Summary!$C$3*Summary!$C$2,0)</f>
        <v>3</v>
      </c>
      <c r="T1124" s="44">
        <f t="shared" si="87"/>
        <v>0.3</v>
      </c>
      <c r="U1124" s="34">
        <v>2</v>
      </c>
      <c r="V1124" s="34">
        <v>1</v>
      </c>
      <c r="W1124" s="34">
        <v>0</v>
      </c>
      <c r="X1124" s="34">
        <v>0</v>
      </c>
    </row>
    <row r="1125" spans="1:24" hidden="1">
      <c r="A1125" s="34" t="s">
        <v>1013</v>
      </c>
      <c r="B1125" s="34" t="s">
        <v>269</v>
      </c>
      <c r="C1125" s="34" t="s">
        <v>146</v>
      </c>
      <c r="D1125" s="34" t="s">
        <v>147</v>
      </c>
      <c r="E1125" s="34" t="s">
        <v>1</v>
      </c>
      <c r="F1125" s="34" t="s">
        <v>1014</v>
      </c>
      <c r="G1125" s="54">
        <v>1714641211</v>
      </c>
      <c r="H1125" s="54" t="s">
        <v>229</v>
      </c>
      <c r="I1125" s="54" t="s">
        <v>3514</v>
      </c>
      <c r="J1125" s="34" t="s">
        <v>3421</v>
      </c>
      <c r="K1125" s="50">
        <v>130000</v>
      </c>
      <c r="L1125" s="43">
        <v>11330</v>
      </c>
      <c r="M1125" s="44">
        <f t="shared" si="84"/>
        <v>8.7153846153846151E-2</v>
      </c>
      <c r="N1125" s="49">
        <f>ROUND(L1125/Summary!$C$3*Summary!$C$2,0)</f>
        <v>35123</v>
      </c>
      <c r="O1125" s="44">
        <f t="shared" si="85"/>
        <v>0.27017692307692309</v>
      </c>
      <c r="P1125" s="78">
        <v>10</v>
      </c>
      <c r="Q1125" s="34">
        <v>1</v>
      </c>
      <c r="R1125" s="35">
        <f t="shared" si="86"/>
        <v>0.1</v>
      </c>
      <c r="S1125" s="49">
        <f>ROUND(Q1125/Summary!$C$3*Summary!$C$2,0)</f>
        <v>3</v>
      </c>
      <c r="T1125" s="44">
        <f t="shared" si="87"/>
        <v>0.3</v>
      </c>
      <c r="U1125" s="34">
        <v>0</v>
      </c>
      <c r="V1125" s="34">
        <v>0</v>
      </c>
      <c r="W1125" s="34">
        <v>0</v>
      </c>
      <c r="X1125" s="34">
        <v>0</v>
      </c>
    </row>
    <row r="1126" spans="1:24" hidden="1">
      <c r="A1126" s="34" t="s">
        <v>3416</v>
      </c>
      <c r="B1126" s="34" t="s">
        <v>3417</v>
      </c>
      <c r="C1126" s="34" t="s">
        <v>146</v>
      </c>
      <c r="D1126" s="34" t="s">
        <v>147</v>
      </c>
      <c r="E1126" s="34" t="s">
        <v>1</v>
      </c>
      <c r="F1126" s="34" t="s">
        <v>3415</v>
      </c>
      <c r="G1126" s="54">
        <v>1917437012</v>
      </c>
      <c r="H1126" s="54" t="s">
        <v>229</v>
      </c>
      <c r="I1126" s="54" t="s">
        <v>3518</v>
      </c>
      <c r="J1126" s="34" t="s">
        <v>3420</v>
      </c>
      <c r="K1126" s="50">
        <v>337674</v>
      </c>
      <c r="L1126" s="43">
        <v>31130</v>
      </c>
      <c r="M1126" s="44">
        <f t="shared" si="84"/>
        <v>9.218950822390827E-2</v>
      </c>
      <c r="N1126" s="49">
        <f>ROUND(L1126/Summary!$C$3*Summary!$C$2,0)</f>
        <v>96503</v>
      </c>
      <c r="O1126" s="44">
        <f t="shared" si="85"/>
        <v>0.28578747549411565</v>
      </c>
      <c r="P1126" s="78">
        <v>10</v>
      </c>
      <c r="Q1126" s="34">
        <v>1</v>
      </c>
      <c r="R1126" s="35">
        <f t="shared" si="86"/>
        <v>0.1</v>
      </c>
      <c r="S1126" s="49">
        <f>ROUND(Q1126/Summary!$C$3*Summary!$C$2,0)</f>
        <v>3</v>
      </c>
      <c r="T1126" s="44">
        <f t="shared" si="87"/>
        <v>0.3</v>
      </c>
      <c r="U1126" s="34">
        <v>0</v>
      </c>
      <c r="V1126" s="34">
        <v>1</v>
      </c>
      <c r="W1126" s="34">
        <v>0</v>
      </c>
      <c r="X1126" s="34">
        <v>0</v>
      </c>
    </row>
    <row r="1127" spans="1:24" hidden="1">
      <c r="A1127" s="34" t="s">
        <v>1022</v>
      </c>
      <c r="B1127" s="34" t="s">
        <v>1023</v>
      </c>
      <c r="C1127" s="34" t="s">
        <v>146</v>
      </c>
      <c r="D1127" s="34" t="s">
        <v>147</v>
      </c>
      <c r="E1127" s="34" t="s">
        <v>1</v>
      </c>
      <c r="F1127" s="34" t="s">
        <v>1024</v>
      </c>
      <c r="G1127" s="54">
        <v>1705094427</v>
      </c>
      <c r="H1127" s="54" t="s">
        <v>229</v>
      </c>
      <c r="I1127" s="54" t="s">
        <v>3514</v>
      </c>
      <c r="J1127" s="34" t="s">
        <v>3419</v>
      </c>
      <c r="K1127" s="50">
        <v>130000</v>
      </c>
      <c r="L1127" s="43">
        <v>25140</v>
      </c>
      <c r="M1127" s="44">
        <f t="shared" si="84"/>
        <v>0.19338461538461538</v>
      </c>
      <c r="N1127" s="49">
        <f>ROUND(L1127/Summary!$C$3*Summary!$C$2,0)</f>
        <v>77934</v>
      </c>
      <c r="O1127" s="44">
        <f t="shared" si="85"/>
        <v>0.59949230769230766</v>
      </c>
      <c r="P1127" s="78">
        <v>10</v>
      </c>
      <c r="Q1127" s="34">
        <v>0</v>
      </c>
      <c r="R1127" s="35">
        <f t="shared" si="86"/>
        <v>0</v>
      </c>
      <c r="S1127" s="49">
        <f>ROUND(Q1127/Summary!$C$3*Summary!$C$2,0)</f>
        <v>0</v>
      </c>
      <c r="T1127" s="44">
        <f t="shared" si="87"/>
        <v>0</v>
      </c>
      <c r="U1127" s="34">
        <v>0</v>
      </c>
      <c r="V1127" s="34">
        <v>0</v>
      </c>
      <c r="W1127" s="34">
        <v>0</v>
      </c>
      <c r="X1127" s="34">
        <v>0</v>
      </c>
    </row>
    <row r="1128" spans="1:24" hidden="1">
      <c r="A1128" s="34" t="s">
        <v>990</v>
      </c>
      <c r="B1128" s="34" t="s">
        <v>991</v>
      </c>
      <c r="C1128" s="34" t="s">
        <v>146</v>
      </c>
      <c r="D1128" s="34" t="s">
        <v>147</v>
      </c>
      <c r="E1128" s="34" t="s">
        <v>1</v>
      </c>
      <c r="F1128" s="34" t="s">
        <v>992</v>
      </c>
      <c r="G1128" s="54">
        <v>1912994716</v>
      </c>
      <c r="H1128" s="54" t="s">
        <v>229</v>
      </c>
      <c r="I1128" s="54" t="s">
        <v>3514</v>
      </c>
      <c r="J1128" s="34" t="s">
        <v>3421</v>
      </c>
      <c r="K1128" s="50">
        <v>130000</v>
      </c>
      <c r="L1128" s="43">
        <v>28290</v>
      </c>
      <c r="M1128" s="44">
        <f t="shared" si="84"/>
        <v>0.21761538461538463</v>
      </c>
      <c r="N1128" s="49">
        <f>ROUND(L1128/Summary!$C$3*Summary!$C$2,0)</f>
        <v>87699</v>
      </c>
      <c r="O1128" s="44">
        <f t="shared" si="85"/>
        <v>0.67460769230769235</v>
      </c>
      <c r="P1128" s="78">
        <v>10</v>
      </c>
      <c r="Q1128" s="34">
        <v>1</v>
      </c>
      <c r="R1128" s="35">
        <f t="shared" si="86"/>
        <v>0.1</v>
      </c>
      <c r="S1128" s="49">
        <f>ROUND(Q1128/Summary!$C$3*Summary!$C$2,0)</f>
        <v>3</v>
      </c>
      <c r="T1128" s="44">
        <f t="shared" si="87"/>
        <v>0.3</v>
      </c>
      <c r="U1128" s="34">
        <v>0</v>
      </c>
      <c r="V1128" s="34">
        <v>1</v>
      </c>
      <c r="W1128" s="34">
        <v>0</v>
      </c>
      <c r="X1128" s="34">
        <v>0</v>
      </c>
    </row>
    <row r="1129" spans="1:24" hidden="1">
      <c r="A1129" s="34" t="s">
        <v>1080</v>
      </c>
      <c r="B1129" s="34" t="s">
        <v>1081</v>
      </c>
      <c r="C1129" s="34" t="s">
        <v>146</v>
      </c>
      <c r="D1129" s="34" t="s">
        <v>147</v>
      </c>
      <c r="E1129" s="34" t="s">
        <v>1</v>
      </c>
      <c r="F1129" s="34" t="s">
        <v>1082</v>
      </c>
      <c r="G1129" s="54">
        <v>1756011618</v>
      </c>
      <c r="H1129" s="54" t="s">
        <v>229</v>
      </c>
      <c r="I1129" s="54" t="s">
        <v>3514</v>
      </c>
      <c r="J1129" s="34" t="s">
        <v>3421</v>
      </c>
      <c r="K1129" s="50">
        <v>130000</v>
      </c>
      <c r="L1129" s="43">
        <v>6680</v>
      </c>
      <c r="M1129" s="44">
        <f t="shared" si="84"/>
        <v>5.1384615384615383E-2</v>
      </c>
      <c r="N1129" s="49">
        <f>ROUND(L1129/Summary!$C$3*Summary!$C$2,0)</f>
        <v>20708</v>
      </c>
      <c r="O1129" s="44">
        <f t="shared" si="85"/>
        <v>0.15929230769230771</v>
      </c>
      <c r="P1129" s="78">
        <v>10</v>
      </c>
      <c r="Q1129" s="34">
        <v>0</v>
      </c>
      <c r="R1129" s="35">
        <f t="shared" si="86"/>
        <v>0</v>
      </c>
      <c r="S1129" s="49">
        <f>ROUND(Q1129/Summary!$C$3*Summary!$C$2,0)</f>
        <v>0</v>
      </c>
      <c r="T1129" s="44">
        <f t="shared" si="87"/>
        <v>0</v>
      </c>
      <c r="U1129" s="34">
        <v>0</v>
      </c>
      <c r="V1129" s="34">
        <v>0</v>
      </c>
      <c r="W1129" s="34">
        <v>0</v>
      </c>
      <c r="X1129" s="34">
        <v>0</v>
      </c>
    </row>
    <row r="1130" spans="1:24" hidden="1">
      <c r="A1130" s="34" t="s">
        <v>1038</v>
      </c>
      <c r="B1130" s="34" t="s">
        <v>1039</v>
      </c>
      <c r="C1130" s="34" t="s">
        <v>146</v>
      </c>
      <c r="D1130" s="34" t="s">
        <v>147</v>
      </c>
      <c r="E1130" s="34" t="s">
        <v>1</v>
      </c>
      <c r="F1130" s="34" t="s">
        <v>1040</v>
      </c>
      <c r="G1130" s="54">
        <v>1759336333</v>
      </c>
      <c r="H1130" s="54" t="s">
        <v>229</v>
      </c>
      <c r="I1130" s="54" t="s">
        <v>3514</v>
      </c>
      <c r="J1130" s="34" t="s">
        <v>3419</v>
      </c>
      <c r="K1130" s="50">
        <v>130000</v>
      </c>
      <c r="L1130" s="43">
        <v>38290</v>
      </c>
      <c r="M1130" s="44">
        <f t="shared" si="84"/>
        <v>0.29453846153846153</v>
      </c>
      <c r="N1130" s="49">
        <f>ROUND(L1130/Summary!$C$3*Summary!$C$2,0)</f>
        <v>118699</v>
      </c>
      <c r="O1130" s="44">
        <f t="shared" si="85"/>
        <v>0.91306923076923074</v>
      </c>
      <c r="P1130" s="78">
        <v>10</v>
      </c>
      <c r="Q1130" s="34">
        <v>1</v>
      </c>
      <c r="R1130" s="35">
        <f t="shared" si="86"/>
        <v>0.1</v>
      </c>
      <c r="S1130" s="49">
        <f>ROUND(Q1130/Summary!$C$3*Summary!$C$2,0)</f>
        <v>3</v>
      </c>
      <c r="T1130" s="44">
        <f t="shared" si="87"/>
        <v>0.3</v>
      </c>
      <c r="U1130" s="34">
        <v>0</v>
      </c>
      <c r="V1130" s="34">
        <v>0</v>
      </c>
      <c r="W1130" s="34">
        <v>0</v>
      </c>
      <c r="X1130" s="34">
        <v>0</v>
      </c>
    </row>
    <row r="1131" spans="1:24" hidden="1">
      <c r="A1131" s="34" t="s">
        <v>996</v>
      </c>
      <c r="B1131" s="34" t="s">
        <v>997</v>
      </c>
      <c r="C1131" s="34" t="s">
        <v>208</v>
      </c>
      <c r="D1131" s="34" t="s">
        <v>147</v>
      </c>
      <c r="E1131" s="34" t="s">
        <v>1</v>
      </c>
      <c r="F1131" s="34" t="s">
        <v>998</v>
      </c>
      <c r="G1131" s="54">
        <v>1719812165</v>
      </c>
      <c r="H1131" s="54" t="s">
        <v>229</v>
      </c>
      <c r="I1131" s="54" t="s">
        <v>3514</v>
      </c>
      <c r="J1131" s="34" t="s">
        <v>3421</v>
      </c>
      <c r="K1131" s="50">
        <v>130000</v>
      </c>
      <c r="L1131" s="43">
        <v>8190</v>
      </c>
      <c r="M1131" s="44">
        <f t="shared" si="84"/>
        <v>6.3E-2</v>
      </c>
      <c r="N1131" s="49">
        <f>ROUND(L1131/Summary!$C$3*Summary!$C$2,0)</f>
        <v>25389</v>
      </c>
      <c r="O1131" s="44">
        <f t="shared" si="85"/>
        <v>0.1953</v>
      </c>
      <c r="P1131" s="78">
        <v>10</v>
      </c>
      <c r="Q1131" s="34">
        <v>0</v>
      </c>
      <c r="R1131" s="35">
        <f t="shared" si="86"/>
        <v>0</v>
      </c>
      <c r="S1131" s="49">
        <f>ROUND(Q1131/Summary!$C$3*Summary!$C$2,0)</f>
        <v>0</v>
      </c>
      <c r="T1131" s="44">
        <f t="shared" si="87"/>
        <v>0</v>
      </c>
      <c r="U1131" s="34">
        <v>0</v>
      </c>
      <c r="V1131" s="34">
        <v>0</v>
      </c>
      <c r="W1131" s="34">
        <v>0</v>
      </c>
      <c r="X1131" s="34">
        <v>0</v>
      </c>
    </row>
    <row r="1132" spans="1:24" hidden="1">
      <c r="A1132" s="34" t="s">
        <v>3125</v>
      </c>
      <c r="B1132" s="34" t="s">
        <v>3126</v>
      </c>
      <c r="C1132" s="34" t="s">
        <v>208</v>
      </c>
      <c r="D1132" s="34" t="s">
        <v>147</v>
      </c>
      <c r="E1132" s="34" t="s">
        <v>1</v>
      </c>
      <c r="F1132" s="34" t="s">
        <v>3127</v>
      </c>
      <c r="G1132" s="54">
        <v>1732392392</v>
      </c>
      <c r="H1132" s="54" t="s">
        <v>229</v>
      </c>
      <c r="I1132" s="54" t="s">
        <v>3514</v>
      </c>
      <c r="J1132" s="34" t="s">
        <v>3419</v>
      </c>
      <c r="K1132" s="50">
        <v>189986</v>
      </c>
      <c r="L1132" s="43">
        <v>26700</v>
      </c>
      <c r="M1132" s="44">
        <f t="shared" si="84"/>
        <v>0.14053667112313539</v>
      </c>
      <c r="N1132" s="49">
        <f>ROUND(L1132/Summary!$C$3*Summary!$C$2,0)</f>
        <v>82770</v>
      </c>
      <c r="O1132" s="44">
        <f t="shared" si="85"/>
        <v>0.43566368048171972</v>
      </c>
      <c r="P1132" s="78">
        <v>10</v>
      </c>
      <c r="Q1132" s="34">
        <v>0</v>
      </c>
      <c r="R1132" s="35">
        <f t="shared" si="86"/>
        <v>0</v>
      </c>
      <c r="S1132" s="49">
        <f>ROUND(Q1132/Summary!$C$3*Summary!$C$2,0)</f>
        <v>0</v>
      </c>
      <c r="T1132" s="44">
        <f t="shared" si="87"/>
        <v>0</v>
      </c>
      <c r="U1132" s="34">
        <v>2</v>
      </c>
      <c r="V1132" s="34">
        <v>0</v>
      </c>
      <c r="W1132" s="34">
        <v>0</v>
      </c>
      <c r="X1132" s="34">
        <v>0</v>
      </c>
    </row>
    <row r="1133" spans="1:24" hidden="1">
      <c r="A1133" s="34" t="s">
        <v>3330</v>
      </c>
      <c r="B1133" s="34" t="s">
        <v>1396</v>
      </c>
      <c r="C1133" s="34" t="s">
        <v>208</v>
      </c>
      <c r="D1133" s="34" t="s">
        <v>147</v>
      </c>
      <c r="E1133" s="34" t="s">
        <v>1</v>
      </c>
      <c r="F1133" s="34" t="s">
        <v>3418</v>
      </c>
      <c r="G1133" s="54">
        <v>1708791717</v>
      </c>
      <c r="H1133" s="54" t="s">
        <v>229</v>
      </c>
      <c r="I1133" s="54" t="s">
        <v>3514</v>
      </c>
      <c r="J1133" s="34" t="s">
        <v>3419</v>
      </c>
      <c r="K1133" s="50">
        <v>130000</v>
      </c>
      <c r="L1133" s="43">
        <v>41455</v>
      </c>
      <c r="M1133" s="44">
        <f t="shared" si="84"/>
        <v>0.31888461538461538</v>
      </c>
      <c r="N1133" s="49">
        <f>ROUND(L1133/Summary!$C$3*Summary!$C$2,0)</f>
        <v>128511</v>
      </c>
      <c r="O1133" s="44">
        <f t="shared" si="85"/>
        <v>0.98854615384615385</v>
      </c>
      <c r="P1133" s="78">
        <v>10</v>
      </c>
      <c r="Q1133" s="34">
        <v>2</v>
      </c>
      <c r="R1133" s="35">
        <f t="shared" si="86"/>
        <v>0.2</v>
      </c>
      <c r="S1133" s="49">
        <f>ROUND(Q1133/Summary!$C$3*Summary!$C$2,0)</f>
        <v>6</v>
      </c>
      <c r="T1133" s="44">
        <f t="shared" si="87"/>
        <v>0.6</v>
      </c>
      <c r="U1133" s="34">
        <v>0</v>
      </c>
      <c r="V1133" s="34">
        <v>0</v>
      </c>
      <c r="W1133" s="34">
        <v>0</v>
      </c>
      <c r="X1133" s="34">
        <v>0</v>
      </c>
    </row>
    <row r="1134" spans="1:24">
      <c r="A1134" s="34" t="s">
        <v>3192</v>
      </c>
      <c r="B1134" s="34" t="s">
        <v>3193</v>
      </c>
      <c r="C1134" s="34" t="s">
        <v>208</v>
      </c>
      <c r="D1134" s="34" t="s">
        <v>147</v>
      </c>
      <c r="E1134" s="34" t="s">
        <v>1</v>
      </c>
      <c r="F1134" s="34" t="s">
        <v>3194</v>
      </c>
      <c r="G1134" s="54">
        <v>1717140689</v>
      </c>
      <c r="H1134" s="54" t="s">
        <v>229</v>
      </c>
      <c r="I1134" s="54" t="s">
        <v>3514</v>
      </c>
      <c r="J1134" s="34" t="s">
        <v>3421</v>
      </c>
      <c r="K1134" s="50">
        <v>130000</v>
      </c>
      <c r="L1134" s="43">
        <v>0</v>
      </c>
      <c r="M1134" s="44">
        <f t="shared" si="84"/>
        <v>0</v>
      </c>
      <c r="N1134" s="49">
        <f>ROUND(L1134/Summary!$C$3*Summary!$C$2,0)</f>
        <v>0</v>
      </c>
      <c r="O1134" s="44">
        <f t="shared" si="85"/>
        <v>0</v>
      </c>
      <c r="P1134" s="78">
        <v>10</v>
      </c>
      <c r="Q1134" s="34">
        <v>0</v>
      </c>
      <c r="R1134" s="35">
        <f t="shared" si="86"/>
        <v>0</v>
      </c>
      <c r="S1134" s="49">
        <f>ROUND(Q1134/Summary!$C$3*Summary!$C$2,0)</f>
        <v>0</v>
      </c>
      <c r="T1134" s="44">
        <f t="shared" si="87"/>
        <v>0</v>
      </c>
      <c r="U1134" s="34">
        <v>0</v>
      </c>
      <c r="V1134" s="34">
        <v>0</v>
      </c>
      <c r="W1134" s="34">
        <v>0</v>
      </c>
      <c r="X1134" s="34">
        <v>0</v>
      </c>
    </row>
    <row r="1135" spans="1:24" hidden="1">
      <c r="A1135" s="34" t="s">
        <v>959</v>
      </c>
      <c r="B1135" s="34" t="s">
        <v>67</v>
      </c>
      <c r="C1135" s="34" t="s">
        <v>208</v>
      </c>
      <c r="D1135" s="34" t="s">
        <v>147</v>
      </c>
      <c r="E1135" s="34" t="s">
        <v>1</v>
      </c>
      <c r="F1135" s="34" t="s">
        <v>960</v>
      </c>
      <c r="G1135" s="54">
        <v>1751818312</v>
      </c>
      <c r="H1135" s="54" t="s">
        <v>229</v>
      </c>
      <c r="I1135" s="54" t="s">
        <v>3514</v>
      </c>
      <c r="J1135" s="34" t="s">
        <v>3421</v>
      </c>
      <c r="K1135" s="50">
        <v>130000</v>
      </c>
      <c r="L1135" s="43">
        <v>29110</v>
      </c>
      <c r="M1135" s="44">
        <f t="shared" si="84"/>
        <v>0.22392307692307692</v>
      </c>
      <c r="N1135" s="49">
        <f>ROUND(L1135/Summary!$C$3*Summary!$C$2,0)</f>
        <v>90241</v>
      </c>
      <c r="O1135" s="44">
        <f t="shared" si="85"/>
        <v>0.6941615384615385</v>
      </c>
      <c r="P1135" s="78">
        <v>10</v>
      </c>
      <c r="Q1135" s="34">
        <v>3</v>
      </c>
      <c r="R1135" s="35">
        <f t="shared" si="86"/>
        <v>0.3</v>
      </c>
      <c r="S1135" s="49">
        <f>ROUND(Q1135/Summary!$C$3*Summary!$C$2,0)</f>
        <v>9</v>
      </c>
      <c r="T1135" s="44">
        <f t="shared" si="87"/>
        <v>0.9</v>
      </c>
      <c r="U1135" s="34">
        <v>0</v>
      </c>
      <c r="V1135" s="34">
        <v>0</v>
      </c>
      <c r="W1135" s="34">
        <v>0</v>
      </c>
      <c r="X1135" s="34">
        <v>0</v>
      </c>
    </row>
    <row r="1136" spans="1:24" hidden="1">
      <c r="A1136" s="34" t="s">
        <v>961</v>
      </c>
      <c r="B1136" s="34" t="s">
        <v>962</v>
      </c>
      <c r="C1136" s="34" t="s">
        <v>208</v>
      </c>
      <c r="D1136" s="34" t="s">
        <v>147</v>
      </c>
      <c r="E1136" s="34" t="s">
        <v>1</v>
      </c>
      <c r="F1136" s="34" t="s">
        <v>963</v>
      </c>
      <c r="G1136" s="54">
        <v>1735193793</v>
      </c>
      <c r="H1136" s="54" t="s">
        <v>229</v>
      </c>
      <c r="I1136" s="54" t="s">
        <v>3514</v>
      </c>
      <c r="J1136" s="34" t="s">
        <v>3515</v>
      </c>
      <c r="K1136" s="50">
        <v>130000</v>
      </c>
      <c r="L1136" s="43">
        <v>29550</v>
      </c>
      <c r="M1136" s="44">
        <f t="shared" si="84"/>
        <v>0.22730769230769229</v>
      </c>
      <c r="N1136" s="49">
        <f>ROUND(L1136/Summary!$C$3*Summary!$C$2,0)</f>
        <v>91605</v>
      </c>
      <c r="O1136" s="44">
        <f t="shared" si="85"/>
        <v>0.70465384615384619</v>
      </c>
      <c r="P1136" s="78">
        <v>10</v>
      </c>
      <c r="Q1136" s="34">
        <v>0</v>
      </c>
      <c r="R1136" s="35">
        <f t="shared" si="86"/>
        <v>0</v>
      </c>
      <c r="S1136" s="49">
        <f>ROUND(Q1136/Summary!$C$3*Summary!$C$2,0)</f>
        <v>0</v>
      </c>
      <c r="T1136" s="44">
        <f t="shared" si="87"/>
        <v>0</v>
      </c>
      <c r="U1136" s="34">
        <v>1</v>
      </c>
      <c r="V1136" s="34">
        <v>0</v>
      </c>
      <c r="W1136" s="34">
        <v>0</v>
      </c>
      <c r="X1136" s="34">
        <v>0</v>
      </c>
    </row>
    <row r="1137" spans="1:24" hidden="1">
      <c r="A1137" s="34" t="s">
        <v>1044</v>
      </c>
      <c r="B1137" s="34" t="s">
        <v>1045</v>
      </c>
      <c r="C1137" s="34" t="s">
        <v>208</v>
      </c>
      <c r="D1137" s="34" t="s">
        <v>147</v>
      </c>
      <c r="E1137" s="34" t="s">
        <v>1</v>
      </c>
      <c r="F1137" s="34" t="s">
        <v>1046</v>
      </c>
      <c r="G1137" s="54">
        <v>1752258352</v>
      </c>
      <c r="H1137" s="54" t="s">
        <v>229</v>
      </c>
      <c r="I1137" s="54" t="s">
        <v>3514</v>
      </c>
      <c r="J1137" s="34" t="s">
        <v>3515</v>
      </c>
      <c r="K1137" s="50">
        <v>130000</v>
      </c>
      <c r="L1137" s="43">
        <v>16370</v>
      </c>
      <c r="M1137" s="44">
        <f t="shared" si="84"/>
        <v>0.12592307692307692</v>
      </c>
      <c r="N1137" s="49">
        <f>ROUND(L1137/Summary!$C$3*Summary!$C$2,0)</f>
        <v>50747</v>
      </c>
      <c r="O1137" s="44">
        <f t="shared" si="85"/>
        <v>0.39036153846153848</v>
      </c>
      <c r="P1137" s="78">
        <v>10</v>
      </c>
      <c r="Q1137" s="34">
        <v>1</v>
      </c>
      <c r="R1137" s="35">
        <f t="shared" si="86"/>
        <v>0.1</v>
      </c>
      <c r="S1137" s="49">
        <f>ROUND(Q1137/Summary!$C$3*Summary!$C$2,0)</f>
        <v>3</v>
      </c>
      <c r="T1137" s="44">
        <f t="shared" si="87"/>
        <v>0.3</v>
      </c>
      <c r="U1137" s="34">
        <v>0</v>
      </c>
      <c r="V1137" s="34">
        <v>0</v>
      </c>
      <c r="W1137" s="34">
        <v>0</v>
      </c>
      <c r="X1137" s="34">
        <v>0</v>
      </c>
    </row>
    <row r="1138" spans="1:24" hidden="1">
      <c r="A1138" s="34" t="s">
        <v>3331</v>
      </c>
      <c r="B1138" s="34" t="s">
        <v>3332</v>
      </c>
      <c r="C1138" s="34" t="s">
        <v>1020</v>
      </c>
      <c r="D1138" s="34" t="s">
        <v>178</v>
      </c>
      <c r="E1138" s="34" t="s">
        <v>1</v>
      </c>
      <c r="F1138" s="34" t="s">
        <v>3333</v>
      </c>
      <c r="G1138" s="54">
        <v>1630802267</v>
      </c>
      <c r="H1138" s="54" t="s">
        <v>229</v>
      </c>
      <c r="I1138" s="54" t="s">
        <v>3514</v>
      </c>
      <c r="J1138" s="34" t="s">
        <v>3421</v>
      </c>
      <c r="K1138" s="50">
        <v>140000</v>
      </c>
      <c r="L1138" s="43">
        <v>32400</v>
      </c>
      <c r="M1138" s="44">
        <f t="shared" si="84"/>
        <v>0.23142857142857143</v>
      </c>
      <c r="N1138" s="49">
        <f>ROUND(L1138/Summary!$C$3*Summary!$C$2,0)</f>
        <v>100440</v>
      </c>
      <c r="O1138" s="44">
        <f t="shared" si="85"/>
        <v>0.71742857142857142</v>
      </c>
      <c r="P1138" s="78">
        <v>11</v>
      </c>
      <c r="Q1138" s="34">
        <v>2</v>
      </c>
      <c r="R1138" s="35">
        <f t="shared" si="86"/>
        <v>0.18181818181818182</v>
      </c>
      <c r="S1138" s="49">
        <f>ROUND(Q1138/Summary!$C$3*Summary!$C$2,0)</f>
        <v>6</v>
      </c>
      <c r="T1138" s="44">
        <f t="shared" si="87"/>
        <v>0.54545454545454541</v>
      </c>
      <c r="U1138" s="34">
        <v>0</v>
      </c>
      <c r="V1138" s="34">
        <v>0</v>
      </c>
      <c r="W1138" s="34">
        <v>1</v>
      </c>
      <c r="X1138" s="34">
        <v>0</v>
      </c>
    </row>
    <row r="1139" spans="1:24" hidden="1">
      <c r="A1139" s="34" t="s">
        <v>1018</v>
      </c>
      <c r="B1139" s="34" t="s">
        <v>1019</v>
      </c>
      <c r="C1139" s="34" t="s">
        <v>1020</v>
      </c>
      <c r="D1139" s="34" t="s">
        <v>178</v>
      </c>
      <c r="E1139" s="34" t="s">
        <v>1</v>
      </c>
      <c r="F1139" s="34" t="s">
        <v>1021</v>
      </c>
      <c r="G1139" s="54">
        <v>1620449580</v>
      </c>
      <c r="H1139" s="54" t="s">
        <v>229</v>
      </c>
      <c r="I1139" s="54" t="s">
        <v>3514</v>
      </c>
      <c r="J1139" s="34" t="s">
        <v>3419</v>
      </c>
      <c r="K1139" s="50">
        <v>130000</v>
      </c>
      <c r="L1139" s="43">
        <v>28159</v>
      </c>
      <c r="M1139" s="44">
        <f t="shared" si="84"/>
        <v>0.21660769230769231</v>
      </c>
      <c r="N1139" s="49">
        <f>ROUND(L1139/Summary!$C$3*Summary!$C$2,0)</f>
        <v>87293</v>
      </c>
      <c r="O1139" s="44">
        <f t="shared" si="85"/>
        <v>0.67148461538461535</v>
      </c>
      <c r="P1139" s="78">
        <v>11</v>
      </c>
      <c r="Q1139" s="34">
        <v>1</v>
      </c>
      <c r="R1139" s="35">
        <f t="shared" si="86"/>
        <v>9.0909090909090912E-2</v>
      </c>
      <c r="S1139" s="49">
        <f>ROUND(Q1139/Summary!$C$3*Summary!$C$2,0)</f>
        <v>3</v>
      </c>
      <c r="T1139" s="44">
        <f t="shared" si="87"/>
        <v>0.27272727272727271</v>
      </c>
      <c r="U1139" s="34">
        <v>2</v>
      </c>
      <c r="V1139" s="34">
        <v>0</v>
      </c>
      <c r="W1139" s="34">
        <v>0</v>
      </c>
      <c r="X1139" s="34">
        <v>0</v>
      </c>
    </row>
    <row r="1140" spans="1:24" hidden="1">
      <c r="A1140" s="34" t="s">
        <v>967</v>
      </c>
      <c r="B1140" s="34" t="s">
        <v>968</v>
      </c>
      <c r="C1140" s="34" t="s">
        <v>177</v>
      </c>
      <c r="D1140" s="34" t="s">
        <v>178</v>
      </c>
      <c r="E1140" s="34" t="s">
        <v>1</v>
      </c>
      <c r="F1140" s="34" t="s">
        <v>969</v>
      </c>
      <c r="G1140" s="54">
        <v>1988577039</v>
      </c>
      <c r="H1140" s="54" t="s">
        <v>229</v>
      </c>
      <c r="I1140" s="54" t="s">
        <v>3514</v>
      </c>
      <c r="J1140" s="34" t="s">
        <v>3421</v>
      </c>
      <c r="K1140" s="50">
        <v>140000</v>
      </c>
      <c r="L1140" s="43">
        <v>44420</v>
      </c>
      <c r="M1140" s="44">
        <f t="shared" si="84"/>
        <v>0.31728571428571428</v>
      </c>
      <c r="N1140" s="49">
        <f>ROUND(L1140/Summary!$C$3*Summary!$C$2,0)</f>
        <v>137702</v>
      </c>
      <c r="O1140" s="44">
        <f t="shared" si="85"/>
        <v>0.98358571428571429</v>
      </c>
      <c r="P1140" s="78">
        <v>11</v>
      </c>
      <c r="Q1140" s="34">
        <v>3</v>
      </c>
      <c r="R1140" s="35">
        <f t="shared" si="86"/>
        <v>0.27272727272727271</v>
      </c>
      <c r="S1140" s="49">
        <f>ROUND(Q1140/Summary!$C$3*Summary!$C$2,0)</f>
        <v>9</v>
      </c>
      <c r="T1140" s="44">
        <f t="shared" si="87"/>
        <v>0.81818181818181823</v>
      </c>
      <c r="U1140" s="34">
        <v>0</v>
      </c>
      <c r="V1140" s="34">
        <v>2</v>
      </c>
      <c r="W1140" s="34">
        <v>0</v>
      </c>
      <c r="X1140" s="34">
        <v>0</v>
      </c>
    </row>
    <row r="1141" spans="1:24" hidden="1">
      <c r="A1141" s="34" t="s">
        <v>1025</v>
      </c>
      <c r="B1141" s="34" t="s">
        <v>1026</v>
      </c>
      <c r="C1141" s="34" t="s">
        <v>177</v>
      </c>
      <c r="D1141" s="34" t="s">
        <v>178</v>
      </c>
      <c r="E1141" s="34" t="s">
        <v>1</v>
      </c>
      <c r="F1141" s="34" t="s">
        <v>1027</v>
      </c>
      <c r="G1141" s="54">
        <v>1763364580</v>
      </c>
      <c r="H1141" s="54" t="s">
        <v>229</v>
      </c>
      <c r="I1141" s="54" t="s">
        <v>3514</v>
      </c>
      <c r="J1141" s="34" t="s">
        <v>3421</v>
      </c>
      <c r="K1141" s="50">
        <v>130000</v>
      </c>
      <c r="L1141" s="43">
        <v>53645</v>
      </c>
      <c r="M1141" s="44">
        <f t="shared" si="84"/>
        <v>0.41265384615384615</v>
      </c>
      <c r="N1141" s="49">
        <f>ROUND(L1141/Summary!$C$3*Summary!$C$2,0)</f>
        <v>166300</v>
      </c>
      <c r="O1141" s="44">
        <f t="shared" si="85"/>
        <v>1.2792307692307692</v>
      </c>
      <c r="P1141" s="78">
        <v>10</v>
      </c>
      <c r="Q1141" s="34">
        <v>3</v>
      </c>
      <c r="R1141" s="35">
        <f t="shared" si="86"/>
        <v>0.3</v>
      </c>
      <c r="S1141" s="49">
        <f>ROUND(Q1141/Summary!$C$3*Summary!$C$2,0)</f>
        <v>9</v>
      </c>
      <c r="T1141" s="44">
        <f t="shared" si="87"/>
        <v>0.9</v>
      </c>
      <c r="U1141" s="34">
        <v>1</v>
      </c>
      <c r="V1141" s="34">
        <v>1</v>
      </c>
      <c r="W1141" s="34">
        <v>0</v>
      </c>
      <c r="X1141" s="34">
        <v>0</v>
      </c>
    </row>
    <row r="1142" spans="1:24" hidden="1">
      <c r="A1142" s="34" t="s">
        <v>3334</v>
      </c>
      <c r="B1142" s="34" t="s">
        <v>57</v>
      </c>
      <c r="C1142" s="34" t="s">
        <v>177</v>
      </c>
      <c r="D1142" s="34" t="s">
        <v>178</v>
      </c>
      <c r="E1142" s="34" t="s">
        <v>1</v>
      </c>
      <c r="F1142" s="34" t="s">
        <v>3335</v>
      </c>
      <c r="G1142" s="54">
        <v>1715870930</v>
      </c>
      <c r="H1142" s="54" t="s">
        <v>229</v>
      </c>
      <c r="I1142" s="54" t="s">
        <v>3514</v>
      </c>
      <c r="J1142" s="34" t="s">
        <v>3421</v>
      </c>
      <c r="K1142" s="50">
        <v>140000</v>
      </c>
      <c r="L1142" s="43">
        <v>47730</v>
      </c>
      <c r="M1142" s="44">
        <f t="shared" si="84"/>
        <v>0.34092857142857141</v>
      </c>
      <c r="N1142" s="49">
        <f>ROUND(L1142/Summary!$C$3*Summary!$C$2,0)</f>
        <v>147963</v>
      </c>
      <c r="O1142" s="44">
        <f t="shared" si="85"/>
        <v>1.0568785714285713</v>
      </c>
      <c r="P1142" s="78">
        <v>11</v>
      </c>
      <c r="Q1142" s="34">
        <v>4</v>
      </c>
      <c r="R1142" s="35">
        <f t="shared" si="86"/>
        <v>0.36363636363636365</v>
      </c>
      <c r="S1142" s="49">
        <f>ROUND(Q1142/Summary!$C$3*Summary!$C$2,0)</f>
        <v>12</v>
      </c>
      <c r="T1142" s="44">
        <f t="shared" si="87"/>
        <v>1.0909090909090908</v>
      </c>
      <c r="U1142" s="34">
        <v>0</v>
      </c>
      <c r="V1142" s="34">
        <v>1</v>
      </c>
      <c r="W1142" s="34">
        <v>0</v>
      </c>
      <c r="X1142" s="34">
        <v>0</v>
      </c>
    </row>
    <row r="1143" spans="1:24" hidden="1">
      <c r="A1143" s="34" t="s">
        <v>3336</v>
      </c>
      <c r="B1143" s="34" t="s">
        <v>3337</v>
      </c>
      <c r="C1143" s="34" t="s">
        <v>177</v>
      </c>
      <c r="D1143" s="34" t="s">
        <v>178</v>
      </c>
      <c r="E1143" s="34" t="s">
        <v>1</v>
      </c>
      <c r="F1143" s="34" t="s">
        <v>865</v>
      </c>
      <c r="G1143" s="54">
        <v>1917345649</v>
      </c>
      <c r="H1143" s="54" t="s">
        <v>229</v>
      </c>
      <c r="I1143" s="54" t="s">
        <v>3514</v>
      </c>
      <c r="J1143" s="34" t="s">
        <v>3421</v>
      </c>
      <c r="K1143" s="50">
        <v>140000</v>
      </c>
      <c r="L1143" s="43">
        <v>32130</v>
      </c>
      <c r="M1143" s="44">
        <f t="shared" si="84"/>
        <v>0.22950000000000001</v>
      </c>
      <c r="N1143" s="49">
        <f>ROUND(L1143/Summary!$C$3*Summary!$C$2,0)</f>
        <v>99603</v>
      </c>
      <c r="O1143" s="44">
        <f t="shared" si="85"/>
        <v>0.71145000000000003</v>
      </c>
      <c r="P1143" s="78">
        <v>11</v>
      </c>
      <c r="Q1143" s="34">
        <v>2</v>
      </c>
      <c r="R1143" s="35">
        <f t="shared" si="86"/>
        <v>0.18181818181818182</v>
      </c>
      <c r="S1143" s="49">
        <f>ROUND(Q1143/Summary!$C$3*Summary!$C$2,0)</f>
        <v>6</v>
      </c>
      <c r="T1143" s="44">
        <f t="shared" si="87"/>
        <v>0.54545454545454541</v>
      </c>
      <c r="U1143" s="34">
        <v>0</v>
      </c>
      <c r="V1143" s="34">
        <v>0</v>
      </c>
      <c r="W1143" s="34">
        <v>0</v>
      </c>
      <c r="X1143" s="34">
        <v>0</v>
      </c>
    </row>
    <row r="1144" spans="1:24" hidden="1">
      <c r="A1144" s="34" t="s">
        <v>917</v>
      </c>
      <c r="B1144" s="34" t="s">
        <v>918</v>
      </c>
      <c r="C1144" s="34" t="s">
        <v>177</v>
      </c>
      <c r="D1144" s="34" t="s">
        <v>178</v>
      </c>
      <c r="E1144" s="34" t="s">
        <v>1</v>
      </c>
      <c r="F1144" s="34" t="s">
        <v>919</v>
      </c>
      <c r="G1144" s="54">
        <v>1726547044</v>
      </c>
      <c r="H1144" s="54" t="s">
        <v>229</v>
      </c>
      <c r="I1144" s="54" t="s">
        <v>3514</v>
      </c>
      <c r="J1144" s="34" t="s">
        <v>3419</v>
      </c>
      <c r="K1144" s="50">
        <v>176443</v>
      </c>
      <c r="L1144" s="43">
        <v>34990</v>
      </c>
      <c r="M1144" s="44">
        <f t="shared" si="84"/>
        <v>0.19830766876555034</v>
      </c>
      <c r="N1144" s="49">
        <f>ROUND(L1144/Summary!$C$3*Summary!$C$2,0)</f>
        <v>108469</v>
      </c>
      <c r="O1144" s="44">
        <f t="shared" si="85"/>
        <v>0.61475377317320612</v>
      </c>
      <c r="P1144" s="78">
        <v>14</v>
      </c>
      <c r="Q1144" s="34">
        <v>2</v>
      </c>
      <c r="R1144" s="35">
        <f t="shared" si="86"/>
        <v>0.14285714285714285</v>
      </c>
      <c r="S1144" s="49">
        <f>ROUND(Q1144/Summary!$C$3*Summary!$C$2,0)</f>
        <v>6</v>
      </c>
      <c r="T1144" s="44">
        <f t="shared" si="87"/>
        <v>0.42857142857142855</v>
      </c>
      <c r="U1144" s="34">
        <v>0</v>
      </c>
      <c r="V1144" s="34">
        <v>1</v>
      </c>
      <c r="W1144" s="34">
        <v>0</v>
      </c>
      <c r="X1144" s="34">
        <v>0</v>
      </c>
    </row>
    <row r="1145" spans="1:24" hidden="1">
      <c r="A1145" s="34" t="s">
        <v>909</v>
      </c>
      <c r="B1145" s="34" t="s">
        <v>910</v>
      </c>
      <c r="C1145" s="34" t="s">
        <v>177</v>
      </c>
      <c r="D1145" s="34" t="s">
        <v>178</v>
      </c>
      <c r="E1145" s="34" t="s">
        <v>1</v>
      </c>
      <c r="F1145" s="34" t="s">
        <v>911</v>
      </c>
      <c r="G1145" s="54">
        <v>1789894444</v>
      </c>
      <c r="H1145" s="54" t="s">
        <v>229</v>
      </c>
      <c r="I1145" s="54" t="s">
        <v>3514</v>
      </c>
      <c r="J1145" s="34" t="s">
        <v>3419</v>
      </c>
      <c r="K1145" s="50">
        <v>180000</v>
      </c>
      <c r="L1145" s="43">
        <v>37139</v>
      </c>
      <c r="M1145" s="44">
        <f t="shared" si="84"/>
        <v>0.20632777777777778</v>
      </c>
      <c r="N1145" s="49">
        <f>ROUND(L1145/Summary!$C$3*Summary!$C$2,0)</f>
        <v>115131</v>
      </c>
      <c r="O1145" s="44">
        <f t="shared" si="85"/>
        <v>0.63961666666666661</v>
      </c>
      <c r="P1145" s="78">
        <v>11</v>
      </c>
      <c r="Q1145" s="34">
        <v>1</v>
      </c>
      <c r="R1145" s="35">
        <f t="shared" si="86"/>
        <v>9.0909090909090912E-2</v>
      </c>
      <c r="S1145" s="49">
        <f>ROUND(Q1145/Summary!$C$3*Summary!$C$2,0)</f>
        <v>3</v>
      </c>
      <c r="T1145" s="44">
        <f t="shared" si="87"/>
        <v>0.27272727272727271</v>
      </c>
      <c r="U1145" s="34">
        <v>0</v>
      </c>
      <c r="V1145" s="34">
        <v>1</v>
      </c>
      <c r="W1145" s="34">
        <v>0</v>
      </c>
      <c r="X1145" s="34">
        <v>0</v>
      </c>
    </row>
    <row r="1146" spans="1:24" hidden="1">
      <c r="A1146" s="34" t="s">
        <v>901</v>
      </c>
      <c r="B1146" s="34" t="s">
        <v>156</v>
      </c>
      <c r="C1146" s="34" t="s">
        <v>177</v>
      </c>
      <c r="D1146" s="34" t="s">
        <v>178</v>
      </c>
      <c r="E1146" s="34" t="s">
        <v>1</v>
      </c>
      <c r="F1146" s="34" t="s">
        <v>902</v>
      </c>
      <c r="G1146" s="54">
        <v>1939237066</v>
      </c>
      <c r="H1146" s="54" t="s">
        <v>229</v>
      </c>
      <c r="I1146" s="54" t="s">
        <v>3514</v>
      </c>
      <c r="J1146" s="34" t="s">
        <v>3421</v>
      </c>
      <c r="K1146" s="50">
        <v>130000</v>
      </c>
      <c r="L1146" s="43">
        <v>23760</v>
      </c>
      <c r="M1146" s="44">
        <f t="shared" si="84"/>
        <v>0.18276923076923077</v>
      </c>
      <c r="N1146" s="49">
        <f>ROUND(L1146/Summary!$C$3*Summary!$C$2,0)</f>
        <v>73656</v>
      </c>
      <c r="O1146" s="44">
        <f t="shared" si="85"/>
        <v>0.56658461538461535</v>
      </c>
      <c r="P1146" s="78">
        <v>11</v>
      </c>
      <c r="Q1146" s="34">
        <v>1</v>
      </c>
      <c r="R1146" s="35">
        <f t="shared" si="86"/>
        <v>9.0909090909090912E-2</v>
      </c>
      <c r="S1146" s="49">
        <f>ROUND(Q1146/Summary!$C$3*Summary!$C$2,0)</f>
        <v>3</v>
      </c>
      <c r="T1146" s="44">
        <f t="shared" si="87"/>
        <v>0.27272727272727271</v>
      </c>
      <c r="U1146" s="34">
        <v>0</v>
      </c>
      <c r="V1146" s="34">
        <v>0</v>
      </c>
      <c r="W1146" s="34">
        <v>0</v>
      </c>
      <c r="X1146" s="34">
        <v>0</v>
      </c>
    </row>
    <row r="1147" spans="1:24" hidden="1">
      <c r="A1147" s="34" t="s">
        <v>3504</v>
      </c>
      <c r="B1147" s="34" t="s">
        <v>3505</v>
      </c>
      <c r="C1147" s="34" t="s">
        <v>177</v>
      </c>
      <c r="D1147" s="34" t="s">
        <v>178</v>
      </c>
      <c r="E1147" s="34" t="s">
        <v>1</v>
      </c>
      <c r="F1147" s="34" t="s">
        <v>3506</v>
      </c>
      <c r="G1147" s="54">
        <v>1727375816</v>
      </c>
      <c r="H1147" s="54" t="s">
        <v>229</v>
      </c>
      <c r="I1147" s="54" t="s">
        <v>3514</v>
      </c>
      <c r="J1147" s="34" t="s">
        <v>3421</v>
      </c>
      <c r="K1147" s="50">
        <v>130000</v>
      </c>
      <c r="L1147" s="43">
        <v>17510</v>
      </c>
      <c r="M1147" s="44">
        <f t="shared" si="84"/>
        <v>0.13469230769230769</v>
      </c>
      <c r="N1147" s="49">
        <f>ROUND(L1147/Summary!$C$3*Summary!$C$2,0)</f>
        <v>54281</v>
      </c>
      <c r="O1147" s="44">
        <f t="shared" si="85"/>
        <v>0.41754615384615384</v>
      </c>
      <c r="P1147" s="78">
        <v>11</v>
      </c>
      <c r="Q1147" s="34">
        <v>0</v>
      </c>
      <c r="R1147" s="35">
        <f t="shared" si="86"/>
        <v>0</v>
      </c>
      <c r="S1147" s="49">
        <f>ROUND(Q1147/Summary!$C$3*Summary!$C$2,0)</f>
        <v>0</v>
      </c>
      <c r="T1147" s="44">
        <f t="shared" si="87"/>
        <v>0</v>
      </c>
      <c r="U1147" s="34">
        <v>0</v>
      </c>
      <c r="V1147" s="34">
        <v>0</v>
      </c>
      <c r="W1147" s="34">
        <v>0</v>
      </c>
      <c r="X1147" s="34">
        <v>0</v>
      </c>
    </row>
    <row r="1148" spans="1:24" hidden="1">
      <c r="A1148" s="34" t="s">
        <v>864</v>
      </c>
      <c r="B1148" s="34" t="s">
        <v>269</v>
      </c>
      <c r="C1148" s="34" t="s">
        <v>177</v>
      </c>
      <c r="D1148" s="34" t="s">
        <v>178</v>
      </c>
      <c r="E1148" s="34" t="s">
        <v>1</v>
      </c>
      <c r="F1148" s="34" t="s">
        <v>865</v>
      </c>
      <c r="G1148" s="54">
        <v>1879193639</v>
      </c>
      <c r="H1148" s="54" t="s">
        <v>229</v>
      </c>
      <c r="I1148" s="54" t="s">
        <v>3522</v>
      </c>
      <c r="J1148" s="34" t="s">
        <v>3419</v>
      </c>
      <c r="K1148" s="50">
        <v>660000</v>
      </c>
      <c r="L1148" s="43">
        <v>200470</v>
      </c>
      <c r="M1148" s="44">
        <f t="shared" si="84"/>
        <v>0.30374242424242426</v>
      </c>
      <c r="N1148" s="49">
        <f>ROUND(L1148/Summary!$C$3*Summary!$C$2,0)</f>
        <v>621457</v>
      </c>
      <c r="O1148" s="44">
        <f t="shared" si="85"/>
        <v>0.94160151515151513</v>
      </c>
      <c r="P1148" s="78">
        <v>38</v>
      </c>
      <c r="Q1148" s="34">
        <v>11</v>
      </c>
      <c r="R1148" s="35">
        <f t="shared" si="86"/>
        <v>0.28947368421052633</v>
      </c>
      <c r="S1148" s="49">
        <f>ROUND(Q1148/Summary!$C$3*Summary!$C$2,0)</f>
        <v>34</v>
      </c>
      <c r="T1148" s="44">
        <f t="shared" si="87"/>
        <v>0.89473684210526316</v>
      </c>
      <c r="U1148" s="34">
        <v>0</v>
      </c>
      <c r="V1148" s="34">
        <v>3</v>
      </c>
      <c r="W1148" s="34">
        <v>2</v>
      </c>
      <c r="X1148" s="34">
        <v>0</v>
      </c>
    </row>
    <row r="1149" spans="1:24" hidden="1">
      <c r="A1149" s="34" t="s">
        <v>896</v>
      </c>
      <c r="B1149" s="34" t="s">
        <v>897</v>
      </c>
      <c r="C1149" s="34" t="s">
        <v>177</v>
      </c>
      <c r="D1149" s="34" t="s">
        <v>178</v>
      </c>
      <c r="E1149" s="34" t="s">
        <v>1</v>
      </c>
      <c r="F1149" s="34" t="s">
        <v>898</v>
      </c>
      <c r="G1149" s="54">
        <v>1876082482</v>
      </c>
      <c r="H1149" s="54" t="s">
        <v>229</v>
      </c>
      <c r="I1149" s="54" t="s">
        <v>3514</v>
      </c>
      <c r="J1149" s="34" t="s">
        <v>3515</v>
      </c>
      <c r="K1149" s="50">
        <v>140000</v>
      </c>
      <c r="L1149" s="43">
        <v>62909</v>
      </c>
      <c r="M1149" s="44">
        <f t="shared" si="84"/>
        <v>0.44935000000000003</v>
      </c>
      <c r="N1149" s="49">
        <f>ROUND(L1149/Summary!$C$3*Summary!$C$2,0)</f>
        <v>195018</v>
      </c>
      <c r="O1149" s="44">
        <f t="shared" si="85"/>
        <v>1.3929857142857143</v>
      </c>
      <c r="P1149" s="78">
        <v>11</v>
      </c>
      <c r="Q1149" s="34">
        <v>6</v>
      </c>
      <c r="R1149" s="35">
        <f t="shared" si="86"/>
        <v>0.54545454545454541</v>
      </c>
      <c r="S1149" s="49">
        <f>ROUND(Q1149/Summary!$C$3*Summary!$C$2,0)</f>
        <v>19</v>
      </c>
      <c r="T1149" s="44">
        <f t="shared" si="87"/>
        <v>1.7272727272727273</v>
      </c>
      <c r="U1149" s="34">
        <v>0</v>
      </c>
      <c r="V1149" s="34">
        <v>4</v>
      </c>
      <c r="W1149" s="34">
        <v>0</v>
      </c>
      <c r="X1149" s="34">
        <v>0</v>
      </c>
    </row>
    <row r="1150" spans="1:24" hidden="1">
      <c r="A1150" s="34" t="s">
        <v>3122</v>
      </c>
      <c r="B1150" s="34" t="s">
        <v>3123</v>
      </c>
      <c r="C1150" s="34" t="s">
        <v>177</v>
      </c>
      <c r="D1150" s="34" t="s">
        <v>178</v>
      </c>
      <c r="E1150" s="34" t="s">
        <v>1</v>
      </c>
      <c r="F1150" s="34" t="s">
        <v>3124</v>
      </c>
      <c r="G1150" s="54">
        <v>1643413941</v>
      </c>
      <c r="H1150" s="54" t="s">
        <v>229</v>
      </c>
      <c r="I1150" s="54" t="s">
        <v>3514</v>
      </c>
      <c r="J1150" s="34" t="s">
        <v>3515</v>
      </c>
      <c r="K1150" s="50">
        <v>150000</v>
      </c>
      <c r="L1150" s="43">
        <v>10430</v>
      </c>
      <c r="M1150" s="44">
        <f t="shared" si="84"/>
        <v>6.9533333333333336E-2</v>
      </c>
      <c r="N1150" s="49">
        <f>ROUND(L1150/Summary!$C$3*Summary!$C$2,0)</f>
        <v>32333</v>
      </c>
      <c r="O1150" s="44">
        <f t="shared" si="85"/>
        <v>0.21555333333333335</v>
      </c>
      <c r="P1150" s="78">
        <v>10</v>
      </c>
      <c r="Q1150" s="34">
        <v>0</v>
      </c>
      <c r="R1150" s="35">
        <f t="shared" si="86"/>
        <v>0</v>
      </c>
      <c r="S1150" s="49">
        <f>ROUND(Q1150/Summary!$C$3*Summary!$C$2,0)</f>
        <v>0</v>
      </c>
      <c r="T1150" s="44">
        <f t="shared" si="87"/>
        <v>0</v>
      </c>
      <c r="U1150" s="34">
        <v>0</v>
      </c>
      <c r="V1150" s="34">
        <v>0</v>
      </c>
      <c r="W1150" s="34">
        <v>0</v>
      </c>
      <c r="X1150" s="34">
        <v>0</v>
      </c>
    </row>
    <row r="1151" spans="1:24" hidden="1">
      <c r="A1151" s="34" t="s">
        <v>3338</v>
      </c>
      <c r="B1151" s="34" t="s">
        <v>3339</v>
      </c>
      <c r="C1151" s="34" t="s">
        <v>177</v>
      </c>
      <c r="D1151" s="34" t="s">
        <v>178</v>
      </c>
      <c r="E1151" s="34" t="s">
        <v>1</v>
      </c>
      <c r="F1151" s="34" t="s">
        <v>3340</v>
      </c>
      <c r="G1151" s="54">
        <v>1714357356</v>
      </c>
      <c r="H1151" s="54" t="s">
        <v>229</v>
      </c>
      <c r="I1151" s="54" t="s">
        <v>3514</v>
      </c>
      <c r="J1151" s="34" t="s">
        <v>3515</v>
      </c>
      <c r="K1151" s="50">
        <v>130000</v>
      </c>
      <c r="L1151" s="43">
        <v>33240</v>
      </c>
      <c r="M1151" s="44">
        <f t="shared" si="84"/>
        <v>0.25569230769230772</v>
      </c>
      <c r="N1151" s="49">
        <f>ROUND(L1151/Summary!$C$3*Summary!$C$2,0)</f>
        <v>103044</v>
      </c>
      <c r="O1151" s="44">
        <f t="shared" si="85"/>
        <v>0.79264615384615389</v>
      </c>
      <c r="P1151" s="78">
        <v>11</v>
      </c>
      <c r="Q1151" s="34">
        <v>1</v>
      </c>
      <c r="R1151" s="35">
        <f t="shared" si="86"/>
        <v>9.0909090909090912E-2</v>
      </c>
      <c r="S1151" s="49">
        <f>ROUND(Q1151/Summary!$C$3*Summary!$C$2,0)</f>
        <v>3</v>
      </c>
      <c r="T1151" s="44">
        <f t="shared" si="87"/>
        <v>0.27272727272727271</v>
      </c>
      <c r="U1151" s="34">
        <v>0</v>
      </c>
      <c r="V1151" s="34">
        <v>1</v>
      </c>
      <c r="W1151" s="34">
        <v>0</v>
      </c>
      <c r="X1151" s="34">
        <v>0</v>
      </c>
    </row>
    <row r="1152" spans="1:24" hidden="1">
      <c r="A1152" s="34" t="s">
        <v>1015</v>
      </c>
      <c r="B1152" s="34" t="s">
        <v>1016</v>
      </c>
      <c r="C1152" s="34" t="s">
        <v>177</v>
      </c>
      <c r="D1152" s="34" t="s">
        <v>178</v>
      </c>
      <c r="E1152" s="34" t="s">
        <v>1</v>
      </c>
      <c r="F1152" s="34" t="s">
        <v>1017</v>
      </c>
      <c r="G1152" s="54">
        <v>1980376545</v>
      </c>
      <c r="H1152" s="54" t="s">
        <v>229</v>
      </c>
      <c r="I1152" s="54" t="s">
        <v>3514</v>
      </c>
      <c r="J1152" s="34" t="s">
        <v>3419</v>
      </c>
      <c r="K1152" s="50">
        <v>160000</v>
      </c>
      <c r="L1152" s="43">
        <v>58750</v>
      </c>
      <c r="M1152" s="44">
        <f t="shared" si="84"/>
        <v>0.3671875</v>
      </c>
      <c r="N1152" s="49">
        <f>ROUND(L1152/Summary!$C$3*Summary!$C$2,0)</f>
        <v>182125</v>
      </c>
      <c r="O1152" s="44">
        <f t="shared" si="85"/>
        <v>1.1382812499999999</v>
      </c>
      <c r="P1152" s="78">
        <v>11</v>
      </c>
      <c r="Q1152" s="34">
        <v>3</v>
      </c>
      <c r="R1152" s="35">
        <f t="shared" si="86"/>
        <v>0.27272727272727271</v>
      </c>
      <c r="S1152" s="49">
        <f>ROUND(Q1152/Summary!$C$3*Summary!$C$2,0)</f>
        <v>9</v>
      </c>
      <c r="T1152" s="44">
        <f t="shared" si="87"/>
        <v>0.81818181818181823</v>
      </c>
      <c r="U1152" s="34">
        <v>0</v>
      </c>
      <c r="V1152" s="34">
        <v>1</v>
      </c>
      <c r="W1152" s="34">
        <v>1</v>
      </c>
      <c r="X1152" s="34">
        <v>0</v>
      </c>
    </row>
    <row r="1153" spans="1:24" hidden="1">
      <c r="A1153" s="34" t="s">
        <v>903</v>
      </c>
      <c r="B1153" s="34" t="s">
        <v>904</v>
      </c>
      <c r="C1153" s="34" t="s">
        <v>862</v>
      </c>
      <c r="D1153" s="34" t="s">
        <v>178</v>
      </c>
      <c r="E1153" s="34" t="s">
        <v>1</v>
      </c>
      <c r="F1153" s="34" t="s">
        <v>905</v>
      </c>
      <c r="G1153" s="54">
        <v>1835990892</v>
      </c>
      <c r="H1153" s="54" t="s">
        <v>229</v>
      </c>
      <c r="I1153" s="54" t="s">
        <v>3514</v>
      </c>
      <c r="J1153" s="34" t="s">
        <v>3419</v>
      </c>
      <c r="K1153" s="50">
        <v>150000</v>
      </c>
      <c r="L1153" s="43">
        <v>59330</v>
      </c>
      <c r="M1153" s="44">
        <f t="shared" si="84"/>
        <v>0.39553333333333335</v>
      </c>
      <c r="N1153" s="49">
        <f>ROUND(L1153/Summary!$C$3*Summary!$C$2,0)</f>
        <v>183923</v>
      </c>
      <c r="O1153" s="44">
        <f t="shared" si="85"/>
        <v>1.2261533333333334</v>
      </c>
      <c r="P1153" s="78">
        <v>10</v>
      </c>
      <c r="Q1153" s="34">
        <v>0</v>
      </c>
      <c r="R1153" s="35">
        <f t="shared" si="86"/>
        <v>0</v>
      </c>
      <c r="S1153" s="49">
        <f>ROUND(Q1153/Summary!$C$3*Summary!$C$2,0)</f>
        <v>0</v>
      </c>
      <c r="T1153" s="44">
        <f t="shared" si="87"/>
        <v>0</v>
      </c>
      <c r="U1153" s="34">
        <v>1</v>
      </c>
      <c r="V1153" s="34">
        <v>0</v>
      </c>
      <c r="W1153" s="34">
        <v>0</v>
      </c>
      <c r="X1153" s="34">
        <v>0</v>
      </c>
    </row>
    <row r="1154" spans="1:24" hidden="1">
      <c r="A1154" s="34" t="s">
        <v>912</v>
      </c>
      <c r="B1154" s="34" t="s">
        <v>843</v>
      </c>
      <c r="C1154" s="34" t="s">
        <v>862</v>
      </c>
      <c r="D1154" s="34" t="s">
        <v>178</v>
      </c>
      <c r="E1154" s="34" t="s">
        <v>1</v>
      </c>
      <c r="F1154" s="34" t="s">
        <v>913</v>
      </c>
      <c r="G1154" s="54">
        <v>1821581606</v>
      </c>
      <c r="H1154" s="54" t="s">
        <v>229</v>
      </c>
      <c r="I1154" s="54" t="s">
        <v>3514</v>
      </c>
      <c r="J1154" s="34" t="s">
        <v>3421</v>
      </c>
      <c r="K1154" s="50">
        <v>220000</v>
      </c>
      <c r="L1154" s="43">
        <v>16730</v>
      </c>
      <c r="M1154" s="44">
        <f t="shared" si="84"/>
        <v>7.6045454545454541E-2</v>
      </c>
      <c r="N1154" s="49">
        <f>ROUND(L1154/Summary!$C$3*Summary!$C$2,0)</f>
        <v>51863</v>
      </c>
      <c r="O1154" s="44">
        <f t="shared" si="85"/>
        <v>0.23574090909090908</v>
      </c>
      <c r="P1154" s="78">
        <v>12</v>
      </c>
      <c r="Q1154" s="34">
        <v>1</v>
      </c>
      <c r="R1154" s="35">
        <f t="shared" si="86"/>
        <v>8.3333333333333329E-2</v>
      </c>
      <c r="S1154" s="49">
        <f>ROUND(Q1154/Summary!$C$3*Summary!$C$2,0)</f>
        <v>3</v>
      </c>
      <c r="T1154" s="44">
        <f t="shared" si="87"/>
        <v>0.25</v>
      </c>
      <c r="U1154" s="34">
        <v>0</v>
      </c>
      <c r="V1154" s="34">
        <v>0</v>
      </c>
      <c r="W1154" s="34">
        <v>0</v>
      </c>
      <c r="X1154" s="34">
        <v>0</v>
      </c>
    </row>
    <row r="1155" spans="1:24" hidden="1">
      <c r="A1155" s="34" t="s">
        <v>860</v>
      </c>
      <c r="B1155" s="34" t="s">
        <v>861</v>
      </c>
      <c r="C1155" s="34" t="s">
        <v>862</v>
      </c>
      <c r="D1155" s="34" t="s">
        <v>178</v>
      </c>
      <c r="E1155" s="34" t="s">
        <v>1</v>
      </c>
      <c r="F1155" s="34" t="s">
        <v>863</v>
      </c>
      <c r="G1155" s="54">
        <v>1610911871</v>
      </c>
      <c r="H1155" s="54" t="s">
        <v>229</v>
      </c>
      <c r="I1155" s="54" t="s">
        <v>3514</v>
      </c>
      <c r="J1155" s="34" t="s">
        <v>3419</v>
      </c>
      <c r="K1155" s="50">
        <v>170000</v>
      </c>
      <c r="L1155" s="43">
        <v>55060</v>
      </c>
      <c r="M1155" s="44">
        <f t="shared" si="84"/>
        <v>0.32388235294117645</v>
      </c>
      <c r="N1155" s="49">
        <f>ROUND(L1155/Summary!$C$3*Summary!$C$2,0)</f>
        <v>170686</v>
      </c>
      <c r="O1155" s="44">
        <f t="shared" si="85"/>
        <v>1.0040352941176471</v>
      </c>
      <c r="P1155" s="78">
        <v>10</v>
      </c>
      <c r="Q1155" s="34">
        <v>2</v>
      </c>
      <c r="R1155" s="35">
        <f t="shared" si="86"/>
        <v>0.2</v>
      </c>
      <c r="S1155" s="49">
        <f>ROUND(Q1155/Summary!$C$3*Summary!$C$2,0)</f>
        <v>6</v>
      </c>
      <c r="T1155" s="44">
        <f t="shared" si="87"/>
        <v>0.6</v>
      </c>
      <c r="U1155" s="34">
        <v>1</v>
      </c>
      <c r="V1155" s="34">
        <v>0</v>
      </c>
      <c r="W1155" s="34">
        <v>1</v>
      </c>
      <c r="X1155" s="34">
        <v>1</v>
      </c>
    </row>
    <row r="1156" spans="1:24" hidden="1">
      <c r="A1156" s="34" t="s">
        <v>871</v>
      </c>
      <c r="B1156" s="34" t="s">
        <v>872</v>
      </c>
      <c r="C1156" s="34" t="s">
        <v>862</v>
      </c>
      <c r="D1156" s="34" t="s">
        <v>178</v>
      </c>
      <c r="E1156" s="34" t="s">
        <v>1</v>
      </c>
      <c r="F1156" s="34" t="s">
        <v>873</v>
      </c>
      <c r="G1156" s="54">
        <v>1710010024</v>
      </c>
      <c r="H1156" s="54" t="s">
        <v>229</v>
      </c>
      <c r="I1156" s="54" t="s">
        <v>3514</v>
      </c>
      <c r="J1156" s="34" t="s">
        <v>3419</v>
      </c>
      <c r="K1156" s="50">
        <v>150000</v>
      </c>
      <c r="L1156" s="43">
        <v>61430</v>
      </c>
      <c r="M1156" s="44">
        <f t="shared" si="84"/>
        <v>0.40953333333333336</v>
      </c>
      <c r="N1156" s="49">
        <f>ROUND(L1156/Summary!$C$3*Summary!$C$2,0)</f>
        <v>190433</v>
      </c>
      <c r="O1156" s="44">
        <f t="shared" si="85"/>
        <v>1.2695533333333333</v>
      </c>
      <c r="P1156" s="78">
        <v>10</v>
      </c>
      <c r="Q1156" s="34">
        <v>2</v>
      </c>
      <c r="R1156" s="35">
        <f t="shared" si="86"/>
        <v>0.2</v>
      </c>
      <c r="S1156" s="49">
        <f>ROUND(Q1156/Summary!$C$3*Summary!$C$2,0)</f>
        <v>6</v>
      </c>
      <c r="T1156" s="44">
        <f t="shared" si="87"/>
        <v>0.6</v>
      </c>
      <c r="U1156" s="34">
        <v>1</v>
      </c>
      <c r="V1156" s="34">
        <v>1</v>
      </c>
      <c r="W1156" s="34">
        <v>0</v>
      </c>
      <c r="X1156" s="34">
        <v>0</v>
      </c>
    </row>
    <row r="1157" spans="1:24" hidden="1">
      <c r="A1157" s="34" t="s">
        <v>868</v>
      </c>
      <c r="B1157" s="34" t="s">
        <v>869</v>
      </c>
      <c r="C1157" s="34" t="s">
        <v>862</v>
      </c>
      <c r="D1157" s="34" t="s">
        <v>178</v>
      </c>
      <c r="E1157" s="34" t="s">
        <v>1</v>
      </c>
      <c r="F1157" s="34" t="s">
        <v>870</v>
      </c>
      <c r="G1157" s="54">
        <v>1955444140</v>
      </c>
      <c r="H1157" s="54" t="s">
        <v>229</v>
      </c>
      <c r="I1157" s="54" t="s">
        <v>3514</v>
      </c>
      <c r="J1157" s="34" t="s">
        <v>3419</v>
      </c>
      <c r="K1157" s="50">
        <v>240000</v>
      </c>
      <c r="L1157" s="43">
        <v>85335</v>
      </c>
      <c r="M1157" s="44">
        <f t="shared" si="84"/>
        <v>0.3555625</v>
      </c>
      <c r="N1157" s="49">
        <f>ROUND(L1157/Summary!$C$3*Summary!$C$2,0)</f>
        <v>264539</v>
      </c>
      <c r="O1157" s="44">
        <f t="shared" si="85"/>
        <v>1.1022458333333334</v>
      </c>
      <c r="P1157" s="78">
        <v>10</v>
      </c>
      <c r="Q1157" s="34">
        <v>3</v>
      </c>
      <c r="R1157" s="35">
        <f t="shared" si="86"/>
        <v>0.3</v>
      </c>
      <c r="S1157" s="49">
        <f>ROUND(Q1157/Summary!$C$3*Summary!$C$2,0)</f>
        <v>9</v>
      </c>
      <c r="T1157" s="44">
        <f t="shared" si="87"/>
        <v>0.9</v>
      </c>
      <c r="U1157" s="34">
        <v>3</v>
      </c>
      <c r="V1157" s="34">
        <v>0</v>
      </c>
      <c r="W1157" s="34">
        <v>0</v>
      </c>
      <c r="X1157" s="34">
        <v>0</v>
      </c>
    </row>
    <row r="1158" spans="1:24" hidden="1">
      <c r="A1158" s="34" t="s">
        <v>976</v>
      </c>
      <c r="B1158" s="34" t="s">
        <v>77</v>
      </c>
      <c r="C1158" s="34" t="s">
        <v>862</v>
      </c>
      <c r="D1158" s="34" t="s">
        <v>178</v>
      </c>
      <c r="E1158" s="34" t="s">
        <v>1</v>
      </c>
      <c r="F1158" s="34" t="s">
        <v>977</v>
      </c>
      <c r="G1158" s="54">
        <v>1924752713</v>
      </c>
      <c r="H1158" s="54" t="s">
        <v>229</v>
      </c>
      <c r="I1158" s="54" t="s">
        <v>3514</v>
      </c>
      <c r="J1158" s="34" t="s">
        <v>3421</v>
      </c>
      <c r="K1158" s="50">
        <v>130000</v>
      </c>
      <c r="L1158" s="43">
        <v>9530</v>
      </c>
      <c r="M1158" s="44">
        <f t="shared" si="84"/>
        <v>7.330769230769231E-2</v>
      </c>
      <c r="N1158" s="49">
        <f>ROUND(L1158/Summary!$C$3*Summary!$C$2,0)</f>
        <v>29543</v>
      </c>
      <c r="O1158" s="44">
        <f t="shared" si="85"/>
        <v>0.22725384615384617</v>
      </c>
      <c r="P1158" s="78">
        <v>10</v>
      </c>
      <c r="Q1158" s="34">
        <v>0</v>
      </c>
      <c r="R1158" s="35">
        <f t="shared" si="86"/>
        <v>0</v>
      </c>
      <c r="S1158" s="49">
        <f>ROUND(Q1158/Summary!$C$3*Summary!$C$2,0)</f>
        <v>0</v>
      </c>
      <c r="T1158" s="44">
        <f t="shared" si="87"/>
        <v>0</v>
      </c>
      <c r="U1158" s="34">
        <v>0</v>
      </c>
      <c r="V1158" s="34">
        <v>0</v>
      </c>
      <c r="W1158" s="34">
        <v>0</v>
      </c>
      <c r="X1158" s="34">
        <v>0</v>
      </c>
    </row>
    <row r="1159" spans="1:24" hidden="1">
      <c r="A1159" s="34" t="s">
        <v>1050</v>
      </c>
      <c r="B1159" s="34" t="s">
        <v>78</v>
      </c>
      <c r="C1159" s="34" t="s">
        <v>862</v>
      </c>
      <c r="D1159" s="34" t="s">
        <v>178</v>
      </c>
      <c r="E1159" s="34" t="s">
        <v>1</v>
      </c>
      <c r="F1159" s="34" t="s">
        <v>1051</v>
      </c>
      <c r="G1159" s="54">
        <v>1772940930</v>
      </c>
      <c r="H1159" s="54" t="s">
        <v>229</v>
      </c>
      <c r="I1159" s="54" t="s">
        <v>3514</v>
      </c>
      <c r="J1159" s="34" t="s">
        <v>3419</v>
      </c>
      <c r="K1159" s="50">
        <v>130917</v>
      </c>
      <c r="L1159" s="43">
        <v>62730</v>
      </c>
      <c r="M1159" s="44">
        <f t="shared" si="84"/>
        <v>0.47915855083755354</v>
      </c>
      <c r="N1159" s="49">
        <f>ROUND(L1159/Summary!$C$3*Summary!$C$2,0)</f>
        <v>194463</v>
      </c>
      <c r="O1159" s="44">
        <f t="shared" si="85"/>
        <v>1.4853915075964161</v>
      </c>
      <c r="P1159" s="78">
        <v>10</v>
      </c>
      <c r="Q1159" s="34">
        <v>0</v>
      </c>
      <c r="R1159" s="35">
        <f t="shared" si="86"/>
        <v>0</v>
      </c>
      <c r="S1159" s="49">
        <f>ROUND(Q1159/Summary!$C$3*Summary!$C$2,0)</f>
        <v>0</v>
      </c>
      <c r="T1159" s="44">
        <f t="shared" si="87"/>
        <v>0</v>
      </c>
      <c r="U1159" s="34">
        <v>3</v>
      </c>
      <c r="V1159" s="34">
        <v>0</v>
      </c>
      <c r="W1159" s="34">
        <v>0</v>
      </c>
      <c r="X1159" s="34">
        <v>0</v>
      </c>
    </row>
    <row r="1160" spans="1:24" hidden="1">
      <c r="A1160" s="34" t="s">
        <v>914</v>
      </c>
      <c r="B1160" s="34" t="s">
        <v>50</v>
      </c>
      <c r="C1160" s="34" t="s">
        <v>862</v>
      </c>
      <c r="D1160" s="34" t="s">
        <v>178</v>
      </c>
      <c r="E1160" s="34" t="s">
        <v>1</v>
      </c>
      <c r="F1160" s="34" t="s">
        <v>915</v>
      </c>
      <c r="G1160" s="54">
        <v>1811722316</v>
      </c>
      <c r="H1160" s="54" t="s">
        <v>229</v>
      </c>
      <c r="I1160" s="54" t="s">
        <v>3514</v>
      </c>
      <c r="J1160" s="34" t="s">
        <v>3421</v>
      </c>
      <c r="K1160" s="50">
        <v>130000</v>
      </c>
      <c r="L1160" s="43">
        <v>25160</v>
      </c>
      <c r="M1160" s="44">
        <f t="shared" si="84"/>
        <v>0.19353846153846155</v>
      </c>
      <c r="N1160" s="49">
        <f>ROUND(L1160/Summary!$C$3*Summary!$C$2,0)</f>
        <v>77996</v>
      </c>
      <c r="O1160" s="44">
        <f t="shared" si="85"/>
        <v>0.59996923076923081</v>
      </c>
      <c r="P1160" s="78">
        <v>10</v>
      </c>
      <c r="Q1160" s="34">
        <v>1</v>
      </c>
      <c r="R1160" s="35">
        <f t="shared" si="86"/>
        <v>0.1</v>
      </c>
      <c r="S1160" s="49">
        <f>ROUND(Q1160/Summary!$C$3*Summary!$C$2,0)</f>
        <v>3</v>
      </c>
      <c r="T1160" s="44">
        <f t="shared" si="87"/>
        <v>0.3</v>
      </c>
      <c r="U1160" s="34">
        <v>0</v>
      </c>
      <c r="V1160" s="34">
        <v>0</v>
      </c>
      <c r="W1160" s="34">
        <v>0</v>
      </c>
      <c r="X1160" s="34">
        <v>1</v>
      </c>
    </row>
    <row r="1161" spans="1:24" hidden="1">
      <c r="A1161" s="34" t="s">
        <v>3341</v>
      </c>
      <c r="B1161" s="34" t="s">
        <v>2064</v>
      </c>
      <c r="C1161" s="34" t="s">
        <v>862</v>
      </c>
      <c r="D1161" s="34" t="s">
        <v>178</v>
      </c>
      <c r="E1161" s="34" t="s">
        <v>1</v>
      </c>
      <c r="F1161" s="34" t="s">
        <v>3342</v>
      </c>
      <c r="G1161" s="54">
        <v>1687731436</v>
      </c>
      <c r="H1161" s="54" t="s">
        <v>229</v>
      </c>
      <c r="I1161" s="54" t="s">
        <v>3514</v>
      </c>
      <c r="J1161" s="34" t="s">
        <v>3421</v>
      </c>
      <c r="K1161" s="50">
        <v>130000</v>
      </c>
      <c r="L1161" s="43">
        <v>32690</v>
      </c>
      <c r="M1161" s="44">
        <f t="shared" ref="M1161:M1193" si="88">L1161/K1161</f>
        <v>0.25146153846153846</v>
      </c>
      <c r="N1161" s="49">
        <f>ROUND(L1161/Summary!$C$3*Summary!$C$2,0)</f>
        <v>101339</v>
      </c>
      <c r="O1161" s="44">
        <f t="shared" ref="O1161:O1193" si="89">N1161/K1161</f>
        <v>0.77953076923076925</v>
      </c>
      <c r="P1161" s="78">
        <v>10</v>
      </c>
      <c r="Q1161" s="34">
        <v>1</v>
      </c>
      <c r="R1161" s="35">
        <f t="shared" ref="R1161:R1193" si="90">Q1161/P1161</f>
        <v>0.1</v>
      </c>
      <c r="S1161" s="49">
        <f>ROUND(Q1161/Summary!$C$3*Summary!$C$2,0)</f>
        <v>3</v>
      </c>
      <c r="T1161" s="44">
        <f t="shared" ref="T1161:T1193" si="91">S1161/P1161</f>
        <v>0.3</v>
      </c>
      <c r="U1161" s="34">
        <v>0</v>
      </c>
      <c r="V1161" s="34">
        <v>0</v>
      </c>
      <c r="W1161" s="34">
        <v>1</v>
      </c>
      <c r="X1161" s="34">
        <v>0</v>
      </c>
    </row>
    <row r="1162" spans="1:24" hidden="1">
      <c r="A1162" s="34" t="s">
        <v>906</v>
      </c>
      <c r="B1162" s="34" t="s">
        <v>907</v>
      </c>
      <c r="C1162" s="34" t="s">
        <v>862</v>
      </c>
      <c r="D1162" s="34" t="s">
        <v>178</v>
      </c>
      <c r="E1162" s="34" t="s">
        <v>1</v>
      </c>
      <c r="F1162" s="34" t="s">
        <v>908</v>
      </c>
      <c r="G1162" s="54">
        <v>1730994849</v>
      </c>
      <c r="H1162" s="54" t="s">
        <v>229</v>
      </c>
      <c r="I1162" s="54" t="s">
        <v>3514</v>
      </c>
      <c r="J1162" s="34" t="s">
        <v>3419</v>
      </c>
      <c r="K1162" s="50">
        <v>260000</v>
      </c>
      <c r="L1162" s="43">
        <v>67170</v>
      </c>
      <c r="M1162" s="44">
        <f t="shared" si="88"/>
        <v>0.25834615384615384</v>
      </c>
      <c r="N1162" s="49">
        <f>ROUND(L1162/Summary!$C$3*Summary!$C$2,0)</f>
        <v>208227</v>
      </c>
      <c r="O1162" s="44">
        <f t="shared" si="89"/>
        <v>0.80087307692307697</v>
      </c>
      <c r="P1162" s="78">
        <v>10</v>
      </c>
      <c r="Q1162" s="34">
        <v>0</v>
      </c>
      <c r="R1162" s="35">
        <f t="shared" si="90"/>
        <v>0</v>
      </c>
      <c r="S1162" s="49">
        <f>ROUND(Q1162/Summary!$C$3*Summary!$C$2,0)</f>
        <v>0</v>
      </c>
      <c r="T1162" s="44">
        <f t="shared" si="91"/>
        <v>0</v>
      </c>
      <c r="U1162" s="34">
        <v>3</v>
      </c>
      <c r="V1162" s="34">
        <v>0</v>
      </c>
      <c r="W1162" s="34">
        <v>0</v>
      </c>
      <c r="X1162" s="34">
        <v>0</v>
      </c>
    </row>
    <row r="1163" spans="1:24" hidden="1">
      <c r="A1163" s="34" t="s">
        <v>881</v>
      </c>
      <c r="B1163" s="34" t="s">
        <v>882</v>
      </c>
      <c r="C1163" s="34" t="s">
        <v>862</v>
      </c>
      <c r="D1163" s="34" t="s">
        <v>178</v>
      </c>
      <c r="E1163" s="34" t="s">
        <v>1</v>
      </c>
      <c r="F1163" s="34" t="s">
        <v>883</v>
      </c>
      <c r="G1163" s="54">
        <v>1830251438</v>
      </c>
      <c r="H1163" s="54" t="s">
        <v>229</v>
      </c>
      <c r="I1163" s="54" t="s">
        <v>3522</v>
      </c>
      <c r="J1163" s="34" t="s">
        <v>3419</v>
      </c>
      <c r="K1163" s="50">
        <v>500000</v>
      </c>
      <c r="L1163" s="43">
        <v>175230</v>
      </c>
      <c r="M1163" s="44">
        <f t="shared" si="88"/>
        <v>0.35045999999999999</v>
      </c>
      <c r="N1163" s="49">
        <f>ROUND(L1163/Summary!$C$3*Summary!$C$2,0)</f>
        <v>543213</v>
      </c>
      <c r="O1163" s="44">
        <f t="shared" si="89"/>
        <v>1.0864259999999999</v>
      </c>
      <c r="P1163" s="78">
        <v>20</v>
      </c>
      <c r="Q1163" s="34">
        <v>3</v>
      </c>
      <c r="R1163" s="35">
        <f t="shared" si="90"/>
        <v>0.15</v>
      </c>
      <c r="S1163" s="49">
        <f>ROUND(Q1163/Summary!$C$3*Summary!$C$2,0)</f>
        <v>9</v>
      </c>
      <c r="T1163" s="44">
        <f t="shared" si="91"/>
        <v>0.45</v>
      </c>
      <c r="U1163" s="34">
        <v>8</v>
      </c>
      <c r="V1163" s="34">
        <v>0</v>
      </c>
      <c r="W1163" s="34">
        <v>0</v>
      </c>
      <c r="X1163" s="34">
        <v>0</v>
      </c>
    </row>
    <row r="1164" spans="1:24" hidden="1">
      <c r="A1164" s="34" t="s">
        <v>923</v>
      </c>
      <c r="B1164" s="34" t="s">
        <v>924</v>
      </c>
      <c r="C1164" s="34" t="s">
        <v>862</v>
      </c>
      <c r="D1164" s="34" t="s">
        <v>178</v>
      </c>
      <c r="E1164" s="34" t="s">
        <v>1</v>
      </c>
      <c r="F1164" s="34" t="s">
        <v>925</v>
      </c>
      <c r="G1164" s="54">
        <v>1777888905</v>
      </c>
      <c r="H1164" s="54" t="s">
        <v>229</v>
      </c>
      <c r="I1164" s="54" t="s">
        <v>3514</v>
      </c>
      <c r="J1164" s="34" t="s">
        <v>3419</v>
      </c>
      <c r="K1164" s="50">
        <v>170000</v>
      </c>
      <c r="L1164" s="43">
        <v>31750</v>
      </c>
      <c r="M1164" s="44">
        <f t="shared" si="88"/>
        <v>0.18676470588235294</v>
      </c>
      <c r="N1164" s="49">
        <f>ROUND(L1164/Summary!$C$3*Summary!$C$2,0)</f>
        <v>98425</v>
      </c>
      <c r="O1164" s="44">
        <f t="shared" si="89"/>
        <v>0.57897058823529413</v>
      </c>
      <c r="P1164" s="78">
        <v>10</v>
      </c>
      <c r="Q1164" s="34">
        <v>2</v>
      </c>
      <c r="R1164" s="35">
        <f t="shared" si="90"/>
        <v>0.2</v>
      </c>
      <c r="S1164" s="49">
        <f>ROUND(Q1164/Summary!$C$3*Summary!$C$2,0)</f>
        <v>6</v>
      </c>
      <c r="T1164" s="44">
        <f t="shared" si="91"/>
        <v>0.6</v>
      </c>
      <c r="U1164" s="34">
        <v>0</v>
      </c>
      <c r="V1164" s="34">
        <v>1</v>
      </c>
      <c r="W1164" s="34">
        <v>0</v>
      </c>
      <c r="X1164" s="34">
        <v>0</v>
      </c>
    </row>
    <row r="1165" spans="1:24" hidden="1">
      <c r="A1165" s="34" t="s">
        <v>2954</v>
      </c>
      <c r="B1165" s="34" t="s">
        <v>916</v>
      </c>
      <c r="C1165" s="34" t="s">
        <v>862</v>
      </c>
      <c r="D1165" s="34" t="s">
        <v>178</v>
      </c>
      <c r="E1165" s="34" t="s">
        <v>1</v>
      </c>
      <c r="F1165" s="34" t="s">
        <v>2955</v>
      </c>
      <c r="G1165" s="54">
        <v>1782310000</v>
      </c>
      <c r="H1165" s="54" t="s">
        <v>229</v>
      </c>
      <c r="I1165" s="54" t="s">
        <v>3514</v>
      </c>
      <c r="J1165" s="34" t="s">
        <v>3419</v>
      </c>
      <c r="K1165" s="50">
        <v>180000</v>
      </c>
      <c r="L1165" s="43">
        <v>57909</v>
      </c>
      <c r="M1165" s="44">
        <f t="shared" si="88"/>
        <v>0.32171666666666665</v>
      </c>
      <c r="N1165" s="49">
        <f>ROUND(L1165/Summary!$C$3*Summary!$C$2,0)</f>
        <v>179518</v>
      </c>
      <c r="O1165" s="44">
        <f t="shared" si="89"/>
        <v>0.99732222222222222</v>
      </c>
      <c r="P1165" s="78">
        <v>10</v>
      </c>
      <c r="Q1165" s="34">
        <v>2</v>
      </c>
      <c r="R1165" s="35">
        <f t="shared" si="90"/>
        <v>0.2</v>
      </c>
      <c r="S1165" s="49">
        <f>ROUND(Q1165/Summary!$C$3*Summary!$C$2,0)</f>
        <v>6</v>
      </c>
      <c r="T1165" s="44">
        <f t="shared" si="91"/>
        <v>0.6</v>
      </c>
      <c r="U1165" s="34">
        <v>0</v>
      </c>
      <c r="V1165" s="34">
        <v>0</v>
      </c>
      <c r="W1165" s="34">
        <v>0</v>
      </c>
      <c r="X1165" s="34">
        <v>0</v>
      </c>
    </row>
    <row r="1166" spans="1:24" hidden="1">
      <c r="A1166" s="34" t="s">
        <v>920</v>
      </c>
      <c r="B1166" s="34" t="s">
        <v>921</v>
      </c>
      <c r="C1166" s="34" t="s">
        <v>862</v>
      </c>
      <c r="D1166" s="34" t="s">
        <v>178</v>
      </c>
      <c r="E1166" s="34" t="s">
        <v>1</v>
      </c>
      <c r="F1166" s="34" t="s">
        <v>922</v>
      </c>
      <c r="G1166" s="54">
        <v>1720229911</v>
      </c>
      <c r="H1166" s="54" t="s">
        <v>229</v>
      </c>
      <c r="I1166" s="54" t="s">
        <v>3514</v>
      </c>
      <c r="J1166" s="34" t="s">
        <v>3515</v>
      </c>
      <c r="K1166" s="50">
        <v>200000</v>
      </c>
      <c r="L1166" s="43">
        <v>44570</v>
      </c>
      <c r="M1166" s="44">
        <f t="shared" si="88"/>
        <v>0.22284999999999999</v>
      </c>
      <c r="N1166" s="49">
        <f>ROUND(L1166/Summary!$C$3*Summary!$C$2,0)</f>
        <v>138167</v>
      </c>
      <c r="O1166" s="44">
        <f t="shared" si="89"/>
        <v>0.69083499999999998</v>
      </c>
      <c r="P1166" s="78">
        <v>10</v>
      </c>
      <c r="Q1166" s="34">
        <v>2</v>
      </c>
      <c r="R1166" s="35">
        <f t="shared" si="90"/>
        <v>0.2</v>
      </c>
      <c r="S1166" s="49">
        <f>ROUND(Q1166/Summary!$C$3*Summary!$C$2,0)</f>
        <v>6</v>
      </c>
      <c r="T1166" s="44">
        <f t="shared" si="91"/>
        <v>0.6</v>
      </c>
      <c r="U1166" s="34">
        <v>1</v>
      </c>
      <c r="V1166" s="34">
        <v>1</v>
      </c>
      <c r="W1166" s="34">
        <v>0</v>
      </c>
      <c r="X1166" s="34">
        <v>0</v>
      </c>
    </row>
    <row r="1167" spans="1:24" hidden="1">
      <c r="A1167" s="34" t="s">
        <v>987</v>
      </c>
      <c r="B1167" s="34" t="s">
        <v>988</v>
      </c>
      <c r="C1167" s="34" t="s">
        <v>215</v>
      </c>
      <c r="D1167" s="34" t="s">
        <v>216</v>
      </c>
      <c r="E1167" s="34" t="s">
        <v>1</v>
      </c>
      <c r="F1167" s="34" t="s">
        <v>989</v>
      </c>
      <c r="G1167" s="54">
        <v>1743336633</v>
      </c>
      <c r="H1167" s="54" t="s">
        <v>229</v>
      </c>
      <c r="I1167" s="54" t="s">
        <v>3518</v>
      </c>
      <c r="J1167" s="34" t="s">
        <v>3419</v>
      </c>
      <c r="K1167" s="50">
        <v>377374</v>
      </c>
      <c r="L1167" s="43">
        <v>46539</v>
      </c>
      <c r="M1167" s="44">
        <f t="shared" si="88"/>
        <v>0.12332328141313392</v>
      </c>
      <c r="N1167" s="49">
        <f>ROUND(L1167/Summary!$C$3*Summary!$C$2,0)</f>
        <v>144271</v>
      </c>
      <c r="O1167" s="44">
        <f t="shared" si="89"/>
        <v>0.38230243736982411</v>
      </c>
      <c r="P1167" s="78">
        <v>10</v>
      </c>
      <c r="Q1167" s="34">
        <v>0</v>
      </c>
      <c r="R1167" s="35">
        <f t="shared" si="90"/>
        <v>0</v>
      </c>
      <c r="S1167" s="49">
        <f>ROUND(Q1167/Summary!$C$3*Summary!$C$2,0)</f>
        <v>0</v>
      </c>
      <c r="T1167" s="44">
        <f t="shared" si="91"/>
        <v>0</v>
      </c>
      <c r="U1167" s="34">
        <v>0</v>
      </c>
      <c r="V1167" s="34">
        <v>0</v>
      </c>
      <c r="W1167" s="34">
        <v>0</v>
      </c>
      <c r="X1167" s="34">
        <v>0</v>
      </c>
    </row>
    <row r="1168" spans="1:24" hidden="1">
      <c r="A1168" s="34" t="s">
        <v>1030</v>
      </c>
      <c r="B1168" s="34" t="s">
        <v>1031</v>
      </c>
      <c r="C1168" s="34" t="s">
        <v>215</v>
      </c>
      <c r="D1168" s="34" t="s">
        <v>216</v>
      </c>
      <c r="E1168" s="34" t="s">
        <v>1</v>
      </c>
      <c r="F1168" s="34" t="s">
        <v>1032</v>
      </c>
      <c r="G1168" s="54">
        <v>1712825151</v>
      </c>
      <c r="H1168" s="54" t="s">
        <v>229</v>
      </c>
      <c r="I1168" s="54" t="s">
        <v>3514</v>
      </c>
      <c r="J1168" s="34" t="s">
        <v>3515</v>
      </c>
      <c r="K1168" s="50">
        <v>130000</v>
      </c>
      <c r="L1168" s="43">
        <v>19310</v>
      </c>
      <c r="M1168" s="44">
        <f t="shared" si="88"/>
        <v>0.14853846153846154</v>
      </c>
      <c r="N1168" s="49">
        <f>ROUND(L1168/Summary!$C$3*Summary!$C$2,0)</f>
        <v>59861</v>
      </c>
      <c r="O1168" s="44">
        <f t="shared" si="89"/>
        <v>0.46046923076923074</v>
      </c>
      <c r="P1168" s="78">
        <v>10</v>
      </c>
      <c r="Q1168" s="34">
        <v>0</v>
      </c>
      <c r="R1168" s="35">
        <f t="shared" si="90"/>
        <v>0</v>
      </c>
      <c r="S1168" s="49">
        <f>ROUND(Q1168/Summary!$C$3*Summary!$C$2,0)</f>
        <v>0</v>
      </c>
      <c r="T1168" s="44">
        <f t="shared" si="91"/>
        <v>0</v>
      </c>
      <c r="U1168" s="34">
        <v>1</v>
      </c>
      <c r="V1168" s="34">
        <v>0</v>
      </c>
      <c r="W1168" s="34">
        <v>0</v>
      </c>
      <c r="X1168" s="34">
        <v>0</v>
      </c>
    </row>
    <row r="1169" spans="1:24" hidden="1">
      <c r="A1169" s="34" t="s">
        <v>933</v>
      </c>
      <c r="B1169" s="34" t="s">
        <v>77</v>
      </c>
      <c r="C1169" s="34" t="s">
        <v>215</v>
      </c>
      <c r="D1169" s="34" t="s">
        <v>216</v>
      </c>
      <c r="E1169" s="34" t="s">
        <v>1</v>
      </c>
      <c r="F1169" s="34" t="s">
        <v>934</v>
      </c>
      <c r="G1169" s="54">
        <v>1739640411</v>
      </c>
      <c r="H1169" s="54" t="s">
        <v>229</v>
      </c>
      <c r="I1169" s="54" t="s">
        <v>3514</v>
      </c>
      <c r="J1169" s="34" t="s">
        <v>3419</v>
      </c>
      <c r="K1169" s="50">
        <v>205610</v>
      </c>
      <c r="L1169" s="43">
        <v>43768</v>
      </c>
      <c r="M1169" s="44">
        <f t="shared" si="88"/>
        <v>0.21286902388016146</v>
      </c>
      <c r="N1169" s="49">
        <f>ROUND(L1169/Summary!$C$3*Summary!$C$2,0)</f>
        <v>135681</v>
      </c>
      <c r="O1169" s="44">
        <f t="shared" si="89"/>
        <v>0.65989494674383542</v>
      </c>
      <c r="P1169" s="78">
        <v>10</v>
      </c>
      <c r="Q1169" s="34">
        <v>0</v>
      </c>
      <c r="R1169" s="35">
        <f t="shared" si="90"/>
        <v>0</v>
      </c>
      <c r="S1169" s="49">
        <f>ROUND(Q1169/Summary!$C$3*Summary!$C$2,0)</f>
        <v>0</v>
      </c>
      <c r="T1169" s="44">
        <f t="shared" si="91"/>
        <v>0</v>
      </c>
      <c r="U1169" s="34">
        <v>0</v>
      </c>
      <c r="V1169" s="34">
        <v>0</v>
      </c>
      <c r="W1169" s="34">
        <v>0</v>
      </c>
      <c r="X1169" s="34">
        <v>0</v>
      </c>
    </row>
    <row r="1170" spans="1:24" hidden="1">
      <c r="A1170" s="34" t="s">
        <v>941</v>
      </c>
      <c r="B1170" s="34" t="s">
        <v>942</v>
      </c>
      <c r="C1170" s="34" t="s">
        <v>215</v>
      </c>
      <c r="D1170" s="34" t="s">
        <v>216</v>
      </c>
      <c r="E1170" s="34" t="s">
        <v>1</v>
      </c>
      <c r="F1170" s="34" t="s">
        <v>943</v>
      </c>
      <c r="G1170" s="54">
        <v>1753285282</v>
      </c>
      <c r="H1170" s="54" t="s">
        <v>229</v>
      </c>
      <c r="I1170" s="54" t="s">
        <v>3514</v>
      </c>
      <c r="J1170" s="34" t="s">
        <v>3419</v>
      </c>
      <c r="K1170" s="50">
        <v>229380</v>
      </c>
      <c r="L1170" s="43">
        <v>153360</v>
      </c>
      <c r="M1170" s="44">
        <f t="shared" si="88"/>
        <v>0.66858488098352076</v>
      </c>
      <c r="N1170" s="49">
        <f>ROUND(L1170/Summary!$C$3*Summary!$C$2,0)</f>
        <v>475416</v>
      </c>
      <c r="O1170" s="44">
        <f t="shared" si="89"/>
        <v>2.0726131310489144</v>
      </c>
      <c r="P1170" s="78">
        <v>10</v>
      </c>
      <c r="Q1170" s="34">
        <v>5</v>
      </c>
      <c r="R1170" s="35">
        <f t="shared" si="90"/>
        <v>0.5</v>
      </c>
      <c r="S1170" s="49">
        <f>ROUND(Q1170/Summary!$C$3*Summary!$C$2,0)</f>
        <v>16</v>
      </c>
      <c r="T1170" s="44">
        <f t="shared" si="91"/>
        <v>1.6</v>
      </c>
      <c r="U1170" s="34">
        <v>1</v>
      </c>
      <c r="V1170" s="34">
        <v>2</v>
      </c>
      <c r="W1170" s="34">
        <v>1</v>
      </c>
      <c r="X1170" s="34">
        <v>0</v>
      </c>
    </row>
    <row r="1171" spans="1:24" hidden="1">
      <c r="A1171" s="34" t="s">
        <v>981</v>
      </c>
      <c r="B1171" s="34" t="s">
        <v>982</v>
      </c>
      <c r="C1171" s="34" t="s">
        <v>215</v>
      </c>
      <c r="D1171" s="34" t="s">
        <v>216</v>
      </c>
      <c r="E1171" s="34" t="s">
        <v>1</v>
      </c>
      <c r="F1171" s="34" t="s">
        <v>983</v>
      </c>
      <c r="G1171" s="54">
        <v>1778436438</v>
      </c>
      <c r="H1171" s="54" t="s">
        <v>229</v>
      </c>
      <c r="I1171" s="54" t="s">
        <v>3514</v>
      </c>
      <c r="J1171" s="34" t="s">
        <v>3419</v>
      </c>
      <c r="K1171" s="50">
        <v>190024</v>
      </c>
      <c r="L1171" s="43">
        <v>75500</v>
      </c>
      <c r="M1171" s="44">
        <f t="shared" si="88"/>
        <v>0.39731823348629647</v>
      </c>
      <c r="N1171" s="49">
        <f>ROUND(L1171/Summary!$C$3*Summary!$C$2,0)</f>
        <v>234050</v>
      </c>
      <c r="O1171" s="44">
        <f t="shared" si="89"/>
        <v>1.231686523807519</v>
      </c>
      <c r="P1171" s="78">
        <v>10</v>
      </c>
      <c r="Q1171" s="34">
        <v>1</v>
      </c>
      <c r="R1171" s="35">
        <f t="shared" si="90"/>
        <v>0.1</v>
      </c>
      <c r="S1171" s="49">
        <f>ROUND(Q1171/Summary!$C$3*Summary!$C$2,0)</f>
        <v>3</v>
      </c>
      <c r="T1171" s="44">
        <f t="shared" si="91"/>
        <v>0.3</v>
      </c>
      <c r="U1171" s="34">
        <v>1</v>
      </c>
      <c r="V1171" s="34">
        <v>0</v>
      </c>
      <c r="W1171" s="34">
        <v>0</v>
      </c>
      <c r="X1171" s="34">
        <v>0</v>
      </c>
    </row>
    <row r="1172" spans="1:24" hidden="1">
      <c r="A1172" s="34" t="s">
        <v>938</v>
      </c>
      <c r="B1172" s="34" t="s">
        <v>939</v>
      </c>
      <c r="C1172" s="34" t="s">
        <v>215</v>
      </c>
      <c r="D1172" s="34" t="s">
        <v>216</v>
      </c>
      <c r="E1172" s="34" t="s">
        <v>1</v>
      </c>
      <c r="F1172" s="34" t="s">
        <v>940</v>
      </c>
      <c r="G1172" s="54">
        <v>1714506128</v>
      </c>
      <c r="H1172" s="54" t="s">
        <v>229</v>
      </c>
      <c r="I1172" s="54" t="s">
        <v>3514</v>
      </c>
      <c r="J1172" s="34" t="s">
        <v>3419</v>
      </c>
      <c r="K1172" s="50">
        <v>156337</v>
      </c>
      <c r="L1172" s="43">
        <v>46118</v>
      </c>
      <c r="M1172" s="44">
        <f t="shared" si="88"/>
        <v>0.29499094903957479</v>
      </c>
      <c r="N1172" s="49">
        <f>ROUND(L1172/Summary!$C$3*Summary!$C$2,0)</f>
        <v>142966</v>
      </c>
      <c r="O1172" s="44">
        <f t="shared" si="89"/>
        <v>0.91447322131037434</v>
      </c>
      <c r="P1172" s="78">
        <v>10</v>
      </c>
      <c r="Q1172" s="34">
        <v>0</v>
      </c>
      <c r="R1172" s="35">
        <f t="shared" si="90"/>
        <v>0</v>
      </c>
      <c r="S1172" s="49">
        <f>ROUND(Q1172/Summary!$C$3*Summary!$C$2,0)</f>
        <v>0</v>
      </c>
      <c r="T1172" s="44">
        <f t="shared" si="91"/>
        <v>0</v>
      </c>
      <c r="U1172" s="34">
        <v>0</v>
      </c>
      <c r="V1172" s="34">
        <v>0</v>
      </c>
      <c r="W1172" s="34">
        <v>0</v>
      </c>
      <c r="X1172" s="34">
        <v>0</v>
      </c>
    </row>
    <row r="1173" spans="1:24" hidden="1">
      <c r="A1173" s="34" t="s">
        <v>947</v>
      </c>
      <c r="B1173" s="34" t="s">
        <v>948</v>
      </c>
      <c r="C1173" s="34" t="s">
        <v>215</v>
      </c>
      <c r="D1173" s="34" t="s">
        <v>216</v>
      </c>
      <c r="E1173" s="34" t="s">
        <v>1</v>
      </c>
      <c r="F1173" s="34" t="s">
        <v>949</v>
      </c>
      <c r="G1173" s="54">
        <v>1756576512</v>
      </c>
      <c r="H1173" s="54" t="s">
        <v>229</v>
      </c>
      <c r="I1173" s="54" t="s">
        <v>3514</v>
      </c>
      <c r="J1173" s="34" t="s">
        <v>3419</v>
      </c>
      <c r="K1173" s="50">
        <v>130000</v>
      </c>
      <c r="L1173" s="43">
        <v>28160</v>
      </c>
      <c r="M1173" s="44">
        <f t="shared" si="88"/>
        <v>0.21661538461538463</v>
      </c>
      <c r="N1173" s="49">
        <f>ROUND(L1173/Summary!$C$3*Summary!$C$2,0)</f>
        <v>87296</v>
      </c>
      <c r="O1173" s="44">
        <f t="shared" si="89"/>
        <v>0.67150769230769236</v>
      </c>
      <c r="P1173" s="78">
        <v>10</v>
      </c>
      <c r="Q1173" s="34">
        <v>2</v>
      </c>
      <c r="R1173" s="35">
        <f t="shared" si="90"/>
        <v>0.2</v>
      </c>
      <c r="S1173" s="49">
        <f>ROUND(Q1173/Summary!$C$3*Summary!$C$2,0)</f>
        <v>6</v>
      </c>
      <c r="T1173" s="44">
        <f t="shared" si="91"/>
        <v>0.6</v>
      </c>
      <c r="U1173" s="34">
        <v>0</v>
      </c>
      <c r="V1173" s="34">
        <v>0</v>
      </c>
      <c r="W1173" s="34">
        <v>0</v>
      </c>
      <c r="X1173" s="34">
        <v>0</v>
      </c>
    </row>
    <row r="1174" spans="1:24" hidden="1">
      <c r="A1174" s="34" t="s">
        <v>1069</v>
      </c>
      <c r="B1174" s="34" t="s">
        <v>1070</v>
      </c>
      <c r="C1174" s="34" t="s">
        <v>215</v>
      </c>
      <c r="D1174" s="34" t="s">
        <v>216</v>
      </c>
      <c r="E1174" s="34" t="s">
        <v>1</v>
      </c>
      <c r="F1174" s="34" t="s">
        <v>1071</v>
      </c>
      <c r="G1174" s="54">
        <v>1712472514</v>
      </c>
      <c r="H1174" s="54" t="s">
        <v>229</v>
      </c>
      <c r="I1174" s="54" t="s">
        <v>3514</v>
      </c>
      <c r="J1174" s="34" t="s">
        <v>3419</v>
      </c>
      <c r="K1174" s="50">
        <v>130000</v>
      </c>
      <c r="L1174" s="43">
        <v>75600</v>
      </c>
      <c r="M1174" s="44">
        <f t="shared" si="88"/>
        <v>0.58153846153846156</v>
      </c>
      <c r="N1174" s="49">
        <f>ROUND(L1174/Summary!$C$3*Summary!$C$2,0)</f>
        <v>234360</v>
      </c>
      <c r="O1174" s="44">
        <f t="shared" si="89"/>
        <v>1.8027692307692307</v>
      </c>
      <c r="P1174" s="78">
        <v>10</v>
      </c>
      <c r="Q1174" s="34">
        <v>1</v>
      </c>
      <c r="R1174" s="35">
        <f t="shared" si="90"/>
        <v>0.1</v>
      </c>
      <c r="S1174" s="49">
        <f>ROUND(Q1174/Summary!$C$3*Summary!$C$2,0)</f>
        <v>3</v>
      </c>
      <c r="T1174" s="44">
        <f t="shared" si="91"/>
        <v>0.3</v>
      </c>
      <c r="U1174" s="34">
        <v>1</v>
      </c>
      <c r="V1174" s="34">
        <v>0</v>
      </c>
      <c r="W1174" s="34">
        <v>0</v>
      </c>
      <c r="X1174" s="34">
        <v>0</v>
      </c>
    </row>
    <row r="1175" spans="1:24" hidden="1">
      <c r="A1175" s="34" t="s">
        <v>944</v>
      </c>
      <c r="B1175" s="34" t="s">
        <v>945</v>
      </c>
      <c r="C1175" s="34" t="s">
        <v>215</v>
      </c>
      <c r="D1175" s="34" t="s">
        <v>216</v>
      </c>
      <c r="E1175" s="34" t="s">
        <v>1</v>
      </c>
      <c r="F1175" s="34" t="s">
        <v>946</v>
      </c>
      <c r="G1175" s="54">
        <v>1712377568</v>
      </c>
      <c r="H1175" s="54" t="s">
        <v>229</v>
      </c>
      <c r="I1175" s="54" t="s">
        <v>3514</v>
      </c>
      <c r="J1175" s="34" t="s">
        <v>3419</v>
      </c>
      <c r="K1175" s="50">
        <v>215699</v>
      </c>
      <c r="L1175" s="43">
        <v>93228</v>
      </c>
      <c r="M1175" s="44">
        <f t="shared" si="88"/>
        <v>0.43221340849980761</v>
      </c>
      <c r="N1175" s="49">
        <f>ROUND(L1175/Summary!$C$3*Summary!$C$2,0)</f>
        <v>289007</v>
      </c>
      <c r="O1175" s="44">
        <f t="shared" si="89"/>
        <v>1.339862493567425</v>
      </c>
      <c r="P1175" s="78">
        <v>10</v>
      </c>
      <c r="Q1175" s="34">
        <v>0</v>
      </c>
      <c r="R1175" s="35">
        <f t="shared" si="90"/>
        <v>0</v>
      </c>
      <c r="S1175" s="49">
        <f>ROUND(Q1175/Summary!$C$3*Summary!$C$2,0)</f>
        <v>0</v>
      </c>
      <c r="T1175" s="44">
        <f t="shared" si="91"/>
        <v>0</v>
      </c>
      <c r="U1175" s="34">
        <v>0</v>
      </c>
      <c r="V1175" s="34">
        <v>0</v>
      </c>
      <c r="W1175" s="34">
        <v>0</v>
      </c>
      <c r="X1175" s="34">
        <v>0</v>
      </c>
    </row>
    <row r="1176" spans="1:24" hidden="1">
      <c r="A1176" s="34" t="s">
        <v>1052</v>
      </c>
      <c r="B1176" s="34" t="s">
        <v>1053</v>
      </c>
      <c r="C1176" s="34" t="s">
        <v>215</v>
      </c>
      <c r="D1176" s="34" t="s">
        <v>216</v>
      </c>
      <c r="E1176" s="34" t="s">
        <v>1</v>
      </c>
      <c r="F1176" s="34" t="s">
        <v>1054</v>
      </c>
      <c r="G1176" s="54">
        <v>1716270041</v>
      </c>
      <c r="H1176" s="54" t="s">
        <v>229</v>
      </c>
      <c r="I1176" s="54" t="s">
        <v>3514</v>
      </c>
      <c r="J1176" s="34" t="s">
        <v>3419</v>
      </c>
      <c r="K1176" s="50">
        <v>130000</v>
      </c>
      <c r="L1176" s="43">
        <v>47050</v>
      </c>
      <c r="M1176" s="44">
        <f t="shared" si="88"/>
        <v>0.3619230769230769</v>
      </c>
      <c r="N1176" s="49">
        <f>ROUND(L1176/Summary!$C$3*Summary!$C$2,0)</f>
        <v>145855</v>
      </c>
      <c r="O1176" s="44">
        <f t="shared" si="89"/>
        <v>1.1219615384615385</v>
      </c>
      <c r="P1176" s="78">
        <v>10</v>
      </c>
      <c r="Q1176" s="34">
        <v>0</v>
      </c>
      <c r="R1176" s="35">
        <f t="shared" si="90"/>
        <v>0</v>
      </c>
      <c r="S1176" s="49">
        <f>ROUND(Q1176/Summary!$C$3*Summary!$C$2,0)</f>
        <v>0</v>
      </c>
      <c r="T1176" s="44">
        <f t="shared" si="91"/>
        <v>0</v>
      </c>
      <c r="U1176" s="34">
        <v>0</v>
      </c>
      <c r="V1176" s="34">
        <v>0</v>
      </c>
      <c r="W1176" s="34">
        <v>0</v>
      </c>
      <c r="X1176" s="34">
        <v>0</v>
      </c>
    </row>
    <row r="1177" spans="1:24" hidden="1">
      <c r="A1177" s="34" t="s">
        <v>1033</v>
      </c>
      <c r="B1177" s="34" t="s">
        <v>1034</v>
      </c>
      <c r="C1177" s="34" t="s">
        <v>215</v>
      </c>
      <c r="D1177" s="34" t="s">
        <v>216</v>
      </c>
      <c r="E1177" s="34" t="s">
        <v>1</v>
      </c>
      <c r="F1177" s="34" t="s">
        <v>1035</v>
      </c>
      <c r="G1177" s="54">
        <v>1717794087</v>
      </c>
      <c r="H1177" s="54" t="s">
        <v>229</v>
      </c>
      <c r="I1177" s="54" t="s">
        <v>3514</v>
      </c>
      <c r="J1177" s="34" t="s">
        <v>3419</v>
      </c>
      <c r="K1177" s="50">
        <v>130000</v>
      </c>
      <c r="L1177" s="43">
        <v>41420</v>
      </c>
      <c r="M1177" s="44">
        <f t="shared" si="88"/>
        <v>0.31861538461538463</v>
      </c>
      <c r="N1177" s="49">
        <f>ROUND(L1177/Summary!$C$3*Summary!$C$2,0)</f>
        <v>128402</v>
      </c>
      <c r="O1177" s="44">
        <f t="shared" si="89"/>
        <v>0.98770769230769229</v>
      </c>
      <c r="P1177" s="78">
        <v>10</v>
      </c>
      <c r="Q1177" s="34">
        <v>1</v>
      </c>
      <c r="R1177" s="35">
        <f t="shared" si="90"/>
        <v>0.1</v>
      </c>
      <c r="S1177" s="49">
        <f>ROUND(Q1177/Summary!$C$3*Summary!$C$2,0)</f>
        <v>3</v>
      </c>
      <c r="T1177" s="44">
        <f t="shared" si="91"/>
        <v>0.3</v>
      </c>
      <c r="U1177" s="34">
        <v>2</v>
      </c>
      <c r="V1177" s="34">
        <v>0</v>
      </c>
      <c r="W1177" s="34">
        <v>0</v>
      </c>
      <c r="X1177" s="34">
        <v>0</v>
      </c>
    </row>
    <row r="1178" spans="1:24" hidden="1">
      <c r="A1178" s="34" t="s">
        <v>929</v>
      </c>
      <c r="B1178" s="34" t="s">
        <v>930</v>
      </c>
      <c r="C1178" s="34" t="s">
        <v>931</v>
      </c>
      <c r="D1178" s="34" t="s">
        <v>216</v>
      </c>
      <c r="E1178" s="34" t="s">
        <v>1</v>
      </c>
      <c r="F1178" s="34" t="s">
        <v>932</v>
      </c>
      <c r="G1178" s="54">
        <v>1746067109</v>
      </c>
      <c r="H1178" s="54" t="s">
        <v>229</v>
      </c>
      <c r="I1178" s="54" t="s">
        <v>3514</v>
      </c>
      <c r="J1178" s="34" t="s">
        <v>3419</v>
      </c>
      <c r="K1178" s="50">
        <v>130000</v>
      </c>
      <c r="L1178" s="43">
        <v>27850</v>
      </c>
      <c r="M1178" s="44">
        <f t="shared" si="88"/>
        <v>0.21423076923076922</v>
      </c>
      <c r="N1178" s="49">
        <f>ROUND(L1178/Summary!$C$3*Summary!$C$2,0)</f>
        <v>86335</v>
      </c>
      <c r="O1178" s="44">
        <f t="shared" si="89"/>
        <v>0.66411538461538466</v>
      </c>
      <c r="P1178" s="78">
        <v>10</v>
      </c>
      <c r="Q1178" s="34">
        <v>1</v>
      </c>
      <c r="R1178" s="35">
        <f t="shared" si="90"/>
        <v>0.1</v>
      </c>
      <c r="S1178" s="49">
        <f>ROUND(Q1178/Summary!$C$3*Summary!$C$2,0)</f>
        <v>3</v>
      </c>
      <c r="T1178" s="44">
        <f t="shared" si="91"/>
        <v>0.3</v>
      </c>
      <c r="U1178" s="34">
        <v>0</v>
      </c>
      <c r="V1178" s="34">
        <v>1</v>
      </c>
      <c r="W1178" s="34">
        <v>0</v>
      </c>
      <c r="X1178" s="34">
        <v>0</v>
      </c>
    </row>
    <row r="1179" spans="1:24" hidden="1">
      <c r="A1179" s="34" t="s">
        <v>3343</v>
      </c>
      <c r="B1179" s="34" t="s">
        <v>3344</v>
      </c>
      <c r="C1179" s="34" t="s">
        <v>931</v>
      </c>
      <c r="D1179" s="34" t="s">
        <v>216</v>
      </c>
      <c r="E1179" s="34" t="s">
        <v>1</v>
      </c>
      <c r="F1179" s="34" t="s">
        <v>3345</v>
      </c>
      <c r="G1179" s="54">
        <v>1711912173</v>
      </c>
      <c r="H1179" s="54" t="s">
        <v>229</v>
      </c>
      <c r="I1179" s="54" t="s">
        <v>3514</v>
      </c>
      <c r="J1179" s="34" t="s">
        <v>3515</v>
      </c>
      <c r="K1179" s="50">
        <v>130000</v>
      </c>
      <c r="L1179" s="43">
        <v>68190</v>
      </c>
      <c r="M1179" s="44">
        <f t="shared" si="88"/>
        <v>0.52453846153846151</v>
      </c>
      <c r="N1179" s="49">
        <f>ROUND(L1179/Summary!$C$3*Summary!$C$2,0)</f>
        <v>211389</v>
      </c>
      <c r="O1179" s="44">
        <f t="shared" si="89"/>
        <v>1.6260692307692308</v>
      </c>
      <c r="P1179" s="78">
        <v>10</v>
      </c>
      <c r="Q1179" s="34">
        <v>0</v>
      </c>
      <c r="R1179" s="35">
        <f t="shared" si="90"/>
        <v>0</v>
      </c>
      <c r="S1179" s="49">
        <f>ROUND(Q1179/Summary!$C$3*Summary!$C$2,0)</f>
        <v>0</v>
      </c>
      <c r="T1179" s="44">
        <f t="shared" si="91"/>
        <v>0</v>
      </c>
      <c r="U1179" s="34">
        <v>1</v>
      </c>
      <c r="V1179" s="34">
        <v>0</v>
      </c>
      <c r="W1179" s="34">
        <v>0</v>
      </c>
      <c r="X1179" s="34">
        <v>0</v>
      </c>
    </row>
    <row r="1180" spans="1:24" hidden="1">
      <c r="A1180" s="34" t="s">
        <v>956</v>
      </c>
      <c r="B1180" s="34" t="s">
        <v>957</v>
      </c>
      <c r="C1180" s="34" t="s">
        <v>931</v>
      </c>
      <c r="D1180" s="34" t="s">
        <v>216</v>
      </c>
      <c r="E1180" s="34" t="s">
        <v>1</v>
      </c>
      <c r="F1180" s="34" t="s">
        <v>958</v>
      </c>
      <c r="G1180" s="54">
        <v>1712769460</v>
      </c>
      <c r="H1180" s="54" t="s">
        <v>229</v>
      </c>
      <c r="I1180" s="54" t="s">
        <v>3514</v>
      </c>
      <c r="J1180" s="34" t="s">
        <v>3419</v>
      </c>
      <c r="K1180" s="50">
        <v>212773</v>
      </c>
      <c r="L1180" s="43">
        <v>68995</v>
      </c>
      <c r="M1180" s="44">
        <f t="shared" si="88"/>
        <v>0.3242657668031188</v>
      </c>
      <c r="N1180" s="49">
        <f>ROUND(L1180/Summary!$C$3*Summary!$C$2,0)</f>
        <v>213885</v>
      </c>
      <c r="O1180" s="44">
        <f t="shared" si="89"/>
        <v>1.0052262270118859</v>
      </c>
      <c r="P1180" s="78">
        <v>10</v>
      </c>
      <c r="Q1180" s="34">
        <v>2</v>
      </c>
      <c r="R1180" s="35">
        <f t="shared" si="90"/>
        <v>0.2</v>
      </c>
      <c r="S1180" s="49">
        <f>ROUND(Q1180/Summary!$C$3*Summary!$C$2,0)</f>
        <v>6</v>
      </c>
      <c r="T1180" s="44">
        <f t="shared" si="91"/>
        <v>0.6</v>
      </c>
      <c r="U1180" s="34">
        <v>1</v>
      </c>
      <c r="V1180" s="34">
        <v>0</v>
      </c>
      <c r="W1180" s="34">
        <v>0</v>
      </c>
      <c r="X1180" s="34">
        <v>0</v>
      </c>
    </row>
    <row r="1181" spans="1:24" hidden="1">
      <c r="A1181" s="34" t="s">
        <v>1036</v>
      </c>
      <c r="B1181" s="34" t="s">
        <v>1037</v>
      </c>
      <c r="C1181" s="34" t="s">
        <v>192</v>
      </c>
      <c r="D1181" s="34" t="s">
        <v>1</v>
      </c>
      <c r="E1181" s="34" t="s">
        <v>1</v>
      </c>
      <c r="F1181" s="34" t="s">
        <v>3346</v>
      </c>
      <c r="G1181" s="54">
        <v>1713814860</v>
      </c>
      <c r="H1181" s="54" t="s">
        <v>229</v>
      </c>
      <c r="I1181" s="54" t="s">
        <v>3514</v>
      </c>
      <c r="J1181" s="34" t="s">
        <v>3419</v>
      </c>
      <c r="K1181" s="50">
        <v>287032</v>
      </c>
      <c r="L1181" s="43">
        <v>76160</v>
      </c>
      <c r="M1181" s="44">
        <f t="shared" si="88"/>
        <v>0.26533626912678726</v>
      </c>
      <c r="N1181" s="49">
        <f>ROUND(L1181/Summary!$C$3*Summary!$C$2,0)</f>
        <v>236096</v>
      </c>
      <c r="O1181" s="44">
        <f t="shared" si="89"/>
        <v>0.82254243429304053</v>
      </c>
      <c r="P1181" s="78">
        <v>10</v>
      </c>
      <c r="Q1181" s="34">
        <v>3</v>
      </c>
      <c r="R1181" s="35">
        <f t="shared" si="90"/>
        <v>0.3</v>
      </c>
      <c r="S1181" s="49">
        <f>ROUND(Q1181/Summary!$C$3*Summary!$C$2,0)</f>
        <v>9</v>
      </c>
      <c r="T1181" s="44">
        <f t="shared" si="91"/>
        <v>0.9</v>
      </c>
      <c r="U1181" s="34">
        <v>2</v>
      </c>
      <c r="V1181" s="34">
        <v>3</v>
      </c>
      <c r="W1181" s="34">
        <v>0</v>
      </c>
      <c r="X1181" s="34">
        <v>0</v>
      </c>
    </row>
    <row r="1182" spans="1:24" hidden="1">
      <c r="A1182" s="72" t="s">
        <v>926</v>
      </c>
      <c r="B1182" s="72" t="s">
        <v>927</v>
      </c>
      <c r="C1182" s="72" t="s">
        <v>192</v>
      </c>
      <c r="D1182" s="72" t="s">
        <v>1</v>
      </c>
      <c r="E1182" s="72" t="s">
        <v>1</v>
      </c>
      <c r="F1182" s="72" t="s">
        <v>928</v>
      </c>
      <c r="G1182" s="67">
        <v>1724403448</v>
      </c>
      <c r="H1182" s="54" t="s">
        <v>229</v>
      </c>
      <c r="I1182" s="54" t="s">
        <v>3514</v>
      </c>
      <c r="J1182" s="34" t="s">
        <v>3419</v>
      </c>
      <c r="K1182" s="50">
        <v>130000</v>
      </c>
      <c r="L1182" s="43">
        <v>23900</v>
      </c>
      <c r="M1182" s="44">
        <f t="shared" si="88"/>
        <v>0.18384615384615385</v>
      </c>
      <c r="N1182" s="49">
        <f>ROUND(L1182/Summary!$C$3*Summary!$C$2,0)</f>
        <v>74090</v>
      </c>
      <c r="O1182" s="44">
        <f t="shared" si="89"/>
        <v>0.56992307692307698</v>
      </c>
      <c r="P1182" s="78">
        <v>10</v>
      </c>
      <c r="Q1182" s="34">
        <v>1</v>
      </c>
      <c r="R1182" s="35">
        <f t="shared" si="90"/>
        <v>0.1</v>
      </c>
      <c r="S1182" s="49">
        <f>ROUND(Q1182/Summary!$C$3*Summary!$C$2,0)</f>
        <v>3</v>
      </c>
      <c r="T1182" s="44">
        <f t="shared" si="91"/>
        <v>0.3</v>
      </c>
      <c r="U1182" s="34">
        <v>1</v>
      </c>
      <c r="V1182" s="34">
        <v>1</v>
      </c>
      <c r="W1182" s="34">
        <v>0</v>
      </c>
      <c r="X1182" s="34">
        <v>0</v>
      </c>
    </row>
    <row r="1183" spans="1:24" hidden="1">
      <c r="A1183" s="75" t="s">
        <v>3661</v>
      </c>
      <c r="B1183" s="75" t="s">
        <v>3662</v>
      </c>
      <c r="C1183" s="75" t="s">
        <v>192</v>
      </c>
      <c r="D1183" s="75" t="s">
        <v>1</v>
      </c>
      <c r="E1183" s="75" t="s">
        <v>1</v>
      </c>
      <c r="F1183" s="75" t="s">
        <v>3663</v>
      </c>
      <c r="G1183" s="67">
        <v>1745959109</v>
      </c>
      <c r="H1183" s="54" t="s">
        <v>229</v>
      </c>
      <c r="I1183" s="54" t="s">
        <v>3514</v>
      </c>
      <c r="J1183" s="34" t="s">
        <v>3421</v>
      </c>
      <c r="K1183" s="50">
        <v>130000</v>
      </c>
      <c r="L1183" s="43">
        <v>47150</v>
      </c>
      <c r="M1183" s="44">
        <f t="shared" si="88"/>
        <v>0.3626923076923077</v>
      </c>
      <c r="N1183" s="49">
        <f>ROUND(L1183/Summary!$C$3*Summary!$C$2,0)</f>
        <v>146165</v>
      </c>
      <c r="O1183" s="44">
        <f t="shared" si="89"/>
        <v>1.1243461538461539</v>
      </c>
      <c r="P1183" s="78">
        <v>10</v>
      </c>
      <c r="Q1183" s="34">
        <v>1</v>
      </c>
      <c r="R1183" s="35">
        <f t="shared" si="90"/>
        <v>0.1</v>
      </c>
      <c r="S1183" s="49">
        <f>ROUND(Q1183/Summary!$C$3*Summary!$C$2,0)</f>
        <v>3</v>
      </c>
      <c r="T1183" s="44">
        <f t="shared" si="91"/>
        <v>0.3</v>
      </c>
      <c r="U1183" s="34">
        <v>0</v>
      </c>
      <c r="V1183" s="34">
        <v>0</v>
      </c>
      <c r="W1183" s="34">
        <v>0</v>
      </c>
      <c r="X1183" s="34">
        <v>0</v>
      </c>
    </row>
    <row r="1184" spans="1:24" hidden="1">
      <c r="A1184" s="34" t="s">
        <v>1041</v>
      </c>
      <c r="B1184" s="34" t="s">
        <v>1042</v>
      </c>
      <c r="C1184" s="34" t="s">
        <v>192</v>
      </c>
      <c r="D1184" s="34" t="s">
        <v>1</v>
      </c>
      <c r="E1184" s="34" t="s">
        <v>1</v>
      </c>
      <c r="F1184" s="34" t="s">
        <v>1043</v>
      </c>
      <c r="G1184" s="54">
        <v>1754659992</v>
      </c>
      <c r="H1184" s="54" t="s">
        <v>229</v>
      </c>
      <c r="I1184" s="54" t="s">
        <v>3514</v>
      </c>
      <c r="J1184" s="34" t="s">
        <v>3420</v>
      </c>
      <c r="K1184" s="50">
        <v>204529</v>
      </c>
      <c r="L1184" s="43">
        <v>39580</v>
      </c>
      <c r="M1184" s="44">
        <f t="shared" si="88"/>
        <v>0.19351778965330099</v>
      </c>
      <c r="N1184" s="49">
        <f>ROUND(L1184/Summary!$C$3*Summary!$C$2,0)</f>
        <v>122698</v>
      </c>
      <c r="O1184" s="44">
        <f t="shared" si="89"/>
        <v>0.59990514792523308</v>
      </c>
      <c r="P1184" s="78">
        <v>13</v>
      </c>
      <c r="Q1184" s="34">
        <v>2</v>
      </c>
      <c r="R1184" s="35">
        <f t="shared" si="90"/>
        <v>0.15384615384615385</v>
      </c>
      <c r="S1184" s="49">
        <f>ROUND(Q1184/Summary!$C$3*Summary!$C$2,0)</f>
        <v>6</v>
      </c>
      <c r="T1184" s="44">
        <f t="shared" si="91"/>
        <v>0.46153846153846156</v>
      </c>
      <c r="U1184" s="34">
        <v>2</v>
      </c>
      <c r="V1184" s="34">
        <v>0</v>
      </c>
      <c r="W1184" s="34">
        <v>0</v>
      </c>
      <c r="X1184" s="34">
        <v>0</v>
      </c>
    </row>
    <row r="1185" spans="1:24" hidden="1">
      <c r="A1185" s="34" t="s">
        <v>1010</v>
      </c>
      <c r="B1185" s="34" t="s">
        <v>1011</v>
      </c>
      <c r="C1185" s="34" t="s">
        <v>192</v>
      </c>
      <c r="D1185" s="34" t="s">
        <v>1</v>
      </c>
      <c r="E1185" s="34" t="s">
        <v>1</v>
      </c>
      <c r="F1185" s="34" t="s">
        <v>1012</v>
      </c>
      <c r="G1185" s="54">
        <v>1714725445</v>
      </c>
      <c r="H1185" s="54" t="s">
        <v>229</v>
      </c>
      <c r="I1185" s="54" t="s">
        <v>3514</v>
      </c>
      <c r="J1185" s="34" t="s">
        <v>3421</v>
      </c>
      <c r="K1185" s="50">
        <v>130000</v>
      </c>
      <c r="L1185" s="43">
        <v>36315</v>
      </c>
      <c r="M1185" s="44">
        <f t="shared" si="88"/>
        <v>0.27934615384615386</v>
      </c>
      <c r="N1185" s="49">
        <f>ROUND(L1185/Summary!$C$3*Summary!$C$2,0)</f>
        <v>112577</v>
      </c>
      <c r="O1185" s="44">
        <f t="shared" si="89"/>
        <v>0.86597692307692309</v>
      </c>
      <c r="P1185" s="78">
        <v>10</v>
      </c>
      <c r="Q1185" s="34">
        <v>2</v>
      </c>
      <c r="R1185" s="35">
        <f t="shared" si="90"/>
        <v>0.2</v>
      </c>
      <c r="S1185" s="49">
        <f>ROUND(Q1185/Summary!$C$3*Summary!$C$2,0)</f>
        <v>6</v>
      </c>
      <c r="T1185" s="44">
        <f t="shared" si="91"/>
        <v>0.6</v>
      </c>
      <c r="U1185" s="34">
        <v>0</v>
      </c>
      <c r="V1185" s="34">
        <v>0</v>
      </c>
      <c r="W1185" s="34">
        <v>0</v>
      </c>
      <c r="X1185" s="34">
        <v>0</v>
      </c>
    </row>
    <row r="1186" spans="1:24" hidden="1">
      <c r="A1186" s="34" t="s">
        <v>1047</v>
      </c>
      <c r="B1186" s="34" t="s">
        <v>1048</v>
      </c>
      <c r="C1186" s="34" t="s">
        <v>192</v>
      </c>
      <c r="D1186" s="34" t="s">
        <v>1</v>
      </c>
      <c r="E1186" s="34" t="s">
        <v>1</v>
      </c>
      <c r="F1186" s="34" t="s">
        <v>1049</v>
      </c>
      <c r="G1186" s="54">
        <v>1733332929</v>
      </c>
      <c r="H1186" s="54" t="s">
        <v>229</v>
      </c>
      <c r="I1186" s="54" t="s">
        <v>3514</v>
      </c>
      <c r="J1186" s="34" t="s">
        <v>3421</v>
      </c>
      <c r="K1186" s="50">
        <v>130000</v>
      </c>
      <c r="L1186" s="43">
        <v>13980</v>
      </c>
      <c r="M1186" s="44">
        <f t="shared" si="88"/>
        <v>0.10753846153846154</v>
      </c>
      <c r="N1186" s="49">
        <f>ROUND(L1186/Summary!$C$3*Summary!$C$2,0)</f>
        <v>43338</v>
      </c>
      <c r="O1186" s="44">
        <f t="shared" si="89"/>
        <v>0.33336923076923075</v>
      </c>
      <c r="P1186" s="78">
        <v>10</v>
      </c>
      <c r="Q1186" s="34">
        <v>1</v>
      </c>
      <c r="R1186" s="35">
        <f t="shared" si="90"/>
        <v>0.1</v>
      </c>
      <c r="S1186" s="49">
        <f>ROUND(Q1186/Summary!$C$3*Summary!$C$2,0)</f>
        <v>3</v>
      </c>
      <c r="T1186" s="44">
        <f t="shared" si="91"/>
        <v>0.3</v>
      </c>
      <c r="U1186" s="34">
        <v>0</v>
      </c>
      <c r="V1186" s="34">
        <v>0</v>
      </c>
      <c r="W1186" s="34">
        <v>0</v>
      </c>
      <c r="X1186" s="34">
        <v>0</v>
      </c>
    </row>
    <row r="1187" spans="1:24" hidden="1">
      <c r="A1187" s="34" t="s">
        <v>1002</v>
      </c>
      <c r="B1187" s="34" t="s">
        <v>1003</v>
      </c>
      <c r="C1187" s="34" t="s">
        <v>192</v>
      </c>
      <c r="D1187" s="34" t="s">
        <v>1</v>
      </c>
      <c r="E1187" s="34" t="s">
        <v>1</v>
      </c>
      <c r="F1187" s="34" t="s">
        <v>1004</v>
      </c>
      <c r="G1187" s="54">
        <v>1913305278</v>
      </c>
      <c r="H1187" s="54" t="s">
        <v>229</v>
      </c>
      <c r="I1187" s="54" t="s">
        <v>3518</v>
      </c>
      <c r="J1187" s="34" t="s">
        <v>3421</v>
      </c>
      <c r="K1187" s="50">
        <v>301675</v>
      </c>
      <c r="L1187" s="43">
        <v>119600</v>
      </c>
      <c r="M1187" s="44">
        <f t="shared" si="88"/>
        <v>0.39645313665368359</v>
      </c>
      <c r="N1187" s="49">
        <f>ROUND(L1187/Summary!$C$3*Summary!$C$2,0)</f>
        <v>370760</v>
      </c>
      <c r="O1187" s="44">
        <f t="shared" si="89"/>
        <v>1.2290047236264192</v>
      </c>
      <c r="P1187" s="78">
        <v>13</v>
      </c>
      <c r="Q1187" s="34">
        <v>6</v>
      </c>
      <c r="R1187" s="35">
        <f t="shared" si="90"/>
        <v>0.46153846153846156</v>
      </c>
      <c r="S1187" s="49">
        <f>ROUND(Q1187/Summary!$C$3*Summary!$C$2,0)</f>
        <v>19</v>
      </c>
      <c r="T1187" s="44">
        <f t="shared" si="91"/>
        <v>1.4615384615384615</v>
      </c>
      <c r="U1187" s="34">
        <v>2</v>
      </c>
      <c r="V1187" s="34">
        <v>0</v>
      </c>
      <c r="W1187" s="34">
        <v>0</v>
      </c>
      <c r="X1187" s="34">
        <v>1</v>
      </c>
    </row>
    <row r="1188" spans="1:24" hidden="1">
      <c r="A1188" s="34" t="s">
        <v>1067</v>
      </c>
      <c r="B1188" s="34" t="s">
        <v>1068</v>
      </c>
      <c r="C1188" s="34" t="s">
        <v>192</v>
      </c>
      <c r="D1188" s="34" t="s">
        <v>1</v>
      </c>
      <c r="E1188" s="34" t="s">
        <v>1</v>
      </c>
      <c r="F1188" s="34" t="s">
        <v>3347</v>
      </c>
      <c r="G1188" s="54">
        <v>1718108809</v>
      </c>
      <c r="H1188" s="54" t="s">
        <v>229</v>
      </c>
      <c r="I1188" s="54" t="s">
        <v>3514</v>
      </c>
      <c r="J1188" s="34" t="s">
        <v>3515</v>
      </c>
      <c r="K1188" s="50">
        <v>130000</v>
      </c>
      <c r="L1188" s="43">
        <v>38580</v>
      </c>
      <c r="M1188" s="44">
        <f t="shared" si="88"/>
        <v>0.29676923076923079</v>
      </c>
      <c r="N1188" s="49">
        <f>ROUND(L1188/Summary!$C$3*Summary!$C$2,0)</f>
        <v>119598</v>
      </c>
      <c r="O1188" s="44">
        <f t="shared" si="89"/>
        <v>0.9199846153846154</v>
      </c>
      <c r="P1188" s="78">
        <v>10</v>
      </c>
      <c r="Q1188" s="34">
        <v>3</v>
      </c>
      <c r="R1188" s="35">
        <f t="shared" si="90"/>
        <v>0.3</v>
      </c>
      <c r="S1188" s="49">
        <f>ROUND(Q1188/Summary!$C$3*Summary!$C$2,0)</f>
        <v>9</v>
      </c>
      <c r="T1188" s="44">
        <f t="shared" si="91"/>
        <v>0.9</v>
      </c>
      <c r="U1188" s="34">
        <v>0</v>
      </c>
      <c r="V1188" s="34">
        <v>2</v>
      </c>
      <c r="W1188" s="34">
        <v>0</v>
      </c>
      <c r="X1188" s="34">
        <v>0</v>
      </c>
    </row>
    <row r="1189" spans="1:24" hidden="1">
      <c r="A1189" s="34" t="s">
        <v>1072</v>
      </c>
      <c r="B1189" s="34" t="s">
        <v>1073</v>
      </c>
      <c r="C1189" s="34" t="s">
        <v>192</v>
      </c>
      <c r="D1189" s="34" t="s">
        <v>1</v>
      </c>
      <c r="E1189" s="34" t="s">
        <v>1</v>
      </c>
      <c r="F1189" s="34" t="s">
        <v>1231</v>
      </c>
      <c r="G1189" s="54">
        <v>1711511158</v>
      </c>
      <c r="H1189" s="54" t="s">
        <v>229</v>
      </c>
      <c r="I1189" s="54" t="s">
        <v>3514</v>
      </c>
      <c r="J1189" s="34" t="s">
        <v>3515</v>
      </c>
      <c r="K1189" s="50">
        <v>130000</v>
      </c>
      <c r="L1189" s="43">
        <v>48870</v>
      </c>
      <c r="M1189" s="44">
        <f t="shared" si="88"/>
        <v>0.37592307692307692</v>
      </c>
      <c r="N1189" s="49">
        <f>ROUND(L1189/Summary!$C$3*Summary!$C$2,0)</f>
        <v>151497</v>
      </c>
      <c r="O1189" s="44">
        <f t="shared" si="89"/>
        <v>1.1653615384615386</v>
      </c>
      <c r="P1189" s="78">
        <v>10</v>
      </c>
      <c r="Q1189" s="34">
        <v>3</v>
      </c>
      <c r="R1189" s="35">
        <f t="shared" si="90"/>
        <v>0.3</v>
      </c>
      <c r="S1189" s="49">
        <f>ROUND(Q1189/Summary!$C$3*Summary!$C$2,0)</f>
        <v>9</v>
      </c>
      <c r="T1189" s="44">
        <f t="shared" si="91"/>
        <v>0.9</v>
      </c>
      <c r="U1189" s="34">
        <v>0</v>
      </c>
      <c r="V1189" s="34">
        <v>0</v>
      </c>
      <c r="W1189" s="34">
        <v>0</v>
      </c>
      <c r="X1189" s="34">
        <v>0</v>
      </c>
    </row>
    <row r="1190" spans="1:24" hidden="1">
      <c r="A1190" s="34" t="s">
        <v>993</v>
      </c>
      <c r="B1190" s="34" t="s">
        <v>994</v>
      </c>
      <c r="C1190" s="34" t="s">
        <v>192</v>
      </c>
      <c r="D1190" s="34" t="s">
        <v>1</v>
      </c>
      <c r="E1190" s="34" t="s">
        <v>1</v>
      </c>
      <c r="F1190" s="34" t="s">
        <v>995</v>
      </c>
      <c r="G1190" s="54">
        <v>1710904058</v>
      </c>
      <c r="H1190" s="54" t="s">
        <v>229</v>
      </c>
      <c r="I1190" s="54" t="s">
        <v>3514</v>
      </c>
      <c r="J1190" s="34" t="s">
        <v>3419</v>
      </c>
      <c r="K1190" s="50">
        <v>155503</v>
      </c>
      <c r="L1190" s="43">
        <v>32180</v>
      </c>
      <c r="M1190" s="44">
        <f t="shared" si="88"/>
        <v>0.20694134518305113</v>
      </c>
      <c r="N1190" s="49">
        <f>ROUND(L1190/Summary!$C$3*Summary!$C$2,0)</f>
        <v>99758</v>
      </c>
      <c r="O1190" s="44">
        <f t="shared" si="89"/>
        <v>0.64151817006745848</v>
      </c>
      <c r="P1190" s="78">
        <v>10</v>
      </c>
      <c r="Q1190" s="34">
        <v>0</v>
      </c>
      <c r="R1190" s="35">
        <f t="shared" si="90"/>
        <v>0</v>
      </c>
      <c r="S1190" s="49">
        <f>ROUND(Q1190/Summary!$C$3*Summary!$C$2,0)</f>
        <v>0</v>
      </c>
      <c r="T1190" s="44">
        <f t="shared" si="91"/>
        <v>0</v>
      </c>
      <c r="U1190" s="34">
        <v>1</v>
      </c>
      <c r="V1190" s="34">
        <v>0</v>
      </c>
      <c r="W1190" s="34">
        <v>0</v>
      </c>
      <c r="X1190" s="34">
        <v>0</v>
      </c>
    </row>
    <row r="1191" spans="1:24" hidden="1">
      <c r="A1191" s="75" t="s">
        <v>3664</v>
      </c>
      <c r="B1191" s="75" t="s">
        <v>3665</v>
      </c>
      <c r="C1191" s="75" t="s">
        <v>192</v>
      </c>
      <c r="D1191" s="75" t="s">
        <v>1</v>
      </c>
      <c r="E1191" s="75" t="s">
        <v>1</v>
      </c>
      <c r="F1191" s="75" t="s">
        <v>3666</v>
      </c>
      <c r="G1191" s="67">
        <v>1714728322</v>
      </c>
      <c r="H1191" s="54" t="s">
        <v>229</v>
      </c>
      <c r="I1191" s="54" t="s">
        <v>3514</v>
      </c>
      <c r="J1191" s="34" t="s">
        <v>3421</v>
      </c>
      <c r="K1191" s="50">
        <v>130000</v>
      </c>
      <c r="L1191" s="43">
        <v>23590</v>
      </c>
      <c r="M1191" s="44">
        <f t="shared" si="88"/>
        <v>0.18146153846153845</v>
      </c>
      <c r="N1191" s="49">
        <f>ROUND(L1191/Summary!$C$3*Summary!$C$2,0)</f>
        <v>73129</v>
      </c>
      <c r="O1191" s="44">
        <f t="shared" si="89"/>
        <v>0.56253076923076928</v>
      </c>
      <c r="P1191" s="78">
        <v>10</v>
      </c>
      <c r="Q1191" s="34">
        <v>0</v>
      </c>
      <c r="R1191" s="35">
        <f t="shared" si="90"/>
        <v>0</v>
      </c>
      <c r="S1191" s="49">
        <f>ROUND(Q1191/Summary!$C$3*Summary!$C$2,0)</f>
        <v>0</v>
      </c>
      <c r="T1191" s="44">
        <f t="shared" si="91"/>
        <v>0</v>
      </c>
      <c r="U1191" s="34">
        <v>0</v>
      </c>
      <c r="V1191" s="34">
        <v>0</v>
      </c>
      <c r="W1191" s="34">
        <v>0</v>
      </c>
      <c r="X1191" s="34">
        <v>0</v>
      </c>
    </row>
    <row r="1192" spans="1:24" hidden="1">
      <c r="A1192" s="34" t="s">
        <v>1074</v>
      </c>
      <c r="B1192" s="34" t="s">
        <v>1075</v>
      </c>
      <c r="C1192" s="34" t="s">
        <v>192</v>
      </c>
      <c r="D1192" s="34" t="s">
        <v>1</v>
      </c>
      <c r="E1192" s="34" t="s">
        <v>1</v>
      </c>
      <c r="F1192" s="34" t="s">
        <v>1076</v>
      </c>
      <c r="G1192" s="54">
        <v>1752520699</v>
      </c>
      <c r="H1192" s="54" t="s">
        <v>229</v>
      </c>
      <c r="I1192" s="54" t="s">
        <v>3514</v>
      </c>
      <c r="J1192" s="34" t="s">
        <v>3515</v>
      </c>
      <c r="K1192" s="50">
        <v>130000</v>
      </c>
      <c r="L1192" s="43">
        <v>45360</v>
      </c>
      <c r="M1192" s="44">
        <f t="shared" si="88"/>
        <v>0.34892307692307695</v>
      </c>
      <c r="N1192" s="49">
        <f>ROUND(L1192/Summary!$C$3*Summary!$C$2,0)</f>
        <v>140616</v>
      </c>
      <c r="O1192" s="44">
        <f t="shared" si="89"/>
        <v>1.0816615384615385</v>
      </c>
      <c r="P1192" s="78">
        <v>10</v>
      </c>
      <c r="Q1192" s="34">
        <v>2</v>
      </c>
      <c r="R1192" s="35">
        <f t="shared" si="90"/>
        <v>0.2</v>
      </c>
      <c r="S1192" s="49">
        <f>ROUND(Q1192/Summary!$C$3*Summary!$C$2,0)</f>
        <v>6</v>
      </c>
      <c r="T1192" s="44">
        <f t="shared" si="91"/>
        <v>0.6</v>
      </c>
      <c r="U1192" s="34">
        <v>2</v>
      </c>
      <c r="V1192" s="34">
        <v>0</v>
      </c>
      <c r="W1192" s="34">
        <v>0</v>
      </c>
      <c r="X1192" s="34">
        <v>0</v>
      </c>
    </row>
    <row r="1193" spans="1:24" hidden="1">
      <c r="A1193" s="34" t="s">
        <v>3348</v>
      </c>
      <c r="B1193" s="34" t="s">
        <v>3349</v>
      </c>
      <c r="C1193" s="34" t="s">
        <v>192</v>
      </c>
      <c r="D1193" s="34" t="s">
        <v>1</v>
      </c>
      <c r="E1193" s="34" t="s">
        <v>1</v>
      </c>
      <c r="F1193" s="34" t="s">
        <v>3350</v>
      </c>
      <c r="G1193" s="54">
        <v>1756751408</v>
      </c>
      <c r="H1193" s="54" t="s">
        <v>229</v>
      </c>
      <c r="I1193" s="54" t="s">
        <v>3514</v>
      </c>
      <c r="J1193" s="34" t="s">
        <v>3421</v>
      </c>
      <c r="K1193" s="50">
        <v>130000</v>
      </c>
      <c r="L1193" s="43">
        <v>41929</v>
      </c>
      <c r="M1193" s="44">
        <f t="shared" si="88"/>
        <v>0.32253076923076923</v>
      </c>
      <c r="N1193" s="49">
        <f>ROUND(L1193/Summary!$C$3*Summary!$C$2,0)</f>
        <v>129980</v>
      </c>
      <c r="O1193" s="44">
        <f t="shared" si="89"/>
        <v>0.99984615384615383</v>
      </c>
      <c r="P1193" s="78">
        <v>10</v>
      </c>
      <c r="Q1193" s="34">
        <v>2</v>
      </c>
      <c r="R1193" s="35">
        <f t="shared" si="90"/>
        <v>0.2</v>
      </c>
      <c r="S1193" s="49">
        <f>ROUND(Q1193/Summary!$C$3*Summary!$C$2,0)</f>
        <v>6</v>
      </c>
      <c r="T1193" s="44">
        <f t="shared" si="91"/>
        <v>0.6</v>
      </c>
      <c r="U1193" s="34">
        <v>0</v>
      </c>
      <c r="V1193" s="34">
        <v>0</v>
      </c>
      <c r="W1193" s="34">
        <v>0</v>
      </c>
      <c r="X1193" s="34">
        <v>0</v>
      </c>
    </row>
  </sheetData>
  <autoFilter ref="A2:X1193">
    <filterColumn colId="11">
      <filters>
        <filter val="-"/>
      </filters>
    </filterColumn>
  </autoFilter>
  <conditionalFormatting sqref="A2">
    <cfRule type="duplicateValues" dxfId="73" priority="1282"/>
  </conditionalFormatting>
  <conditionalFormatting sqref="A2">
    <cfRule type="duplicateValues" dxfId="72" priority="1283"/>
    <cfRule type="duplicateValues" priority="1284"/>
  </conditionalFormatting>
  <conditionalFormatting sqref="A2">
    <cfRule type="duplicateValues" dxfId="71" priority="1286"/>
  </conditionalFormatting>
  <conditionalFormatting sqref="A2">
    <cfRule type="duplicateValues" dxfId="70" priority="2406"/>
  </conditionalFormatting>
  <conditionalFormatting sqref="A1157">
    <cfRule type="duplicateValues" dxfId="69" priority="3"/>
    <cfRule type="duplicateValues" dxfId="68" priority="4"/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G1166:H1166">
    <cfRule type="duplicateValues" dxfId="67" priority="2"/>
  </conditionalFormatting>
  <conditionalFormatting sqref="A3:A1188">
    <cfRule type="duplicateValues" dxfId="66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E7"/>
  <sheetViews>
    <sheetView workbookViewId="0">
      <selection activeCell="D4" sqref="D4:E7"/>
    </sheetView>
  </sheetViews>
  <sheetFormatPr defaultRowHeight="15"/>
  <cols>
    <col min="4" max="4" width="13.5703125" customWidth="1"/>
    <col min="5" max="5" width="17" bestFit="1" customWidth="1"/>
  </cols>
  <sheetData>
    <row r="1" spans="4:5" ht="15.75" thickBot="1"/>
    <row r="2" spans="4:5">
      <c r="D2" s="95" t="s">
        <v>3218</v>
      </c>
      <c r="E2" s="96"/>
    </row>
    <row r="3" spans="4:5">
      <c r="D3" s="69" t="s">
        <v>3216</v>
      </c>
      <c r="E3" s="70" t="s">
        <v>3217</v>
      </c>
    </row>
    <row r="4" spans="4:5">
      <c r="D4" s="54" t="s">
        <v>3507</v>
      </c>
      <c r="E4" s="54">
        <v>100</v>
      </c>
    </row>
    <row r="5" spans="4:5">
      <c r="D5" s="54" t="s">
        <v>3512</v>
      </c>
      <c r="E5" s="54">
        <v>120</v>
      </c>
    </row>
    <row r="6" spans="4:5">
      <c r="D6" s="54" t="s">
        <v>3513</v>
      </c>
      <c r="E6" s="54">
        <v>120</v>
      </c>
    </row>
    <row r="7" spans="4:5">
      <c r="D7" s="54" t="s">
        <v>3351</v>
      </c>
      <c r="E7" s="54">
        <v>150</v>
      </c>
    </row>
  </sheetData>
  <mergeCells count="1">
    <mergeCell ref="D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0"/>
  <sheetViews>
    <sheetView workbookViewId="0">
      <pane xSplit="2" ySplit="2" topLeftCell="I3" activePane="bottomRight" state="frozen"/>
      <selection activeCell="B14" sqref="B14"/>
      <selection pane="topRight" activeCell="B14" sqref="B14"/>
      <selection pane="bottomLeft" activeCell="B14" sqref="B14"/>
      <selection pane="bottomRight" activeCell="Q2" sqref="Q2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8" max="8" width="11.85546875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SUBTOTAL(9,K3:K90)</f>
        <v>15371053</v>
      </c>
      <c r="L1" s="31">
        <f>SUBTOTAL(9,L3:L90)</f>
        <v>3722807</v>
      </c>
      <c r="M1" s="30">
        <f>L1/K1</f>
        <v>0.24219596406309965</v>
      </c>
      <c r="N1" s="30"/>
      <c r="O1" s="30"/>
      <c r="P1" s="31">
        <f>SUBTOTAL(9,P3:P90)</f>
        <v>1088</v>
      </c>
      <c r="Q1" s="31">
        <f>SUBTOTAL(9,Q3:Q90)</f>
        <v>206</v>
      </c>
      <c r="R1" s="30">
        <f>Q1/P1</f>
        <v>0.18933823529411764</v>
      </c>
      <c r="S1" s="30"/>
      <c r="T1" s="30"/>
      <c r="U1" s="31">
        <f>SUBTOTAL(9,U3:U90)</f>
        <v>17</v>
      </c>
      <c r="V1" s="31">
        <f>SUBTOTAL(9,V3:V90)</f>
        <v>50</v>
      </c>
      <c r="W1" s="31">
        <f>SUBTOTAL(9,W3:W90)</f>
        <v>7</v>
      </c>
      <c r="X1" s="31">
        <f>SUBTOTAL(9,X3:X90)</f>
        <v>12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34" t="s">
        <v>1103</v>
      </c>
      <c r="B3" s="34" t="s">
        <v>1104</v>
      </c>
      <c r="C3" s="34" t="s">
        <v>130</v>
      </c>
      <c r="D3" s="34" t="s">
        <v>49</v>
      </c>
      <c r="E3" s="34" t="s">
        <v>7</v>
      </c>
      <c r="F3" s="34" t="s">
        <v>1105</v>
      </c>
      <c r="G3" s="54">
        <v>1688616468</v>
      </c>
      <c r="H3" s="54" t="s">
        <v>229</v>
      </c>
      <c r="I3" s="54" t="s">
        <v>3514</v>
      </c>
      <c r="J3" s="34" t="s">
        <v>3419</v>
      </c>
      <c r="K3" s="43">
        <f>VLOOKUP(A3,'SSP_March''19'!$A$3:$L$1193,11,0)</f>
        <v>241541</v>
      </c>
      <c r="L3" s="43">
        <f>VLOOKUP(A3,'SSP_March''19'!$A$3:$L$1193,12,0)</f>
        <v>40310</v>
      </c>
      <c r="M3" s="44">
        <f>L3/K3</f>
        <v>0.16688678112618563</v>
      </c>
      <c r="N3" s="49">
        <f>ROUND(VLOOKUP(A3,'SSP_March''19'!$A$3:$N$1193,14,0),0)</f>
        <v>124961</v>
      </c>
      <c r="O3" s="44">
        <f>N3/K3</f>
        <v>0.51734902149117545</v>
      </c>
      <c r="P3" s="45">
        <f>VLOOKUP(A3,'SSP_March''19'!$A$3:$Q$1193,16,0)</f>
        <v>12</v>
      </c>
      <c r="Q3" s="34">
        <f>VLOOKUP(A3,'SSP_March''19'!$A$3:$Q$1193,17,0)</f>
        <v>4</v>
      </c>
      <c r="R3" s="35">
        <f>Q3/P3</f>
        <v>0.33333333333333331</v>
      </c>
      <c r="S3" s="49">
        <f>ROUND(VLOOKUP(A3,'SSP_March''19'!$A$3:$T$1193,19,0),0)</f>
        <v>12</v>
      </c>
      <c r="T3" s="44">
        <f>VLOOKUP(A3,'SSP_March''19'!$A$3:$T$1193,20,0)</f>
        <v>1</v>
      </c>
      <c r="U3" s="34">
        <f>VLOOKUP(A3,'SSP_March''19'!$A$3:$X$1193,21,0)</f>
        <v>0</v>
      </c>
      <c r="V3" s="34">
        <f>VLOOKUP(A3,'SSP_March''19'!$A$3:$X$1193,22,0)</f>
        <v>0</v>
      </c>
      <c r="W3" s="34">
        <f>VLOOKUP(A3,'SSP_March''19'!$A$3:$X$1193,23,0)</f>
        <v>0</v>
      </c>
      <c r="X3" s="34">
        <f>VLOOKUP(A3,'SSP_March''19'!$A$3:$X$1193,24,0)</f>
        <v>0</v>
      </c>
    </row>
    <row r="4" spans="1:24">
      <c r="A4" s="34" t="s">
        <v>1114</v>
      </c>
      <c r="B4" s="34" t="s">
        <v>1115</v>
      </c>
      <c r="C4" s="34" t="s">
        <v>130</v>
      </c>
      <c r="D4" s="34" t="s">
        <v>49</v>
      </c>
      <c r="E4" s="34" t="s">
        <v>7</v>
      </c>
      <c r="F4" s="34" t="s">
        <v>1116</v>
      </c>
      <c r="G4" s="54">
        <v>1946716383</v>
      </c>
      <c r="H4" s="54" t="s">
        <v>229</v>
      </c>
      <c r="I4" s="54" t="s">
        <v>3514</v>
      </c>
      <c r="J4" s="34" t="s">
        <v>3515</v>
      </c>
      <c r="K4" s="43">
        <f>VLOOKUP(A4,'SSP_March''19'!$A$3:$L$1193,11,0)</f>
        <v>150000</v>
      </c>
      <c r="L4" s="43">
        <f>VLOOKUP(A4,'SSP_March''19'!$A$3:$L$1193,12,0)</f>
        <v>11730</v>
      </c>
      <c r="M4" s="44">
        <f t="shared" ref="M4:M68" si="0">L4/K4</f>
        <v>7.8200000000000006E-2</v>
      </c>
      <c r="N4" s="49">
        <f>ROUND(VLOOKUP(A4,'SSP_March''19'!$A$3:$N$1193,14,0),0)</f>
        <v>36363</v>
      </c>
      <c r="O4" s="44">
        <f t="shared" ref="O4:O68" si="1">N4/K4</f>
        <v>0.24242</v>
      </c>
      <c r="P4" s="45">
        <f>VLOOKUP(A4,'SSP_March''19'!$A$3:$Q$1193,16,0)</f>
        <v>10</v>
      </c>
      <c r="Q4" s="34">
        <f>VLOOKUP(A4,'SSP_March''19'!$A$3:$Q$1193,17,0)</f>
        <v>1</v>
      </c>
      <c r="R4" s="35">
        <f t="shared" ref="R4:R68" si="2">Q4/P4</f>
        <v>0.1</v>
      </c>
      <c r="S4" s="49">
        <f>ROUND(VLOOKUP(A4,'SSP_March''19'!$A$3:$T$1193,19,0),0)</f>
        <v>3</v>
      </c>
      <c r="T4" s="44">
        <f>VLOOKUP(A4,'SSP_March''19'!$A$3:$T$1193,20,0)</f>
        <v>0.3</v>
      </c>
      <c r="U4" s="34">
        <f>VLOOKUP(A4,'SSP_March''19'!$A$3:$X$1193,21,0)</f>
        <v>0</v>
      </c>
      <c r="V4" s="34">
        <f>VLOOKUP(A4,'SSP_March''19'!$A$3:$X$1193,22,0)</f>
        <v>0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34" t="s">
        <v>3026</v>
      </c>
      <c r="B5" s="34" t="s">
        <v>3027</v>
      </c>
      <c r="C5" s="34" t="s">
        <v>130</v>
      </c>
      <c r="D5" s="34" t="s">
        <v>49</v>
      </c>
      <c r="E5" s="34" t="s">
        <v>7</v>
      </c>
      <c r="F5" s="34" t="s">
        <v>3028</v>
      </c>
      <c r="G5" s="54">
        <v>1719321804</v>
      </c>
      <c r="H5" s="54" t="s">
        <v>229</v>
      </c>
      <c r="I5" s="54" t="s">
        <v>3514</v>
      </c>
      <c r="J5" s="34" t="s">
        <v>3419</v>
      </c>
      <c r="K5" s="43">
        <f>VLOOKUP(A5,'SSP_March''19'!$A$3:$L$1193,11,0)</f>
        <v>275841</v>
      </c>
      <c r="L5" s="43">
        <f>VLOOKUP(A5,'SSP_March''19'!$A$3:$L$1193,12,0)</f>
        <v>106545</v>
      </c>
      <c r="M5" s="44">
        <f t="shared" si="0"/>
        <v>0.38625512523518984</v>
      </c>
      <c r="N5" s="49">
        <f>ROUND(VLOOKUP(A5,'SSP_March''19'!$A$3:$N$1193,14,0),0)</f>
        <v>330290</v>
      </c>
      <c r="O5" s="44">
        <f t="shared" si="1"/>
        <v>1.1973927008675287</v>
      </c>
      <c r="P5" s="45">
        <f>VLOOKUP(A5,'SSP_March''19'!$A$3:$Q$1193,16,0)</f>
        <v>18</v>
      </c>
      <c r="Q5" s="34">
        <f>VLOOKUP(A5,'SSP_March''19'!$A$3:$Q$1193,17,0)</f>
        <v>4</v>
      </c>
      <c r="R5" s="35">
        <f t="shared" si="2"/>
        <v>0.22222222222222221</v>
      </c>
      <c r="S5" s="49">
        <f>ROUND(VLOOKUP(A5,'SSP_March''19'!$A$3:$T$1193,19,0),0)</f>
        <v>12</v>
      </c>
      <c r="T5" s="44">
        <f>VLOOKUP(A5,'SSP_March''19'!$A$3:$T$1193,20,0)</f>
        <v>0.66666666666666663</v>
      </c>
      <c r="U5" s="34">
        <f>VLOOKUP(A5,'SSP_March''19'!$A$3:$X$1193,21,0)</f>
        <v>1</v>
      </c>
      <c r="V5" s="34">
        <f>VLOOKUP(A5,'SSP_March''19'!$A$3:$X$1193,22,0)</f>
        <v>0</v>
      </c>
      <c r="W5" s="34">
        <f>VLOOKUP(A5,'SSP_March''19'!$A$3:$X$1193,23,0)</f>
        <v>0</v>
      </c>
      <c r="X5" s="34">
        <f>VLOOKUP(A5,'SSP_March''19'!$A$3:$X$1193,24,0)</f>
        <v>0</v>
      </c>
    </row>
    <row r="6" spans="1:24">
      <c r="A6" s="34" t="s">
        <v>1098</v>
      </c>
      <c r="B6" s="34" t="s">
        <v>1099</v>
      </c>
      <c r="C6" s="34" t="s">
        <v>130</v>
      </c>
      <c r="D6" s="34" t="s">
        <v>49</v>
      </c>
      <c r="E6" s="34" t="s">
        <v>7</v>
      </c>
      <c r="F6" s="34" t="s">
        <v>1100</v>
      </c>
      <c r="G6" s="54">
        <v>1796606028</v>
      </c>
      <c r="H6" s="54" t="s">
        <v>229</v>
      </c>
      <c r="I6" s="54" t="s">
        <v>3514</v>
      </c>
      <c r="J6" s="34" t="s">
        <v>3421</v>
      </c>
      <c r="K6" s="43">
        <f>VLOOKUP(A6,'SSP_March''19'!$A$3:$L$1193,11,0)</f>
        <v>166419</v>
      </c>
      <c r="L6" s="43">
        <f>VLOOKUP(A6,'SSP_March''19'!$A$3:$L$1193,12,0)</f>
        <v>70775</v>
      </c>
      <c r="M6" s="44">
        <f t="shared" ref="M6" si="3">L6/K6</f>
        <v>0.42528196900594284</v>
      </c>
      <c r="N6" s="49">
        <f>ROUND(VLOOKUP(A6,'SSP_March''19'!$A$3:$N$1193,14,0),0)</f>
        <v>219403</v>
      </c>
      <c r="O6" s="44">
        <f t="shared" ref="O6" si="4">N6/K6</f>
        <v>1.3183771083830573</v>
      </c>
      <c r="P6" s="45">
        <f>VLOOKUP(A6,'SSP_March''19'!$A$3:$Q$1193,16,0)</f>
        <v>12</v>
      </c>
      <c r="Q6" s="34">
        <f>VLOOKUP(A6,'SSP_March''19'!$A$3:$Q$1193,17,0)</f>
        <v>5</v>
      </c>
      <c r="R6" s="35">
        <f t="shared" ref="R6" si="5">Q6/P6</f>
        <v>0.41666666666666669</v>
      </c>
      <c r="S6" s="49">
        <f>ROUND(VLOOKUP(A6,'SSP_March''19'!$A$3:$T$1193,19,0),0)</f>
        <v>16</v>
      </c>
      <c r="T6" s="44">
        <f>VLOOKUP(A6,'SSP_March''19'!$A$3:$T$1193,20,0)</f>
        <v>1.3333333333333333</v>
      </c>
      <c r="U6" s="34">
        <f>VLOOKUP(A6,'SSP_March''19'!$A$3:$X$1193,21,0)</f>
        <v>0</v>
      </c>
      <c r="V6" s="34">
        <f>VLOOKUP(A6,'SSP_March''19'!$A$3:$X$1193,22,0)</f>
        <v>0</v>
      </c>
      <c r="W6" s="34">
        <f>VLOOKUP(A6,'SSP_March''19'!$A$3:$X$1193,23,0)</f>
        <v>1</v>
      </c>
      <c r="X6" s="34">
        <f>VLOOKUP(A6,'SSP_March''19'!$A$3:$X$1193,24,0)</f>
        <v>3</v>
      </c>
    </row>
    <row r="7" spans="1:24">
      <c r="A7" s="34" t="s">
        <v>1106</v>
      </c>
      <c r="B7" s="34" t="s">
        <v>1107</v>
      </c>
      <c r="C7" s="34" t="s">
        <v>130</v>
      </c>
      <c r="D7" s="34" t="s">
        <v>49</v>
      </c>
      <c r="E7" s="34" t="s">
        <v>7</v>
      </c>
      <c r="F7" s="34" t="s">
        <v>1108</v>
      </c>
      <c r="G7" s="54">
        <v>1820100114</v>
      </c>
      <c r="H7" s="54" t="s">
        <v>229</v>
      </c>
      <c r="I7" s="54" t="s">
        <v>3514</v>
      </c>
      <c r="J7" s="34" t="s">
        <v>3515</v>
      </c>
      <c r="K7" s="43">
        <f>VLOOKUP(A7,'SSP_March''19'!$A$3:$L$1193,11,0)</f>
        <v>130000</v>
      </c>
      <c r="L7" s="43">
        <f>VLOOKUP(A7,'SSP_March''19'!$A$3:$L$1193,12,0)</f>
        <v>31910</v>
      </c>
      <c r="M7" s="44">
        <f t="shared" si="0"/>
        <v>0.24546153846153845</v>
      </c>
      <c r="N7" s="49">
        <f>ROUND(VLOOKUP(A7,'SSP_March''19'!$A$3:$N$1193,14,0),0)</f>
        <v>98921</v>
      </c>
      <c r="O7" s="44">
        <f t="shared" si="1"/>
        <v>0.76093076923076919</v>
      </c>
      <c r="P7" s="45">
        <f>VLOOKUP(A7,'SSP_March''19'!$A$3:$Q$1193,16,0)</f>
        <v>10</v>
      </c>
      <c r="Q7" s="34">
        <f>VLOOKUP(A7,'SSP_March''19'!$A$3:$Q$1193,17,0)</f>
        <v>3</v>
      </c>
      <c r="R7" s="35">
        <f t="shared" si="2"/>
        <v>0.3</v>
      </c>
      <c r="S7" s="49">
        <f>ROUND(VLOOKUP(A7,'SSP_March''19'!$A$3:$T$1193,19,0),0)</f>
        <v>9</v>
      </c>
      <c r="T7" s="44">
        <f>VLOOKUP(A7,'SSP_March''19'!$A$3:$T$1193,20,0)</f>
        <v>0.9</v>
      </c>
      <c r="U7" s="34">
        <f>VLOOKUP(A7,'SSP_March''19'!$A$3:$X$1193,21,0)</f>
        <v>1</v>
      </c>
      <c r="V7" s="34">
        <f>VLOOKUP(A7,'SSP_March''19'!$A$3:$X$1193,22,0)</f>
        <v>0</v>
      </c>
      <c r="W7" s="34">
        <f>VLOOKUP(A7,'SSP_March''19'!$A$3:$X$1193,23,0)</f>
        <v>1</v>
      </c>
      <c r="X7" s="34">
        <f>VLOOKUP(A7,'SSP_March''19'!$A$3:$X$1193,24,0)</f>
        <v>0</v>
      </c>
    </row>
    <row r="8" spans="1:24">
      <c r="A8" s="34" t="s">
        <v>2908</v>
      </c>
      <c r="B8" s="34" t="s">
        <v>2909</v>
      </c>
      <c r="C8" s="34" t="s">
        <v>130</v>
      </c>
      <c r="D8" s="34" t="s">
        <v>49</v>
      </c>
      <c r="E8" s="34" t="s">
        <v>7</v>
      </c>
      <c r="F8" s="34" t="s">
        <v>2910</v>
      </c>
      <c r="G8" s="54">
        <v>1715155223</v>
      </c>
      <c r="H8" s="54" t="s">
        <v>229</v>
      </c>
      <c r="I8" s="54" t="s">
        <v>3518</v>
      </c>
      <c r="J8" s="34" t="s">
        <v>3419</v>
      </c>
      <c r="K8" s="43">
        <f>VLOOKUP(A8,'SSP_March''19'!$A$3:$L$1193,11,0)</f>
        <v>481451</v>
      </c>
      <c r="L8" s="43">
        <f>VLOOKUP(A8,'SSP_March''19'!$A$3:$L$1193,12,0)</f>
        <v>199809</v>
      </c>
      <c r="M8" s="44">
        <f t="shared" si="0"/>
        <v>0.41501419666798905</v>
      </c>
      <c r="N8" s="49">
        <f>ROUND(VLOOKUP(A8,'SSP_March''19'!$A$3:$N$1193,14,0),0)</f>
        <v>619408</v>
      </c>
      <c r="O8" s="44">
        <f t="shared" si="1"/>
        <v>1.2865442173762232</v>
      </c>
      <c r="P8" s="45">
        <f>VLOOKUP(A8,'SSP_March''19'!$A$3:$Q$1193,16,0)</f>
        <v>34</v>
      </c>
      <c r="Q8" s="34">
        <f>VLOOKUP(A8,'SSP_March''19'!$A$3:$Q$1193,17,0)</f>
        <v>12</v>
      </c>
      <c r="R8" s="35">
        <f t="shared" si="2"/>
        <v>0.35294117647058826</v>
      </c>
      <c r="S8" s="49">
        <f>ROUND(VLOOKUP(A8,'SSP_March''19'!$A$3:$T$1193,19,0),0)</f>
        <v>37</v>
      </c>
      <c r="T8" s="44">
        <f>VLOOKUP(A8,'SSP_March''19'!$A$3:$T$1193,20,0)</f>
        <v>1.088235294117647</v>
      </c>
      <c r="U8" s="34">
        <f>VLOOKUP(A8,'SSP_March''19'!$A$3:$X$1193,21,0)</f>
        <v>0</v>
      </c>
      <c r="V8" s="34">
        <f>VLOOKUP(A8,'SSP_March''19'!$A$3:$X$1193,22,0)</f>
        <v>0</v>
      </c>
      <c r="W8" s="34">
        <f>VLOOKUP(A8,'SSP_March''19'!$A$3:$X$1193,23,0)</f>
        <v>0</v>
      </c>
      <c r="X8" s="34">
        <f>VLOOKUP(A8,'SSP_March''19'!$A$3:$X$1193,24,0)</f>
        <v>2</v>
      </c>
    </row>
    <row r="9" spans="1:24">
      <c r="A9" s="34" t="s">
        <v>1235</v>
      </c>
      <c r="B9" s="34" t="s">
        <v>1236</v>
      </c>
      <c r="C9" s="34" t="s">
        <v>130</v>
      </c>
      <c r="D9" s="34" t="s">
        <v>49</v>
      </c>
      <c r="E9" s="34" t="s">
        <v>7</v>
      </c>
      <c r="F9" s="34" t="s">
        <v>1237</v>
      </c>
      <c r="G9" s="54">
        <v>1967976831</v>
      </c>
      <c r="H9" s="54" t="s">
        <v>229</v>
      </c>
      <c r="I9" s="54" t="s">
        <v>3514</v>
      </c>
      <c r="J9" s="34" t="s">
        <v>3419</v>
      </c>
      <c r="K9" s="43">
        <f>VLOOKUP(A9,'SSP_March''19'!$A$3:$L$1193,11,0)</f>
        <v>130000</v>
      </c>
      <c r="L9" s="43">
        <f>VLOOKUP(A9,'SSP_March''19'!$A$3:$L$1193,12,0)</f>
        <v>22470</v>
      </c>
      <c r="M9" s="44">
        <f t="shared" si="0"/>
        <v>0.17284615384615384</v>
      </c>
      <c r="N9" s="49">
        <f>ROUND(VLOOKUP(A9,'SSP_March''19'!$A$3:$N$1193,14,0),0)</f>
        <v>69657</v>
      </c>
      <c r="O9" s="44">
        <f t="shared" si="1"/>
        <v>0.53582307692307696</v>
      </c>
      <c r="P9" s="45">
        <f>VLOOKUP(A9,'SSP_March''19'!$A$3:$Q$1193,16,0)</f>
        <v>10</v>
      </c>
      <c r="Q9" s="34">
        <f>VLOOKUP(A9,'SSP_March''19'!$A$3:$Q$1193,17,0)</f>
        <v>3</v>
      </c>
      <c r="R9" s="35">
        <f t="shared" si="2"/>
        <v>0.3</v>
      </c>
      <c r="S9" s="49">
        <f>ROUND(VLOOKUP(A9,'SSP_March''19'!$A$3:$T$1193,19,0),0)</f>
        <v>9</v>
      </c>
      <c r="T9" s="44">
        <f>VLOOKUP(A9,'SSP_March''19'!$A$3:$T$1193,20,0)</f>
        <v>0.9</v>
      </c>
      <c r="U9" s="34">
        <f>VLOOKUP(A9,'SSP_March''19'!$A$3:$X$1193,21,0)</f>
        <v>0</v>
      </c>
      <c r="V9" s="34">
        <f>VLOOKUP(A9,'SSP_March''19'!$A$3:$X$1193,22,0)</f>
        <v>0</v>
      </c>
      <c r="W9" s="34">
        <f>VLOOKUP(A9,'SSP_March''19'!$A$3:$X$1193,23,0)</f>
        <v>0</v>
      </c>
      <c r="X9" s="34">
        <f>VLOOKUP(A9,'SSP_March''19'!$A$3:$X$1193,24,0)</f>
        <v>0</v>
      </c>
    </row>
    <row r="10" spans="1:24">
      <c r="A10" s="34" t="s">
        <v>1125</v>
      </c>
      <c r="B10" s="34" t="s">
        <v>1126</v>
      </c>
      <c r="C10" s="34" t="s">
        <v>130</v>
      </c>
      <c r="D10" s="34" t="s">
        <v>49</v>
      </c>
      <c r="E10" s="34" t="s">
        <v>7</v>
      </c>
      <c r="F10" s="34" t="s">
        <v>1127</v>
      </c>
      <c r="G10" s="54">
        <v>1819985015</v>
      </c>
      <c r="H10" s="54" t="s">
        <v>229</v>
      </c>
      <c r="I10" s="54" t="s">
        <v>3518</v>
      </c>
      <c r="J10" s="34" t="s">
        <v>3419</v>
      </c>
      <c r="K10" s="43">
        <f>VLOOKUP(A10,'SSP_March''19'!$A$3:$L$1193,11,0)</f>
        <v>467272</v>
      </c>
      <c r="L10" s="43">
        <f>VLOOKUP(A10,'SSP_March''19'!$A$3:$L$1193,12,0)</f>
        <v>135640</v>
      </c>
      <c r="M10" s="44">
        <f t="shared" si="0"/>
        <v>0.29028060744063416</v>
      </c>
      <c r="N10" s="49">
        <f>ROUND(VLOOKUP(A10,'SSP_March''19'!$A$3:$N$1193,14,0),0)</f>
        <v>420484</v>
      </c>
      <c r="O10" s="44">
        <f t="shared" si="1"/>
        <v>0.89986988306596583</v>
      </c>
      <c r="P10" s="45">
        <f>VLOOKUP(A10,'SSP_March''19'!$A$3:$Q$1193,16,0)</f>
        <v>29</v>
      </c>
      <c r="Q10" s="34">
        <f>VLOOKUP(A10,'SSP_March''19'!$A$3:$Q$1193,17,0)</f>
        <v>6</v>
      </c>
      <c r="R10" s="35">
        <f t="shared" si="2"/>
        <v>0.20689655172413793</v>
      </c>
      <c r="S10" s="49">
        <f>ROUND(VLOOKUP(A10,'SSP_March''19'!$A$3:$T$1193,19,0),0)</f>
        <v>19</v>
      </c>
      <c r="T10" s="44">
        <f>VLOOKUP(A10,'SSP_March''19'!$A$3:$T$1193,20,0)</f>
        <v>0.65517241379310343</v>
      </c>
      <c r="U10" s="34">
        <f>VLOOKUP(A10,'SSP_March''19'!$A$3:$X$1193,21,0)</f>
        <v>1</v>
      </c>
      <c r="V10" s="34">
        <f>VLOOKUP(A10,'SSP_March''19'!$A$3:$X$1193,22,0)</f>
        <v>2</v>
      </c>
      <c r="W10" s="34">
        <f>VLOOKUP(A10,'SSP_March''19'!$A$3:$X$1193,23,0)</f>
        <v>0</v>
      </c>
      <c r="X10" s="34">
        <f>VLOOKUP(A10,'SSP_March''19'!$A$3:$X$1193,24,0)</f>
        <v>1</v>
      </c>
    </row>
    <row r="11" spans="1:24">
      <c r="A11" s="34" t="s">
        <v>1169</v>
      </c>
      <c r="B11" s="34" t="s">
        <v>1170</v>
      </c>
      <c r="C11" s="34" t="s">
        <v>130</v>
      </c>
      <c r="D11" s="34" t="s">
        <v>49</v>
      </c>
      <c r="E11" s="34" t="s">
        <v>7</v>
      </c>
      <c r="F11" s="34" t="s">
        <v>1171</v>
      </c>
      <c r="G11" s="54">
        <v>1915626523</v>
      </c>
      <c r="H11" s="54" t="s">
        <v>229</v>
      </c>
      <c r="I11" s="54" t="s">
        <v>3514</v>
      </c>
      <c r="J11" s="34" t="s">
        <v>3421</v>
      </c>
      <c r="K11" s="43">
        <f>VLOOKUP(A11,'SSP_March''19'!$A$3:$L$1193,11,0)</f>
        <v>130000</v>
      </c>
      <c r="L11" s="43">
        <f>VLOOKUP(A11,'SSP_March''19'!$A$3:$L$1193,12,0)</f>
        <v>19870</v>
      </c>
      <c r="M11" s="44">
        <f t="shared" si="0"/>
        <v>0.15284615384615385</v>
      </c>
      <c r="N11" s="49">
        <f>ROUND(VLOOKUP(A11,'SSP_March''19'!$A$3:$N$1193,14,0),0)</f>
        <v>61597</v>
      </c>
      <c r="O11" s="44">
        <f t="shared" si="1"/>
        <v>0.4738230769230769</v>
      </c>
      <c r="P11" s="45">
        <f>VLOOKUP(A11,'SSP_March''19'!$A$3:$Q$1193,16,0)</f>
        <v>10</v>
      </c>
      <c r="Q11" s="34">
        <f>VLOOKUP(A11,'SSP_March''19'!$A$3:$Q$1193,17,0)</f>
        <v>3</v>
      </c>
      <c r="R11" s="35">
        <f t="shared" si="2"/>
        <v>0.3</v>
      </c>
      <c r="S11" s="49">
        <f>ROUND(VLOOKUP(A11,'SSP_March''19'!$A$3:$T$1193,19,0),0)</f>
        <v>9</v>
      </c>
      <c r="T11" s="44">
        <f>VLOOKUP(A11,'SSP_March''19'!$A$3:$T$1193,20,0)</f>
        <v>0.9</v>
      </c>
      <c r="U11" s="34">
        <f>VLOOKUP(A11,'SSP_March''19'!$A$3:$X$1193,21,0)</f>
        <v>0</v>
      </c>
      <c r="V11" s="34">
        <f>VLOOKUP(A11,'SSP_March''19'!$A$3:$X$1193,22,0)</f>
        <v>1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34" t="s">
        <v>1205</v>
      </c>
      <c r="B12" s="34" t="s">
        <v>1206</v>
      </c>
      <c r="C12" s="34" t="s">
        <v>130</v>
      </c>
      <c r="D12" s="34" t="s">
        <v>49</v>
      </c>
      <c r="E12" s="34" t="s">
        <v>7</v>
      </c>
      <c r="F12" s="34" t="s">
        <v>1207</v>
      </c>
      <c r="G12" s="54">
        <v>1967997289</v>
      </c>
      <c r="H12" s="54" t="s">
        <v>229</v>
      </c>
      <c r="I12" s="54" t="s">
        <v>3514</v>
      </c>
      <c r="J12" s="34" t="s">
        <v>3421</v>
      </c>
      <c r="K12" s="43">
        <f>VLOOKUP(A12,'SSP_March''19'!$A$3:$L$1193,11,0)</f>
        <v>130000</v>
      </c>
      <c r="L12" s="43">
        <f>VLOOKUP(A12,'SSP_March''19'!$A$3:$L$1193,12,0)</f>
        <v>23519</v>
      </c>
      <c r="M12" s="44">
        <f t="shared" si="0"/>
        <v>0.18091538461538462</v>
      </c>
      <c r="N12" s="49">
        <f>ROUND(VLOOKUP(A12,'SSP_March''19'!$A$3:$N$1193,14,0),0)</f>
        <v>72909</v>
      </c>
      <c r="O12" s="44">
        <f t="shared" si="1"/>
        <v>0.56083846153846151</v>
      </c>
      <c r="P12" s="45">
        <f>VLOOKUP(A12,'SSP_March''19'!$A$3:$Q$1193,16,0)</f>
        <v>10</v>
      </c>
      <c r="Q12" s="34">
        <f>VLOOKUP(A12,'SSP_March''19'!$A$3:$Q$1193,17,0)</f>
        <v>1</v>
      </c>
      <c r="R12" s="35">
        <f t="shared" si="2"/>
        <v>0.1</v>
      </c>
      <c r="S12" s="49">
        <f>ROUND(VLOOKUP(A12,'SSP_March''19'!$A$3:$T$1193,19,0),0)</f>
        <v>3</v>
      </c>
      <c r="T12" s="44">
        <f>VLOOKUP(A12,'SSP_March''19'!$A$3:$T$1193,20,0)</f>
        <v>0.3</v>
      </c>
      <c r="U12" s="34">
        <f>VLOOKUP(A12,'SSP_March''19'!$A$3:$X$1193,21,0)</f>
        <v>0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34" t="s">
        <v>1199</v>
      </c>
      <c r="B13" s="34" t="s">
        <v>1200</v>
      </c>
      <c r="C13" s="34" t="s">
        <v>130</v>
      </c>
      <c r="D13" s="34" t="s">
        <v>49</v>
      </c>
      <c r="E13" s="34" t="s">
        <v>7</v>
      </c>
      <c r="F13" s="34" t="s">
        <v>1201</v>
      </c>
      <c r="G13" s="54">
        <v>1819170092</v>
      </c>
      <c r="H13" s="54" t="s">
        <v>229</v>
      </c>
      <c r="I13" s="54" t="s">
        <v>3514</v>
      </c>
      <c r="J13" s="34" t="s">
        <v>3421</v>
      </c>
      <c r="K13" s="43">
        <f>VLOOKUP(A13,'SSP_March''19'!$A$3:$L$1193,11,0)</f>
        <v>191120</v>
      </c>
      <c r="L13" s="43">
        <f>VLOOKUP(A13,'SSP_March''19'!$A$3:$L$1193,12,0)</f>
        <v>10030</v>
      </c>
      <c r="M13" s="44">
        <f t="shared" si="0"/>
        <v>5.2480117203850984E-2</v>
      </c>
      <c r="N13" s="49">
        <f>ROUND(VLOOKUP(A13,'SSP_March''19'!$A$3:$N$1193,14,0),0)</f>
        <v>31093</v>
      </c>
      <c r="O13" s="44">
        <f t="shared" si="1"/>
        <v>0.16268836333193806</v>
      </c>
      <c r="P13" s="45">
        <f>VLOOKUP(A13,'SSP_March''19'!$A$3:$Q$1193,16,0)</f>
        <v>15</v>
      </c>
      <c r="Q13" s="34">
        <f>VLOOKUP(A13,'SSP_March''19'!$A$3:$Q$1193,17,0)</f>
        <v>0</v>
      </c>
      <c r="R13" s="35">
        <f t="shared" si="2"/>
        <v>0</v>
      </c>
      <c r="S13" s="49">
        <f>ROUND(VLOOKUP(A13,'SSP_March''19'!$A$3:$T$1193,19,0),0)</f>
        <v>0</v>
      </c>
      <c r="T13" s="44">
        <f>VLOOKUP(A13,'SSP_March''19'!$A$3:$T$1193,20,0)</f>
        <v>0</v>
      </c>
      <c r="U13" s="34">
        <f>VLOOKUP(A13,'SSP_March''19'!$A$3:$X$1193,21,0)</f>
        <v>0</v>
      </c>
      <c r="V13" s="34">
        <f>VLOOKUP(A13,'SSP_March''19'!$A$3:$X$1193,22,0)</f>
        <v>0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34" t="s">
        <v>1109</v>
      </c>
      <c r="B14" s="34" t="s">
        <v>1110</v>
      </c>
      <c r="C14" s="34" t="s">
        <v>130</v>
      </c>
      <c r="D14" s="34" t="s">
        <v>49</v>
      </c>
      <c r="E14" s="34" t="s">
        <v>7</v>
      </c>
      <c r="F14" s="34" t="s">
        <v>1111</v>
      </c>
      <c r="G14" s="54">
        <v>1911395840</v>
      </c>
      <c r="H14" s="54" t="s">
        <v>229</v>
      </c>
      <c r="I14" s="54" t="s">
        <v>3514</v>
      </c>
      <c r="J14" s="34" t="s">
        <v>3515</v>
      </c>
      <c r="K14" s="43">
        <f>VLOOKUP(A14,'SSP_March''19'!$A$3:$L$1193,11,0)</f>
        <v>297464</v>
      </c>
      <c r="L14" s="43">
        <f>VLOOKUP(A14,'SSP_March''19'!$A$3:$L$1193,12,0)</f>
        <v>81230</v>
      </c>
      <c r="M14" s="44">
        <f t="shared" si="0"/>
        <v>0.27307506118387437</v>
      </c>
      <c r="N14" s="49">
        <f>ROUND(VLOOKUP(A14,'SSP_March''19'!$A$3:$N$1193,14,0),0)</f>
        <v>251813</v>
      </c>
      <c r="O14" s="44">
        <f t="shared" si="1"/>
        <v>0.8465326896700105</v>
      </c>
      <c r="P14" s="45">
        <f>VLOOKUP(A14,'SSP_March''19'!$A$3:$Q$1193,16,0)</f>
        <v>20</v>
      </c>
      <c r="Q14" s="34">
        <f>VLOOKUP(A14,'SSP_March''19'!$A$3:$Q$1193,17,0)</f>
        <v>4</v>
      </c>
      <c r="R14" s="35">
        <f t="shared" si="2"/>
        <v>0.2</v>
      </c>
      <c r="S14" s="49">
        <f>ROUND(VLOOKUP(A14,'SSP_March''19'!$A$3:$T$1193,19,0),0)</f>
        <v>12</v>
      </c>
      <c r="T14" s="44">
        <f>VLOOKUP(A14,'SSP_March''19'!$A$3:$T$1193,20,0)</f>
        <v>0.6</v>
      </c>
      <c r="U14" s="34">
        <f>VLOOKUP(A14,'SSP_March''19'!$A$3:$X$1193,21,0)</f>
        <v>0</v>
      </c>
      <c r="V14" s="34">
        <f>VLOOKUP(A14,'SSP_March''19'!$A$3:$X$1193,22,0)</f>
        <v>0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34" t="s">
        <v>1244</v>
      </c>
      <c r="B15" s="34" t="s">
        <v>1245</v>
      </c>
      <c r="C15" s="34" t="s">
        <v>130</v>
      </c>
      <c r="D15" s="34" t="s">
        <v>49</v>
      </c>
      <c r="E15" s="34" t="s">
        <v>7</v>
      </c>
      <c r="F15" s="34" t="s">
        <v>1246</v>
      </c>
      <c r="G15" s="54">
        <v>1812226012</v>
      </c>
      <c r="H15" s="54" t="s">
        <v>229</v>
      </c>
      <c r="I15" s="54" t="s">
        <v>3514</v>
      </c>
      <c r="J15" s="34" t="s">
        <v>3421</v>
      </c>
      <c r="K15" s="43">
        <f>VLOOKUP(A15,'SSP_March''19'!$A$3:$L$1193,11,0)</f>
        <v>130000</v>
      </c>
      <c r="L15" s="43">
        <f>VLOOKUP(A15,'SSP_March''19'!$A$3:$L$1193,12,0)</f>
        <v>23510</v>
      </c>
      <c r="M15" s="44">
        <f t="shared" si="0"/>
        <v>0.18084615384615385</v>
      </c>
      <c r="N15" s="49">
        <f>ROUND(VLOOKUP(A15,'SSP_March''19'!$A$3:$N$1193,14,0),0)</f>
        <v>72881</v>
      </c>
      <c r="O15" s="44">
        <f t="shared" si="1"/>
        <v>0.56062307692307689</v>
      </c>
      <c r="P15" s="45">
        <f>VLOOKUP(A15,'SSP_March''19'!$A$3:$Q$1193,16,0)</f>
        <v>10</v>
      </c>
      <c r="Q15" s="34">
        <f>VLOOKUP(A15,'SSP_March''19'!$A$3:$Q$1193,17,0)</f>
        <v>2</v>
      </c>
      <c r="R15" s="35">
        <f t="shared" si="2"/>
        <v>0.2</v>
      </c>
      <c r="S15" s="49">
        <f>ROUND(VLOOKUP(A15,'SSP_March''19'!$A$3:$T$1193,19,0),0)</f>
        <v>6</v>
      </c>
      <c r="T15" s="44">
        <f>VLOOKUP(A15,'SSP_March''19'!$A$3:$T$1193,20,0)</f>
        <v>0.6</v>
      </c>
      <c r="U15" s="34">
        <f>VLOOKUP(A15,'SSP_March''19'!$A$3:$X$1193,21,0)</f>
        <v>0</v>
      </c>
      <c r="V15" s="34">
        <f>VLOOKUP(A15,'SSP_March''19'!$A$3:$X$1193,22,0)</f>
        <v>1</v>
      </c>
      <c r="W15" s="34">
        <f>VLOOKUP(A15,'SSP_March''19'!$A$3:$X$1193,23,0)</f>
        <v>0</v>
      </c>
      <c r="X15" s="34">
        <f>VLOOKUP(A15,'SSP_March''19'!$A$3:$X$1193,24,0)</f>
        <v>0</v>
      </c>
    </row>
    <row r="16" spans="1:24">
      <c r="A16" s="34" t="s">
        <v>1128</v>
      </c>
      <c r="B16" s="34" t="s">
        <v>1129</v>
      </c>
      <c r="C16" s="34" t="s">
        <v>209</v>
      </c>
      <c r="D16" s="34" t="s">
        <v>49</v>
      </c>
      <c r="E16" s="34" t="s">
        <v>7</v>
      </c>
      <c r="F16" s="34" t="s">
        <v>1130</v>
      </c>
      <c r="G16" s="54">
        <v>1824168475</v>
      </c>
      <c r="H16" s="54" t="s">
        <v>229</v>
      </c>
      <c r="I16" s="54" t="s">
        <v>3514</v>
      </c>
      <c r="J16" s="34" t="s">
        <v>3421</v>
      </c>
      <c r="K16" s="43">
        <f>VLOOKUP(A16,'SSP_March''19'!$A$3:$L$1193,11,0)</f>
        <v>130000</v>
      </c>
      <c r="L16" s="43">
        <f>VLOOKUP(A16,'SSP_March''19'!$A$3:$L$1193,12,0)</f>
        <v>15570</v>
      </c>
      <c r="M16" s="44">
        <f t="shared" si="0"/>
        <v>0.11976923076923077</v>
      </c>
      <c r="N16" s="49">
        <f>ROUND(VLOOKUP(A16,'SSP_March''19'!$A$3:$N$1193,14,0),0)</f>
        <v>48267</v>
      </c>
      <c r="O16" s="44">
        <f t="shared" si="1"/>
        <v>0.37128461538461538</v>
      </c>
      <c r="P16" s="45">
        <f>VLOOKUP(A16,'SSP_March''19'!$A$3:$Q$1193,16,0)</f>
        <v>10</v>
      </c>
      <c r="Q16" s="34">
        <f>VLOOKUP(A16,'SSP_March''19'!$A$3:$Q$1193,17,0)</f>
        <v>0</v>
      </c>
      <c r="R16" s="35">
        <f t="shared" si="2"/>
        <v>0</v>
      </c>
      <c r="S16" s="49">
        <f>ROUND(VLOOKUP(A16,'SSP_March''19'!$A$3:$T$1193,19,0),0)</f>
        <v>0</v>
      </c>
      <c r="T16" s="44">
        <f>VLOOKUP(A16,'SSP_March''19'!$A$3:$T$1193,20,0)</f>
        <v>0</v>
      </c>
      <c r="U16" s="34">
        <f>VLOOKUP(A16,'SSP_March''19'!$A$3:$X$1193,21,0)</f>
        <v>0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34" t="s">
        <v>1089</v>
      </c>
      <c r="B17" s="34" t="s">
        <v>1090</v>
      </c>
      <c r="C17" s="34" t="s">
        <v>209</v>
      </c>
      <c r="D17" s="34" t="s">
        <v>49</v>
      </c>
      <c r="E17" s="34" t="s">
        <v>7</v>
      </c>
      <c r="F17" s="34" t="s">
        <v>1091</v>
      </c>
      <c r="G17" s="54">
        <v>1739180818</v>
      </c>
      <c r="H17" s="54" t="s">
        <v>229</v>
      </c>
      <c r="I17" s="54" t="s">
        <v>3518</v>
      </c>
      <c r="J17" s="34" t="s">
        <v>3419</v>
      </c>
      <c r="K17" s="43">
        <f>VLOOKUP(A17,'SSP_March''19'!$A$3:$L$1193,11,0)</f>
        <v>476183</v>
      </c>
      <c r="L17" s="43">
        <f>VLOOKUP(A17,'SSP_March''19'!$A$3:$L$1193,12,0)</f>
        <v>62617</v>
      </c>
      <c r="M17" s="44">
        <f t="shared" si="0"/>
        <v>0.13149776451490289</v>
      </c>
      <c r="N17" s="49">
        <f>ROUND(VLOOKUP(A17,'SSP_March''19'!$A$3:$N$1193,14,0),0)</f>
        <v>194113</v>
      </c>
      <c r="O17" s="44">
        <f t="shared" si="1"/>
        <v>0.40764370000609007</v>
      </c>
      <c r="P17" s="45">
        <f>VLOOKUP(A17,'SSP_March''19'!$A$3:$Q$1193,16,0)</f>
        <v>37</v>
      </c>
      <c r="Q17" s="34">
        <f>VLOOKUP(A17,'SSP_March''19'!$A$3:$Q$1193,17,0)</f>
        <v>1</v>
      </c>
      <c r="R17" s="35">
        <f t="shared" si="2"/>
        <v>2.7027027027027029E-2</v>
      </c>
      <c r="S17" s="49">
        <f>ROUND(VLOOKUP(A17,'SSP_March''19'!$A$3:$T$1193,19,0),0)</f>
        <v>3</v>
      </c>
      <c r="T17" s="44">
        <f>VLOOKUP(A17,'SSP_March''19'!$A$3:$T$1193,20,0)</f>
        <v>8.1081081081081086E-2</v>
      </c>
      <c r="U17" s="34">
        <f>VLOOKUP(A17,'SSP_March''19'!$A$3:$X$1193,21,0)</f>
        <v>0</v>
      </c>
      <c r="V17" s="34">
        <f>VLOOKUP(A17,'SSP_March''19'!$A$3:$X$1193,22,0)</f>
        <v>0</v>
      </c>
      <c r="W17" s="34">
        <f>VLOOKUP(A17,'SSP_March''19'!$A$3:$X$1193,23,0)</f>
        <v>0</v>
      </c>
      <c r="X17" s="34">
        <f>VLOOKUP(A17,'SSP_March''19'!$A$3:$X$1193,24,0)</f>
        <v>1</v>
      </c>
    </row>
    <row r="18" spans="1:24">
      <c r="A18" s="34" t="s">
        <v>1117</v>
      </c>
      <c r="B18" s="34" t="s">
        <v>1118</v>
      </c>
      <c r="C18" s="34" t="s">
        <v>209</v>
      </c>
      <c r="D18" s="34" t="s">
        <v>49</v>
      </c>
      <c r="E18" s="34" t="s">
        <v>7</v>
      </c>
      <c r="F18" s="34" t="s">
        <v>1119</v>
      </c>
      <c r="G18" s="54">
        <v>1677762454</v>
      </c>
      <c r="H18" s="54" t="s">
        <v>229</v>
      </c>
      <c r="I18" s="54" t="s">
        <v>3514</v>
      </c>
      <c r="J18" s="34" t="s">
        <v>3421</v>
      </c>
      <c r="K18" s="43">
        <f>VLOOKUP(A18,'SSP_March''19'!$A$3:$L$1193,11,0)</f>
        <v>130000</v>
      </c>
      <c r="L18" s="43">
        <f>VLOOKUP(A18,'SSP_March''19'!$A$3:$L$1193,12,0)</f>
        <v>22195</v>
      </c>
      <c r="M18" s="44">
        <f t="shared" si="0"/>
        <v>0.17073076923076924</v>
      </c>
      <c r="N18" s="49">
        <f>ROUND(VLOOKUP(A18,'SSP_March''19'!$A$3:$N$1193,14,0),0)</f>
        <v>68805</v>
      </c>
      <c r="O18" s="44">
        <f t="shared" si="1"/>
        <v>0.52926923076923071</v>
      </c>
      <c r="P18" s="45">
        <f>VLOOKUP(A18,'SSP_March''19'!$A$3:$Q$1193,16,0)</f>
        <v>10</v>
      </c>
      <c r="Q18" s="34">
        <f>VLOOKUP(A18,'SSP_March''19'!$A$3:$Q$1193,17,0)</f>
        <v>1</v>
      </c>
      <c r="R18" s="35">
        <f t="shared" si="2"/>
        <v>0.1</v>
      </c>
      <c r="S18" s="49">
        <f>ROUND(VLOOKUP(A18,'SSP_March''19'!$A$3:$T$1193,19,0),0)</f>
        <v>3</v>
      </c>
      <c r="T18" s="44">
        <f>VLOOKUP(A18,'SSP_March''19'!$A$3:$T$1193,20,0)</f>
        <v>0.3</v>
      </c>
      <c r="U18" s="34">
        <f>VLOOKUP(A18,'SSP_March''19'!$A$3:$X$1193,21,0)</f>
        <v>0</v>
      </c>
      <c r="V18" s="34">
        <f>VLOOKUP(A18,'SSP_March''19'!$A$3:$X$1193,22,0)</f>
        <v>0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34" t="s">
        <v>1274</v>
      </c>
      <c r="B19" s="34" t="s">
        <v>1275</v>
      </c>
      <c r="C19" s="34" t="s">
        <v>209</v>
      </c>
      <c r="D19" s="34" t="s">
        <v>49</v>
      </c>
      <c r="E19" s="34" t="s">
        <v>7</v>
      </c>
      <c r="F19" s="34" t="s">
        <v>1276</v>
      </c>
      <c r="G19" s="54">
        <v>1720204531</v>
      </c>
      <c r="H19" s="54" t="s">
        <v>229</v>
      </c>
      <c r="I19" s="54" t="s">
        <v>3514</v>
      </c>
      <c r="J19" s="34" t="s">
        <v>3421</v>
      </c>
      <c r="K19" s="43">
        <f>VLOOKUP(A19,'SSP_March''19'!$A$3:$L$1193,11,0)</f>
        <v>130000</v>
      </c>
      <c r="L19" s="43">
        <f>VLOOKUP(A19,'SSP_March''19'!$A$3:$L$1193,12,0)</f>
        <v>40825</v>
      </c>
      <c r="M19" s="44">
        <f t="shared" si="0"/>
        <v>0.31403846153846154</v>
      </c>
      <c r="N19" s="49">
        <f>ROUND(VLOOKUP(A19,'SSP_March''19'!$A$3:$N$1193,14,0),0)</f>
        <v>126558</v>
      </c>
      <c r="O19" s="44">
        <f t="shared" si="1"/>
        <v>0.97352307692307694</v>
      </c>
      <c r="P19" s="45">
        <f>VLOOKUP(A19,'SSP_March''19'!$A$3:$Q$1193,16,0)</f>
        <v>10</v>
      </c>
      <c r="Q19" s="34">
        <f>VLOOKUP(A19,'SSP_March''19'!$A$3:$Q$1193,17,0)</f>
        <v>5</v>
      </c>
      <c r="R19" s="35">
        <f t="shared" si="2"/>
        <v>0.5</v>
      </c>
      <c r="S19" s="49">
        <f>ROUND(VLOOKUP(A19,'SSP_March''19'!$A$3:$T$1193,19,0),0)</f>
        <v>16</v>
      </c>
      <c r="T19" s="44">
        <f>VLOOKUP(A19,'SSP_March''19'!$A$3:$T$1193,20,0)</f>
        <v>1.6</v>
      </c>
      <c r="U19" s="34">
        <f>VLOOKUP(A19,'SSP_March''19'!$A$3:$X$1193,21,0)</f>
        <v>0</v>
      </c>
      <c r="V19" s="34">
        <f>VLOOKUP(A19,'SSP_March''19'!$A$3:$X$1193,22,0)</f>
        <v>3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34" t="s">
        <v>1134</v>
      </c>
      <c r="B20" s="34" t="s">
        <v>1135</v>
      </c>
      <c r="C20" s="34" t="s">
        <v>209</v>
      </c>
      <c r="D20" s="34" t="s">
        <v>49</v>
      </c>
      <c r="E20" s="34" t="s">
        <v>7</v>
      </c>
      <c r="F20" s="34" t="s">
        <v>1136</v>
      </c>
      <c r="G20" s="54">
        <v>1911111615</v>
      </c>
      <c r="H20" s="54" t="s">
        <v>229</v>
      </c>
      <c r="I20" s="54" t="s">
        <v>3514</v>
      </c>
      <c r="J20" s="34" t="s">
        <v>3421</v>
      </c>
      <c r="K20" s="43">
        <f>VLOOKUP(A20,'SSP_March''19'!$A$3:$L$1193,11,0)</f>
        <v>130000</v>
      </c>
      <c r="L20" s="43">
        <f>VLOOKUP(A20,'SSP_March''19'!$A$3:$L$1193,12,0)</f>
        <v>32720</v>
      </c>
      <c r="M20" s="44">
        <f t="shared" si="0"/>
        <v>0.25169230769230772</v>
      </c>
      <c r="N20" s="49">
        <f>ROUND(VLOOKUP(A20,'SSP_March''19'!$A$3:$N$1193,14,0),0)</f>
        <v>101432</v>
      </c>
      <c r="O20" s="44">
        <f t="shared" si="1"/>
        <v>0.78024615384615381</v>
      </c>
      <c r="P20" s="45">
        <f>VLOOKUP(A20,'SSP_March''19'!$A$3:$Q$1193,16,0)</f>
        <v>10</v>
      </c>
      <c r="Q20" s="34">
        <f>VLOOKUP(A20,'SSP_March''19'!$A$3:$Q$1193,17,0)</f>
        <v>2</v>
      </c>
      <c r="R20" s="35">
        <f t="shared" si="2"/>
        <v>0.2</v>
      </c>
      <c r="S20" s="49">
        <f>ROUND(VLOOKUP(A20,'SSP_March''19'!$A$3:$T$1193,19,0),0)</f>
        <v>6</v>
      </c>
      <c r="T20" s="44">
        <f>VLOOKUP(A20,'SSP_March''19'!$A$3:$T$1193,20,0)</f>
        <v>0.6</v>
      </c>
      <c r="U20" s="34">
        <f>VLOOKUP(A20,'SSP_March''19'!$A$3:$X$1193,21,0)</f>
        <v>0</v>
      </c>
      <c r="V20" s="34">
        <f>VLOOKUP(A20,'SSP_March''19'!$A$3:$X$1193,22,0)</f>
        <v>0</v>
      </c>
      <c r="W20" s="34">
        <f>VLOOKUP(A20,'SSP_March''19'!$A$3:$X$1193,23,0)</f>
        <v>0</v>
      </c>
      <c r="X20" s="34">
        <f>VLOOKUP(A20,'SSP_March''19'!$A$3:$X$1193,24,0)</f>
        <v>0</v>
      </c>
    </row>
    <row r="21" spans="1:24">
      <c r="A21" s="34" t="s">
        <v>1086</v>
      </c>
      <c r="B21" s="34" t="s">
        <v>1087</v>
      </c>
      <c r="C21" s="34" t="s">
        <v>209</v>
      </c>
      <c r="D21" s="34" t="s">
        <v>49</v>
      </c>
      <c r="E21" s="34" t="s">
        <v>7</v>
      </c>
      <c r="F21" s="34" t="s">
        <v>1088</v>
      </c>
      <c r="G21" s="54">
        <v>1711456565</v>
      </c>
      <c r="H21" s="54" t="s">
        <v>229</v>
      </c>
      <c r="I21" s="54" t="s">
        <v>3514</v>
      </c>
      <c r="J21" s="34" t="s">
        <v>3419</v>
      </c>
      <c r="K21" s="43">
        <f>VLOOKUP(A21,'SSP_March''19'!$A$3:$L$1193,11,0)</f>
        <v>292709</v>
      </c>
      <c r="L21" s="43">
        <f>VLOOKUP(A21,'SSP_March''19'!$A$3:$L$1193,12,0)</f>
        <v>184370</v>
      </c>
      <c r="M21" s="44">
        <f t="shared" si="0"/>
        <v>0.6298747219935158</v>
      </c>
      <c r="N21" s="49">
        <f>ROUND(VLOOKUP(A21,'SSP_March''19'!$A$3:$N$1193,14,0),0)</f>
        <v>571547</v>
      </c>
      <c r="O21" s="44">
        <f t="shared" si="1"/>
        <v>1.9526116381798988</v>
      </c>
      <c r="P21" s="45">
        <f>VLOOKUP(A21,'SSP_March''19'!$A$3:$Q$1193,16,0)</f>
        <v>16</v>
      </c>
      <c r="Q21" s="34">
        <f>VLOOKUP(A21,'SSP_March''19'!$A$3:$Q$1193,17,0)</f>
        <v>14</v>
      </c>
      <c r="R21" s="35">
        <f t="shared" si="2"/>
        <v>0.875</v>
      </c>
      <c r="S21" s="49">
        <f>ROUND(VLOOKUP(A21,'SSP_March''19'!$A$3:$T$1193,19,0),0)</f>
        <v>43</v>
      </c>
      <c r="T21" s="44">
        <f>VLOOKUP(A21,'SSP_March''19'!$A$3:$T$1193,20,0)</f>
        <v>2.6875</v>
      </c>
      <c r="U21" s="34">
        <f>VLOOKUP(A21,'SSP_March''19'!$A$3:$X$1193,21,0)</f>
        <v>1</v>
      </c>
      <c r="V21" s="34">
        <f>VLOOKUP(A21,'SSP_March''19'!$A$3:$X$1193,22,0)</f>
        <v>7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75" t="s">
        <v>3547</v>
      </c>
      <c r="B22" s="75" t="s">
        <v>132</v>
      </c>
      <c r="C22" s="75" t="s">
        <v>209</v>
      </c>
      <c r="D22" s="75" t="s">
        <v>49</v>
      </c>
      <c r="E22" s="75" t="s">
        <v>7</v>
      </c>
      <c r="F22" s="77" t="s">
        <v>3548</v>
      </c>
      <c r="G22" s="68">
        <v>1912008187</v>
      </c>
      <c r="H22" s="54" t="s">
        <v>229</v>
      </c>
      <c r="I22" s="54" t="s">
        <v>3514</v>
      </c>
      <c r="J22" s="34" t="s">
        <v>3421</v>
      </c>
      <c r="K22" s="43">
        <f>VLOOKUP(A22,'SSP_March''19'!$A$3:$L$1193,11,0)</f>
        <v>150000</v>
      </c>
      <c r="L22" s="43">
        <f>VLOOKUP(A22,'SSP_March''19'!$A$3:$L$1193,12,0)</f>
        <v>83225</v>
      </c>
      <c r="M22" s="44">
        <f t="shared" si="0"/>
        <v>0.55483333333333329</v>
      </c>
      <c r="N22" s="49">
        <f>ROUND(VLOOKUP(A22,'SSP_March''19'!$A$3:$N$1193,14,0),0)</f>
        <v>257998</v>
      </c>
      <c r="O22" s="44">
        <f t="shared" si="1"/>
        <v>1.7199866666666668</v>
      </c>
      <c r="P22" s="45">
        <f>VLOOKUP(A22,'SSP_March''19'!$A$3:$Q$1193,16,0)</f>
        <v>13</v>
      </c>
      <c r="Q22" s="34">
        <f>VLOOKUP(A22,'SSP_March''19'!$A$3:$Q$1193,17,0)</f>
        <v>7</v>
      </c>
      <c r="R22" s="35">
        <f t="shared" si="2"/>
        <v>0.53846153846153844</v>
      </c>
      <c r="S22" s="49">
        <f>ROUND(VLOOKUP(A22,'SSP_March''19'!$A$3:$T$1193,19,0),0)</f>
        <v>22</v>
      </c>
      <c r="T22" s="44">
        <f>VLOOKUP(A22,'SSP_March''19'!$A$3:$T$1193,20,0)</f>
        <v>1.6923076923076923</v>
      </c>
      <c r="U22" s="34">
        <f>VLOOKUP(A22,'SSP_March''19'!$A$3:$X$1193,21,0)</f>
        <v>1</v>
      </c>
      <c r="V22" s="34">
        <f>VLOOKUP(A22,'SSP_March''19'!$A$3:$X$1193,22,0)</f>
        <v>2</v>
      </c>
      <c r="W22" s="34">
        <f>VLOOKUP(A22,'SSP_March''19'!$A$3:$X$1193,23,0)</f>
        <v>0</v>
      </c>
      <c r="X22" s="34">
        <f>VLOOKUP(A22,'SSP_March''19'!$A$3:$X$1193,24,0)</f>
        <v>1</v>
      </c>
    </row>
    <row r="23" spans="1:24">
      <c r="A23" s="34" t="s">
        <v>1260</v>
      </c>
      <c r="B23" s="34" t="s">
        <v>1261</v>
      </c>
      <c r="C23" s="34" t="s">
        <v>209</v>
      </c>
      <c r="D23" s="34" t="s">
        <v>49</v>
      </c>
      <c r="E23" s="34" t="s">
        <v>7</v>
      </c>
      <c r="F23" s="34" t="s">
        <v>1262</v>
      </c>
      <c r="G23" s="54">
        <v>1716410805</v>
      </c>
      <c r="H23" s="54" t="s">
        <v>229</v>
      </c>
      <c r="I23" s="54" t="s">
        <v>3514</v>
      </c>
      <c r="J23" s="34" t="s">
        <v>3419</v>
      </c>
      <c r="K23" s="43">
        <f>VLOOKUP(A23,'SSP_March''19'!$A$3:$L$1193,11,0)</f>
        <v>209004</v>
      </c>
      <c r="L23" s="43">
        <f>VLOOKUP(A23,'SSP_March''19'!$A$3:$L$1193,12,0)</f>
        <v>19470</v>
      </c>
      <c r="M23" s="44">
        <f t="shared" si="0"/>
        <v>9.3156111844749381E-2</v>
      </c>
      <c r="N23" s="49">
        <f>ROUND(VLOOKUP(A23,'SSP_March''19'!$A$3:$N$1193,14,0),0)</f>
        <v>60357</v>
      </c>
      <c r="O23" s="44">
        <f t="shared" si="1"/>
        <v>0.28878394671872309</v>
      </c>
      <c r="P23" s="45">
        <f>VLOOKUP(A23,'SSP_March''19'!$A$3:$Q$1193,16,0)</f>
        <v>12</v>
      </c>
      <c r="Q23" s="34">
        <f>VLOOKUP(A23,'SSP_March''19'!$A$3:$Q$1193,17,0)</f>
        <v>2</v>
      </c>
      <c r="R23" s="35">
        <f t="shared" si="2"/>
        <v>0.16666666666666666</v>
      </c>
      <c r="S23" s="49">
        <f>ROUND(VLOOKUP(A23,'SSP_March''19'!$A$3:$T$1193,19,0),0)</f>
        <v>6</v>
      </c>
      <c r="T23" s="44">
        <f>VLOOKUP(A23,'SSP_March''19'!$A$3:$T$1193,20,0)</f>
        <v>0.5</v>
      </c>
      <c r="U23" s="34">
        <f>VLOOKUP(A23,'SSP_March''19'!$A$3:$X$1193,21,0)</f>
        <v>0</v>
      </c>
      <c r="V23" s="34">
        <f>VLOOKUP(A23,'SSP_March''19'!$A$3:$X$1193,22,0)</f>
        <v>0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34" t="s">
        <v>1095</v>
      </c>
      <c r="B24" s="34" t="s">
        <v>1096</v>
      </c>
      <c r="C24" s="34" t="s">
        <v>209</v>
      </c>
      <c r="D24" s="34" t="s">
        <v>49</v>
      </c>
      <c r="E24" s="34" t="s">
        <v>7</v>
      </c>
      <c r="F24" s="34" t="s">
        <v>1097</v>
      </c>
      <c r="G24" s="54">
        <v>1712035948</v>
      </c>
      <c r="H24" s="54" t="s">
        <v>229</v>
      </c>
      <c r="I24" s="54" t="s">
        <v>3514</v>
      </c>
      <c r="J24" s="34" t="s">
        <v>3419</v>
      </c>
      <c r="K24" s="43">
        <f>VLOOKUP(A24,'SSP_March''19'!$A$3:$L$1193,11,0)</f>
        <v>191095</v>
      </c>
      <c r="L24" s="43">
        <f>VLOOKUP(A24,'SSP_March''19'!$A$3:$L$1193,12,0)</f>
        <v>67065</v>
      </c>
      <c r="M24" s="44">
        <f t="shared" si="0"/>
        <v>0.35095109762160182</v>
      </c>
      <c r="N24" s="49">
        <f>ROUND(VLOOKUP(A24,'SSP_March''19'!$A$3:$N$1193,14,0),0)</f>
        <v>207902</v>
      </c>
      <c r="O24" s="44">
        <f t="shared" si="1"/>
        <v>1.0879510191266124</v>
      </c>
      <c r="P24" s="45">
        <f>VLOOKUP(A24,'SSP_March''19'!$A$3:$Q$1193,16,0)</f>
        <v>10</v>
      </c>
      <c r="Q24" s="34">
        <f>VLOOKUP(A24,'SSP_March''19'!$A$3:$Q$1193,17,0)</f>
        <v>4</v>
      </c>
      <c r="R24" s="35">
        <f t="shared" si="2"/>
        <v>0.4</v>
      </c>
      <c r="S24" s="49">
        <f>ROUND(VLOOKUP(A24,'SSP_March''19'!$A$3:$T$1193,19,0),0)</f>
        <v>12</v>
      </c>
      <c r="T24" s="44">
        <f>VLOOKUP(A24,'SSP_March''19'!$A$3:$T$1193,20,0)</f>
        <v>1.2</v>
      </c>
      <c r="U24" s="34">
        <f>VLOOKUP(A24,'SSP_March''19'!$A$3:$X$1193,21,0)</f>
        <v>0</v>
      </c>
      <c r="V24" s="34">
        <f>VLOOKUP(A24,'SSP_March''19'!$A$3:$X$1193,22,0)</f>
        <v>1</v>
      </c>
      <c r="W24" s="34">
        <f>VLOOKUP(A24,'SSP_March''19'!$A$3:$X$1193,23,0)</f>
        <v>0</v>
      </c>
      <c r="X24" s="34">
        <f>VLOOKUP(A24,'SSP_March''19'!$A$3:$X$1193,24,0)</f>
        <v>0</v>
      </c>
    </row>
    <row r="25" spans="1:24">
      <c r="A25" s="34" t="s">
        <v>1123</v>
      </c>
      <c r="B25" s="34" t="s">
        <v>1124</v>
      </c>
      <c r="C25" s="34" t="s">
        <v>209</v>
      </c>
      <c r="D25" s="34" t="s">
        <v>49</v>
      </c>
      <c r="E25" s="34" t="s">
        <v>7</v>
      </c>
      <c r="F25" s="34" t="s">
        <v>235</v>
      </c>
      <c r="G25" s="54">
        <v>1715765553</v>
      </c>
      <c r="H25" s="54" t="s">
        <v>229</v>
      </c>
      <c r="I25" s="54" t="s">
        <v>3514</v>
      </c>
      <c r="J25" s="34" t="s">
        <v>3421</v>
      </c>
      <c r="K25" s="43">
        <f>VLOOKUP(A25,'SSP_March''19'!$A$3:$L$1193,11,0)</f>
        <v>130000</v>
      </c>
      <c r="L25" s="43">
        <f>VLOOKUP(A25,'SSP_March''19'!$A$3:$L$1193,12,0)</f>
        <v>41970</v>
      </c>
      <c r="M25" s="44">
        <f t="shared" si="0"/>
        <v>0.32284615384615384</v>
      </c>
      <c r="N25" s="49">
        <f>ROUND(VLOOKUP(A25,'SSP_March''19'!$A$3:$N$1193,14,0),0)</f>
        <v>130107</v>
      </c>
      <c r="O25" s="44">
        <f t="shared" si="1"/>
        <v>1.0008230769230768</v>
      </c>
      <c r="P25" s="45">
        <f>VLOOKUP(A25,'SSP_March''19'!$A$3:$Q$1193,16,0)</f>
        <v>10</v>
      </c>
      <c r="Q25" s="34">
        <f>VLOOKUP(A25,'SSP_March''19'!$A$3:$Q$1193,17,0)</f>
        <v>1</v>
      </c>
      <c r="R25" s="35">
        <f t="shared" si="2"/>
        <v>0.1</v>
      </c>
      <c r="S25" s="49">
        <f>ROUND(VLOOKUP(A25,'SSP_March''19'!$A$3:$T$1193,19,0),0)</f>
        <v>3</v>
      </c>
      <c r="T25" s="44">
        <f>VLOOKUP(A25,'SSP_March''19'!$A$3:$T$1193,20,0)</f>
        <v>0.3</v>
      </c>
      <c r="U25" s="34">
        <f>VLOOKUP(A25,'SSP_March''19'!$A$3:$X$1193,21,0)</f>
        <v>0</v>
      </c>
      <c r="V25" s="34">
        <f>VLOOKUP(A25,'SSP_March''19'!$A$3:$X$1193,22,0)</f>
        <v>0</v>
      </c>
      <c r="W25" s="34">
        <f>VLOOKUP(A25,'SSP_March''19'!$A$3:$X$1193,23,0)</f>
        <v>0</v>
      </c>
      <c r="X25" s="34">
        <f>VLOOKUP(A25,'SSP_March''19'!$A$3:$X$1193,24,0)</f>
        <v>0</v>
      </c>
    </row>
    <row r="26" spans="1:24">
      <c r="A26" s="34" t="s">
        <v>1156</v>
      </c>
      <c r="B26" s="34" t="s">
        <v>1157</v>
      </c>
      <c r="C26" s="34" t="s">
        <v>209</v>
      </c>
      <c r="D26" s="34" t="s">
        <v>49</v>
      </c>
      <c r="E26" s="34" t="s">
        <v>7</v>
      </c>
      <c r="F26" s="34" t="s">
        <v>1158</v>
      </c>
      <c r="G26" s="54">
        <v>1670931337</v>
      </c>
      <c r="H26" s="54" t="s">
        <v>229</v>
      </c>
      <c r="I26" s="54" t="s">
        <v>3514</v>
      </c>
      <c r="J26" s="34" t="s">
        <v>3419</v>
      </c>
      <c r="K26" s="43">
        <f>VLOOKUP(A26,'SSP_March''19'!$A$3:$L$1193,11,0)</f>
        <v>200304</v>
      </c>
      <c r="L26" s="43">
        <f>VLOOKUP(A26,'SSP_March''19'!$A$3:$L$1193,12,0)</f>
        <v>55085</v>
      </c>
      <c r="M26" s="44">
        <f t="shared" si="0"/>
        <v>0.27500698937614826</v>
      </c>
      <c r="N26" s="49">
        <f>ROUND(VLOOKUP(A26,'SSP_March''19'!$A$3:$N$1193,14,0),0)</f>
        <v>170764</v>
      </c>
      <c r="O26" s="44">
        <f t="shared" si="1"/>
        <v>0.85252416327182678</v>
      </c>
      <c r="P26" s="45">
        <f>VLOOKUP(A26,'SSP_March''19'!$A$3:$Q$1193,16,0)</f>
        <v>10</v>
      </c>
      <c r="Q26" s="34">
        <f>VLOOKUP(A26,'SSP_March''19'!$A$3:$Q$1193,17,0)</f>
        <v>2</v>
      </c>
      <c r="R26" s="35">
        <f t="shared" si="2"/>
        <v>0.2</v>
      </c>
      <c r="S26" s="49">
        <f>ROUND(VLOOKUP(A26,'SSP_March''19'!$A$3:$T$1193,19,0),0)</f>
        <v>6</v>
      </c>
      <c r="T26" s="44">
        <f>VLOOKUP(A26,'SSP_March''19'!$A$3:$T$1193,20,0)</f>
        <v>0.6</v>
      </c>
      <c r="U26" s="34">
        <f>VLOOKUP(A26,'SSP_March''19'!$A$3:$X$1193,21,0)</f>
        <v>2</v>
      </c>
      <c r="V26" s="34">
        <f>VLOOKUP(A26,'SSP_March''19'!$A$3:$X$1193,22,0)</f>
        <v>0</v>
      </c>
      <c r="W26" s="34">
        <f>VLOOKUP(A26,'SSP_March''19'!$A$3:$X$1193,23,0)</f>
        <v>0</v>
      </c>
      <c r="X26" s="34">
        <f>VLOOKUP(A26,'SSP_March''19'!$A$3:$X$1193,24,0)</f>
        <v>0</v>
      </c>
    </row>
    <row r="27" spans="1:24">
      <c r="A27" s="34" t="s">
        <v>1211</v>
      </c>
      <c r="B27" s="34" t="s">
        <v>1212</v>
      </c>
      <c r="C27" s="34" t="s">
        <v>209</v>
      </c>
      <c r="D27" s="34" t="s">
        <v>49</v>
      </c>
      <c r="E27" s="34" t="s">
        <v>7</v>
      </c>
      <c r="F27" s="34" t="s">
        <v>1213</v>
      </c>
      <c r="G27" s="54">
        <v>1957529695</v>
      </c>
      <c r="H27" s="54" t="s">
        <v>229</v>
      </c>
      <c r="I27" s="54" t="s">
        <v>3514</v>
      </c>
      <c r="J27" s="34" t="s">
        <v>3421</v>
      </c>
      <c r="K27" s="43">
        <f>VLOOKUP(A27,'SSP_March''19'!$A$3:$L$1193,11,0)</f>
        <v>130000</v>
      </c>
      <c r="L27" s="43">
        <f>VLOOKUP(A27,'SSP_March''19'!$A$3:$L$1193,12,0)</f>
        <v>11730</v>
      </c>
      <c r="M27" s="44">
        <f t="shared" si="0"/>
        <v>9.0230769230769226E-2</v>
      </c>
      <c r="N27" s="49">
        <f>ROUND(VLOOKUP(A27,'SSP_March''19'!$A$3:$N$1193,14,0),0)</f>
        <v>36363</v>
      </c>
      <c r="O27" s="44">
        <f t="shared" si="1"/>
        <v>0.27971538461538459</v>
      </c>
      <c r="P27" s="45">
        <f>VLOOKUP(A27,'SSP_March''19'!$A$3:$Q$1193,16,0)</f>
        <v>10</v>
      </c>
      <c r="Q27" s="34">
        <f>VLOOKUP(A27,'SSP_March''19'!$A$3:$Q$1193,17,0)</f>
        <v>1</v>
      </c>
      <c r="R27" s="35">
        <f t="shared" si="2"/>
        <v>0.1</v>
      </c>
      <c r="S27" s="49">
        <f>ROUND(VLOOKUP(A27,'SSP_March''19'!$A$3:$T$1193,19,0),0)</f>
        <v>3</v>
      </c>
      <c r="T27" s="44">
        <f>VLOOKUP(A27,'SSP_March''19'!$A$3:$T$1193,20,0)</f>
        <v>0.3</v>
      </c>
      <c r="U27" s="34">
        <f>VLOOKUP(A27,'SSP_March''19'!$A$3:$X$1193,21,0)</f>
        <v>0</v>
      </c>
      <c r="V27" s="34">
        <f>VLOOKUP(A27,'SSP_March''19'!$A$3:$X$1193,22,0)</f>
        <v>0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34" t="s">
        <v>2976</v>
      </c>
      <c r="B28" s="34" t="s">
        <v>1280</v>
      </c>
      <c r="C28" s="34" t="s">
        <v>209</v>
      </c>
      <c r="D28" s="34" t="s">
        <v>49</v>
      </c>
      <c r="E28" s="34" t="s">
        <v>7</v>
      </c>
      <c r="F28" s="34" t="s">
        <v>2911</v>
      </c>
      <c r="G28" s="54">
        <v>1736288344</v>
      </c>
      <c r="H28" s="54" t="s">
        <v>229</v>
      </c>
      <c r="I28" s="54" t="s">
        <v>3518</v>
      </c>
      <c r="J28" s="34" t="s">
        <v>3419</v>
      </c>
      <c r="K28" s="43">
        <f>VLOOKUP(A28,'SSP_March''19'!$A$3:$L$1193,11,0)</f>
        <v>435410</v>
      </c>
      <c r="L28" s="43">
        <f>VLOOKUP(A28,'SSP_March''19'!$A$3:$L$1193,12,0)</f>
        <v>149045</v>
      </c>
      <c r="M28" s="44">
        <f t="shared" si="0"/>
        <v>0.34230954732321262</v>
      </c>
      <c r="N28" s="49">
        <f>ROUND(VLOOKUP(A28,'SSP_March''19'!$A$3:$N$1193,14,0),0)</f>
        <v>462040</v>
      </c>
      <c r="O28" s="44">
        <f t="shared" si="1"/>
        <v>1.0611607450449001</v>
      </c>
      <c r="P28" s="45">
        <f>VLOOKUP(A28,'SSP_March''19'!$A$3:$Q$1193,16,0)</f>
        <v>34</v>
      </c>
      <c r="Q28" s="34">
        <f>VLOOKUP(A28,'SSP_March''19'!$A$3:$Q$1193,17,0)</f>
        <v>12</v>
      </c>
      <c r="R28" s="35">
        <f t="shared" si="2"/>
        <v>0.35294117647058826</v>
      </c>
      <c r="S28" s="49">
        <f>ROUND(VLOOKUP(A28,'SSP_March''19'!$A$3:$T$1193,19,0),0)</f>
        <v>37</v>
      </c>
      <c r="T28" s="44">
        <f>VLOOKUP(A28,'SSP_March''19'!$A$3:$T$1193,20,0)</f>
        <v>1.088235294117647</v>
      </c>
      <c r="U28" s="34">
        <f>VLOOKUP(A28,'SSP_March''19'!$A$3:$X$1193,21,0)</f>
        <v>2</v>
      </c>
      <c r="V28" s="34">
        <f>VLOOKUP(A28,'SSP_March''19'!$A$3:$X$1193,22,0)</f>
        <v>6</v>
      </c>
      <c r="W28" s="34">
        <f>VLOOKUP(A28,'SSP_March''19'!$A$3:$X$1193,23,0)</f>
        <v>2</v>
      </c>
      <c r="X28" s="34">
        <f>VLOOKUP(A28,'SSP_March''19'!$A$3:$X$1193,24,0)</f>
        <v>0</v>
      </c>
    </row>
    <row r="29" spans="1:24">
      <c r="A29" s="34" t="s">
        <v>1223</v>
      </c>
      <c r="B29" s="34" t="s">
        <v>1224</v>
      </c>
      <c r="C29" s="34" t="s">
        <v>209</v>
      </c>
      <c r="D29" s="34" t="s">
        <v>49</v>
      </c>
      <c r="E29" s="34" t="s">
        <v>7</v>
      </c>
      <c r="F29" s="34" t="s">
        <v>1225</v>
      </c>
      <c r="G29" s="54">
        <v>1715759115</v>
      </c>
      <c r="H29" s="54" t="s">
        <v>229</v>
      </c>
      <c r="I29" s="54" t="s">
        <v>3514</v>
      </c>
      <c r="J29" s="34" t="s">
        <v>3421</v>
      </c>
      <c r="K29" s="43">
        <f>VLOOKUP(A29,'SSP_March''19'!$A$3:$L$1193,11,0)</f>
        <v>130000</v>
      </c>
      <c r="L29" s="43">
        <f>VLOOKUP(A29,'SSP_March''19'!$A$3:$L$1193,12,0)</f>
        <v>27935</v>
      </c>
      <c r="M29" s="44">
        <f t="shared" si="0"/>
        <v>0.2148846153846154</v>
      </c>
      <c r="N29" s="49">
        <f>ROUND(VLOOKUP(A29,'SSP_March''19'!$A$3:$N$1193,14,0),0)</f>
        <v>86599</v>
      </c>
      <c r="O29" s="44">
        <f t="shared" si="1"/>
        <v>0.66614615384615383</v>
      </c>
      <c r="P29" s="45">
        <f>VLOOKUP(A29,'SSP_March''19'!$A$3:$Q$1193,16,0)</f>
        <v>10</v>
      </c>
      <c r="Q29" s="34">
        <f>VLOOKUP(A29,'SSP_March''19'!$A$3:$Q$1193,17,0)</f>
        <v>2</v>
      </c>
      <c r="R29" s="35">
        <f t="shared" si="2"/>
        <v>0.2</v>
      </c>
      <c r="S29" s="49">
        <f>ROUND(VLOOKUP(A29,'SSP_March''19'!$A$3:$T$1193,19,0),0)</f>
        <v>6</v>
      </c>
      <c r="T29" s="44">
        <f>VLOOKUP(A29,'SSP_March''19'!$A$3:$T$1193,20,0)</f>
        <v>0.6</v>
      </c>
      <c r="U29" s="34">
        <f>VLOOKUP(A29,'SSP_March''19'!$A$3:$X$1193,21,0)</f>
        <v>1</v>
      </c>
      <c r="V29" s="34">
        <f>VLOOKUP(A29,'SSP_March''19'!$A$3:$X$1193,22,0)</f>
        <v>1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34" t="s">
        <v>1137</v>
      </c>
      <c r="B30" s="34" t="s">
        <v>1138</v>
      </c>
      <c r="C30" s="34" t="s">
        <v>209</v>
      </c>
      <c r="D30" s="34" t="s">
        <v>49</v>
      </c>
      <c r="E30" s="34" t="s">
        <v>7</v>
      </c>
      <c r="F30" s="34" t="s">
        <v>1139</v>
      </c>
      <c r="G30" s="54">
        <v>1715765553</v>
      </c>
      <c r="H30" s="54" t="s">
        <v>229</v>
      </c>
      <c r="I30" s="54" t="s">
        <v>3514</v>
      </c>
      <c r="J30" s="34" t="s">
        <v>3419</v>
      </c>
      <c r="K30" s="43">
        <f>VLOOKUP(A30,'SSP_March''19'!$A$3:$L$1193,11,0)</f>
        <v>237369</v>
      </c>
      <c r="L30" s="43">
        <f>VLOOKUP(A30,'SSP_March''19'!$A$3:$L$1193,12,0)</f>
        <v>108005</v>
      </c>
      <c r="M30" s="44">
        <f t="shared" si="0"/>
        <v>0.45500886804932406</v>
      </c>
      <c r="N30" s="49">
        <f>ROUND(VLOOKUP(A30,'SSP_March''19'!$A$3:$N$1193,14,0),0)</f>
        <v>334816</v>
      </c>
      <c r="O30" s="44">
        <f t="shared" si="1"/>
        <v>1.4105295973779222</v>
      </c>
      <c r="P30" s="45">
        <f>VLOOKUP(A30,'SSP_March''19'!$A$3:$Q$1193,16,0)</f>
        <v>10</v>
      </c>
      <c r="Q30" s="34">
        <f>VLOOKUP(A30,'SSP_March''19'!$A$3:$Q$1193,17,0)</f>
        <v>9</v>
      </c>
      <c r="R30" s="35">
        <f t="shared" si="2"/>
        <v>0.9</v>
      </c>
      <c r="S30" s="49">
        <f>ROUND(VLOOKUP(A30,'SSP_March''19'!$A$3:$T$1193,19,0),0)</f>
        <v>28</v>
      </c>
      <c r="T30" s="44">
        <f>VLOOKUP(A30,'SSP_March''19'!$A$3:$T$1193,20,0)</f>
        <v>2.8</v>
      </c>
      <c r="U30" s="34">
        <f>VLOOKUP(A30,'SSP_March''19'!$A$3:$X$1193,21,0)</f>
        <v>0</v>
      </c>
      <c r="V30" s="34">
        <f>VLOOKUP(A30,'SSP_March''19'!$A$3:$X$1193,22,0)</f>
        <v>1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34" t="s">
        <v>1131</v>
      </c>
      <c r="B31" s="34" t="s">
        <v>1132</v>
      </c>
      <c r="C31" s="34" t="s">
        <v>209</v>
      </c>
      <c r="D31" s="34" t="s">
        <v>49</v>
      </c>
      <c r="E31" s="34" t="s">
        <v>7</v>
      </c>
      <c r="F31" s="34" t="s">
        <v>1133</v>
      </c>
      <c r="G31" s="54">
        <v>1675433416</v>
      </c>
      <c r="H31" s="54" t="s">
        <v>229</v>
      </c>
      <c r="I31" s="54" t="s">
        <v>3514</v>
      </c>
      <c r="J31" s="34" t="s">
        <v>3515</v>
      </c>
      <c r="K31" s="43">
        <f>VLOOKUP(A31,'SSP_March''19'!$A$3:$L$1193,11,0)</f>
        <v>246840</v>
      </c>
      <c r="L31" s="43">
        <f>VLOOKUP(A31,'SSP_March''19'!$A$3:$L$1193,12,0)</f>
        <v>104479</v>
      </c>
      <c r="M31" s="44">
        <f t="shared" si="0"/>
        <v>0.42326608329282128</v>
      </c>
      <c r="N31" s="49">
        <f>ROUND(VLOOKUP(A31,'SSP_March''19'!$A$3:$N$1193,14,0),0)</f>
        <v>323885</v>
      </c>
      <c r="O31" s="44">
        <f t="shared" si="1"/>
        <v>1.3121252633284719</v>
      </c>
      <c r="P31" s="45">
        <f>VLOOKUP(A31,'SSP_March''19'!$A$3:$Q$1193,16,0)</f>
        <v>18</v>
      </c>
      <c r="Q31" s="34">
        <f>VLOOKUP(A31,'SSP_March''19'!$A$3:$Q$1193,17,0)</f>
        <v>5</v>
      </c>
      <c r="R31" s="35">
        <f t="shared" si="2"/>
        <v>0.27777777777777779</v>
      </c>
      <c r="S31" s="49">
        <f>ROUND(VLOOKUP(A31,'SSP_March''19'!$A$3:$T$1193,19,0),0)</f>
        <v>16</v>
      </c>
      <c r="T31" s="44">
        <f>VLOOKUP(A31,'SSP_March''19'!$A$3:$T$1193,20,0)</f>
        <v>0.88888888888888884</v>
      </c>
      <c r="U31" s="34">
        <f>VLOOKUP(A31,'SSP_March''19'!$A$3:$X$1193,21,0)</f>
        <v>1</v>
      </c>
      <c r="V31" s="34">
        <f>VLOOKUP(A31,'SSP_March''19'!$A$3:$X$1193,22,0)</f>
        <v>1</v>
      </c>
      <c r="W31" s="34">
        <f>VLOOKUP(A31,'SSP_March''19'!$A$3:$X$1193,23,0)</f>
        <v>0</v>
      </c>
      <c r="X31" s="34">
        <f>VLOOKUP(A31,'SSP_March''19'!$A$3:$X$1193,24,0)</f>
        <v>0</v>
      </c>
    </row>
    <row r="32" spans="1:24">
      <c r="A32" s="34" t="s">
        <v>2984</v>
      </c>
      <c r="B32" s="34" t="s">
        <v>2985</v>
      </c>
      <c r="C32" s="34" t="s">
        <v>173</v>
      </c>
      <c r="D32" s="34" t="s">
        <v>174</v>
      </c>
      <c r="E32" s="34" t="s">
        <v>7</v>
      </c>
      <c r="F32" s="34" t="s">
        <v>2986</v>
      </c>
      <c r="G32" s="54">
        <v>1922324849</v>
      </c>
      <c r="H32" s="54" t="s">
        <v>229</v>
      </c>
      <c r="I32" s="54" t="s">
        <v>3514</v>
      </c>
      <c r="J32" s="34" t="s">
        <v>3419</v>
      </c>
      <c r="K32" s="43">
        <f>VLOOKUP(A32,'SSP_March''19'!$A$3:$L$1193,11,0)</f>
        <v>130000</v>
      </c>
      <c r="L32" s="43">
        <f>VLOOKUP(A32,'SSP_March''19'!$A$3:$L$1193,12,0)</f>
        <v>29940</v>
      </c>
      <c r="M32" s="44">
        <f t="shared" si="0"/>
        <v>0.2303076923076923</v>
      </c>
      <c r="N32" s="49">
        <f>ROUND(VLOOKUP(A32,'SSP_March''19'!$A$3:$N$1193,14,0),0)</f>
        <v>92814</v>
      </c>
      <c r="O32" s="44">
        <f t="shared" si="1"/>
        <v>0.71395384615384616</v>
      </c>
      <c r="P32" s="45">
        <f>VLOOKUP(A32,'SSP_March''19'!$A$3:$Q$1193,16,0)</f>
        <v>10</v>
      </c>
      <c r="Q32" s="34">
        <f>VLOOKUP(A32,'SSP_March''19'!$A$3:$Q$1193,17,0)</f>
        <v>1</v>
      </c>
      <c r="R32" s="35">
        <f t="shared" si="2"/>
        <v>0.1</v>
      </c>
      <c r="S32" s="49">
        <f>ROUND(VLOOKUP(A32,'SSP_March''19'!$A$3:$T$1193,19,0),0)</f>
        <v>3</v>
      </c>
      <c r="T32" s="44">
        <f>VLOOKUP(A32,'SSP_March''19'!$A$3:$T$1193,20,0)</f>
        <v>0.3</v>
      </c>
      <c r="U32" s="34">
        <f>VLOOKUP(A32,'SSP_March''19'!$A$3:$X$1193,21,0)</f>
        <v>0</v>
      </c>
      <c r="V32" s="34">
        <f>VLOOKUP(A32,'SSP_March''19'!$A$3:$X$1193,22,0)</f>
        <v>0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34" t="s">
        <v>1182</v>
      </c>
      <c r="B33" s="34" t="s">
        <v>1183</v>
      </c>
      <c r="C33" s="34" t="s">
        <v>173</v>
      </c>
      <c r="D33" s="34" t="s">
        <v>174</v>
      </c>
      <c r="E33" s="34" t="s">
        <v>7</v>
      </c>
      <c r="F33" s="34" t="s">
        <v>1184</v>
      </c>
      <c r="G33" s="54">
        <v>1735577977</v>
      </c>
      <c r="H33" s="54" t="s">
        <v>229</v>
      </c>
      <c r="I33" s="54" t="s">
        <v>3514</v>
      </c>
      <c r="J33" s="34" t="s">
        <v>3419</v>
      </c>
      <c r="K33" s="43">
        <f>VLOOKUP(A33,'SSP_March''19'!$A$3:$L$1193,11,0)</f>
        <v>130000</v>
      </c>
      <c r="L33" s="43">
        <f>VLOOKUP(A33,'SSP_March''19'!$A$3:$L$1193,12,0)</f>
        <v>27159</v>
      </c>
      <c r="M33" s="44">
        <f t="shared" si="0"/>
        <v>0.20891538461538461</v>
      </c>
      <c r="N33" s="49">
        <f>ROUND(VLOOKUP(A33,'SSP_March''19'!$A$3:$N$1193,14,0),0)</f>
        <v>84193</v>
      </c>
      <c r="O33" s="44">
        <f t="shared" si="1"/>
        <v>0.6476384615384615</v>
      </c>
      <c r="P33" s="45">
        <f>VLOOKUP(A33,'SSP_March''19'!$A$3:$Q$1193,16,0)</f>
        <v>10</v>
      </c>
      <c r="Q33" s="34">
        <f>VLOOKUP(A33,'SSP_March''19'!$A$3:$Q$1193,17,0)</f>
        <v>1</v>
      </c>
      <c r="R33" s="35">
        <f t="shared" si="2"/>
        <v>0.1</v>
      </c>
      <c r="S33" s="49">
        <f>ROUND(VLOOKUP(A33,'SSP_March''19'!$A$3:$T$1193,19,0),0)</f>
        <v>3</v>
      </c>
      <c r="T33" s="44">
        <f>VLOOKUP(A33,'SSP_March''19'!$A$3:$T$1193,20,0)</f>
        <v>0.3</v>
      </c>
      <c r="U33" s="34">
        <f>VLOOKUP(A33,'SSP_March''19'!$A$3:$X$1193,21,0)</f>
        <v>0</v>
      </c>
      <c r="V33" s="34">
        <f>VLOOKUP(A33,'SSP_March''19'!$A$3:$X$1193,22,0)</f>
        <v>0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34" t="s">
        <v>1214</v>
      </c>
      <c r="B34" s="34" t="s">
        <v>1215</v>
      </c>
      <c r="C34" s="34" t="s">
        <v>173</v>
      </c>
      <c r="D34" s="34" t="s">
        <v>174</v>
      </c>
      <c r="E34" s="34" t="s">
        <v>7</v>
      </c>
      <c r="F34" s="34" t="s">
        <v>1216</v>
      </c>
      <c r="G34" s="54">
        <v>1674128184</v>
      </c>
      <c r="H34" s="54" t="s">
        <v>229</v>
      </c>
      <c r="I34" s="54" t="s">
        <v>3514</v>
      </c>
      <c r="J34" s="34" t="s">
        <v>3419</v>
      </c>
      <c r="K34" s="43">
        <f>VLOOKUP(A34,'SSP_March''19'!$A$3:$L$1193,11,0)</f>
        <v>130000</v>
      </c>
      <c r="L34" s="43">
        <f>VLOOKUP(A34,'SSP_March''19'!$A$3:$L$1193,12,0)</f>
        <v>29850</v>
      </c>
      <c r="M34" s="44">
        <f t="shared" si="0"/>
        <v>0.22961538461538461</v>
      </c>
      <c r="N34" s="49">
        <f>ROUND(VLOOKUP(A34,'SSP_March''19'!$A$3:$N$1193,14,0),0)</f>
        <v>92535</v>
      </c>
      <c r="O34" s="44">
        <f t="shared" si="1"/>
        <v>0.71180769230769225</v>
      </c>
      <c r="P34" s="45">
        <f>VLOOKUP(A34,'SSP_March''19'!$A$3:$Q$1193,16,0)</f>
        <v>10</v>
      </c>
      <c r="Q34" s="34">
        <f>VLOOKUP(A34,'SSP_March''19'!$A$3:$Q$1193,17,0)</f>
        <v>1</v>
      </c>
      <c r="R34" s="35">
        <f t="shared" si="2"/>
        <v>0.1</v>
      </c>
      <c r="S34" s="49">
        <f>ROUND(VLOOKUP(A34,'SSP_March''19'!$A$3:$T$1193,19,0),0)</f>
        <v>3</v>
      </c>
      <c r="T34" s="44">
        <f>VLOOKUP(A34,'SSP_March''19'!$A$3:$T$1193,20,0)</f>
        <v>0.3</v>
      </c>
      <c r="U34" s="34">
        <f>VLOOKUP(A34,'SSP_March''19'!$A$3:$X$1193,21,0)</f>
        <v>0</v>
      </c>
      <c r="V34" s="34">
        <f>VLOOKUP(A34,'SSP_March''19'!$A$3:$X$1193,22,0)</f>
        <v>0</v>
      </c>
      <c r="W34" s="34">
        <f>VLOOKUP(A34,'SSP_March''19'!$A$3:$X$1193,23,0)</f>
        <v>0</v>
      </c>
      <c r="X34" s="34">
        <f>VLOOKUP(A34,'SSP_March''19'!$A$3:$X$1193,24,0)</f>
        <v>0</v>
      </c>
    </row>
    <row r="35" spans="1:24">
      <c r="A35" s="34" t="s">
        <v>2987</v>
      </c>
      <c r="B35" s="34" t="s">
        <v>2988</v>
      </c>
      <c r="C35" s="34" t="s">
        <v>203</v>
      </c>
      <c r="D35" s="34" t="s">
        <v>174</v>
      </c>
      <c r="E35" s="34" t="s">
        <v>7</v>
      </c>
      <c r="F35" s="34" t="s">
        <v>2989</v>
      </c>
      <c r="G35" s="54">
        <v>1711336380</v>
      </c>
      <c r="H35" s="54" t="s">
        <v>229</v>
      </c>
      <c r="I35" s="54" t="s">
        <v>3514</v>
      </c>
      <c r="J35" s="34" t="s">
        <v>3420</v>
      </c>
      <c r="K35" s="43">
        <f>VLOOKUP(A35,'SSP_March''19'!$A$3:$L$1193,11,0)</f>
        <v>246788</v>
      </c>
      <c r="L35" s="43">
        <f>VLOOKUP(A35,'SSP_March''19'!$A$3:$L$1193,12,0)</f>
        <v>59760</v>
      </c>
      <c r="M35" s="44">
        <f t="shared" si="0"/>
        <v>0.24215115807899898</v>
      </c>
      <c r="N35" s="49">
        <f>ROUND(VLOOKUP(A35,'SSP_March''19'!$A$3:$N$1193,14,0),0)</f>
        <v>185256</v>
      </c>
      <c r="O35" s="44">
        <f t="shared" si="1"/>
        <v>0.75066859004489683</v>
      </c>
      <c r="P35" s="45">
        <f>VLOOKUP(A35,'SSP_March''19'!$A$3:$Q$1193,16,0)</f>
        <v>14</v>
      </c>
      <c r="Q35" s="34">
        <f>VLOOKUP(A35,'SSP_March''19'!$A$3:$Q$1193,17,0)</f>
        <v>3</v>
      </c>
      <c r="R35" s="35">
        <f t="shared" si="2"/>
        <v>0.21428571428571427</v>
      </c>
      <c r="S35" s="49">
        <f>ROUND(VLOOKUP(A35,'SSP_March''19'!$A$3:$T$1193,19,0),0)</f>
        <v>9</v>
      </c>
      <c r="T35" s="44">
        <f>VLOOKUP(A35,'SSP_March''19'!$A$3:$T$1193,20,0)</f>
        <v>0.6428571428571429</v>
      </c>
      <c r="U35" s="34">
        <f>VLOOKUP(A35,'SSP_March''19'!$A$3:$X$1193,21,0)</f>
        <v>1</v>
      </c>
      <c r="V35" s="34">
        <f>VLOOKUP(A35,'SSP_March''19'!$A$3:$X$1193,22,0)</f>
        <v>1</v>
      </c>
      <c r="W35" s="34">
        <f>VLOOKUP(A35,'SSP_March''19'!$A$3:$X$1193,23,0)</f>
        <v>0</v>
      </c>
      <c r="X35" s="34">
        <f>VLOOKUP(A35,'SSP_March''19'!$A$3:$X$1193,24,0)</f>
        <v>0</v>
      </c>
    </row>
    <row r="36" spans="1:24">
      <c r="A36" s="34" t="s">
        <v>1220</v>
      </c>
      <c r="B36" s="34" t="s">
        <v>1221</v>
      </c>
      <c r="C36" s="34" t="s">
        <v>203</v>
      </c>
      <c r="D36" s="34" t="s">
        <v>174</v>
      </c>
      <c r="E36" s="34" t="s">
        <v>7</v>
      </c>
      <c r="F36" s="34" t="s">
        <v>1222</v>
      </c>
      <c r="G36" s="54">
        <v>1684017820</v>
      </c>
      <c r="H36" s="54" t="s">
        <v>229</v>
      </c>
      <c r="I36" s="54" t="s">
        <v>3514</v>
      </c>
      <c r="J36" s="34" t="s">
        <v>3419</v>
      </c>
      <c r="K36" s="43">
        <f>VLOOKUP(A36,'SSP_March''19'!$A$3:$L$1193,11,0)</f>
        <v>130000</v>
      </c>
      <c r="L36" s="43">
        <f>VLOOKUP(A36,'SSP_March''19'!$A$3:$L$1193,12,0)</f>
        <v>41039</v>
      </c>
      <c r="M36" s="44">
        <f t="shared" si="0"/>
        <v>0.3156846153846154</v>
      </c>
      <c r="N36" s="49">
        <f>ROUND(VLOOKUP(A36,'SSP_March''19'!$A$3:$N$1193,14,0),0)</f>
        <v>127221</v>
      </c>
      <c r="O36" s="44">
        <f t="shared" si="1"/>
        <v>0.97862307692307693</v>
      </c>
      <c r="P36" s="45">
        <f>VLOOKUP(A36,'SSP_March''19'!$A$3:$Q$1193,16,0)</f>
        <v>10</v>
      </c>
      <c r="Q36" s="34">
        <f>VLOOKUP(A36,'SSP_March''19'!$A$3:$Q$1193,17,0)</f>
        <v>2</v>
      </c>
      <c r="R36" s="35">
        <f t="shared" si="2"/>
        <v>0.2</v>
      </c>
      <c r="S36" s="49">
        <f>ROUND(VLOOKUP(A36,'SSP_March''19'!$A$3:$T$1193,19,0),0)</f>
        <v>6</v>
      </c>
      <c r="T36" s="44">
        <f>VLOOKUP(A36,'SSP_March''19'!$A$3:$T$1193,20,0)</f>
        <v>0.6</v>
      </c>
      <c r="U36" s="34">
        <f>VLOOKUP(A36,'SSP_March''19'!$A$3:$X$1193,21,0)</f>
        <v>0</v>
      </c>
      <c r="V36" s="34">
        <f>VLOOKUP(A36,'SSP_March''19'!$A$3:$X$1193,22,0)</f>
        <v>1</v>
      </c>
      <c r="W36" s="34">
        <f>VLOOKUP(A36,'SSP_March''19'!$A$3:$X$1193,23,0)</f>
        <v>0</v>
      </c>
      <c r="X36" s="34">
        <f>VLOOKUP(A36,'SSP_March''19'!$A$3:$X$1193,24,0)</f>
        <v>1</v>
      </c>
    </row>
    <row r="37" spans="1:24">
      <c r="A37" s="34" t="s">
        <v>1254</v>
      </c>
      <c r="B37" s="34" t="s">
        <v>838</v>
      </c>
      <c r="C37" s="34" t="s">
        <v>203</v>
      </c>
      <c r="D37" s="34" t="s">
        <v>174</v>
      </c>
      <c r="E37" s="34" t="s">
        <v>7</v>
      </c>
      <c r="F37" s="34" t="s">
        <v>1255</v>
      </c>
      <c r="G37" s="54">
        <v>1741525260</v>
      </c>
      <c r="H37" s="54" t="s">
        <v>229</v>
      </c>
      <c r="I37" s="54" t="s">
        <v>3514</v>
      </c>
      <c r="J37" s="34" t="s">
        <v>3515</v>
      </c>
      <c r="K37" s="43">
        <f>VLOOKUP(A37,'SSP_March''19'!$A$3:$L$1193,11,0)</f>
        <v>130000</v>
      </c>
      <c r="L37" s="43">
        <f>VLOOKUP(A37,'SSP_March''19'!$A$3:$L$1193,12,0)</f>
        <v>67280</v>
      </c>
      <c r="M37" s="44">
        <f t="shared" si="0"/>
        <v>0.5175384615384615</v>
      </c>
      <c r="N37" s="49">
        <f>ROUND(VLOOKUP(A37,'SSP_March''19'!$A$3:$N$1193,14,0),0)</f>
        <v>208568</v>
      </c>
      <c r="O37" s="44">
        <f t="shared" si="1"/>
        <v>1.6043692307692308</v>
      </c>
      <c r="P37" s="45">
        <f>VLOOKUP(A37,'SSP_March''19'!$A$3:$Q$1193,16,0)</f>
        <v>10</v>
      </c>
      <c r="Q37" s="34">
        <f>VLOOKUP(A37,'SSP_March''19'!$A$3:$Q$1193,17,0)</f>
        <v>3</v>
      </c>
      <c r="R37" s="35">
        <f t="shared" si="2"/>
        <v>0.3</v>
      </c>
      <c r="S37" s="49">
        <f>ROUND(VLOOKUP(A37,'SSP_March''19'!$A$3:$T$1193,19,0),0)</f>
        <v>9</v>
      </c>
      <c r="T37" s="44">
        <f>VLOOKUP(A37,'SSP_March''19'!$A$3:$T$1193,20,0)</f>
        <v>0.9</v>
      </c>
      <c r="U37" s="34">
        <f>VLOOKUP(A37,'SSP_March''19'!$A$3:$X$1193,21,0)</f>
        <v>0</v>
      </c>
      <c r="V37" s="34">
        <f>VLOOKUP(A37,'SSP_March''19'!$A$3:$X$1193,22,0)</f>
        <v>1</v>
      </c>
      <c r="W37" s="34">
        <f>VLOOKUP(A37,'SSP_March''19'!$A$3:$X$1193,23,0)</f>
        <v>0</v>
      </c>
      <c r="X37" s="34">
        <f>VLOOKUP(A37,'SSP_March''19'!$A$3:$X$1193,24,0)</f>
        <v>0</v>
      </c>
    </row>
    <row r="38" spans="1:24">
      <c r="A38" s="34" t="s">
        <v>1143</v>
      </c>
      <c r="B38" s="34" t="s">
        <v>88</v>
      </c>
      <c r="C38" s="34" t="s">
        <v>203</v>
      </c>
      <c r="D38" s="34" t="s">
        <v>174</v>
      </c>
      <c r="E38" s="34" t="s">
        <v>7</v>
      </c>
      <c r="F38" s="34" t="s">
        <v>1144</v>
      </c>
      <c r="G38" s="54">
        <v>1712046515</v>
      </c>
      <c r="H38" s="54" t="s">
        <v>229</v>
      </c>
      <c r="I38" s="54" t="s">
        <v>3514</v>
      </c>
      <c r="J38" s="34" t="s">
        <v>3419</v>
      </c>
      <c r="K38" s="43">
        <f>VLOOKUP(A38,'SSP_March''19'!$A$3:$L$1193,11,0)</f>
        <v>130000</v>
      </c>
      <c r="L38" s="43">
        <f>VLOOKUP(A38,'SSP_March''19'!$A$3:$L$1193,12,0)</f>
        <v>51390</v>
      </c>
      <c r="M38" s="44">
        <f t="shared" si="0"/>
        <v>0.3953076923076923</v>
      </c>
      <c r="N38" s="49">
        <f>ROUND(VLOOKUP(A38,'SSP_March''19'!$A$3:$N$1193,14,0),0)</f>
        <v>159309</v>
      </c>
      <c r="O38" s="44">
        <f t="shared" si="1"/>
        <v>1.2254538461538462</v>
      </c>
      <c r="P38" s="45">
        <f>VLOOKUP(A38,'SSP_March''19'!$A$3:$Q$1193,16,0)</f>
        <v>10</v>
      </c>
      <c r="Q38" s="34">
        <f>VLOOKUP(A38,'SSP_March''19'!$A$3:$Q$1193,17,0)</f>
        <v>1</v>
      </c>
      <c r="R38" s="35">
        <f t="shared" si="2"/>
        <v>0.1</v>
      </c>
      <c r="S38" s="49">
        <f>ROUND(VLOOKUP(A38,'SSP_March''19'!$A$3:$T$1193,19,0),0)</f>
        <v>3</v>
      </c>
      <c r="T38" s="44">
        <f>VLOOKUP(A38,'SSP_March''19'!$A$3:$T$1193,20,0)</f>
        <v>0.3</v>
      </c>
      <c r="U38" s="34">
        <f>VLOOKUP(A38,'SSP_March''19'!$A$3:$X$1193,21,0)</f>
        <v>0</v>
      </c>
      <c r="V38" s="34">
        <f>VLOOKUP(A38,'SSP_March''19'!$A$3:$X$1193,22,0)</f>
        <v>0</v>
      </c>
      <c r="W38" s="34">
        <f>VLOOKUP(A38,'SSP_March''19'!$A$3:$X$1193,23,0)</f>
        <v>0</v>
      </c>
      <c r="X38" s="34">
        <f>VLOOKUP(A38,'SSP_March''19'!$A$3:$X$1193,24,0)</f>
        <v>0</v>
      </c>
    </row>
    <row r="39" spans="1:24">
      <c r="A39" s="34" t="s">
        <v>1140</v>
      </c>
      <c r="B39" s="34" t="s">
        <v>1141</v>
      </c>
      <c r="C39" s="34" t="s">
        <v>203</v>
      </c>
      <c r="D39" s="34" t="s">
        <v>174</v>
      </c>
      <c r="E39" s="34" t="s">
        <v>7</v>
      </c>
      <c r="F39" s="34" t="s">
        <v>1142</v>
      </c>
      <c r="G39" s="54">
        <v>1705543574</v>
      </c>
      <c r="H39" s="54" t="s">
        <v>229</v>
      </c>
      <c r="I39" s="54" t="s">
        <v>3514</v>
      </c>
      <c r="J39" s="34" t="s">
        <v>3515</v>
      </c>
      <c r="K39" s="43">
        <f>VLOOKUP(A39,'SSP_March''19'!$A$3:$L$1193,11,0)</f>
        <v>292558</v>
      </c>
      <c r="L39" s="43">
        <f>VLOOKUP(A39,'SSP_March''19'!$A$3:$L$1193,12,0)</f>
        <v>76597</v>
      </c>
      <c r="M39" s="44">
        <f t="shared" si="0"/>
        <v>0.26181816938863406</v>
      </c>
      <c r="N39" s="49">
        <f>ROUND(VLOOKUP(A39,'SSP_March''19'!$A$3:$N$1193,14,0),0)</f>
        <v>237451</v>
      </c>
      <c r="O39" s="44">
        <f t="shared" si="1"/>
        <v>0.81163735054245656</v>
      </c>
      <c r="P39" s="45">
        <f>VLOOKUP(A39,'SSP_March''19'!$A$3:$Q$1193,16,0)</f>
        <v>19</v>
      </c>
      <c r="Q39" s="34">
        <f>VLOOKUP(A39,'SSP_March''19'!$A$3:$Q$1193,17,0)</f>
        <v>3</v>
      </c>
      <c r="R39" s="35">
        <f t="shared" si="2"/>
        <v>0.15789473684210525</v>
      </c>
      <c r="S39" s="49">
        <f>ROUND(VLOOKUP(A39,'SSP_March''19'!$A$3:$T$1193,19,0),0)</f>
        <v>9</v>
      </c>
      <c r="T39" s="44">
        <f>VLOOKUP(A39,'SSP_March''19'!$A$3:$T$1193,20,0)</f>
        <v>0.47368421052631576</v>
      </c>
      <c r="U39" s="34">
        <f>VLOOKUP(A39,'SSP_March''19'!$A$3:$X$1193,21,0)</f>
        <v>0</v>
      </c>
      <c r="V39" s="34">
        <f>VLOOKUP(A39,'SSP_March''19'!$A$3:$X$1193,22,0)</f>
        <v>0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34" t="s">
        <v>1159</v>
      </c>
      <c r="B40" s="34" t="s">
        <v>1160</v>
      </c>
      <c r="C40" s="34" t="s">
        <v>203</v>
      </c>
      <c r="D40" s="34" t="s">
        <v>174</v>
      </c>
      <c r="E40" s="34" t="s">
        <v>7</v>
      </c>
      <c r="F40" s="34" t="s">
        <v>1161</v>
      </c>
      <c r="G40" s="54">
        <v>1963513352</v>
      </c>
      <c r="H40" s="54" t="s">
        <v>229</v>
      </c>
      <c r="I40" s="54" t="s">
        <v>3514</v>
      </c>
      <c r="J40" s="34" t="s">
        <v>3421</v>
      </c>
      <c r="K40" s="43">
        <f>VLOOKUP(A40,'SSP_March''19'!$A$3:$L$1193,11,0)</f>
        <v>130000</v>
      </c>
      <c r="L40" s="43">
        <f>VLOOKUP(A40,'SSP_March''19'!$A$3:$L$1193,12,0)</f>
        <v>46139</v>
      </c>
      <c r="M40" s="44">
        <f t="shared" si="0"/>
        <v>0.35491538461538463</v>
      </c>
      <c r="N40" s="49">
        <f>ROUND(VLOOKUP(A40,'SSP_March''19'!$A$3:$N$1193,14,0),0)</f>
        <v>143031</v>
      </c>
      <c r="O40" s="44">
        <f t="shared" si="1"/>
        <v>1.1002384615384615</v>
      </c>
      <c r="P40" s="45">
        <f>VLOOKUP(A40,'SSP_March''19'!$A$3:$Q$1193,16,0)</f>
        <v>10</v>
      </c>
      <c r="Q40" s="34">
        <f>VLOOKUP(A40,'SSP_March''19'!$A$3:$Q$1193,17,0)</f>
        <v>3</v>
      </c>
      <c r="R40" s="35">
        <f t="shared" si="2"/>
        <v>0.3</v>
      </c>
      <c r="S40" s="49">
        <f>ROUND(VLOOKUP(A40,'SSP_March''19'!$A$3:$T$1193,19,0),0)</f>
        <v>9</v>
      </c>
      <c r="T40" s="44">
        <f>VLOOKUP(A40,'SSP_March''19'!$A$3:$T$1193,20,0)</f>
        <v>0.9</v>
      </c>
      <c r="U40" s="34">
        <f>VLOOKUP(A40,'SSP_March''19'!$A$3:$X$1193,21,0)</f>
        <v>0</v>
      </c>
      <c r="V40" s="34">
        <f>VLOOKUP(A40,'SSP_March''19'!$A$3:$X$1193,22,0)</f>
        <v>1</v>
      </c>
      <c r="W40" s="34">
        <f>VLOOKUP(A40,'SSP_March''19'!$A$3:$X$1193,23,0)</f>
        <v>0</v>
      </c>
      <c r="X40" s="34">
        <f>VLOOKUP(A40,'SSP_March''19'!$A$3:$X$1193,24,0)</f>
        <v>1</v>
      </c>
    </row>
    <row r="41" spans="1:24">
      <c r="A41" s="34" t="s">
        <v>1232</v>
      </c>
      <c r="B41" s="34" t="s">
        <v>1233</v>
      </c>
      <c r="C41" s="34" t="s">
        <v>203</v>
      </c>
      <c r="D41" s="34" t="s">
        <v>174</v>
      </c>
      <c r="E41" s="34" t="s">
        <v>7</v>
      </c>
      <c r="F41" s="34" t="s">
        <v>1234</v>
      </c>
      <c r="G41" s="54">
        <v>1715800287</v>
      </c>
      <c r="H41" s="54" t="s">
        <v>229</v>
      </c>
      <c r="I41" s="54" t="s">
        <v>3514</v>
      </c>
      <c r="J41" s="34" t="s">
        <v>3419</v>
      </c>
      <c r="K41" s="43">
        <f>VLOOKUP(A41,'SSP_March''19'!$A$3:$L$1193,11,0)</f>
        <v>130000</v>
      </c>
      <c r="L41" s="43">
        <f>VLOOKUP(A41,'SSP_March''19'!$A$3:$L$1193,12,0)</f>
        <v>44865</v>
      </c>
      <c r="M41" s="44">
        <f t="shared" si="0"/>
        <v>0.3451153846153846</v>
      </c>
      <c r="N41" s="49">
        <f>ROUND(VLOOKUP(A41,'SSP_March''19'!$A$3:$N$1193,14,0),0)</f>
        <v>139082</v>
      </c>
      <c r="O41" s="44">
        <f t="shared" si="1"/>
        <v>1.0698615384615384</v>
      </c>
      <c r="P41" s="45">
        <f>VLOOKUP(A41,'SSP_March''19'!$A$3:$Q$1193,16,0)</f>
        <v>10</v>
      </c>
      <c r="Q41" s="34">
        <f>VLOOKUP(A41,'SSP_March''19'!$A$3:$Q$1193,17,0)</f>
        <v>3</v>
      </c>
      <c r="R41" s="35">
        <f t="shared" si="2"/>
        <v>0.3</v>
      </c>
      <c r="S41" s="49">
        <f>ROUND(VLOOKUP(A41,'SSP_March''19'!$A$3:$T$1193,19,0),0)</f>
        <v>9</v>
      </c>
      <c r="T41" s="44">
        <f>VLOOKUP(A41,'SSP_March''19'!$A$3:$T$1193,20,0)</f>
        <v>0.9</v>
      </c>
      <c r="U41" s="34">
        <f>VLOOKUP(A41,'SSP_March''19'!$A$3:$X$1193,21,0)</f>
        <v>0</v>
      </c>
      <c r="V41" s="34">
        <f>VLOOKUP(A41,'SSP_March''19'!$A$3:$X$1193,22,0)</f>
        <v>0</v>
      </c>
      <c r="W41" s="34">
        <f>VLOOKUP(A41,'SSP_March''19'!$A$3:$X$1193,23,0)</f>
        <v>0</v>
      </c>
      <c r="X41" s="34">
        <f>VLOOKUP(A41,'SSP_March''19'!$A$3:$X$1193,24,0)</f>
        <v>0</v>
      </c>
    </row>
    <row r="42" spans="1:24">
      <c r="A42" s="34" t="s">
        <v>3431</v>
      </c>
      <c r="B42" s="34" t="s">
        <v>3432</v>
      </c>
      <c r="C42" s="34" t="s">
        <v>142</v>
      </c>
      <c r="D42" s="34" t="s">
        <v>143</v>
      </c>
      <c r="E42" s="34" t="s">
        <v>7</v>
      </c>
      <c r="F42" s="34" t="s">
        <v>1915</v>
      </c>
      <c r="G42" s="54">
        <v>1676807070</v>
      </c>
      <c r="H42" s="54" t="s">
        <v>229</v>
      </c>
      <c r="I42" s="54" t="s">
        <v>3514</v>
      </c>
      <c r="J42" s="34" t="s">
        <v>3419</v>
      </c>
      <c r="K42" s="43">
        <f>VLOOKUP(A42,'SSP_March''19'!$A$3:$L$1193,11,0)</f>
        <v>130000</v>
      </c>
      <c r="L42" s="43">
        <f>VLOOKUP(A42,'SSP_March''19'!$A$3:$L$1193,12,0)</f>
        <v>19760</v>
      </c>
      <c r="M42" s="44">
        <f t="shared" si="0"/>
        <v>0.152</v>
      </c>
      <c r="N42" s="49">
        <f>ROUND(VLOOKUP(A42,'SSP_March''19'!$A$3:$N$1193,14,0),0)</f>
        <v>61256</v>
      </c>
      <c r="O42" s="44">
        <f t="shared" si="1"/>
        <v>0.47120000000000001</v>
      </c>
      <c r="P42" s="45">
        <f>VLOOKUP(A42,'SSP_March''19'!$A$3:$Q$1193,16,0)</f>
        <v>10</v>
      </c>
      <c r="Q42" s="34">
        <f>VLOOKUP(A42,'SSP_March''19'!$A$3:$Q$1193,17,0)</f>
        <v>0</v>
      </c>
      <c r="R42" s="35">
        <f t="shared" si="2"/>
        <v>0</v>
      </c>
      <c r="S42" s="49">
        <f>ROUND(VLOOKUP(A42,'SSP_March''19'!$A$3:$T$1193,19,0),0)</f>
        <v>0</v>
      </c>
      <c r="T42" s="44">
        <f>VLOOKUP(A42,'SSP_March''19'!$A$3:$T$1193,20,0)</f>
        <v>0</v>
      </c>
      <c r="U42" s="34">
        <f>VLOOKUP(A42,'SSP_March''19'!$A$3:$X$1193,21,0)</f>
        <v>0</v>
      </c>
      <c r="V42" s="34">
        <f>VLOOKUP(A42,'SSP_March''19'!$A$3:$X$1193,22,0)</f>
        <v>0</v>
      </c>
      <c r="W42" s="34">
        <f>VLOOKUP(A42,'SSP_March''19'!$A$3:$X$1193,23,0)</f>
        <v>0</v>
      </c>
      <c r="X42" s="34">
        <f>VLOOKUP(A42,'SSP_March''19'!$A$3:$X$1193,24,0)</f>
        <v>0</v>
      </c>
    </row>
    <row r="43" spans="1:24">
      <c r="A43" s="34" t="s">
        <v>1120</v>
      </c>
      <c r="B43" s="34" t="s">
        <v>1121</v>
      </c>
      <c r="C43" s="34" t="s">
        <v>142</v>
      </c>
      <c r="D43" s="34" t="s">
        <v>143</v>
      </c>
      <c r="E43" s="34" t="s">
        <v>7</v>
      </c>
      <c r="F43" s="34" t="s">
        <v>1122</v>
      </c>
      <c r="G43" s="54">
        <v>1861791920</v>
      </c>
      <c r="H43" s="54" t="s">
        <v>229</v>
      </c>
      <c r="I43" s="54" t="s">
        <v>3514</v>
      </c>
      <c r="J43" s="34" t="s">
        <v>3421</v>
      </c>
      <c r="K43" s="43">
        <f>VLOOKUP(A43,'SSP_March''19'!$A$3:$L$1193,11,0)</f>
        <v>130000</v>
      </c>
      <c r="L43" s="43">
        <f>VLOOKUP(A43,'SSP_March''19'!$A$3:$L$1193,12,0)</f>
        <v>30650</v>
      </c>
      <c r="M43" s="44">
        <f t="shared" si="0"/>
        <v>0.23576923076923076</v>
      </c>
      <c r="N43" s="49">
        <f>ROUND(VLOOKUP(A43,'SSP_March''19'!$A$3:$N$1193,14,0),0)</f>
        <v>95015</v>
      </c>
      <c r="O43" s="44">
        <f t="shared" si="1"/>
        <v>0.73088461538461535</v>
      </c>
      <c r="P43" s="45">
        <f>VLOOKUP(A43,'SSP_March''19'!$A$3:$Q$1193,16,0)</f>
        <v>10</v>
      </c>
      <c r="Q43" s="34">
        <f>VLOOKUP(A43,'SSP_March''19'!$A$3:$Q$1193,17,0)</f>
        <v>2</v>
      </c>
      <c r="R43" s="35">
        <f t="shared" si="2"/>
        <v>0.2</v>
      </c>
      <c r="S43" s="49">
        <f>ROUND(VLOOKUP(A43,'SSP_March''19'!$A$3:$T$1193,19,0),0)</f>
        <v>6</v>
      </c>
      <c r="T43" s="44">
        <f>VLOOKUP(A43,'SSP_March''19'!$A$3:$T$1193,20,0)</f>
        <v>0.6</v>
      </c>
      <c r="U43" s="34">
        <f>VLOOKUP(A43,'SSP_March''19'!$A$3:$X$1193,21,0)</f>
        <v>0</v>
      </c>
      <c r="V43" s="34">
        <f>VLOOKUP(A43,'SSP_March''19'!$A$3:$X$1193,22,0)</f>
        <v>1</v>
      </c>
      <c r="W43" s="34">
        <f>VLOOKUP(A43,'SSP_March''19'!$A$3:$X$1193,23,0)</f>
        <v>1</v>
      </c>
      <c r="X43" s="34">
        <f>VLOOKUP(A43,'SSP_March''19'!$A$3:$X$1193,24,0)</f>
        <v>0</v>
      </c>
    </row>
    <row r="44" spans="1:24">
      <c r="A44" s="34" t="s">
        <v>3229</v>
      </c>
      <c r="B44" s="34" t="s">
        <v>3230</v>
      </c>
      <c r="C44" s="34" t="s">
        <v>142</v>
      </c>
      <c r="D44" s="34" t="s">
        <v>143</v>
      </c>
      <c r="E44" s="34" t="s">
        <v>7</v>
      </c>
      <c r="F44" s="34" t="s">
        <v>3231</v>
      </c>
      <c r="G44" s="54">
        <v>1743512512</v>
      </c>
      <c r="H44" s="54" t="s">
        <v>229</v>
      </c>
      <c r="I44" s="54" t="s">
        <v>3514</v>
      </c>
      <c r="J44" s="34" t="s">
        <v>3419</v>
      </c>
      <c r="K44" s="43">
        <f>VLOOKUP(A44,'SSP_March''19'!$A$3:$L$1193,11,0)</f>
        <v>159799</v>
      </c>
      <c r="L44" s="43">
        <f>VLOOKUP(A44,'SSP_March''19'!$A$3:$L$1193,12,0)</f>
        <v>21745</v>
      </c>
      <c r="M44" s="44">
        <f t="shared" si="0"/>
        <v>0.13607719697870449</v>
      </c>
      <c r="N44" s="49">
        <f>ROUND(VLOOKUP(A44,'SSP_March''19'!$A$3:$N$1193,14,0),0)</f>
        <v>67410</v>
      </c>
      <c r="O44" s="44">
        <f t="shared" si="1"/>
        <v>0.42184243956470313</v>
      </c>
      <c r="P44" s="45">
        <f>VLOOKUP(A44,'SSP_March''19'!$A$3:$Q$1193,16,0)</f>
        <v>10</v>
      </c>
      <c r="Q44" s="34">
        <f>VLOOKUP(A44,'SSP_March''19'!$A$3:$Q$1193,17,0)</f>
        <v>1</v>
      </c>
      <c r="R44" s="35">
        <f t="shared" si="2"/>
        <v>0.1</v>
      </c>
      <c r="S44" s="49">
        <f>ROUND(VLOOKUP(A44,'SSP_March''19'!$A$3:$T$1193,19,0),0)</f>
        <v>3</v>
      </c>
      <c r="T44" s="44">
        <f>VLOOKUP(A44,'SSP_March''19'!$A$3:$T$1193,20,0)</f>
        <v>0.3</v>
      </c>
      <c r="U44" s="34">
        <f>VLOOKUP(A44,'SSP_March''19'!$A$3:$X$1193,21,0)</f>
        <v>0</v>
      </c>
      <c r="V44" s="34">
        <f>VLOOKUP(A44,'SSP_March''19'!$A$3:$X$1193,22,0)</f>
        <v>0</v>
      </c>
      <c r="W44" s="34">
        <f>VLOOKUP(A44,'SSP_March''19'!$A$3:$X$1193,23,0)</f>
        <v>0</v>
      </c>
      <c r="X44" s="34">
        <f>VLOOKUP(A44,'SSP_March''19'!$A$3:$X$1193,24,0)</f>
        <v>0</v>
      </c>
    </row>
    <row r="45" spans="1:24">
      <c r="A45" s="75" t="s">
        <v>3549</v>
      </c>
      <c r="B45" s="75" t="s">
        <v>3550</v>
      </c>
      <c r="C45" s="75" t="s">
        <v>142</v>
      </c>
      <c r="D45" s="75" t="s">
        <v>143</v>
      </c>
      <c r="E45" s="75" t="s">
        <v>7</v>
      </c>
      <c r="F45" s="75" t="s">
        <v>3551</v>
      </c>
      <c r="G45" s="67">
        <v>1710973636</v>
      </c>
      <c r="H45" s="54" t="s">
        <v>229</v>
      </c>
      <c r="I45" s="54" t="s">
        <v>3514</v>
      </c>
      <c r="J45" s="34" t="s">
        <v>3421</v>
      </c>
      <c r="K45" s="43">
        <f>VLOOKUP(A45,'SSP_March''19'!$A$3:$L$1193,11,0)</f>
        <v>130000</v>
      </c>
      <c r="L45" s="43">
        <f>VLOOKUP(A45,'SSP_March''19'!$A$3:$L$1193,12,0)</f>
        <v>4740</v>
      </c>
      <c r="M45" s="44">
        <f t="shared" si="0"/>
        <v>3.6461538461538462E-2</v>
      </c>
      <c r="N45" s="49">
        <f>ROUND(VLOOKUP(A45,'SSP_March''19'!$A$3:$N$1193,14,0),0)</f>
        <v>14694</v>
      </c>
      <c r="O45" s="44">
        <f t="shared" si="1"/>
        <v>0.11303076923076923</v>
      </c>
      <c r="P45" s="45">
        <f>VLOOKUP(A45,'SSP_March''19'!$A$3:$Q$1193,16,0)</f>
        <v>10</v>
      </c>
      <c r="Q45" s="34">
        <f>VLOOKUP(A45,'SSP_March''19'!$A$3:$Q$1193,17,0)</f>
        <v>0</v>
      </c>
      <c r="R45" s="35">
        <f t="shared" si="2"/>
        <v>0</v>
      </c>
      <c r="S45" s="49">
        <f>ROUND(VLOOKUP(A45,'SSP_March''19'!$A$3:$T$1193,19,0),0)</f>
        <v>0</v>
      </c>
      <c r="T45" s="44">
        <f>VLOOKUP(A45,'SSP_March''19'!$A$3:$T$1193,20,0)</f>
        <v>0</v>
      </c>
      <c r="U45" s="34">
        <f>VLOOKUP(A45,'SSP_March''19'!$A$3:$X$1193,21,0)</f>
        <v>0</v>
      </c>
      <c r="V45" s="34">
        <f>VLOOKUP(A45,'SSP_March''19'!$A$3:$X$1193,22,0)</f>
        <v>0</v>
      </c>
      <c r="W45" s="34">
        <f>VLOOKUP(A45,'SSP_March''19'!$A$3:$X$1193,23,0)</f>
        <v>0</v>
      </c>
      <c r="X45" s="34">
        <f>VLOOKUP(A45,'SSP_March''19'!$A$3:$X$1193,24,0)</f>
        <v>0</v>
      </c>
    </row>
    <row r="46" spans="1:24">
      <c r="A46" s="75" t="s">
        <v>3552</v>
      </c>
      <c r="B46" s="75" t="s">
        <v>127</v>
      </c>
      <c r="C46" s="75" t="s">
        <v>142</v>
      </c>
      <c r="D46" s="75" t="s">
        <v>143</v>
      </c>
      <c r="E46" s="75" t="s">
        <v>7</v>
      </c>
      <c r="F46" s="75" t="s">
        <v>3553</v>
      </c>
      <c r="G46" s="67">
        <v>1686769519</v>
      </c>
      <c r="H46" s="54" t="s">
        <v>229</v>
      </c>
      <c r="I46" s="54" t="s">
        <v>3514</v>
      </c>
      <c r="J46" s="34" t="s">
        <v>3419</v>
      </c>
      <c r="K46" s="43">
        <f>VLOOKUP(A46,'SSP_March''19'!$A$3:$L$1193,11,0)</f>
        <v>170000</v>
      </c>
      <c r="L46" s="43">
        <f>VLOOKUP(A46,'SSP_March''19'!$A$3:$L$1193,12,0)</f>
        <v>19510</v>
      </c>
      <c r="M46" s="44">
        <f t="shared" si="0"/>
        <v>0.11476470588235294</v>
      </c>
      <c r="N46" s="49">
        <f>ROUND(VLOOKUP(A46,'SSP_March''19'!$A$3:$N$1193,14,0),0)</f>
        <v>60481</v>
      </c>
      <c r="O46" s="44">
        <f t="shared" si="1"/>
        <v>0.35577058823529412</v>
      </c>
      <c r="P46" s="45">
        <f>VLOOKUP(A46,'SSP_March''19'!$A$3:$Q$1193,16,0)</f>
        <v>12</v>
      </c>
      <c r="Q46" s="34">
        <f>VLOOKUP(A46,'SSP_March''19'!$A$3:$Q$1193,17,0)</f>
        <v>1</v>
      </c>
      <c r="R46" s="35">
        <f t="shared" si="2"/>
        <v>8.3333333333333329E-2</v>
      </c>
      <c r="S46" s="49">
        <f>ROUND(VLOOKUP(A46,'SSP_March''19'!$A$3:$T$1193,19,0),0)</f>
        <v>3</v>
      </c>
      <c r="T46" s="44">
        <f>VLOOKUP(A46,'SSP_March''19'!$A$3:$T$1193,20,0)</f>
        <v>0.25</v>
      </c>
      <c r="U46" s="34">
        <f>VLOOKUP(A46,'SSP_March''19'!$A$3:$X$1193,21,0)</f>
        <v>0</v>
      </c>
      <c r="V46" s="34">
        <f>VLOOKUP(A46,'SSP_March''19'!$A$3:$X$1193,22,0)</f>
        <v>1</v>
      </c>
      <c r="W46" s="34">
        <f>VLOOKUP(A46,'SSP_March''19'!$A$3:$X$1193,23,0)</f>
        <v>0</v>
      </c>
      <c r="X46" s="34">
        <f>VLOOKUP(A46,'SSP_March''19'!$A$3:$X$1193,24,0)</f>
        <v>0</v>
      </c>
    </row>
    <row r="47" spans="1:24">
      <c r="A47" s="34" t="s">
        <v>1150</v>
      </c>
      <c r="B47" s="34" t="s">
        <v>1151</v>
      </c>
      <c r="C47" s="34" t="s">
        <v>142</v>
      </c>
      <c r="D47" s="34" t="s">
        <v>143</v>
      </c>
      <c r="E47" s="34" t="s">
        <v>7</v>
      </c>
      <c r="F47" s="34" t="s">
        <v>1152</v>
      </c>
      <c r="G47" s="54">
        <v>1823323234</v>
      </c>
      <c r="H47" s="54" t="s">
        <v>229</v>
      </c>
      <c r="I47" s="54" t="s">
        <v>3514</v>
      </c>
      <c r="J47" s="34" t="s">
        <v>3419</v>
      </c>
      <c r="K47" s="43">
        <f>VLOOKUP(A47,'SSP_March''19'!$A$3:$L$1193,11,0)</f>
        <v>130000</v>
      </c>
      <c r="L47" s="43">
        <f>VLOOKUP(A47,'SSP_March''19'!$A$3:$L$1193,12,0)</f>
        <v>30850</v>
      </c>
      <c r="M47" s="44">
        <f t="shared" si="0"/>
        <v>0.2373076923076923</v>
      </c>
      <c r="N47" s="49">
        <f>ROUND(VLOOKUP(A47,'SSP_March''19'!$A$3:$N$1193,14,0),0)</f>
        <v>95635</v>
      </c>
      <c r="O47" s="44">
        <f t="shared" si="1"/>
        <v>0.7356538461538461</v>
      </c>
      <c r="P47" s="45">
        <f>VLOOKUP(A47,'SSP_March''19'!$A$3:$Q$1193,16,0)</f>
        <v>10</v>
      </c>
      <c r="Q47" s="34">
        <f>VLOOKUP(A47,'SSP_March''19'!$A$3:$Q$1193,17,0)</f>
        <v>2</v>
      </c>
      <c r="R47" s="35">
        <f t="shared" si="2"/>
        <v>0.2</v>
      </c>
      <c r="S47" s="49">
        <f>ROUND(VLOOKUP(A47,'SSP_March''19'!$A$3:$T$1193,19,0),0)</f>
        <v>6</v>
      </c>
      <c r="T47" s="44">
        <f>VLOOKUP(A47,'SSP_March''19'!$A$3:$T$1193,20,0)</f>
        <v>0.6</v>
      </c>
      <c r="U47" s="34">
        <f>VLOOKUP(A47,'SSP_March''19'!$A$3:$X$1193,21,0)</f>
        <v>0</v>
      </c>
      <c r="V47" s="34">
        <f>VLOOKUP(A47,'SSP_March''19'!$A$3:$X$1193,22,0)</f>
        <v>0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34" t="s">
        <v>3433</v>
      </c>
      <c r="B48" s="34" t="s">
        <v>3434</v>
      </c>
      <c r="C48" s="34" t="s">
        <v>142</v>
      </c>
      <c r="D48" s="34" t="s">
        <v>143</v>
      </c>
      <c r="E48" s="34" t="s">
        <v>7</v>
      </c>
      <c r="F48" s="34" t="s">
        <v>3435</v>
      </c>
      <c r="G48" s="54">
        <v>1972110702</v>
      </c>
      <c r="H48" s="54" t="s">
        <v>229</v>
      </c>
      <c r="I48" s="54" t="s">
        <v>3514</v>
      </c>
      <c r="J48" s="34" t="s">
        <v>3421</v>
      </c>
      <c r="K48" s="43">
        <f>VLOOKUP(A48,'SSP_March''19'!$A$3:$L$1193,11,0)</f>
        <v>130000</v>
      </c>
      <c r="L48" s="43">
        <f>VLOOKUP(A48,'SSP_March''19'!$A$3:$L$1193,12,0)</f>
        <v>29390</v>
      </c>
      <c r="M48" s="44">
        <f t="shared" si="0"/>
        <v>0.22607692307692306</v>
      </c>
      <c r="N48" s="49">
        <f>ROUND(VLOOKUP(A48,'SSP_March''19'!$A$3:$N$1193,14,0),0)</f>
        <v>91109</v>
      </c>
      <c r="O48" s="44">
        <f t="shared" si="1"/>
        <v>0.70083846153846152</v>
      </c>
      <c r="P48" s="45">
        <f>VLOOKUP(A48,'SSP_March''19'!$A$3:$Q$1193,16,0)</f>
        <v>10</v>
      </c>
      <c r="Q48" s="34">
        <f>VLOOKUP(A48,'SSP_March''19'!$A$3:$Q$1193,17,0)</f>
        <v>0</v>
      </c>
      <c r="R48" s="35">
        <f t="shared" si="2"/>
        <v>0</v>
      </c>
      <c r="S48" s="49">
        <f>ROUND(VLOOKUP(A48,'SSP_March''19'!$A$3:$T$1193,19,0),0)</f>
        <v>0</v>
      </c>
      <c r="T48" s="44">
        <f>VLOOKUP(A48,'SSP_March''19'!$A$3:$T$1193,20,0)</f>
        <v>0</v>
      </c>
      <c r="U48" s="34">
        <f>VLOOKUP(A48,'SSP_March''19'!$A$3:$X$1193,21,0)</f>
        <v>1</v>
      </c>
      <c r="V48" s="34">
        <f>VLOOKUP(A48,'SSP_March''19'!$A$3:$X$1193,22,0)</f>
        <v>0</v>
      </c>
      <c r="W48" s="34">
        <f>VLOOKUP(A48,'SSP_March''19'!$A$3:$X$1193,23,0)</f>
        <v>0</v>
      </c>
      <c r="X48" s="34">
        <f>VLOOKUP(A48,'SSP_March''19'!$A$3:$X$1193,24,0)</f>
        <v>0</v>
      </c>
    </row>
    <row r="49" spans="1:24">
      <c r="A49" s="75" t="s">
        <v>3554</v>
      </c>
      <c r="B49" s="75" t="s">
        <v>3555</v>
      </c>
      <c r="C49" s="75" t="s">
        <v>142</v>
      </c>
      <c r="D49" s="75" t="s">
        <v>143</v>
      </c>
      <c r="E49" s="75" t="s">
        <v>7</v>
      </c>
      <c r="F49" s="75" t="s">
        <v>3556</v>
      </c>
      <c r="G49" s="67">
        <v>1914581173</v>
      </c>
      <c r="H49" s="54" t="s">
        <v>229</v>
      </c>
      <c r="I49" s="54" t="s">
        <v>3514</v>
      </c>
      <c r="J49" s="34" t="s">
        <v>3419</v>
      </c>
      <c r="K49" s="43">
        <f>VLOOKUP(A49,'SSP_March''19'!$A$3:$L$1193,11,0)</f>
        <v>200000</v>
      </c>
      <c r="L49" s="43">
        <f>VLOOKUP(A49,'SSP_March''19'!$A$3:$L$1193,12,0)</f>
        <v>66679</v>
      </c>
      <c r="M49" s="44">
        <f t="shared" si="0"/>
        <v>0.333395</v>
      </c>
      <c r="N49" s="49">
        <f>ROUND(VLOOKUP(A49,'SSP_March''19'!$A$3:$N$1193,14,0),0)</f>
        <v>206705</v>
      </c>
      <c r="O49" s="44">
        <f t="shared" si="1"/>
        <v>1.033525</v>
      </c>
      <c r="P49" s="45">
        <f>VLOOKUP(A49,'SSP_March''19'!$A$3:$Q$1193,16,0)</f>
        <v>15</v>
      </c>
      <c r="Q49" s="34">
        <f>VLOOKUP(A49,'SSP_March''19'!$A$3:$Q$1193,17,0)</f>
        <v>2</v>
      </c>
      <c r="R49" s="35">
        <f t="shared" si="2"/>
        <v>0.13333333333333333</v>
      </c>
      <c r="S49" s="49">
        <f>ROUND(VLOOKUP(A49,'SSP_March''19'!$A$3:$T$1193,19,0),0)</f>
        <v>6</v>
      </c>
      <c r="T49" s="44">
        <f>VLOOKUP(A49,'SSP_March''19'!$A$3:$T$1193,20,0)</f>
        <v>0.4</v>
      </c>
      <c r="U49" s="34">
        <f>VLOOKUP(A49,'SSP_March''19'!$A$3:$X$1193,21,0)</f>
        <v>0</v>
      </c>
      <c r="V49" s="34">
        <f>VLOOKUP(A49,'SSP_March''19'!$A$3:$X$1193,22,0)</f>
        <v>2</v>
      </c>
      <c r="W49" s="34">
        <f>VLOOKUP(A49,'SSP_March''19'!$A$3:$X$1193,23,0)</f>
        <v>0</v>
      </c>
      <c r="X49" s="34">
        <f>VLOOKUP(A49,'SSP_March''19'!$A$3:$X$1193,24,0)</f>
        <v>0</v>
      </c>
    </row>
    <row r="50" spans="1:24">
      <c r="A50" s="34" t="s">
        <v>1101</v>
      </c>
      <c r="B50" s="34" t="s">
        <v>74</v>
      </c>
      <c r="C50" s="34" t="s">
        <v>142</v>
      </c>
      <c r="D50" s="34" t="s">
        <v>143</v>
      </c>
      <c r="E50" s="34" t="s">
        <v>7</v>
      </c>
      <c r="F50" s="34" t="s">
        <v>1102</v>
      </c>
      <c r="G50" s="54">
        <v>1915003740</v>
      </c>
      <c r="H50" s="54" t="s">
        <v>229</v>
      </c>
      <c r="I50" s="54" t="s">
        <v>3514</v>
      </c>
      <c r="J50" s="34" t="s">
        <v>3419</v>
      </c>
      <c r="K50" s="43">
        <f>VLOOKUP(A50,'SSP_March''19'!$A$3:$L$1193,11,0)</f>
        <v>130000</v>
      </c>
      <c r="L50" s="43">
        <f>VLOOKUP(A50,'SSP_March''19'!$A$3:$L$1193,12,0)</f>
        <v>0</v>
      </c>
      <c r="M50" s="44">
        <f t="shared" si="0"/>
        <v>0</v>
      </c>
      <c r="N50" s="49">
        <f>ROUND(VLOOKUP(A50,'SSP_March''19'!$A$3:$N$1193,14,0),0)</f>
        <v>0</v>
      </c>
      <c r="O50" s="44">
        <f t="shared" si="1"/>
        <v>0</v>
      </c>
      <c r="P50" s="45">
        <f>VLOOKUP(A50,'SSP_March''19'!$A$3:$Q$1193,16,0)</f>
        <v>10</v>
      </c>
      <c r="Q50" s="34">
        <f>VLOOKUP(A50,'SSP_March''19'!$A$3:$Q$1193,17,0)</f>
        <v>0</v>
      </c>
      <c r="R50" s="35">
        <f t="shared" si="2"/>
        <v>0</v>
      </c>
      <c r="S50" s="49">
        <f>ROUND(VLOOKUP(A50,'SSP_March''19'!$A$3:$T$1193,19,0),0)</f>
        <v>0</v>
      </c>
      <c r="T50" s="44">
        <f>VLOOKUP(A50,'SSP_March''19'!$A$3:$T$1193,20,0)</f>
        <v>0</v>
      </c>
      <c r="U50" s="34">
        <f>VLOOKUP(A50,'SSP_March''19'!$A$3:$X$1193,21,0)</f>
        <v>0</v>
      </c>
      <c r="V50" s="34">
        <f>VLOOKUP(A50,'SSP_March''19'!$A$3:$X$1193,22,0)</f>
        <v>0</v>
      </c>
      <c r="W50" s="34">
        <f>VLOOKUP(A50,'SSP_March''19'!$A$3:$X$1193,23,0)</f>
        <v>0</v>
      </c>
      <c r="X50" s="34">
        <f>VLOOKUP(A50,'SSP_March''19'!$A$3:$X$1193,24,0)</f>
        <v>0</v>
      </c>
    </row>
    <row r="51" spans="1:24">
      <c r="A51" s="34" t="s">
        <v>1148</v>
      </c>
      <c r="B51" s="34" t="s">
        <v>120</v>
      </c>
      <c r="C51" s="34" t="s">
        <v>142</v>
      </c>
      <c r="D51" s="34" t="s">
        <v>143</v>
      </c>
      <c r="E51" s="34" t="s">
        <v>7</v>
      </c>
      <c r="F51" s="34" t="s">
        <v>1149</v>
      </c>
      <c r="G51" s="54">
        <v>1725556966</v>
      </c>
      <c r="H51" s="54" t="s">
        <v>229</v>
      </c>
      <c r="I51" s="54" t="s">
        <v>3514</v>
      </c>
      <c r="J51" s="34" t="s">
        <v>3419</v>
      </c>
      <c r="K51" s="43">
        <f>VLOOKUP(A51,'SSP_March''19'!$A$3:$L$1193,11,0)</f>
        <v>130000</v>
      </c>
      <c r="L51" s="43">
        <f>VLOOKUP(A51,'SSP_March''19'!$A$3:$L$1193,12,0)</f>
        <v>55350</v>
      </c>
      <c r="M51" s="44">
        <f t="shared" si="0"/>
        <v>0.42576923076923079</v>
      </c>
      <c r="N51" s="49">
        <f>ROUND(VLOOKUP(A51,'SSP_March''19'!$A$3:$N$1193,14,0),0)</f>
        <v>171585</v>
      </c>
      <c r="O51" s="44">
        <f t="shared" si="1"/>
        <v>1.3198846153846153</v>
      </c>
      <c r="P51" s="45">
        <f>VLOOKUP(A51,'SSP_March''19'!$A$3:$Q$1193,16,0)</f>
        <v>10</v>
      </c>
      <c r="Q51" s="34">
        <f>VLOOKUP(A51,'SSP_March''19'!$A$3:$Q$1193,17,0)</f>
        <v>3</v>
      </c>
      <c r="R51" s="35">
        <f t="shared" si="2"/>
        <v>0.3</v>
      </c>
      <c r="S51" s="49">
        <f>ROUND(VLOOKUP(A51,'SSP_March''19'!$A$3:$T$1193,19,0),0)</f>
        <v>9</v>
      </c>
      <c r="T51" s="44">
        <f>VLOOKUP(A51,'SSP_March''19'!$A$3:$T$1193,20,0)</f>
        <v>0.9</v>
      </c>
      <c r="U51" s="34">
        <f>VLOOKUP(A51,'SSP_March''19'!$A$3:$X$1193,21,0)</f>
        <v>0</v>
      </c>
      <c r="V51" s="34">
        <f>VLOOKUP(A51,'SSP_March''19'!$A$3:$X$1193,22,0)</f>
        <v>3</v>
      </c>
      <c r="W51" s="34">
        <f>VLOOKUP(A51,'SSP_March''19'!$A$3:$X$1193,23,0)</f>
        <v>0</v>
      </c>
      <c r="X51" s="34">
        <f>VLOOKUP(A51,'SSP_March''19'!$A$3:$X$1193,24,0)</f>
        <v>0</v>
      </c>
    </row>
    <row r="52" spans="1:24">
      <c r="A52" s="34" t="s">
        <v>1145</v>
      </c>
      <c r="B52" s="34" t="s">
        <v>1146</v>
      </c>
      <c r="C52" s="34" t="s">
        <v>142</v>
      </c>
      <c r="D52" s="34" t="s">
        <v>143</v>
      </c>
      <c r="E52" s="34" t="s">
        <v>7</v>
      </c>
      <c r="F52" s="34" t="s">
        <v>1147</v>
      </c>
      <c r="G52" s="54">
        <v>1944701265</v>
      </c>
      <c r="H52" s="54" t="s">
        <v>229</v>
      </c>
      <c r="I52" s="54" t="s">
        <v>3514</v>
      </c>
      <c r="J52" s="34" t="s">
        <v>3421</v>
      </c>
      <c r="K52" s="43">
        <f>VLOOKUP(A52,'SSP_March''19'!$A$3:$L$1193,11,0)</f>
        <v>130000</v>
      </c>
      <c r="L52" s="43">
        <f>VLOOKUP(A52,'SSP_March''19'!$A$3:$L$1193,12,0)</f>
        <v>6990</v>
      </c>
      <c r="M52" s="44">
        <f t="shared" si="0"/>
        <v>5.3769230769230771E-2</v>
      </c>
      <c r="N52" s="49">
        <f>ROUND(VLOOKUP(A52,'SSP_March''19'!$A$3:$N$1193,14,0),0)</f>
        <v>21669</v>
      </c>
      <c r="O52" s="44">
        <f t="shared" si="1"/>
        <v>0.16668461538461538</v>
      </c>
      <c r="P52" s="45">
        <f>VLOOKUP(A52,'SSP_March''19'!$A$3:$Q$1193,16,0)</f>
        <v>10</v>
      </c>
      <c r="Q52" s="34">
        <f>VLOOKUP(A52,'SSP_March''19'!$A$3:$Q$1193,17,0)</f>
        <v>1</v>
      </c>
      <c r="R52" s="35">
        <f t="shared" si="2"/>
        <v>0.1</v>
      </c>
      <c r="S52" s="49">
        <f>ROUND(VLOOKUP(A52,'SSP_March''19'!$A$3:$T$1193,19,0),0)</f>
        <v>3</v>
      </c>
      <c r="T52" s="44">
        <f>VLOOKUP(A52,'SSP_March''19'!$A$3:$T$1193,20,0)</f>
        <v>0.3</v>
      </c>
      <c r="U52" s="34">
        <f>VLOOKUP(A52,'SSP_March''19'!$A$3:$X$1193,21,0)</f>
        <v>0</v>
      </c>
      <c r="V52" s="34">
        <f>VLOOKUP(A52,'SSP_March''19'!$A$3:$X$1193,22,0)</f>
        <v>0</v>
      </c>
      <c r="W52" s="34">
        <f>VLOOKUP(A52,'SSP_March''19'!$A$3:$X$1193,23,0)</f>
        <v>0</v>
      </c>
      <c r="X52" s="34">
        <f>VLOOKUP(A52,'SSP_March''19'!$A$3:$X$1193,24,0)</f>
        <v>0</v>
      </c>
    </row>
    <row r="53" spans="1:24">
      <c r="A53" s="75" t="s">
        <v>3557</v>
      </c>
      <c r="B53" s="75" t="s">
        <v>3558</v>
      </c>
      <c r="C53" s="75" t="s">
        <v>142</v>
      </c>
      <c r="D53" s="75" t="s">
        <v>143</v>
      </c>
      <c r="E53" s="75" t="s">
        <v>7</v>
      </c>
      <c r="F53" s="75" t="s">
        <v>276</v>
      </c>
      <c r="G53" s="67">
        <v>1950947577</v>
      </c>
      <c r="H53" s="54" t="s">
        <v>229</v>
      </c>
      <c r="I53" s="54" t="s">
        <v>3514</v>
      </c>
      <c r="J53" s="34" t="s">
        <v>3419</v>
      </c>
      <c r="K53" s="43">
        <f>VLOOKUP(A53,'SSP_March''19'!$A$3:$L$1193,11,0)</f>
        <v>130000</v>
      </c>
      <c r="L53" s="43">
        <f>VLOOKUP(A53,'SSP_March''19'!$A$3:$L$1193,12,0)</f>
        <v>31645</v>
      </c>
      <c r="M53" s="44">
        <f t="shared" si="0"/>
        <v>0.24342307692307694</v>
      </c>
      <c r="N53" s="49">
        <f>ROUND(VLOOKUP(A53,'SSP_March''19'!$A$3:$N$1193,14,0),0)</f>
        <v>98100</v>
      </c>
      <c r="O53" s="44">
        <f t="shared" si="1"/>
        <v>0.75461538461538458</v>
      </c>
      <c r="P53" s="45">
        <f>VLOOKUP(A53,'SSP_March''19'!$A$3:$Q$1193,16,0)</f>
        <v>10</v>
      </c>
      <c r="Q53" s="34">
        <f>VLOOKUP(A53,'SSP_March''19'!$A$3:$Q$1193,17,0)</f>
        <v>3</v>
      </c>
      <c r="R53" s="35">
        <f t="shared" si="2"/>
        <v>0.3</v>
      </c>
      <c r="S53" s="49">
        <f>ROUND(VLOOKUP(A53,'SSP_March''19'!$A$3:$T$1193,19,0),0)</f>
        <v>9</v>
      </c>
      <c r="T53" s="44">
        <f>VLOOKUP(A53,'SSP_March''19'!$A$3:$T$1193,20,0)</f>
        <v>0.9</v>
      </c>
      <c r="U53" s="34">
        <f>VLOOKUP(A53,'SSP_March''19'!$A$3:$X$1193,21,0)</f>
        <v>0</v>
      </c>
      <c r="V53" s="34">
        <f>VLOOKUP(A53,'SSP_March''19'!$A$3:$X$1193,22,0)</f>
        <v>0</v>
      </c>
      <c r="W53" s="34">
        <f>VLOOKUP(A53,'SSP_March''19'!$A$3:$X$1193,23,0)</f>
        <v>0</v>
      </c>
      <c r="X53" s="34">
        <f>VLOOKUP(A53,'SSP_March''19'!$A$3:$X$1193,24,0)</f>
        <v>0</v>
      </c>
    </row>
    <row r="54" spans="1:24">
      <c r="A54" s="34" t="s">
        <v>1153</v>
      </c>
      <c r="B54" s="34" t="s">
        <v>1154</v>
      </c>
      <c r="C54" s="34" t="s">
        <v>142</v>
      </c>
      <c r="D54" s="34" t="s">
        <v>143</v>
      </c>
      <c r="E54" s="34" t="s">
        <v>7</v>
      </c>
      <c r="F54" s="34" t="s">
        <v>1155</v>
      </c>
      <c r="G54" s="54">
        <v>1748315000</v>
      </c>
      <c r="H54" s="54" t="s">
        <v>229</v>
      </c>
      <c r="I54" s="54" t="s">
        <v>3514</v>
      </c>
      <c r="J54" s="34" t="s">
        <v>3419</v>
      </c>
      <c r="K54" s="43">
        <f>VLOOKUP(A54,'SSP_March''19'!$A$3:$L$1193,11,0)</f>
        <v>140000</v>
      </c>
      <c r="L54" s="43">
        <f>VLOOKUP(A54,'SSP_March''19'!$A$3:$L$1193,12,0)</f>
        <v>55899</v>
      </c>
      <c r="M54" s="44">
        <f t="shared" si="0"/>
        <v>0.39927857142857143</v>
      </c>
      <c r="N54" s="49">
        <f>ROUND(VLOOKUP(A54,'SSP_March''19'!$A$3:$N$1193,14,0),0)</f>
        <v>173287</v>
      </c>
      <c r="O54" s="44">
        <f t="shared" si="1"/>
        <v>1.2377642857142857</v>
      </c>
      <c r="P54" s="45">
        <f>VLOOKUP(A54,'SSP_March''19'!$A$3:$Q$1193,16,0)</f>
        <v>10</v>
      </c>
      <c r="Q54" s="34">
        <f>VLOOKUP(A54,'SSP_March''19'!$A$3:$Q$1193,17,0)</f>
        <v>2</v>
      </c>
      <c r="R54" s="35">
        <f t="shared" si="2"/>
        <v>0.2</v>
      </c>
      <c r="S54" s="49">
        <f>ROUND(VLOOKUP(A54,'SSP_March''19'!$A$3:$T$1193,19,0),0)</f>
        <v>6</v>
      </c>
      <c r="T54" s="44">
        <f>VLOOKUP(A54,'SSP_March''19'!$A$3:$T$1193,20,0)</f>
        <v>0.6</v>
      </c>
      <c r="U54" s="34">
        <f>VLOOKUP(A54,'SSP_March''19'!$A$3:$X$1193,21,0)</f>
        <v>0</v>
      </c>
      <c r="V54" s="34">
        <f>VLOOKUP(A54,'SSP_March''19'!$A$3:$X$1193,22,0)</f>
        <v>0</v>
      </c>
      <c r="W54" s="34">
        <f>VLOOKUP(A54,'SSP_March''19'!$A$3:$X$1193,23,0)</f>
        <v>0</v>
      </c>
      <c r="X54" s="34">
        <f>VLOOKUP(A54,'SSP_March''19'!$A$3:$X$1193,24,0)</f>
        <v>0</v>
      </c>
    </row>
    <row r="55" spans="1:24">
      <c r="A55" s="34" t="s">
        <v>1185</v>
      </c>
      <c r="B55" s="34" t="s">
        <v>1186</v>
      </c>
      <c r="C55" s="34" t="s">
        <v>88</v>
      </c>
      <c r="D55" s="34" t="s">
        <v>131</v>
      </c>
      <c r="E55" s="34" t="s">
        <v>7</v>
      </c>
      <c r="F55" s="34" t="s">
        <v>1187</v>
      </c>
      <c r="G55" s="54">
        <v>1845919261</v>
      </c>
      <c r="H55" s="54" t="s">
        <v>229</v>
      </c>
      <c r="I55" s="54" t="s">
        <v>3514</v>
      </c>
      <c r="J55" s="34" t="s">
        <v>3421</v>
      </c>
      <c r="K55" s="43">
        <f>VLOOKUP(A55,'SSP_March''19'!$A$3:$L$1193,11,0)</f>
        <v>130000</v>
      </c>
      <c r="L55" s="43">
        <f>VLOOKUP(A55,'SSP_March''19'!$A$3:$L$1193,12,0)</f>
        <v>15820</v>
      </c>
      <c r="M55" s="44">
        <f t="shared" si="0"/>
        <v>0.1216923076923077</v>
      </c>
      <c r="N55" s="49">
        <f>ROUND(VLOOKUP(A55,'SSP_March''19'!$A$3:$N$1193,14,0),0)</f>
        <v>49042</v>
      </c>
      <c r="O55" s="44">
        <f t="shared" si="1"/>
        <v>0.37724615384615384</v>
      </c>
      <c r="P55" s="45">
        <f>VLOOKUP(A55,'SSP_March''19'!$A$3:$Q$1193,16,0)</f>
        <v>10</v>
      </c>
      <c r="Q55" s="34">
        <f>VLOOKUP(A55,'SSP_March''19'!$A$3:$Q$1193,17,0)</f>
        <v>0</v>
      </c>
      <c r="R55" s="35">
        <f t="shared" si="2"/>
        <v>0</v>
      </c>
      <c r="S55" s="49">
        <f>ROUND(VLOOKUP(A55,'SSP_March''19'!$A$3:$T$1193,19,0),0)</f>
        <v>0</v>
      </c>
      <c r="T55" s="44">
        <f>VLOOKUP(A55,'SSP_March''19'!$A$3:$T$1193,20,0)</f>
        <v>0</v>
      </c>
      <c r="U55" s="34">
        <f>VLOOKUP(A55,'SSP_March''19'!$A$3:$X$1193,21,0)</f>
        <v>0</v>
      </c>
      <c r="V55" s="34">
        <f>VLOOKUP(A55,'SSP_March''19'!$A$3:$X$1193,22,0)</f>
        <v>0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34" t="s">
        <v>1179</v>
      </c>
      <c r="B56" s="34" t="s">
        <v>1180</v>
      </c>
      <c r="C56" s="34" t="s">
        <v>88</v>
      </c>
      <c r="D56" s="34" t="s">
        <v>131</v>
      </c>
      <c r="E56" s="34" t="s">
        <v>7</v>
      </c>
      <c r="F56" s="34" t="s">
        <v>1181</v>
      </c>
      <c r="G56" s="54">
        <v>1717766777</v>
      </c>
      <c r="H56" s="54" t="s">
        <v>229</v>
      </c>
      <c r="I56" s="54" t="s">
        <v>3514</v>
      </c>
      <c r="J56" s="34" t="s">
        <v>3419</v>
      </c>
      <c r="K56" s="43">
        <f>VLOOKUP(A56,'SSP_March''19'!$A$3:$L$1193,11,0)</f>
        <v>130000</v>
      </c>
      <c r="L56" s="43">
        <f>VLOOKUP(A56,'SSP_March''19'!$A$3:$L$1193,12,0)</f>
        <v>27940</v>
      </c>
      <c r="M56" s="44">
        <f t="shared" si="0"/>
        <v>0.21492307692307691</v>
      </c>
      <c r="N56" s="49">
        <f>ROUND(VLOOKUP(A56,'SSP_March''19'!$A$3:$N$1193,14,0),0)</f>
        <v>86614</v>
      </c>
      <c r="O56" s="44">
        <f t="shared" si="1"/>
        <v>0.66626153846153846</v>
      </c>
      <c r="P56" s="45">
        <f>VLOOKUP(A56,'SSP_March''19'!$A$3:$Q$1193,16,0)</f>
        <v>10</v>
      </c>
      <c r="Q56" s="34">
        <f>VLOOKUP(A56,'SSP_March''19'!$A$3:$Q$1193,17,0)</f>
        <v>0</v>
      </c>
      <c r="R56" s="35">
        <f t="shared" si="2"/>
        <v>0</v>
      </c>
      <c r="S56" s="49">
        <f>ROUND(VLOOKUP(A56,'SSP_March''19'!$A$3:$T$1193,19,0),0)</f>
        <v>0</v>
      </c>
      <c r="T56" s="44">
        <f>VLOOKUP(A56,'SSP_March''19'!$A$3:$T$1193,20,0)</f>
        <v>0</v>
      </c>
      <c r="U56" s="34">
        <f>VLOOKUP(A56,'SSP_March''19'!$A$3:$X$1193,21,0)</f>
        <v>0</v>
      </c>
      <c r="V56" s="34">
        <f>VLOOKUP(A56,'SSP_March''19'!$A$3:$X$1193,22,0)</f>
        <v>0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34" t="s">
        <v>1162</v>
      </c>
      <c r="B57" s="34" t="s">
        <v>132</v>
      </c>
      <c r="C57" s="34" t="s">
        <v>88</v>
      </c>
      <c r="D57" s="34" t="s">
        <v>131</v>
      </c>
      <c r="E57" s="34" t="s">
        <v>7</v>
      </c>
      <c r="F57" s="34" t="s">
        <v>1163</v>
      </c>
      <c r="G57" s="54">
        <v>1716043362</v>
      </c>
      <c r="H57" s="54" t="s">
        <v>229</v>
      </c>
      <c r="I57" s="54" t="s">
        <v>3514</v>
      </c>
      <c r="J57" s="34" t="s">
        <v>3419</v>
      </c>
      <c r="K57" s="43">
        <f>VLOOKUP(A57,'SSP_March''19'!$A$3:$L$1193,11,0)</f>
        <v>150069</v>
      </c>
      <c r="L57" s="43">
        <f>VLOOKUP(A57,'SSP_March''19'!$A$3:$L$1193,12,0)</f>
        <v>45030</v>
      </c>
      <c r="M57" s="44">
        <f t="shared" si="0"/>
        <v>0.30006197149311314</v>
      </c>
      <c r="N57" s="49">
        <f>ROUND(VLOOKUP(A57,'SSP_March''19'!$A$3:$N$1193,14,0),0)</f>
        <v>139593</v>
      </c>
      <c r="O57" s="44">
        <f t="shared" si="1"/>
        <v>0.93019211162865079</v>
      </c>
      <c r="P57" s="45">
        <f>VLOOKUP(A57,'SSP_March''19'!$A$3:$Q$1193,16,0)</f>
        <v>10</v>
      </c>
      <c r="Q57" s="34">
        <f>VLOOKUP(A57,'SSP_March''19'!$A$3:$Q$1193,17,0)</f>
        <v>4</v>
      </c>
      <c r="R57" s="35">
        <f t="shared" si="2"/>
        <v>0.4</v>
      </c>
      <c r="S57" s="49">
        <f>ROUND(VLOOKUP(A57,'SSP_March''19'!$A$3:$T$1193,19,0),0)</f>
        <v>12</v>
      </c>
      <c r="T57" s="44">
        <f>VLOOKUP(A57,'SSP_March''19'!$A$3:$T$1193,20,0)</f>
        <v>1.2</v>
      </c>
      <c r="U57" s="34">
        <f>VLOOKUP(A57,'SSP_March''19'!$A$3:$X$1193,21,0)</f>
        <v>0</v>
      </c>
      <c r="V57" s="34">
        <f>VLOOKUP(A57,'SSP_March''19'!$A$3:$X$1193,22,0)</f>
        <v>1</v>
      </c>
      <c r="W57" s="34">
        <f>VLOOKUP(A57,'SSP_March''19'!$A$3:$X$1193,23,0)</f>
        <v>0</v>
      </c>
      <c r="X57" s="34">
        <f>VLOOKUP(A57,'SSP_March''19'!$A$3:$X$1193,24,0)</f>
        <v>0</v>
      </c>
    </row>
    <row r="58" spans="1:24">
      <c r="A58" s="34" t="s">
        <v>1164</v>
      </c>
      <c r="B58" s="34" t="s">
        <v>217</v>
      </c>
      <c r="C58" s="34" t="s">
        <v>88</v>
      </c>
      <c r="D58" s="34" t="s">
        <v>131</v>
      </c>
      <c r="E58" s="34" t="s">
        <v>7</v>
      </c>
      <c r="F58" s="34" t="s">
        <v>539</v>
      </c>
      <c r="G58" s="54">
        <v>1920624552</v>
      </c>
      <c r="H58" s="54" t="s">
        <v>229</v>
      </c>
      <c r="I58" s="54" t="s">
        <v>3514</v>
      </c>
      <c r="J58" s="34" t="s">
        <v>3419</v>
      </c>
      <c r="K58" s="43">
        <f>VLOOKUP(A58,'SSP_March''19'!$A$3:$L$1193,11,0)</f>
        <v>130000</v>
      </c>
      <c r="L58" s="43">
        <f>VLOOKUP(A58,'SSP_March''19'!$A$3:$L$1193,12,0)</f>
        <v>62590</v>
      </c>
      <c r="M58" s="44">
        <f t="shared" si="0"/>
        <v>0.48146153846153844</v>
      </c>
      <c r="N58" s="49">
        <f>ROUND(VLOOKUP(A58,'SSP_March''19'!$A$3:$N$1193,14,0),0)</f>
        <v>194029</v>
      </c>
      <c r="O58" s="44">
        <f t="shared" si="1"/>
        <v>1.4925307692307692</v>
      </c>
      <c r="P58" s="45">
        <f>VLOOKUP(A58,'SSP_March''19'!$A$3:$Q$1193,16,0)</f>
        <v>10</v>
      </c>
      <c r="Q58" s="34">
        <f>VLOOKUP(A58,'SSP_March''19'!$A$3:$Q$1193,17,0)</f>
        <v>4</v>
      </c>
      <c r="R58" s="35">
        <f t="shared" si="2"/>
        <v>0.4</v>
      </c>
      <c r="S58" s="49">
        <f>ROUND(VLOOKUP(A58,'SSP_March''19'!$A$3:$T$1193,19,0),0)</f>
        <v>12</v>
      </c>
      <c r="T58" s="44">
        <f>VLOOKUP(A58,'SSP_March''19'!$A$3:$T$1193,20,0)</f>
        <v>1.2</v>
      </c>
      <c r="U58" s="34">
        <f>VLOOKUP(A58,'SSP_March''19'!$A$3:$X$1193,21,0)</f>
        <v>0</v>
      </c>
      <c r="V58" s="34">
        <f>VLOOKUP(A58,'SSP_March''19'!$A$3:$X$1193,22,0)</f>
        <v>1</v>
      </c>
      <c r="W58" s="34">
        <f>VLOOKUP(A58,'SSP_March''19'!$A$3:$X$1193,23,0)</f>
        <v>0</v>
      </c>
      <c r="X58" s="34">
        <f>VLOOKUP(A58,'SSP_March''19'!$A$3:$X$1193,24,0)</f>
        <v>1</v>
      </c>
    </row>
    <row r="59" spans="1:24">
      <c r="A59" s="34" t="s">
        <v>1175</v>
      </c>
      <c r="B59" s="34" t="s">
        <v>1176</v>
      </c>
      <c r="C59" s="34" t="s">
        <v>52</v>
      </c>
      <c r="D59" s="34" t="s">
        <v>193</v>
      </c>
      <c r="E59" s="34" t="s">
        <v>7</v>
      </c>
      <c r="F59" s="34" t="s">
        <v>1177</v>
      </c>
      <c r="G59" s="54" t="s">
        <v>1178</v>
      </c>
      <c r="H59" s="54" t="s">
        <v>229</v>
      </c>
      <c r="I59" s="54" t="s">
        <v>3514</v>
      </c>
      <c r="J59" s="34" t="s">
        <v>3419</v>
      </c>
      <c r="K59" s="43">
        <f>VLOOKUP(A59,'SSP_March''19'!$A$3:$L$1193,11,0)</f>
        <v>130000</v>
      </c>
      <c r="L59" s="43">
        <f>VLOOKUP(A59,'SSP_March''19'!$A$3:$L$1193,12,0)</f>
        <v>32980</v>
      </c>
      <c r="M59" s="44">
        <f t="shared" si="0"/>
        <v>0.25369230769230772</v>
      </c>
      <c r="N59" s="49">
        <f>ROUND(VLOOKUP(A59,'SSP_March''19'!$A$3:$N$1193,14,0),0)</f>
        <v>102238</v>
      </c>
      <c r="O59" s="44">
        <f t="shared" si="1"/>
        <v>0.78644615384615379</v>
      </c>
      <c r="P59" s="45">
        <f>VLOOKUP(A59,'SSP_March''19'!$A$3:$Q$1193,16,0)</f>
        <v>10</v>
      </c>
      <c r="Q59" s="34">
        <f>VLOOKUP(A59,'SSP_March''19'!$A$3:$Q$1193,17,0)</f>
        <v>0</v>
      </c>
      <c r="R59" s="35">
        <f t="shared" si="2"/>
        <v>0</v>
      </c>
      <c r="S59" s="49">
        <f>ROUND(VLOOKUP(A59,'SSP_March''19'!$A$3:$T$1193,19,0),0)</f>
        <v>0</v>
      </c>
      <c r="T59" s="44">
        <f>VLOOKUP(A59,'SSP_March''19'!$A$3:$T$1193,20,0)</f>
        <v>0</v>
      </c>
      <c r="U59" s="34">
        <f>VLOOKUP(A59,'SSP_March''19'!$A$3:$X$1193,21,0)</f>
        <v>0</v>
      </c>
      <c r="V59" s="34">
        <f>VLOOKUP(A59,'SSP_March''19'!$A$3:$X$1193,22,0)</f>
        <v>0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34" t="s">
        <v>1189</v>
      </c>
      <c r="B60" s="34" t="s">
        <v>1190</v>
      </c>
      <c r="C60" s="34" t="s">
        <v>52</v>
      </c>
      <c r="D60" s="34" t="s">
        <v>193</v>
      </c>
      <c r="E60" s="34" t="s">
        <v>7</v>
      </c>
      <c r="F60" s="34" t="s">
        <v>1191</v>
      </c>
      <c r="G60" s="54" t="s">
        <v>1192</v>
      </c>
      <c r="H60" s="54" t="s">
        <v>229</v>
      </c>
      <c r="I60" s="54" t="s">
        <v>3514</v>
      </c>
      <c r="J60" s="34" t="s">
        <v>3421</v>
      </c>
      <c r="K60" s="43">
        <f>VLOOKUP(A60,'SSP_March''19'!$A$3:$L$1193,11,0)</f>
        <v>130000</v>
      </c>
      <c r="L60" s="43">
        <f>VLOOKUP(A60,'SSP_March''19'!$A$3:$L$1193,12,0)</f>
        <v>28260</v>
      </c>
      <c r="M60" s="44">
        <f t="shared" si="0"/>
        <v>0.2173846153846154</v>
      </c>
      <c r="N60" s="49">
        <f>ROUND(VLOOKUP(A60,'SSP_March''19'!$A$3:$N$1193,14,0),0)</f>
        <v>87606</v>
      </c>
      <c r="O60" s="44">
        <f t="shared" si="1"/>
        <v>0.67389230769230768</v>
      </c>
      <c r="P60" s="45">
        <f>VLOOKUP(A60,'SSP_March''19'!$A$3:$Q$1193,16,0)</f>
        <v>10</v>
      </c>
      <c r="Q60" s="34">
        <f>VLOOKUP(A60,'SSP_March''19'!$A$3:$Q$1193,17,0)</f>
        <v>2</v>
      </c>
      <c r="R60" s="35">
        <f t="shared" si="2"/>
        <v>0.2</v>
      </c>
      <c r="S60" s="49">
        <f>ROUND(VLOOKUP(A60,'SSP_March''19'!$A$3:$T$1193,19,0),0)</f>
        <v>6</v>
      </c>
      <c r="T60" s="44">
        <f>VLOOKUP(A60,'SSP_March''19'!$A$3:$T$1193,20,0)</f>
        <v>0.6</v>
      </c>
      <c r="U60" s="34">
        <f>VLOOKUP(A60,'SSP_March''19'!$A$3:$X$1193,21,0)</f>
        <v>0</v>
      </c>
      <c r="V60" s="34">
        <f>VLOOKUP(A60,'SSP_March''19'!$A$3:$X$1193,22,0)</f>
        <v>0</v>
      </c>
      <c r="W60" s="34">
        <f>VLOOKUP(A60,'SSP_March''19'!$A$3:$X$1193,23,0)</f>
        <v>0</v>
      </c>
      <c r="X60" s="34">
        <f>VLOOKUP(A60,'SSP_March''19'!$A$3:$X$1193,24,0)</f>
        <v>1</v>
      </c>
    </row>
    <row r="61" spans="1:24">
      <c r="A61" s="34" t="s">
        <v>1165</v>
      </c>
      <c r="B61" s="34" t="s">
        <v>1166</v>
      </c>
      <c r="C61" s="34" t="s">
        <v>52</v>
      </c>
      <c r="D61" s="34" t="s">
        <v>193</v>
      </c>
      <c r="E61" s="34" t="s">
        <v>7</v>
      </c>
      <c r="F61" s="34" t="s">
        <v>1167</v>
      </c>
      <c r="G61" s="54" t="s">
        <v>1168</v>
      </c>
      <c r="H61" s="54" t="s">
        <v>229</v>
      </c>
      <c r="I61" s="54" t="s">
        <v>3514</v>
      </c>
      <c r="J61" s="34" t="s">
        <v>3421</v>
      </c>
      <c r="K61" s="43">
        <f>VLOOKUP(A61,'SSP_March''19'!$A$3:$L$1193,11,0)</f>
        <v>130000</v>
      </c>
      <c r="L61" s="43">
        <f>VLOOKUP(A61,'SSP_March''19'!$A$3:$L$1193,12,0)</f>
        <v>42315</v>
      </c>
      <c r="M61" s="44">
        <f t="shared" si="0"/>
        <v>0.32550000000000001</v>
      </c>
      <c r="N61" s="49">
        <f>ROUND(VLOOKUP(A61,'SSP_March''19'!$A$3:$N$1193,14,0),0)</f>
        <v>131177</v>
      </c>
      <c r="O61" s="44">
        <f t="shared" si="1"/>
        <v>1.0090538461538461</v>
      </c>
      <c r="P61" s="45">
        <f>VLOOKUP(A61,'SSP_March''19'!$A$3:$Q$1193,16,0)</f>
        <v>10</v>
      </c>
      <c r="Q61" s="34">
        <f>VLOOKUP(A61,'SSP_March''19'!$A$3:$Q$1193,17,0)</f>
        <v>3</v>
      </c>
      <c r="R61" s="35">
        <f t="shared" si="2"/>
        <v>0.3</v>
      </c>
      <c r="S61" s="49">
        <f>ROUND(VLOOKUP(A61,'SSP_March''19'!$A$3:$T$1193,19,0),0)</f>
        <v>9</v>
      </c>
      <c r="T61" s="44">
        <f>VLOOKUP(A61,'SSP_March''19'!$A$3:$T$1193,20,0)</f>
        <v>0.9</v>
      </c>
      <c r="U61" s="34">
        <f>VLOOKUP(A61,'SSP_March''19'!$A$3:$X$1193,21,0)</f>
        <v>0</v>
      </c>
      <c r="V61" s="34">
        <f>VLOOKUP(A61,'SSP_March''19'!$A$3:$X$1193,22,0)</f>
        <v>1</v>
      </c>
      <c r="W61" s="34">
        <f>VLOOKUP(A61,'SSP_March''19'!$A$3:$X$1193,23,0)</f>
        <v>0</v>
      </c>
      <c r="X61" s="34">
        <f>VLOOKUP(A61,'SSP_March''19'!$A$3:$X$1193,24,0)</f>
        <v>0</v>
      </c>
    </row>
    <row r="62" spans="1:24">
      <c r="A62" s="34" t="s">
        <v>1267</v>
      </c>
      <c r="B62" s="34" t="s">
        <v>1268</v>
      </c>
      <c r="C62" s="34" t="s">
        <v>52</v>
      </c>
      <c r="D62" s="34" t="s">
        <v>193</v>
      </c>
      <c r="E62" s="34" t="s">
        <v>7</v>
      </c>
      <c r="F62" s="34" t="s">
        <v>1269</v>
      </c>
      <c r="G62" s="54" t="s">
        <v>1270</v>
      </c>
      <c r="H62" s="54" t="s">
        <v>229</v>
      </c>
      <c r="I62" s="54" t="s">
        <v>3514</v>
      </c>
      <c r="J62" s="34" t="s">
        <v>3421</v>
      </c>
      <c r="K62" s="43">
        <f>VLOOKUP(A62,'SSP_March''19'!$A$3:$L$1193,11,0)</f>
        <v>130000</v>
      </c>
      <c r="L62" s="43">
        <f>VLOOKUP(A62,'SSP_March''19'!$A$3:$L$1193,12,0)</f>
        <v>5790</v>
      </c>
      <c r="M62" s="44">
        <f t="shared" si="0"/>
        <v>4.4538461538461541E-2</v>
      </c>
      <c r="N62" s="49">
        <f>ROUND(VLOOKUP(A62,'SSP_March''19'!$A$3:$N$1193,14,0),0)</f>
        <v>17949</v>
      </c>
      <c r="O62" s="44">
        <f t="shared" si="1"/>
        <v>0.13806923076923078</v>
      </c>
      <c r="P62" s="45">
        <f>VLOOKUP(A62,'SSP_March''19'!$A$3:$Q$1193,16,0)</f>
        <v>10</v>
      </c>
      <c r="Q62" s="34">
        <f>VLOOKUP(A62,'SSP_March''19'!$A$3:$Q$1193,17,0)</f>
        <v>0</v>
      </c>
      <c r="R62" s="35">
        <f t="shared" si="2"/>
        <v>0</v>
      </c>
      <c r="S62" s="49">
        <f>ROUND(VLOOKUP(A62,'SSP_March''19'!$A$3:$T$1193,19,0),0)</f>
        <v>0</v>
      </c>
      <c r="T62" s="44">
        <f>VLOOKUP(A62,'SSP_March''19'!$A$3:$T$1193,20,0)</f>
        <v>0</v>
      </c>
      <c r="U62" s="34">
        <f>VLOOKUP(A62,'SSP_March''19'!$A$3:$X$1193,21,0)</f>
        <v>1</v>
      </c>
      <c r="V62" s="34">
        <f>VLOOKUP(A62,'SSP_March''19'!$A$3:$X$1193,22,0)</f>
        <v>0</v>
      </c>
      <c r="W62" s="34">
        <f>VLOOKUP(A62,'SSP_March''19'!$A$3:$X$1193,23,0)</f>
        <v>0</v>
      </c>
      <c r="X62" s="34">
        <f>VLOOKUP(A62,'SSP_March''19'!$A$3:$X$1193,24,0)</f>
        <v>0</v>
      </c>
    </row>
    <row r="63" spans="1:24">
      <c r="A63" s="34" t="s">
        <v>1247</v>
      </c>
      <c r="B63" s="34" t="s">
        <v>1248</v>
      </c>
      <c r="C63" s="34" t="s">
        <v>52</v>
      </c>
      <c r="D63" s="34" t="s">
        <v>193</v>
      </c>
      <c r="E63" s="34" t="s">
        <v>7</v>
      </c>
      <c r="F63" s="34" t="s">
        <v>1249</v>
      </c>
      <c r="G63" s="54" t="s">
        <v>1250</v>
      </c>
      <c r="H63" s="54" t="s">
        <v>229</v>
      </c>
      <c r="I63" s="54" t="s">
        <v>3514</v>
      </c>
      <c r="J63" s="34" t="s">
        <v>3421</v>
      </c>
      <c r="K63" s="43">
        <f>VLOOKUP(A63,'SSP_March''19'!$A$3:$L$1193,11,0)</f>
        <v>130000</v>
      </c>
      <c r="L63" s="43">
        <f>VLOOKUP(A63,'SSP_March''19'!$A$3:$L$1193,12,0)</f>
        <v>14780</v>
      </c>
      <c r="M63" s="44">
        <f t="shared" si="0"/>
        <v>0.11369230769230769</v>
      </c>
      <c r="N63" s="49">
        <f>ROUND(VLOOKUP(A63,'SSP_March''19'!$A$3:$N$1193,14,0),0)</f>
        <v>45818</v>
      </c>
      <c r="O63" s="44">
        <f t="shared" si="1"/>
        <v>0.35244615384615385</v>
      </c>
      <c r="P63" s="45">
        <f>VLOOKUP(A63,'SSP_March''19'!$A$3:$Q$1193,16,0)</f>
        <v>10</v>
      </c>
      <c r="Q63" s="34">
        <f>VLOOKUP(A63,'SSP_March''19'!$A$3:$Q$1193,17,0)</f>
        <v>1</v>
      </c>
      <c r="R63" s="35">
        <f t="shared" si="2"/>
        <v>0.1</v>
      </c>
      <c r="S63" s="49">
        <f>ROUND(VLOOKUP(A63,'SSP_March''19'!$A$3:$T$1193,19,0),0)</f>
        <v>3</v>
      </c>
      <c r="T63" s="44">
        <f>VLOOKUP(A63,'SSP_March''19'!$A$3:$T$1193,20,0)</f>
        <v>0.3</v>
      </c>
      <c r="U63" s="34">
        <f>VLOOKUP(A63,'SSP_March''19'!$A$3:$X$1193,21,0)</f>
        <v>0</v>
      </c>
      <c r="V63" s="34">
        <f>VLOOKUP(A63,'SSP_March''19'!$A$3:$X$1193,22,0)</f>
        <v>0</v>
      </c>
      <c r="W63" s="34">
        <f>VLOOKUP(A63,'SSP_March''19'!$A$3:$X$1193,23,0)</f>
        <v>0</v>
      </c>
      <c r="X63" s="34">
        <f>VLOOKUP(A63,'SSP_March''19'!$A$3:$X$1193,24,0)</f>
        <v>0</v>
      </c>
    </row>
    <row r="64" spans="1:24">
      <c r="A64" s="34" t="s">
        <v>1172</v>
      </c>
      <c r="B64" s="34" t="s">
        <v>1173</v>
      </c>
      <c r="C64" s="34" t="s">
        <v>52</v>
      </c>
      <c r="D64" s="34" t="s">
        <v>193</v>
      </c>
      <c r="E64" s="34" t="s">
        <v>7</v>
      </c>
      <c r="F64" s="34" t="s">
        <v>1174</v>
      </c>
      <c r="G64" s="54">
        <v>1779966333</v>
      </c>
      <c r="H64" s="54" t="s">
        <v>229</v>
      </c>
      <c r="I64" s="54" t="s">
        <v>3514</v>
      </c>
      <c r="J64" s="34" t="s">
        <v>3421</v>
      </c>
      <c r="K64" s="43">
        <f>VLOOKUP(A64,'SSP_March''19'!$A$3:$L$1193,11,0)</f>
        <v>130000</v>
      </c>
      <c r="L64" s="43">
        <f>VLOOKUP(A64,'SSP_March''19'!$A$3:$L$1193,12,0)</f>
        <v>9589</v>
      </c>
      <c r="M64" s="44">
        <f t="shared" si="0"/>
        <v>7.3761538461538462E-2</v>
      </c>
      <c r="N64" s="49">
        <f>ROUND(VLOOKUP(A64,'SSP_March''19'!$A$3:$N$1193,14,0),0)</f>
        <v>29726</v>
      </c>
      <c r="O64" s="44">
        <f t="shared" si="1"/>
        <v>0.22866153846153847</v>
      </c>
      <c r="P64" s="45">
        <f>VLOOKUP(A64,'SSP_March''19'!$A$3:$Q$1193,16,0)</f>
        <v>10</v>
      </c>
      <c r="Q64" s="34">
        <f>VLOOKUP(A64,'SSP_March''19'!$A$3:$Q$1193,17,0)</f>
        <v>0</v>
      </c>
      <c r="R64" s="35">
        <f t="shared" si="2"/>
        <v>0</v>
      </c>
      <c r="S64" s="49">
        <f>ROUND(VLOOKUP(A64,'SSP_March''19'!$A$3:$T$1193,19,0),0)</f>
        <v>0</v>
      </c>
      <c r="T64" s="44">
        <f>VLOOKUP(A64,'SSP_March''19'!$A$3:$T$1193,20,0)</f>
        <v>0</v>
      </c>
      <c r="U64" s="34">
        <f>VLOOKUP(A64,'SSP_March''19'!$A$3:$X$1193,21,0)</f>
        <v>0</v>
      </c>
      <c r="V64" s="34">
        <f>VLOOKUP(A64,'SSP_March''19'!$A$3:$X$1193,22,0)</f>
        <v>0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34" t="s">
        <v>1217</v>
      </c>
      <c r="B65" s="34" t="s">
        <v>1218</v>
      </c>
      <c r="C65" s="34" t="s">
        <v>52</v>
      </c>
      <c r="D65" s="34" t="s">
        <v>193</v>
      </c>
      <c r="E65" s="34" t="s">
        <v>7</v>
      </c>
      <c r="F65" s="34" t="s">
        <v>1219</v>
      </c>
      <c r="G65" s="54">
        <v>1747666551</v>
      </c>
      <c r="H65" s="54" t="s">
        <v>229</v>
      </c>
      <c r="I65" s="54" t="s">
        <v>3514</v>
      </c>
      <c r="J65" s="34" t="s">
        <v>3419</v>
      </c>
      <c r="K65" s="43">
        <f>VLOOKUP(A65,'SSP_March''19'!$A$3:$L$1193,11,0)</f>
        <v>130000</v>
      </c>
      <c r="L65" s="43">
        <f>VLOOKUP(A65,'SSP_March''19'!$A$3:$L$1193,12,0)</f>
        <v>58690</v>
      </c>
      <c r="M65" s="44">
        <f t="shared" si="0"/>
        <v>0.45146153846153847</v>
      </c>
      <c r="N65" s="49">
        <f>ROUND(VLOOKUP(A65,'SSP_March''19'!$A$3:$N$1193,14,0),0)</f>
        <v>181939</v>
      </c>
      <c r="O65" s="44">
        <f t="shared" si="1"/>
        <v>1.3995307692307692</v>
      </c>
      <c r="P65" s="45">
        <f>VLOOKUP(A65,'SSP_March''19'!$A$3:$Q$1193,16,0)</f>
        <v>10</v>
      </c>
      <c r="Q65" s="34">
        <f>VLOOKUP(A65,'SSP_March''19'!$A$3:$Q$1193,17,0)</f>
        <v>2</v>
      </c>
      <c r="R65" s="35">
        <f t="shared" si="2"/>
        <v>0.2</v>
      </c>
      <c r="S65" s="49">
        <f>ROUND(VLOOKUP(A65,'SSP_March''19'!$A$3:$T$1193,19,0),0)</f>
        <v>6</v>
      </c>
      <c r="T65" s="44">
        <f>VLOOKUP(A65,'SSP_March''19'!$A$3:$T$1193,20,0)</f>
        <v>0.6</v>
      </c>
      <c r="U65" s="34">
        <f>VLOOKUP(A65,'SSP_March''19'!$A$3:$X$1193,21,0)</f>
        <v>1</v>
      </c>
      <c r="V65" s="34">
        <f>VLOOKUP(A65,'SSP_March''19'!$A$3:$X$1193,22,0)</f>
        <v>1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34" t="s">
        <v>1263</v>
      </c>
      <c r="B66" s="34" t="s">
        <v>269</v>
      </c>
      <c r="C66" s="34" t="s">
        <v>52</v>
      </c>
      <c r="D66" s="34" t="s">
        <v>193</v>
      </c>
      <c r="E66" s="34" t="s">
        <v>7</v>
      </c>
      <c r="F66" s="34" t="s">
        <v>849</v>
      </c>
      <c r="G66" s="54">
        <v>1833225455</v>
      </c>
      <c r="H66" s="54" t="s">
        <v>229</v>
      </c>
      <c r="I66" s="54" t="s">
        <v>3514</v>
      </c>
      <c r="J66" s="34" t="s">
        <v>3421</v>
      </c>
      <c r="K66" s="43">
        <f>VLOOKUP(A66,'SSP_March''19'!$A$3:$L$1193,11,0)</f>
        <v>130000</v>
      </c>
      <c r="L66" s="43">
        <f>VLOOKUP(A66,'SSP_March''19'!$A$3:$L$1193,12,0)</f>
        <v>23800</v>
      </c>
      <c r="M66" s="44">
        <f t="shared" si="0"/>
        <v>0.18307692307692308</v>
      </c>
      <c r="N66" s="49">
        <f>ROUND(VLOOKUP(A66,'SSP_March''19'!$A$3:$N$1193,14,0),0)</f>
        <v>73780</v>
      </c>
      <c r="O66" s="44">
        <f t="shared" si="1"/>
        <v>0.56753846153846155</v>
      </c>
      <c r="P66" s="45">
        <f>VLOOKUP(A66,'SSP_March''19'!$A$3:$Q$1193,16,0)</f>
        <v>10</v>
      </c>
      <c r="Q66" s="34">
        <f>VLOOKUP(A66,'SSP_March''19'!$A$3:$Q$1193,17,0)</f>
        <v>0</v>
      </c>
      <c r="R66" s="35">
        <f t="shared" si="2"/>
        <v>0</v>
      </c>
      <c r="S66" s="49">
        <f>ROUND(VLOOKUP(A66,'SSP_March''19'!$A$3:$T$1193,19,0),0)</f>
        <v>0</v>
      </c>
      <c r="T66" s="44">
        <f>VLOOKUP(A66,'SSP_March''19'!$A$3:$T$1193,20,0)</f>
        <v>0</v>
      </c>
      <c r="U66" s="34">
        <f>VLOOKUP(A66,'SSP_March''19'!$A$3:$X$1193,21,0)</f>
        <v>0</v>
      </c>
      <c r="V66" s="34">
        <f>VLOOKUP(A66,'SSP_March''19'!$A$3:$X$1193,22,0)</f>
        <v>0</v>
      </c>
      <c r="W66" s="34">
        <f>VLOOKUP(A66,'SSP_March''19'!$A$3:$X$1193,23,0)</f>
        <v>0</v>
      </c>
      <c r="X66" s="34">
        <f>VLOOKUP(A66,'SSP_March''19'!$A$3:$X$1193,24,0)</f>
        <v>0</v>
      </c>
    </row>
    <row r="67" spans="1:24">
      <c r="A67" s="34" t="s">
        <v>1196</v>
      </c>
      <c r="B67" s="34" t="s">
        <v>1197</v>
      </c>
      <c r="C67" s="34" t="s">
        <v>52</v>
      </c>
      <c r="D67" s="34" t="s">
        <v>193</v>
      </c>
      <c r="E67" s="34" t="s">
        <v>7</v>
      </c>
      <c r="F67" s="34" t="s">
        <v>1198</v>
      </c>
      <c r="G67" s="54">
        <v>1721026691</v>
      </c>
      <c r="H67" s="54" t="s">
        <v>229</v>
      </c>
      <c r="I67" s="54" t="s">
        <v>3514</v>
      </c>
      <c r="J67" s="34" t="s">
        <v>3419</v>
      </c>
      <c r="K67" s="43">
        <f>VLOOKUP(A67,'SSP_March''19'!$A$3:$L$1193,11,0)</f>
        <v>290253</v>
      </c>
      <c r="L67" s="43">
        <f>VLOOKUP(A67,'SSP_March''19'!$A$3:$L$1193,12,0)</f>
        <v>38580</v>
      </c>
      <c r="M67" s="44">
        <f t="shared" si="0"/>
        <v>0.13291852280596583</v>
      </c>
      <c r="N67" s="49">
        <f>ROUND(VLOOKUP(A67,'SSP_March''19'!$A$3:$N$1193,14,0),0)</f>
        <v>119598</v>
      </c>
      <c r="O67" s="44">
        <f t="shared" si="1"/>
        <v>0.41204742069849409</v>
      </c>
      <c r="P67" s="45">
        <f>VLOOKUP(A67,'SSP_March''19'!$A$3:$Q$1193,16,0)</f>
        <v>20</v>
      </c>
      <c r="Q67" s="34">
        <f>VLOOKUP(A67,'SSP_March''19'!$A$3:$Q$1193,17,0)</f>
        <v>1</v>
      </c>
      <c r="R67" s="35">
        <f t="shared" si="2"/>
        <v>0.05</v>
      </c>
      <c r="S67" s="49">
        <f>ROUND(VLOOKUP(A67,'SSP_March''19'!$A$3:$T$1193,19,0),0)</f>
        <v>3</v>
      </c>
      <c r="T67" s="44">
        <f>VLOOKUP(A67,'SSP_March''19'!$A$3:$T$1193,20,0)</f>
        <v>0.15</v>
      </c>
      <c r="U67" s="34">
        <f>VLOOKUP(A67,'SSP_March''19'!$A$3:$X$1193,21,0)</f>
        <v>0</v>
      </c>
      <c r="V67" s="34">
        <f>VLOOKUP(A67,'SSP_March''19'!$A$3:$X$1193,22,0)</f>
        <v>0</v>
      </c>
      <c r="W67" s="34">
        <f>VLOOKUP(A67,'SSP_March''19'!$A$3:$X$1193,23,0)</f>
        <v>0</v>
      </c>
      <c r="X67" s="34">
        <f>VLOOKUP(A67,'SSP_March''19'!$A$3:$X$1193,24,0)</f>
        <v>0</v>
      </c>
    </row>
    <row r="68" spans="1:24">
      <c r="A68" s="34" t="s">
        <v>1238</v>
      </c>
      <c r="B68" s="34" t="s">
        <v>1239</v>
      </c>
      <c r="C68" s="34" t="s">
        <v>52</v>
      </c>
      <c r="D68" s="34" t="s">
        <v>193</v>
      </c>
      <c r="E68" s="34" t="s">
        <v>7</v>
      </c>
      <c r="F68" s="34" t="s">
        <v>1240</v>
      </c>
      <c r="G68" s="54">
        <v>1785552831</v>
      </c>
      <c r="H68" s="54" t="s">
        <v>229</v>
      </c>
      <c r="I68" s="54" t="s">
        <v>3514</v>
      </c>
      <c r="J68" s="34" t="s">
        <v>3421</v>
      </c>
      <c r="K68" s="43">
        <f>VLOOKUP(A68,'SSP_March''19'!$A$3:$L$1193,11,0)</f>
        <v>130000</v>
      </c>
      <c r="L68" s="43">
        <f>VLOOKUP(A68,'SSP_March''19'!$A$3:$L$1193,12,0)</f>
        <v>28060</v>
      </c>
      <c r="M68" s="44">
        <f t="shared" si="0"/>
        <v>0.21584615384615385</v>
      </c>
      <c r="N68" s="49">
        <f>ROUND(VLOOKUP(A68,'SSP_March''19'!$A$3:$N$1193,14,0),0)</f>
        <v>86986</v>
      </c>
      <c r="O68" s="44">
        <f t="shared" si="1"/>
        <v>0.66912307692307693</v>
      </c>
      <c r="P68" s="45">
        <f>VLOOKUP(A68,'SSP_March''19'!$A$3:$Q$1193,16,0)</f>
        <v>10</v>
      </c>
      <c r="Q68" s="34">
        <f>VLOOKUP(A68,'SSP_March''19'!$A$3:$Q$1193,17,0)</f>
        <v>4</v>
      </c>
      <c r="R68" s="35">
        <f t="shared" si="2"/>
        <v>0.4</v>
      </c>
      <c r="S68" s="49">
        <f>ROUND(VLOOKUP(A68,'SSP_March''19'!$A$3:$T$1193,19,0),0)</f>
        <v>12</v>
      </c>
      <c r="T68" s="44">
        <f>VLOOKUP(A68,'SSP_March''19'!$A$3:$T$1193,20,0)</f>
        <v>1.2</v>
      </c>
      <c r="U68" s="34">
        <f>VLOOKUP(A68,'SSP_March''19'!$A$3:$X$1193,21,0)</f>
        <v>0</v>
      </c>
      <c r="V68" s="34">
        <f>VLOOKUP(A68,'SSP_March''19'!$A$3:$X$1193,22,0)</f>
        <v>3</v>
      </c>
      <c r="W68" s="34">
        <f>VLOOKUP(A68,'SSP_March''19'!$A$3:$X$1193,23,0)</f>
        <v>0</v>
      </c>
      <c r="X68" s="34">
        <f>VLOOKUP(A68,'SSP_March''19'!$A$3:$X$1193,24,0)</f>
        <v>0</v>
      </c>
    </row>
    <row r="69" spans="1:24">
      <c r="A69" s="34" t="s">
        <v>1193</v>
      </c>
      <c r="B69" s="34" t="s">
        <v>1194</v>
      </c>
      <c r="C69" s="34" t="s">
        <v>52</v>
      </c>
      <c r="D69" s="34" t="s">
        <v>193</v>
      </c>
      <c r="E69" s="34" t="s">
        <v>7</v>
      </c>
      <c r="F69" s="34" t="s">
        <v>1195</v>
      </c>
      <c r="G69" s="54">
        <v>1757950099</v>
      </c>
      <c r="H69" s="54" t="s">
        <v>229</v>
      </c>
      <c r="I69" s="54" t="s">
        <v>3514</v>
      </c>
      <c r="J69" s="34" t="s">
        <v>3419</v>
      </c>
      <c r="K69" s="43">
        <f>VLOOKUP(A69,'SSP_March''19'!$A$3:$L$1193,11,0)</f>
        <v>258786</v>
      </c>
      <c r="L69" s="43">
        <f>VLOOKUP(A69,'SSP_March''19'!$A$3:$L$1193,12,0)</f>
        <v>55455</v>
      </c>
      <c r="M69" s="44">
        <f t="shared" ref="M69:M90" si="6">L69/K69</f>
        <v>0.2142890264542904</v>
      </c>
      <c r="N69" s="49">
        <f>ROUND(VLOOKUP(A69,'SSP_March''19'!$A$3:$N$1193,14,0),0)</f>
        <v>171911</v>
      </c>
      <c r="O69" s="44">
        <f t="shared" ref="O69:O90" si="7">N69/K69</f>
        <v>0.66429791410663641</v>
      </c>
      <c r="P69" s="45">
        <f>VLOOKUP(A69,'SSP_March''19'!$A$3:$Q$1193,16,0)</f>
        <v>15</v>
      </c>
      <c r="Q69" s="34">
        <f>VLOOKUP(A69,'SSP_March''19'!$A$3:$Q$1193,17,0)</f>
        <v>5</v>
      </c>
      <c r="R69" s="35">
        <f t="shared" ref="R69:R90" si="8">Q69/P69</f>
        <v>0.33333333333333331</v>
      </c>
      <c r="S69" s="49">
        <f>ROUND(VLOOKUP(A69,'SSP_March''19'!$A$3:$T$1193,19,0),0)</f>
        <v>16</v>
      </c>
      <c r="T69" s="44">
        <f>VLOOKUP(A69,'SSP_March''19'!$A$3:$T$1193,20,0)</f>
        <v>1.0666666666666667</v>
      </c>
      <c r="U69" s="34">
        <f>VLOOKUP(A69,'SSP_March''19'!$A$3:$X$1193,21,0)</f>
        <v>0</v>
      </c>
      <c r="V69" s="34">
        <f>VLOOKUP(A69,'SSP_March''19'!$A$3:$X$1193,22,0)</f>
        <v>2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34" t="s">
        <v>1241</v>
      </c>
      <c r="B70" s="34" t="s">
        <v>1242</v>
      </c>
      <c r="C70" s="34" t="s">
        <v>207</v>
      </c>
      <c r="D70" s="34" t="s">
        <v>193</v>
      </c>
      <c r="E70" s="34" t="s">
        <v>7</v>
      </c>
      <c r="F70" s="34" t="s">
        <v>1243</v>
      </c>
      <c r="G70" s="54">
        <v>1701720250</v>
      </c>
      <c r="H70" s="54" t="s">
        <v>229</v>
      </c>
      <c r="I70" s="54" t="s">
        <v>3514</v>
      </c>
      <c r="J70" s="34" t="s">
        <v>3419</v>
      </c>
      <c r="K70" s="43">
        <f>VLOOKUP(A70,'SSP_March''19'!$A$3:$L$1193,11,0)</f>
        <v>130000</v>
      </c>
      <c r="L70" s="43">
        <f>VLOOKUP(A70,'SSP_March''19'!$A$3:$L$1193,12,0)</f>
        <v>29959</v>
      </c>
      <c r="M70" s="44">
        <f t="shared" si="6"/>
        <v>0.23045384615384615</v>
      </c>
      <c r="N70" s="49">
        <f>ROUND(VLOOKUP(A70,'SSP_March''19'!$A$3:$N$1193,14,0),0)</f>
        <v>92873</v>
      </c>
      <c r="O70" s="44">
        <f t="shared" si="7"/>
        <v>0.7144076923076923</v>
      </c>
      <c r="P70" s="45">
        <f>VLOOKUP(A70,'SSP_March''19'!$A$3:$Q$1193,16,0)</f>
        <v>10</v>
      </c>
      <c r="Q70" s="34">
        <f>VLOOKUP(A70,'SSP_March''19'!$A$3:$Q$1193,17,0)</f>
        <v>2</v>
      </c>
      <c r="R70" s="35">
        <f t="shared" si="8"/>
        <v>0.2</v>
      </c>
      <c r="S70" s="49">
        <f>ROUND(VLOOKUP(A70,'SSP_March''19'!$A$3:$T$1193,19,0),0)</f>
        <v>6</v>
      </c>
      <c r="T70" s="44">
        <f>VLOOKUP(A70,'SSP_March''19'!$A$3:$T$1193,20,0)</f>
        <v>0.6</v>
      </c>
      <c r="U70" s="34">
        <f>VLOOKUP(A70,'SSP_March''19'!$A$3:$X$1193,21,0)</f>
        <v>0</v>
      </c>
      <c r="V70" s="34">
        <f>VLOOKUP(A70,'SSP_March''19'!$A$3:$X$1193,22,0)</f>
        <v>0</v>
      </c>
      <c r="W70" s="34">
        <f>VLOOKUP(A70,'SSP_March''19'!$A$3:$X$1193,23,0)</f>
        <v>0</v>
      </c>
      <c r="X70" s="34">
        <f>VLOOKUP(A70,'SSP_March''19'!$A$3:$X$1193,24,0)</f>
        <v>0</v>
      </c>
    </row>
    <row r="71" spans="1:24">
      <c r="A71" s="34" t="s">
        <v>1229</v>
      </c>
      <c r="B71" s="34" t="s">
        <v>1230</v>
      </c>
      <c r="C71" s="34" t="s">
        <v>207</v>
      </c>
      <c r="D71" s="34" t="s">
        <v>193</v>
      </c>
      <c r="E71" s="34" t="s">
        <v>7</v>
      </c>
      <c r="F71" s="34" t="s">
        <v>1231</v>
      </c>
      <c r="G71" s="54">
        <v>1701769622</v>
      </c>
      <c r="H71" s="54" t="s">
        <v>229</v>
      </c>
      <c r="I71" s="54" t="s">
        <v>3514</v>
      </c>
      <c r="J71" s="34" t="s">
        <v>3421</v>
      </c>
      <c r="K71" s="43">
        <f>VLOOKUP(A71,'SSP_March''19'!$A$3:$L$1193,11,0)</f>
        <v>130000</v>
      </c>
      <c r="L71" s="43">
        <f>VLOOKUP(A71,'SSP_March''19'!$A$3:$L$1193,12,0)</f>
        <v>4740</v>
      </c>
      <c r="M71" s="44">
        <f t="shared" si="6"/>
        <v>3.6461538461538462E-2</v>
      </c>
      <c r="N71" s="49">
        <f>ROUND(VLOOKUP(A71,'SSP_March''19'!$A$3:$N$1193,14,0),0)</f>
        <v>14694</v>
      </c>
      <c r="O71" s="44">
        <f t="shared" si="7"/>
        <v>0.11303076923076923</v>
      </c>
      <c r="P71" s="45">
        <f>VLOOKUP(A71,'SSP_March''19'!$A$3:$Q$1193,16,0)</f>
        <v>10</v>
      </c>
      <c r="Q71" s="34">
        <f>VLOOKUP(A71,'SSP_March''19'!$A$3:$Q$1193,17,0)</f>
        <v>0</v>
      </c>
      <c r="R71" s="35">
        <f t="shared" si="8"/>
        <v>0</v>
      </c>
      <c r="S71" s="49">
        <f>ROUND(VLOOKUP(A71,'SSP_March''19'!$A$3:$T$1193,19,0),0)</f>
        <v>0</v>
      </c>
      <c r="T71" s="44">
        <f>VLOOKUP(A71,'SSP_March''19'!$A$3:$T$1193,20,0)</f>
        <v>0</v>
      </c>
      <c r="U71" s="34">
        <f>VLOOKUP(A71,'SSP_March''19'!$A$3:$X$1193,21,0)</f>
        <v>0</v>
      </c>
      <c r="V71" s="34">
        <f>VLOOKUP(A71,'SSP_March''19'!$A$3:$X$1193,22,0)</f>
        <v>0</v>
      </c>
      <c r="W71" s="34">
        <f>VLOOKUP(A71,'SSP_March''19'!$A$3:$X$1193,23,0)</f>
        <v>0</v>
      </c>
      <c r="X71" s="34">
        <f>VLOOKUP(A71,'SSP_March''19'!$A$3:$X$1193,24,0)</f>
        <v>0</v>
      </c>
    </row>
    <row r="72" spans="1:24">
      <c r="A72" s="34" t="s">
        <v>1226</v>
      </c>
      <c r="B72" s="34" t="s">
        <v>1227</v>
      </c>
      <c r="C72" s="34" t="s">
        <v>207</v>
      </c>
      <c r="D72" s="34" t="s">
        <v>193</v>
      </c>
      <c r="E72" s="34" t="s">
        <v>7</v>
      </c>
      <c r="F72" s="34" t="s">
        <v>1228</v>
      </c>
      <c r="G72" s="54">
        <v>1611661900</v>
      </c>
      <c r="H72" s="54" t="s">
        <v>229</v>
      </c>
      <c r="I72" s="54" t="s">
        <v>3514</v>
      </c>
      <c r="J72" s="34" t="s">
        <v>3421</v>
      </c>
      <c r="K72" s="43">
        <f>VLOOKUP(A72,'SSP_March''19'!$A$3:$L$1193,11,0)</f>
        <v>172347</v>
      </c>
      <c r="L72" s="43">
        <f>VLOOKUP(A72,'SSP_March''19'!$A$3:$L$1193,12,0)</f>
        <v>45509</v>
      </c>
      <c r="M72" s="44">
        <f t="shared" si="6"/>
        <v>0.26405449471125114</v>
      </c>
      <c r="N72" s="49">
        <f>ROUND(VLOOKUP(A72,'SSP_March''19'!$A$3:$N$1193,14,0),0)</f>
        <v>141078</v>
      </c>
      <c r="O72" s="44">
        <f t="shared" si="7"/>
        <v>0.81856951382965759</v>
      </c>
      <c r="P72" s="45">
        <f>VLOOKUP(A72,'SSP_March''19'!$A$3:$Q$1193,16,0)</f>
        <v>12</v>
      </c>
      <c r="Q72" s="34">
        <f>VLOOKUP(A72,'SSP_March''19'!$A$3:$Q$1193,17,0)</f>
        <v>0</v>
      </c>
      <c r="R72" s="35">
        <f t="shared" si="8"/>
        <v>0</v>
      </c>
      <c r="S72" s="49">
        <f>ROUND(VLOOKUP(A72,'SSP_March''19'!$A$3:$T$1193,19,0),0)</f>
        <v>0</v>
      </c>
      <c r="T72" s="44">
        <f>VLOOKUP(A72,'SSP_March''19'!$A$3:$T$1193,20,0)</f>
        <v>0</v>
      </c>
      <c r="U72" s="34">
        <f>VLOOKUP(A72,'SSP_March''19'!$A$3:$X$1193,21,0)</f>
        <v>0</v>
      </c>
      <c r="V72" s="34">
        <f>VLOOKUP(A72,'SSP_March''19'!$A$3:$X$1193,22,0)</f>
        <v>0</v>
      </c>
      <c r="W72" s="34">
        <f>VLOOKUP(A72,'SSP_March''19'!$A$3:$X$1193,23,0)</f>
        <v>0</v>
      </c>
      <c r="X72" s="34">
        <f>VLOOKUP(A72,'SSP_March''19'!$A$3:$X$1193,24,0)</f>
        <v>0</v>
      </c>
    </row>
    <row r="73" spans="1:24">
      <c r="A73" s="34" t="s">
        <v>1264</v>
      </c>
      <c r="B73" s="34" t="s">
        <v>1265</v>
      </c>
      <c r="C73" s="34" t="s">
        <v>207</v>
      </c>
      <c r="D73" s="34" t="s">
        <v>193</v>
      </c>
      <c r="E73" s="34" t="s">
        <v>7</v>
      </c>
      <c r="F73" s="34" t="s">
        <v>1266</v>
      </c>
      <c r="G73" s="54">
        <v>1748999577</v>
      </c>
      <c r="H73" s="54" t="s">
        <v>229</v>
      </c>
      <c r="I73" s="54" t="s">
        <v>3514</v>
      </c>
      <c r="J73" s="34" t="s">
        <v>3421</v>
      </c>
      <c r="K73" s="43">
        <f>VLOOKUP(A73,'SSP_March''19'!$A$3:$L$1193,11,0)</f>
        <v>130000</v>
      </c>
      <c r="L73" s="43">
        <f>VLOOKUP(A73,'SSP_March''19'!$A$3:$L$1193,12,0)</f>
        <v>5990</v>
      </c>
      <c r="M73" s="44">
        <f t="shared" si="6"/>
        <v>4.6076923076923078E-2</v>
      </c>
      <c r="N73" s="49">
        <f>ROUND(VLOOKUP(A73,'SSP_March''19'!$A$3:$N$1193,14,0),0)</f>
        <v>18569</v>
      </c>
      <c r="O73" s="44">
        <f t="shared" si="7"/>
        <v>0.14283846153846153</v>
      </c>
      <c r="P73" s="45">
        <f>VLOOKUP(A73,'SSP_March''19'!$A$3:$Q$1193,16,0)</f>
        <v>10</v>
      </c>
      <c r="Q73" s="34">
        <f>VLOOKUP(A73,'SSP_March''19'!$A$3:$Q$1193,17,0)</f>
        <v>0</v>
      </c>
      <c r="R73" s="35">
        <f t="shared" si="8"/>
        <v>0</v>
      </c>
      <c r="S73" s="49">
        <f>ROUND(VLOOKUP(A73,'SSP_March''19'!$A$3:$T$1193,19,0),0)</f>
        <v>0</v>
      </c>
      <c r="T73" s="44">
        <f>VLOOKUP(A73,'SSP_March''19'!$A$3:$T$1193,20,0)</f>
        <v>0</v>
      </c>
      <c r="U73" s="34">
        <f>VLOOKUP(A73,'SSP_March''19'!$A$3:$X$1193,21,0)</f>
        <v>0</v>
      </c>
      <c r="V73" s="34">
        <f>VLOOKUP(A73,'SSP_March''19'!$A$3:$X$1193,22,0)</f>
        <v>0</v>
      </c>
      <c r="W73" s="34">
        <f>VLOOKUP(A73,'SSP_March''19'!$A$3:$X$1193,23,0)</f>
        <v>0</v>
      </c>
      <c r="X73" s="34">
        <f>VLOOKUP(A73,'SSP_March''19'!$A$3:$X$1193,24,0)</f>
        <v>0</v>
      </c>
    </row>
    <row r="74" spans="1:24">
      <c r="A74" s="34" t="s">
        <v>1277</v>
      </c>
      <c r="B74" s="34" t="s">
        <v>1278</v>
      </c>
      <c r="C74" s="34" t="s">
        <v>207</v>
      </c>
      <c r="D74" s="34" t="s">
        <v>193</v>
      </c>
      <c r="E74" s="34" t="s">
        <v>7</v>
      </c>
      <c r="F74" s="34" t="s">
        <v>1279</v>
      </c>
      <c r="G74" s="54">
        <v>1711346868</v>
      </c>
      <c r="H74" s="54" t="s">
        <v>229</v>
      </c>
      <c r="I74" s="54" t="s">
        <v>3514</v>
      </c>
      <c r="J74" s="34" t="s">
        <v>3421</v>
      </c>
      <c r="K74" s="43">
        <f>VLOOKUP(A74,'SSP_March''19'!$A$3:$L$1193,11,0)</f>
        <v>130000</v>
      </c>
      <c r="L74" s="43">
        <f>VLOOKUP(A74,'SSP_March''19'!$A$3:$L$1193,12,0)</f>
        <v>8330</v>
      </c>
      <c r="M74" s="44">
        <f t="shared" si="6"/>
        <v>6.4076923076923073E-2</v>
      </c>
      <c r="N74" s="49">
        <f>ROUND(VLOOKUP(A74,'SSP_March''19'!$A$3:$N$1193,14,0),0)</f>
        <v>25823</v>
      </c>
      <c r="O74" s="44">
        <f t="shared" si="7"/>
        <v>0.19863846153846154</v>
      </c>
      <c r="P74" s="45">
        <f>VLOOKUP(A74,'SSP_March''19'!$A$3:$Q$1193,16,0)</f>
        <v>10</v>
      </c>
      <c r="Q74" s="34">
        <f>VLOOKUP(A74,'SSP_March''19'!$A$3:$Q$1193,17,0)</f>
        <v>0</v>
      </c>
      <c r="R74" s="35">
        <f t="shared" si="8"/>
        <v>0</v>
      </c>
      <c r="S74" s="49">
        <f>ROUND(VLOOKUP(A74,'SSP_March''19'!$A$3:$T$1193,19,0),0)</f>
        <v>0</v>
      </c>
      <c r="T74" s="44">
        <f>VLOOKUP(A74,'SSP_March''19'!$A$3:$T$1193,20,0)</f>
        <v>0</v>
      </c>
      <c r="U74" s="34">
        <f>VLOOKUP(A74,'SSP_March''19'!$A$3:$X$1193,21,0)</f>
        <v>0</v>
      </c>
      <c r="V74" s="34">
        <f>VLOOKUP(A74,'SSP_March''19'!$A$3:$X$1193,22,0)</f>
        <v>0</v>
      </c>
      <c r="W74" s="34">
        <f>VLOOKUP(A74,'SSP_March''19'!$A$3:$X$1193,23,0)</f>
        <v>0</v>
      </c>
      <c r="X74" s="34">
        <f>VLOOKUP(A74,'SSP_March''19'!$A$3:$X$1193,24,0)</f>
        <v>0</v>
      </c>
    </row>
    <row r="75" spans="1:24">
      <c r="A75" s="34" t="s">
        <v>1112</v>
      </c>
      <c r="B75" s="34" t="s">
        <v>127</v>
      </c>
      <c r="C75" s="34" t="s">
        <v>207</v>
      </c>
      <c r="D75" s="34" t="s">
        <v>193</v>
      </c>
      <c r="E75" s="34" t="s">
        <v>7</v>
      </c>
      <c r="F75" s="34" t="s">
        <v>1113</v>
      </c>
      <c r="G75" s="54">
        <v>1620735157</v>
      </c>
      <c r="H75" s="54" t="s">
        <v>229</v>
      </c>
      <c r="I75" s="54" t="s">
        <v>3514</v>
      </c>
      <c r="J75" s="34" t="s">
        <v>3421</v>
      </c>
      <c r="K75" s="43">
        <f>VLOOKUP(A75,'SSP_March''19'!$A$3:$L$1193,11,0)</f>
        <v>130000</v>
      </c>
      <c r="L75" s="43">
        <f>VLOOKUP(A75,'SSP_March''19'!$A$3:$L$1193,12,0)</f>
        <v>21610</v>
      </c>
      <c r="M75" s="44">
        <f t="shared" si="6"/>
        <v>0.16623076923076924</v>
      </c>
      <c r="N75" s="49">
        <f>ROUND(VLOOKUP(A75,'SSP_March''19'!$A$3:$N$1193,14,0),0)</f>
        <v>66991</v>
      </c>
      <c r="O75" s="44">
        <f t="shared" si="7"/>
        <v>0.51531538461538462</v>
      </c>
      <c r="P75" s="45">
        <f>VLOOKUP(A75,'SSP_March''19'!$A$3:$Q$1193,16,0)</f>
        <v>10</v>
      </c>
      <c r="Q75" s="34">
        <f>VLOOKUP(A75,'SSP_March''19'!$A$3:$Q$1193,17,0)</f>
        <v>1</v>
      </c>
      <c r="R75" s="35">
        <f t="shared" si="8"/>
        <v>0.1</v>
      </c>
      <c r="S75" s="49">
        <f>ROUND(VLOOKUP(A75,'SSP_March''19'!$A$3:$T$1193,19,0),0)</f>
        <v>3</v>
      </c>
      <c r="T75" s="44">
        <f>VLOOKUP(A75,'SSP_March''19'!$A$3:$T$1193,20,0)</f>
        <v>0.3</v>
      </c>
      <c r="U75" s="34">
        <f>VLOOKUP(A75,'SSP_March''19'!$A$3:$X$1193,21,0)</f>
        <v>0</v>
      </c>
      <c r="V75" s="34">
        <f>VLOOKUP(A75,'SSP_March''19'!$A$3:$X$1193,22,0)</f>
        <v>0</v>
      </c>
      <c r="W75" s="34">
        <f>VLOOKUP(A75,'SSP_March''19'!$A$3:$X$1193,23,0)</f>
        <v>0</v>
      </c>
      <c r="X75" s="34">
        <f>VLOOKUP(A75,'SSP_March''19'!$A$3:$X$1193,24,0)</f>
        <v>0</v>
      </c>
    </row>
    <row r="76" spans="1:24">
      <c r="A76" s="34" t="s">
        <v>1208</v>
      </c>
      <c r="B76" s="34" t="s">
        <v>1209</v>
      </c>
      <c r="C76" s="34" t="s">
        <v>207</v>
      </c>
      <c r="D76" s="34" t="s">
        <v>193</v>
      </c>
      <c r="E76" s="34" t="s">
        <v>7</v>
      </c>
      <c r="F76" s="34" t="s">
        <v>1210</v>
      </c>
      <c r="G76" s="54">
        <v>1717319853</v>
      </c>
      <c r="H76" s="54" t="s">
        <v>229</v>
      </c>
      <c r="I76" s="54" t="s">
        <v>3514</v>
      </c>
      <c r="J76" s="34" t="s">
        <v>3419</v>
      </c>
      <c r="K76" s="43">
        <f>VLOOKUP(A76,'SSP_March''19'!$A$3:$L$1193,11,0)</f>
        <v>272981</v>
      </c>
      <c r="L76" s="43">
        <f>VLOOKUP(A76,'SSP_March''19'!$A$3:$L$1193,12,0)</f>
        <v>40630</v>
      </c>
      <c r="M76" s="44">
        <f t="shared" si="6"/>
        <v>0.14883819753023103</v>
      </c>
      <c r="N76" s="49">
        <f>ROUND(VLOOKUP(A76,'SSP_March''19'!$A$3:$N$1193,14,0),0)</f>
        <v>125953</v>
      </c>
      <c r="O76" s="44">
        <f t="shared" si="7"/>
        <v>0.4613984123437162</v>
      </c>
      <c r="P76" s="45">
        <f>VLOOKUP(A76,'SSP_March''19'!$A$3:$Q$1193,16,0)</f>
        <v>24</v>
      </c>
      <c r="Q76" s="34">
        <f>VLOOKUP(A76,'SSP_March''19'!$A$3:$Q$1193,17,0)</f>
        <v>2</v>
      </c>
      <c r="R76" s="35">
        <f t="shared" si="8"/>
        <v>8.3333333333333329E-2</v>
      </c>
      <c r="S76" s="49">
        <f>ROUND(VLOOKUP(A76,'SSP_March''19'!$A$3:$T$1193,19,0),0)</f>
        <v>6</v>
      </c>
      <c r="T76" s="44">
        <f>VLOOKUP(A76,'SSP_March''19'!$A$3:$T$1193,20,0)</f>
        <v>0.25</v>
      </c>
      <c r="U76" s="34">
        <f>VLOOKUP(A76,'SSP_March''19'!$A$3:$X$1193,21,0)</f>
        <v>1</v>
      </c>
      <c r="V76" s="34">
        <f>VLOOKUP(A76,'SSP_March''19'!$A$3:$X$1193,22,0)</f>
        <v>0</v>
      </c>
      <c r="W76" s="34">
        <f>VLOOKUP(A76,'SSP_March''19'!$A$3:$X$1193,23,0)</f>
        <v>1</v>
      </c>
      <c r="X76" s="34">
        <f>VLOOKUP(A76,'SSP_March''19'!$A$3:$X$1193,24,0)</f>
        <v>0</v>
      </c>
    </row>
    <row r="77" spans="1:24">
      <c r="A77" s="34" t="s">
        <v>1256</v>
      </c>
      <c r="B77" s="34" t="s">
        <v>1257</v>
      </c>
      <c r="C77" s="34" t="s">
        <v>207</v>
      </c>
      <c r="D77" s="34" t="s">
        <v>193</v>
      </c>
      <c r="E77" s="34" t="s">
        <v>7</v>
      </c>
      <c r="F77" s="34" t="s">
        <v>1258</v>
      </c>
      <c r="G77" s="54">
        <v>1917380127</v>
      </c>
      <c r="H77" s="54" t="s">
        <v>229</v>
      </c>
      <c r="I77" s="54" t="s">
        <v>3514</v>
      </c>
      <c r="J77" s="34" t="s">
        <v>3421</v>
      </c>
      <c r="K77" s="43">
        <f>VLOOKUP(A77,'SSP_March''19'!$A$3:$L$1193,11,0)</f>
        <v>242578</v>
      </c>
      <c r="L77" s="43">
        <f>VLOOKUP(A77,'SSP_March''19'!$A$3:$L$1193,12,0)</f>
        <v>42815</v>
      </c>
      <c r="M77" s="44">
        <f t="shared" si="6"/>
        <v>0.1764999299194486</v>
      </c>
      <c r="N77" s="49">
        <f>ROUND(VLOOKUP(A77,'SSP_March''19'!$A$3:$N$1193,14,0),0)</f>
        <v>132727</v>
      </c>
      <c r="O77" s="44">
        <f t="shared" si="7"/>
        <v>0.54715184394297911</v>
      </c>
      <c r="P77" s="45">
        <f>VLOOKUP(A77,'SSP_March''19'!$A$3:$Q$1193,16,0)</f>
        <v>14</v>
      </c>
      <c r="Q77" s="34">
        <f>VLOOKUP(A77,'SSP_March''19'!$A$3:$Q$1193,17,0)</f>
        <v>4</v>
      </c>
      <c r="R77" s="35">
        <f t="shared" si="8"/>
        <v>0.2857142857142857</v>
      </c>
      <c r="S77" s="49">
        <f>ROUND(VLOOKUP(A77,'SSP_March''19'!$A$3:$T$1193,19,0),0)</f>
        <v>12</v>
      </c>
      <c r="T77" s="44">
        <f>VLOOKUP(A77,'SSP_March''19'!$A$3:$T$1193,20,0)</f>
        <v>0.8571428571428571</v>
      </c>
      <c r="U77" s="34">
        <f>VLOOKUP(A77,'SSP_March''19'!$A$3:$X$1193,21,0)</f>
        <v>0</v>
      </c>
      <c r="V77" s="34">
        <f>VLOOKUP(A77,'SSP_March''19'!$A$3:$X$1193,22,0)</f>
        <v>2</v>
      </c>
      <c r="W77" s="34">
        <f>VLOOKUP(A77,'SSP_March''19'!$A$3:$X$1193,23,0)</f>
        <v>0</v>
      </c>
      <c r="X77" s="34">
        <f>VLOOKUP(A77,'SSP_March''19'!$A$3:$X$1193,24,0)</f>
        <v>0</v>
      </c>
    </row>
    <row r="78" spans="1:24">
      <c r="A78" s="34" t="s">
        <v>1092</v>
      </c>
      <c r="B78" s="34" t="s">
        <v>1093</v>
      </c>
      <c r="C78" s="34" t="s">
        <v>207</v>
      </c>
      <c r="D78" s="34" t="s">
        <v>193</v>
      </c>
      <c r="E78" s="34" t="s">
        <v>7</v>
      </c>
      <c r="F78" s="34" t="s">
        <v>1094</v>
      </c>
      <c r="G78" s="54">
        <v>1686518541</v>
      </c>
      <c r="H78" s="54" t="s">
        <v>229</v>
      </c>
      <c r="I78" s="54" t="s">
        <v>3514</v>
      </c>
      <c r="J78" s="34" t="s">
        <v>3421</v>
      </c>
      <c r="K78" s="43">
        <f>VLOOKUP(A78,'SSP_March''19'!$A$3:$L$1193,11,0)</f>
        <v>130000</v>
      </c>
      <c r="L78" s="43">
        <f>VLOOKUP(A78,'SSP_March''19'!$A$3:$L$1193,12,0)</f>
        <v>16065</v>
      </c>
      <c r="M78" s="44">
        <f t="shared" si="6"/>
        <v>0.12357692307692307</v>
      </c>
      <c r="N78" s="49">
        <f>ROUND(VLOOKUP(A78,'SSP_March''19'!$A$3:$N$1193,14,0),0)</f>
        <v>49802</v>
      </c>
      <c r="O78" s="44">
        <f t="shared" si="7"/>
        <v>0.38309230769230768</v>
      </c>
      <c r="P78" s="45">
        <f>VLOOKUP(A78,'SSP_March''19'!$A$3:$Q$1193,16,0)</f>
        <v>10</v>
      </c>
      <c r="Q78" s="34">
        <f>VLOOKUP(A78,'SSP_March''19'!$A$3:$Q$1193,17,0)</f>
        <v>2</v>
      </c>
      <c r="R78" s="35">
        <f t="shared" si="8"/>
        <v>0.2</v>
      </c>
      <c r="S78" s="49">
        <f>ROUND(VLOOKUP(A78,'SSP_March''19'!$A$3:$T$1193,19,0),0)</f>
        <v>6</v>
      </c>
      <c r="T78" s="44">
        <f>VLOOKUP(A78,'SSP_March''19'!$A$3:$T$1193,20,0)</f>
        <v>0.6</v>
      </c>
      <c r="U78" s="34">
        <f>VLOOKUP(A78,'SSP_March''19'!$A$3:$X$1193,21,0)</f>
        <v>0</v>
      </c>
      <c r="V78" s="34">
        <f>VLOOKUP(A78,'SSP_March''19'!$A$3:$X$1193,22,0)</f>
        <v>0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34" t="s">
        <v>3436</v>
      </c>
      <c r="B79" s="34" t="s">
        <v>3437</v>
      </c>
      <c r="C79" s="34" t="s">
        <v>207</v>
      </c>
      <c r="D79" s="34" t="s">
        <v>193</v>
      </c>
      <c r="E79" s="34" t="s">
        <v>7</v>
      </c>
      <c r="F79" s="34" t="s">
        <v>3438</v>
      </c>
      <c r="G79" s="54">
        <v>1929756919</v>
      </c>
      <c r="H79" s="54" t="s">
        <v>229</v>
      </c>
      <c r="I79" s="54" t="s">
        <v>3514</v>
      </c>
      <c r="J79" s="34" t="s">
        <v>3421</v>
      </c>
      <c r="K79" s="43">
        <f>VLOOKUP(A79,'SSP_March''19'!$A$3:$L$1193,11,0)</f>
        <v>130000</v>
      </c>
      <c r="L79" s="43">
        <f>VLOOKUP(A79,'SSP_March''19'!$A$3:$L$1193,12,0)</f>
        <v>28835</v>
      </c>
      <c r="M79" s="44">
        <f t="shared" si="6"/>
        <v>0.22180769230769232</v>
      </c>
      <c r="N79" s="49">
        <f>ROUND(VLOOKUP(A79,'SSP_March''19'!$A$3:$N$1193,14,0),0)</f>
        <v>89389</v>
      </c>
      <c r="O79" s="44">
        <f t="shared" si="7"/>
        <v>0.68760769230769225</v>
      </c>
      <c r="P79" s="45">
        <f>VLOOKUP(A79,'SSP_March''19'!$A$3:$Q$1193,16,0)</f>
        <v>10</v>
      </c>
      <c r="Q79" s="34">
        <f>VLOOKUP(A79,'SSP_March''19'!$A$3:$Q$1193,17,0)</f>
        <v>1</v>
      </c>
      <c r="R79" s="35">
        <f t="shared" si="8"/>
        <v>0.1</v>
      </c>
      <c r="S79" s="49">
        <f>ROUND(VLOOKUP(A79,'SSP_March''19'!$A$3:$T$1193,19,0),0)</f>
        <v>3</v>
      </c>
      <c r="T79" s="44">
        <f>VLOOKUP(A79,'SSP_March''19'!$A$3:$T$1193,20,0)</f>
        <v>0.3</v>
      </c>
      <c r="U79" s="34">
        <f>VLOOKUP(A79,'SSP_March''19'!$A$3:$X$1193,21,0)</f>
        <v>0</v>
      </c>
      <c r="V79" s="34">
        <f>VLOOKUP(A79,'SSP_March''19'!$A$3:$X$1193,22,0)</f>
        <v>0</v>
      </c>
      <c r="W79" s="34">
        <f>VLOOKUP(A79,'SSP_March''19'!$A$3:$X$1193,23,0)</f>
        <v>0</v>
      </c>
      <c r="X79" s="34">
        <f>VLOOKUP(A79,'SSP_March''19'!$A$3:$X$1193,24,0)</f>
        <v>0</v>
      </c>
    </row>
    <row r="80" spans="1:24">
      <c r="A80" s="34" t="s">
        <v>1271</v>
      </c>
      <c r="B80" s="34" t="s">
        <v>1272</v>
      </c>
      <c r="C80" s="34" t="s">
        <v>207</v>
      </c>
      <c r="D80" s="34" t="s">
        <v>193</v>
      </c>
      <c r="E80" s="34" t="s">
        <v>7</v>
      </c>
      <c r="F80" s="34" t="s">
        <v>1273</v>
      </c>
      <c r="G80" s="54">
        <v>1737777745</v>
      </c>
      <c r="H80" s="54" t="s">
        <v>229</v>
      </c>
      <c r="I80" s="54" t="s">
        <v>3514</v>
      </c>
      <c r="J80" s="34" t="s">
        <v>3421</v>
      </c>
      <c r="K80" s="43">
        <f>VLOOKUP(A80,'SSP_March''19'!$A$3:$L$1193,11,0)</f>
        <v>130000</v>
      </c>
      <c r="L80" s="43">
        <f>VLOOKUP(A80,'SSP_March''19'!$A$3:$L$1193,12,0)</f>
        <v>4590</v>
      </c>
      <c r="M80" s="44">
        <f t="shared" si="6"/>
        <v>3.5307692307692311E-2</v>
      </c>
      <c r="N80" s="49">
        <f>ROUND(VLOOKUP(A80,'SSP_March''19'!$A$3:$N$1193,14,0),0)</f>
        <v>14229</v>
      </c>
      <c r="O80" s="44">
        <f t="shared" si="7"/>
        <v>0.10945384615384615</v>
      </c>
      <c r="P80" s="45">
        <f>VLOOKUP(A80,'SSP_March''19'!$A$3:$Q$1193,16,0)</f>
        <v>10</v>
      </c>
      <c r="Q80" s="34">
        <f>VLOOKUP(A80,'SSP_March''19'!$A$3:$Q$1193,17,0)</f>
        <v>0</v>
      </c>
      <c r="R80" s="35">
        <f t="shared" si="8"/>
        <v>0</v>
      </c>
      <c r="S80" s="49">
        <f>ROUND(VLOOKUP(A80,'SSP_March''19'!$A$3:$T$1193,19,0),0)</f>
        <v>0</v>
      </c>
      <c r="T80" s="44">
        <f>VLOOKUP(A80,'SSP_March''19'!$A$3:$T$1193,20,0)</f>
        <v>0</v>
      </c>
      <c r="U80" s="34">
        <f>VLOOKUP(A80,'SSP_March''19'!$A$3:$X$1193,21,0)</f>
        <v>0</v>
      </c>
      <c r="V80" s="34">
        <f>VLOOKUP(A80,'SSP_March''19'!$A$3:$X$1193,22,0)</f>
        <v>0</v>
      </c>
      <c r="W80" s="34">
        <f>VLOOKUP(A80,'SSP_March''19'!$A$3:$X$1193,23,0)</f>
        <v>0</v>
      </c>
      <c r="X80" s="34">
        <f>VLOOKUP(A80,'SSP_March''19'!$A$3:$X$1193,24,0)</f>
        <v>0</v>
      </c>
    </row>
    <row r="81" spans="1:24">
      <c r="A81" s="34" t="s">
        <v>1202</v>
      </c>
      <c r="B81" s="34" t="s">
        <v>1203</v>
      </c>
      <c r="C81" s="34" t="s">
        <v>207</v>
      </c>
      <c r="D81" s="34" t="s">
        <v>193</v>
      </c>
      <c r="E81" s="34" t="s">
        <v>7</v>
      </c>
      <c r="F81" s="34" t="s">
        <v>1204</v>
      </c>
      <c r="G81" s="54">
        <v>1914790581</v>
      </c>
      <c r="H81" s="54" t="s">
        <v>229</v>
      </c>
      <c r="I81" s="54" t="s">
        <v>3518</v>
      </c>
      <c r="J81" s="34" t="s">
        <v>3419</v>
      </c>
      <c r="K81" s="43">
        <f>VLOOKUP(A81,'SSP_March''19'!$A$3:$L$1193,11,0)</f>
        <v>327958</v>
      </c>
      <c r="L81" s="43">
        <f>VLOOKUP(A81,'SSP_March''19'!$A$3:$L$1193,12,0)</f>
        <v>84090</v>
      </c>
      <c r="M81" s="44">
        <f t="shared" si="6"/>
        <v>0.25640478353935564</v>
      </c>
      <c r="N81" s="49">
        <f>ROUND(VLOOKUP(A81,'SSP_March''19'!$A$3:$N$1193,14,0),0)</f>
        <v>260679</v>
      </c>
      <c r="O81" s="44">
        <f t="shared" si="7"/>
        <v>0.79485482897200255</v>
      </c>
      <c r="P81" s="45">
        <f>VLOOKUP(A81,'SSP_March''19'!$A$3:$Q$1193,16,0)</f>
        <v>10</v>
      </c>
      <c r="Q81" s="34">
        <f>VLOOKUP(A81,'SSP_March''19'!$A$3:$Q$1193,17,0)</f>
        <v>2</v>
      </c>
      <c r="R81" s="35">
        <f t="shared" si="8"/>
        <v>0.2</v>
      </c>
      <c r="S81" s="49">
        <f>ROUND(VLOOKUP(A81,'SSP_March''19'!$A$3:$T$1193,19,0),0)</f>
        <v>6</v>
      </c>
      <c r="T81" s="44">
        <f>VLOOKUP(A81,'SSP_March''19'!$A$3:$T$1193,20,0)</f>
        <v>0.6</v>
      </c>
      <c r="U81" s="34">
        <f>VLOOKUP(A81,'SSP_March''19'!$A$3:$X$1193,21,0)</f>
        <v>1</v>
      </c>
      <c r="V81" s="34">
        <f>VLOOKUP(A81,'SSP_March''19'!$A$3:$X$1193,22,0)</f>
        <v>1</v>
      </c>
      <c r="W81" s="34">
        <f>VLOOKUP(A81,'SSP_March''19'!$A$3:$X$1193,23,0)</f>
        <v>0</v>
      </c>
      <c r="X81" s="34">
        <f>VLOOKUP(A81,'SSP_March''19'!$A$3:$X$1193,24,0)</f>
        <v>0</v>
      </c>
    </row>
    <row r="82" spans="1:24">
      <c r="A82" s="34" t="s">
        <v>3151</v>
      </c>
      <c r="B82" s="34" t="s">
        <v>3152</v>
      </c>
      <c r="C82" s="34" t="s">
        <v>207</v>
      </c>
      <c r="D82" s="34" t="s">
        <v>193</v>
      </c>
      <c r="E82" s="34" t="s">
        <v>7</v>
      </c>
      <c r="F82" s="34" t="s">
        <v>3153</v>
      </c>
      <c r="G82" s="54">
        <v>1911006888</v>
      </c>
      <c r="H82" s="54" t="s">
        <v>229</v>
      </c>
      <c r="I82" s="54" t="s">
        <v>3514</v>
      </c>
      <c r="J82" s="34" t="s">
        <v>3419</v>
      </c>
      <c r="K82" s="43">
        <f>VLOOKUP(A82,'SSP_March''19'!$A$3:$L$1193,11,0)</f>
        <v>232816</v>
      </c>
      <c r="L82" s="43">
        <f>VLOOKUP(A82,'SSP_March''19'!$A$3:$L$1193,12,0)</f>
        <v>93145</v>
      </c>
      <c r="M82" s="44">
        <f t="shared" si="6"/>
        <v>0.40007989141639749</v>
      </c>
      <c r="N82" s="49">
        <f>ROUND(VLOOKUP(A82,'SSP_March''19'!$A$3:$N$1193,14,0),0)</f>
        <v>288750</v>
      </c>
      <c r="O82" s="44">
        <f t="shared" si="7"/>
        <v>1.2402498110095526</v>
      </c>
      <c r="P82" s="45">
        <f>VLOOKUP(A82,'SSP_March''19'!$A$3:$Q$1193,16,0)</f>
        <v>14</v>
      </c>
      <c r="Q82" s="34">
        <f>VLOOKUP(A82,'SSP_March''19'!$A$3:$Q$1193,17,0)</f>
        <v>5</v>
      </c>
      <c r="R82" s="35">
        <f t="shared" si="8"/>
        <v>0.35714285714285715</v>
      </c>
      <c r="S82" s="49">
        <f>ROUND(VLOOKUP(A82,'SSP_March''19'!$A$3:$T$1193,19,0),0)</f>
        <v>16</v>
      </c>
      <c r="T82" s="44">
        <f>VLOOKUP(A82,'SSP_March''19'!$A$3:$T$1193,20,0)</f>
        <v>1.1428571428571428</v>
      </c>
      <c r="U82" s="34">
        <f>VLOOKUP(A82,'SSP_March''19'!$A$3:$X$1193,21,0)</f>
        <v>0</v>
      </c>
      <c r="V82" s="34">
        <f>VLOOKUP(A82,'SSP_March''19'!$A$3:$X$1193,22,0)</f>
        <v>0</v>
      </c>
      <c r="W82" s="34">
        <f>VLOOKUP(A82,'SSP_March''19'!$A$3:$X$1193,23,0)</f>
        <v>0</v>
      </c>
      <c r="X82" s="34">
        <f>VLOOKUP(A82,'SSP_March''19'!$A$3:$X$1193,24,0)</f>
        <v>0</v>
      </c>
    </row>
    <row r="83" spans="1:24">
      <c r="A83" s="34" t="s">
        <v>3029</v>
      </c>
      <c r="B83" s="34" t="s">
        <v>3030</v>
      </c>
      <c r="C83" s="34" t="s">
        <v>199</v>
      </c>
      <c r="D83" s="34" t="s">
        <v>200</v>
      </c>
      <c r="E83" s="34" t="s">
        <v>7</v>
      </c>
      <c r="F83" s="34" t="s">
        <v>3031</v>
      </c>
      <c r="G83" s="54">
        <v>1716339440</v>
      </c>
      <c r="H83" s="54" t="s">
        <v>229</v>
      </c>
      <c r="I83" s="54" t="s">
        <v>3514</v>
      </c>
      <c r="J83" s="34" t="s">
        <v>3419</v>
      </c>
      <c r="K83" s="43">
        <f>VLOOKUP(A83,'SSP_March''19'!$A$3:$L$1193,11,0)</f>
        <v>224098</v>
      </c>
      <c r="L83" s="43">
        <f>VLOOKUP(A83,'SSP_March''19'!$A$3:$L$1193,12,0)</f>
        <v>74655</v>
      </c>
      <c r="M83" s="44">
        <f t="shared" ref="M83:M84" si="9">L83/K83</f>
        <v>0.33313550321734242</v>
      </c>
      <c r="N83" s="49">
        <f>ROUND(VLOOKUP(A83,'SSP_March''19'!$A$3:$N$1193,14,0),0)</f>
        <v>231431</v>
      </c>
      <c r="O83" s="44">
        <f t="shared" ref="O83:O84" si="10">N83/K83</f>
        <v>1.0327222911404832</v>
      </c>
      <c r="P83" s="45">
        <f>VLOOKUP(A83,'SSP_March''19'!$A$3:$Q$1193,16,0)</f>
        <v>16</v>
      </c>
      <c r="Q83" s="34">
        <f>VLOOKUP(A83,'SSP_March''19'!$A$3:$Q$1193,17,0)</f>
        <v>4</v>
      </c>
      <c r="R83" s="35">
        <f t="shared" ref="R83:R84" si="11">Q83/P83</f>
        <v>0.25</v>
      </c>
      <c r="S83" s="49">
        <f>ROUND(VLOOKUP(A83,'SSP_March''19'!$A$3:$T$1193,19,0),0)</f>
        <v>12</v>
      </c>
      <c r="T83" s="44">
        <f>VLOOKUP(A83,'SSP_March''19'!$A$3:$T$1193,20,0)</f>
        <v>0.75</v>
      </c>
      <c r="U83" s="34">
        <f>VLOOKUP(A83,'SSP_March''19'!$A$3:$X$1193,21,0)</f>
        <v>0</v>
      </c>
      <c r="V83" s="34">
        <f>VLOOKUP(A83,'SSP_March''19'!$A$3:$X$1193,22,0)</f>
        <v>1</v>
      </c>
      <c r="W83" s="34">
        <f>VLOOKUP(A83,'SSP_March''19'!$A$3:$X$1193,23,0)</f>
        <v>0</v>
      </c>
      <c r="X83" s="34">
        <f>VLOOKUP(A83,'SSP_March''19'!$A$3:$X$1193,24,0)</f>
        <v>0</v>
      </c>
    </row>
    <row r="84" spans="1:24">
      <c r="A84" s="34" t="s">
        <v>3042</v>
      </c>
      <c r="B84" s="34" t="s">
        <v>3043</v>
      </c>
      <c r="C84" s="34" t="s">
        <v>199</v>
      </c>
      <c r="D84" s="34" t="s">
        <v>200</v>
      </c>
      <c r="E84" s="34" t="s">
        <v>7</v>
      </c>
      <c r="F84" s="34" t="s">
        <v>3044</v>
      </c>
      <c r="G84" s="54">
        <v>1954217852</v>
      </c>
      <c r="H84" s="54" t="s">
        <v>229</v>
      </c>
      <c r="I84" s="54" t="s">
        <v>3514</v>
      </c>
      <c r="J84" s="34" t="s">
        <v>3515</v>
      </c>
      <c r="K84" s="43">
        <f>VLOOKUP(A84,'SSP_March''19'!$A$3:$L$1193,11,0)</f>
        <v>130000</v>
      </c>
      <c r="L84" s="43">
        <f>VLOOKUP(A84,'SSP_March''19'!$A$3:$L$1193,12,0)</f>
        <v>12670</v>
      </c>
      <c r="M84" s="44">
        <f t="shared" si="9"/>
        <v>9.7461538461538461E-2</v>
      </c>
      <c r="N84" s="49">
        <f>ROUND(VLOOKUP(A84,'SSP_March''19'!$A$3:$N$1193,14,0),0)</f>
        <v>39277</v>
      </c>
      <c r="O84" s="44">
        <f t="shared" si="10"/>
        <v>0.30213076923076926</v>
      </c>
      <c r="P84" s="45">
        <f>VLOOKUP(A84,'SSP_March''19'!$A$3:$Q$1193,16,0)</f>
        <v>10</v>
      </c>
      <c r="Q84" s="34">
        <f>VLOOKUP(A84,'SSP_March''19'!$A$3:$Q$1193,17,0)</f>
        <v>0</v>
      </c>
      <c r="R84" s="35">
        <f t="shared" si="11"/>
        <v>0</v>
      </c>
      <c r="S84" s="49">
        <f>ROUND(VLOOKUP(A84,'SSP_March''19'!$A$3:$T$1193,19,0),0)</f>
        <v>0</v>
      </c>
      <c r="T84" s="44">
        <f>VLOOKUP(A84,'SSP_March''19'!$A$3:$T$1193,20,0)</f>
        <v>0</v>
      </c>
      <c r="U84" s="34">
        <f>VLOOKUP(A84,'SSP_March''19'!$A$3:$X$1193,21,0)</f>
        <v>0</v>
      </c>
      <c r="V84" s="34">
        <f>VLOOKUP(A84,'SSP_March''19'!$A$3:$X$1193,22,0)</f>
        <v>0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34" t="s">
        <v>3034</v>
      </c>
      <c r="B85" s="34" t="s">
        <v>210</v>
      </c>
      <c r="C85" s="34" t="s">
        <v>199</v>
      </c>
      <c r="D85" s="34" t="s">
        <v>200</v>
      </c>
      <c r="E85" s="34" t="s">
        <v>7</v>
      </c>
      <c r="F85" s="34" t="s">
        <v>3035</v>
      </c>
      <c r="G85" s="54">
        <v>1722322093</v>
      </c>
      <c r="H85" s="54" t="s">
        <v>229</v>
      </c>
      <c r="I85" s="54" t="s">
        <v>3514</v>
      </c>
      <c r="J85" s="34" t="s">
        <v>3421</v>
      </c>
      <c r="K85" s="43">
        <f>VLOOKUP(A85,'SSP_March''19'!$A$3:$L$1193,11,0)</f>
        <v>130000</v>
      </c>
      <c r="L85" s="43">
        <f>VLOOKUP(A85,'SSP_March''19'!$A$3:$L$1193,12,0)</f>
        <v>5690</v>
      </c>
      <c r="M85" s="44">
        <f t="shared" si="6"/>
        <v>4.3769230769230769E-2</v>
      </c>
      <c r="N85" s="49">
        <f>ROUND(VLOOKUP(A85,'SSP_March''19'!$A$3:$N$1193,14,0),0)</f>
        <v>17639</v>
      </c>
      <c r="O85" s="44">
        <f t="shared" si="7"/>
        <v>0.13568461538461538</v>
      </c>
      <c r="P85" s="45">
        <f>VLOOKUP(A85,'SSP_March''19'!$A$3:$Q$1193,16,0)</f>
        <v>10</v>
      </c>
      <c r="Q85" s="34">
        <f>VLOOKUP(A85,'SSP_March''19'!$A$3:$Q$1193,17,0)</f>
        <v>0</v>
      </c>
      <c r="R85" s="35">
        <f t="shared" si="8"/>
        <v>0</v>
      </c>
      <c r="S85" s="49">
        <f>ROUND(VLOOKUP(A85,'SSP_March''19'!$A$3:$T$1193,19,0),0)</f>
        <v>0</v>
      </c>
      <c r="T85" s="44">
        <f>VLOOKUP(A85,'SSP_March''19'!$A$3:$T$1193,20,0)</f>
        <v>0</v>
      </c>
      <c r="U85" s="34">
        <f>VLOOKUP(A85,'SSP_March''19'!$A$3:$X$1193,21,0)</f>
        <v>0</v>
      </c>
      <c r="V85" s="34">
        <f>VLOOKUP(A85,'SSP_March''19'!$A$3:$X$1193,22,0)</f>
        <v>0</v>
      </c>
      <c r="W85" s="34">
        <f>VLOOKUP(A85,'SSP_March''19'!$A$3:$X$1193,23,0)</f>
        <v>0</v>
      </c>
      <c r="X85" s="34">
        <f>VLOOKUP(A85,'SSP_March''19'!$A$3:$X$1193,24,0)</f>
        <v>0</v>
      </c>
    </row>
    <row r="86" spans="1:24">
      <c r="A86" s="34" t="s">
        <v>1251</v>
      </c>
      <c r="B86" s="34" t="s">
        <v>1252</v>
      </c>
      <c r="C86" s="34" t="s">
        <v>199</v>
      </c>
      <c r="D86" s="34" t="s">
        <v>200</v>
      </c>
      <c r="E86" s="34" t="s">
        <v>7</v>
      </c>
      <c r="F86" s="34" t="s">
        <v>1253</v>
      </c>
      <c r="G86" s="54">
        <v>1817080839</v>
      </c>
      <c r="H86" s="54" t="s">
        <v>229</v>
      </c>
      <c r="I86" s="54" t="s">
        <v>3514</v>
      </c>
      <c r="J86" s="34" t="s">
        <v>3421</v>
      </c>
      <c r="K86" s="43">
        <f>VLOOKUP(A86,'SSP_March''19'!$A$3:$L$1193,11,0)</f>
        <v>130000</v>
      </c>
      <c r="L86" s="43">
        <f>VLOOKUP(A86,'SSP_March''19'!$A$3:$L$1193,12,0)</f>
        <v>0</v>
      </c>
      <c r="M86" s="44">
        <f t="shared" si="6"/>
        <v>0</v>
      </c>
      <c r="N86" s="49">
        <f>ROUND(VLOOKUP(A86,'SSP_March''19'!$A$3:$N$1193,14,0),0)</f>
        <v>0</v>
      </c>
      <c r="O86" s="44">
        <f t="shared" si="7"/>
        <v>0</v>
      </c>
      <c r="P86" s="45">
        <f>VLOOKUP(A86,'SSP_March''19'!$A$3:$Q$1193,16,0)</f>
        <v>10</v>
      </c>
      <c r="Q86" s="34">
        <f>VLOOKUP(A86,'SSP_March''19'!$A$3:$Q$1193,17,0)</f>
        <v>0</v>
      </c>
      <c r="R86" s="35">
        <f t="shared" si="8"/>
        <v>0</v>
      </c>
      <c r="S86" s="49">
        <f>ROUND(VLOOKUP(A86,'SSP_March''19'!$A$3:$T$1193,19,0),0)</f>
        <v>0</v>
      </c>
      <c r="T86" s="44">
        <f>VLOOKUP(A86,'SSP_March''19'!$A$3:$T$1193,20,0)</f>
        <v>0</v>
      </c>
      <c r="U86" s="34">
        <f>VLOOKUP(A86,'SSP_March''19'!$A$3:$X$1193,21,0)</f>
        <v>0</v>
      </c>
      <c r="V86" s="34">
        <f>VLOOKUP(A86,'SSP_March''19'!$A$3:$X$1193,22,0)</f>
        <v>0</v>
      </c>
      <c r="W86" s="34">
        <f>VLOOKUP(A86,'SSP_March''19'!$A$3:$X$1193,23,0)</f>
        <v>0</v>
      </c>
      <c r="X86" s="34">
        <f>VLOOKUP(A86,'SSP_March''19'!$A$3:$X$1193,24,0)</f>
        <v>0</v>
      </c>
    </row>
    <row r="87" spans="1:24">
      <c r="A87" s="75" t="s">
        <v>3559</v>
      </c>
      <c r="B87" s="75" t="s">
        <v>3560</v>
      </c>
      <c r="C87" s="75" t="s">
        <v>199</v>
      </c>
      <c r="D87" s="75" t="s">
        <v>200</v>
      </c>
      <c r="E87" s="75" t="s">
        <v>7</v>
      </c>
      <c r="F87" s="77" t="s">
        <v>3561</v>
      </c>
      <c r="G87" s="68">
        <v>1944600893</v>
      </c>
      <c r="H87" s="54" t="s">
        <v>229</v>
      </c>
      <c r="I87" s="54" t="s">
        <v>3514</v>
      </c>
      <c r="J87" s="34" t="s">
        <v>3419</v>
      </c>
      <c r="K87" s="43">
        <f>VLOOKUP(A87,'SSP_March''19'!$A$3:$L$1193,11,0)</f>
        <v>130000</v>
      </c>
      <c r="L87" s="43">
        <f>VLOOKUP(A87,'SSP_March''19'!$A$3:$L$1193,12,0)</f>
        <v>16764</v>
      </c>
      <c r="M87" s="44">
        <f t="shared" si="6"/>
        <v>0.12895384615384614</v>
      </c>
      <c r="N87" s="49">
        <f>ROUND(VLOOKUP(A87,'SSP_March''19'!$A$3:$N$1193,14,0),0)</f>
        <v>51968</v>
      </c>
      <c r="O87" s="44">
        <f t="shared" si="7"/>
        <v>0.39975384615384613</v>
      </c>
      <c r="P87" s="45">
        <f>VLOOKUP(A87,'SSP_March''19'!$A$3:$Q$1193,16,0)</f>
        <v>13</v>
      </c>
      <c r="Q87" s="34">
        <f>VLOOKUP(A87,'SSP_March''19'!$A$3:$Q$1193,17,0)</f>
        <v>1</v>
      </c>
      <c r="R87" s="35">
        <f t="shared" si="8"/>
        <v>7.6923076923076927E-2</v>
      </c>
      <c r="S87" s="49">
        <f>ROUND(VLOOKUP(A87,'SSP_March''19'!$A$3:$T$1193,19,0),0)</f>
        <v>3</v>
      </c>
      <c r="T87" s="44">
        <f>VLOOKUP(A87,'SSP_March''19'!$A$3:$T$1193,20,0)</f>
        <v>0.23076923076923078</v>
      </c>
      <c r="U87" s="34">
        <f>VLOOKUP(A87,'SSP_March''19'!$A$3:$X$1193,21,0)</f>
        <v>0</v>
      </c>
      <c r="V87" s="34">
        <f>VLOOKUP(A87,'SSP_March''19'!$A$3:$X$1193,22,0)</f>
        <v>0</v>
      </c>
      <c r="W87" s="34">
        <f>VLOOKUP(A87,'SSP_March''19'!$A$3:$X$1193,23,0)</f>
        <v>0</v>
      </c>
      <c r="X87" s="34">
        <f>VLOOKUP(A87,'SSP_March''19'!$A$3:$X$1193,24,0)</f>
        <v>0</v>
      </c>
    </row>
    <row r="88" spans="1:24">
      <c r="A88" s="34" t="s">
        <v>3032</v>
      </c>
      <c r="B88" s="34" t="s">
        <v>1055</v>
      </c>
      <c r="C88" s="34" t="s">
        <v>199</v>
      </c>
      <c r="D88" s="34" t="s">
        <v>200</v>
      </c>
      <c r="E88" s="34" t="s">
        <v>7</v>
      </c>
      <c r="F88" s="34" t="s">
        <v>3033</v>
      </c>
      <c r="G88" s="54">
        <v>1711173222</v>
      </c>
      <c r="H88" s="54" t="s">
        <v>229</v>
      </c>
      <c r="I88" s="54" t="s">
        <v>3514</v>
      </c>
      <c r="J88" s="34" t="s">
        <v>3421</v>
      </c>
      <c r="K88" s="43">
        <f>VLOOKUP(A88,'SSP_March''19'!$A$3:$L$1193,11,0)</f>
        <v>130000</v>
      </c>
      <c r="L88" s="43">
        <f>VLOOKUP(A88,'SSP_March''19'!$A$3:$L$1193,12,0)</f>
        <v>6190</v>
      </c>
      <c r="M88" s="44">
        <f t="shared" si="6"/>
        <v>4.7615384615384615E-2</v>
      </c>
      <c r="N88" s="49">
        <f>ROUND(VLOOKUP(A88,'SSP_March''19'!$A$3:$N$1193,14,0),0)</f>
        <v>19189</v>
      </c>
      <c r="O88" s="44">
        <f t="shared" si="7"/>
        <v>0.1476076923076923</v>
      </c>
      <c r="P88" s="45">
        <f>VLOOKUP(A88,'SSP_March''19'!$A$3:$Q$1193,16,0)</f>
        <v>10</v>
      </c>
      <c r="Q88" s="34">
        <f>VLOOKUP(A88,'SSP_March''19'!$A$3:$Q$1193,17,0)</f>
        <v>1</v>
      </c>
      <c r="R88" s="35">
        <f t="shared" si="8"/>
        <v>0.1</v>
      </c>
      <c r="S88" s="49">
        <f>ROUND(VLOOKUP(A88,'SSP_March''19'!$A$3:$T$1193,19,0),0)</f>
        <v>3</v>
      </c>
      <c r="T88" s="44">
        <f>VLOOKUP(A88,'SSP_March''19'!$A$3:$T$1193,20,0)</f>
        <v>0.3</v>
      </c>
      <c r="U88" s="34">
        <f>VLOOKUP(A88,'SSP_March''19'!$A$3:$X$1193,21,0)</f>
        <v>0</v>
      </c>
      <c r="V88" s="34">
        <f>VLOOKUP(A88,'SSP_March''19'!$A$3:$X$1193,22,0)</f>
        <v>0</v>
      </c>
      <c r="W88" s="34">
        <f>VLOOKUP(A88,'SSP_March''19'!$A$3:$X$1193,23,0)</f>
        <v>0</v>
      </c>
      <c r="X88" s="34">
        <f>VLOOKUP(A88,'SSP_March''19'!$A$3:$X$1193,24,0)</f>
        <v>0</v>
      </c>
    </row>
    <row r="89" spans="1:24">
      <c r="A89" s="34" t="s">
        <v>3036</v>
      </c>
      <c r="B89" s="34" t="s">
        <v>3037</v>
      </c>
      <c r="C89" s="34" t="s">
        <v>199</v>
      </c>
      <c r="D89" s="34" t="s">
        <v>200</v>
      </c>
      <c r="E89" s="34" t="s">
        <v>7</v>
      </c>
      <c r="F89" s="34" t="s">
        <v>3038</v>
      </c>
      <c r="G89" s="54">
        <v>1711445547</v>
      </c>
      <c r="H89" s="54" t="s">
        <v>229</v>
      </c>
      <c r="I89" s="54" t="s">
        <v>3514</v>
      </c>
      <c r="J89" s="34" t="s">
        <v>3421</v>
      </c>
      <c r="K89" s="43">
        <f>VLOOKUP(A89,'SSP_March''19'!$A$3:$L$1193,11,0)</f>
        <v>130000</v>
      </c>
      <c r="L89" s="43">
        <f>VLOOKUP(A89,'SSP_March''19'!$A$3:$L$1193,12,0)</f>
        <v>32140</v>
      </c>
      <c r="M89" s="44">
        <f t="shared" si="6"/>
        <v>0.24723076923076923</v>
      </c>
      <c r="N89" s="49">
        <f>ROUND(VLOOKUP(A89,'SSP_March''19'!$A$3:$N$1193,14,0),0)</f>
        <v>99634</v>
      </c>
      <c r="O89" s="44">
        <f t="shared" si="7"/>
        <v>0.76641538461538461</v>
      </c>
      <c r="P89" s="45">
        <f>VLOOKUP(A89,'SSP_March''19'!$A$3:$Q$1193,16,0)</f>
        <v>10</v>
      </c>
      <c r="Q89" s="34">
        <f>VLOOKUP(A89,'SSP_March''19'!$A$3:$Q$1193,17,0)</f>
        <v>1</v>
      </c>
      <c r="R89" s="35">
        <f t="shared" si="8"/>
        <v>0.1</v>
      </c>
      <c r="S89" s="49">
        <f>ROUND(VLOOKUP(A89,'SSP_March''19'!$A$3:$T$1193,19,0),0)</f>
        <v>3</v>
      </c>
      <c r="T89" s="44">
        <f>VLOOKUP(A89,'SSP_March''19'!$A$3:$T$1193,20,0)</f>
        <v>0.3</v>
      </c>
      <c r="U89" s="34">
        <f>VLOOKUP(A89,'SSP_March''19'!$A$3:$X$1193,21,0)</f>
        <v>0</v>
      </c>
      <c r="V89" s="34">
        <f>VLOOKUP(A89,'SSP_March''19'!$A$3:$X$1193,22,0)</f>
        <v>0</v>
      </c>
      <c r="W89" s="34">
        <f>VLOOKUP(A89,'SSP_March''19'!$A$3:$X$1193,23,0)</f>
        <v>1</v>
      </c>
      <c r="X89" s="34">
        <f>VLOOKUP(A89,'SSP_March''19'!$A$3:$X$1193,24,0)</f>
        <v>0</v>
      </c>
    </row>
    <row r="90" spans="1:24">
      <c r="A90" s="34" t="s">
        <v>3039</v>
      </c>
      <c r="B90" s="34" t="s">
        <v>3040</v>
      </c>
      <c r="C90" s="34" t="s">
        <v>199</v>
      </c>
      <c r="D90" s="34" t="s">
        <v>200</v>
      </c>
      <c r="E90" s="34" t="s">
        <v>7</v>
      </c>
      <c r="F90" s="34" t="s">
        <v>3041</v>
      </c>
      <c r="G90" s="54">
        <v>1911345014</v>
      </c>
      <c r="H90" s="54" t="s">
        <v>229</v>
      </c>
      <c r="I90" s="54" t="s">
        <v>3514</v>
      </c>
      <c r="J90" s="34" t="s">
        <v>3421</v>
      </c>
      <c r="K90" s="43">
        <f>VLOOKUP(A90,'SSP_March''19'!$A$3:$L$1193,11,0)</f>
        <v>130000</v>
      </c>
      <c r="L90" s="43">
        <f>VLOOKUP(A90,'SSP_March''19'!$A$3:$L$1193,12,0)</f>
        <v>7830</v>
      </c>
      <c r="M90" s="44">
        <f t="shared" si="6"/>
        <v>6.0230769230769234E-2</v>
      </c>
      <c r="N90" s="49">
        <f>ROUND(VLOOKUP(A90,'SSP_March''19'!$A$3:$N$1193,14,0),0)</f>
        <v>24273</v>
      </c>
      <c r="O90" s="44">
        <f t="shared" si="7"/>
        <v>0.18671538461538462</v>
      </c>
      <c r="P90" s="45">
        <f>VLOOKUP(A90,'SSP_March''19'!$A$3:$Q$1193,16,0)</f>
        <v>10</v>
      </c>
      <c r="Q90" s="34">
        <f>VLOOKUP(A90,'SSP_March''19'!$A$3:$Q$1193,17,0)</f>
        <v>0</v>
      </c>
      <c r="R90" s="35">
        <f t="shared" si="8"/>
        <v>0</v>
      </c>
      <c r="S90" s="49">
        <f>ROUND(VLOOKUP(A90,'SSP_March''19'!$A$3:$T$1193,19,0),0)</f>
        <v>0</v>
      </c>
      <c r="T90" s="44">
        <f>VLOOKUP(A90,'SSP_March''19'!$A$3:$T$1193,20,0)</f>
        <v>0</v>
      </c>
      <c r="U90" s="34">
        <f>VLOOKUP(A90,'SSP_March''19'!$A$3:$X$1193,21,0)</f>
        <v>0</v>
      </c>
      <c r="V90" s="34">
        <f>VLOOKUP(A90,'SSP_March''19'!$A$3:$X$1193,22,0)</f>
        <v>0</v>
      </c>
      <c r="W90" s="34">
        <f>VLOOKUP(A90,'SSP_March''19'!$A$3:$X$1193,23,0)</f>
        <v>0</v>
      </c>
      <c r="X90" s="34">
        <f>VLOOKUP(A90,'SSP_March''19'!$A$3:$X$1193,24,0)</f>
        <v>0</v>
      </c>
    </row>
  </sheetData>
  <conditionalFormatting sqref="A270:A1048576">
    <cfRule type="duplicateValues" dxfId="65" priority="34"/>
  </conditionalFormatting>
  <conditionalFormatting sqref="A2">
    <cfRule type="duplicateValues" dxfId="64" priority="32"/>
  </conditionalFormatting>
  <conditionalFormatting sqref="A2">
    <cfRule type="duplicateValues" dxfId="63" priority="30"/>
    <cfRule type="duplicateValues" priority="31"/>
  </conditionalFormatting>
  <conditionalFormatting sqref="A2">
    <cfRule type="duplicateValues" dxfId="62" priority="29"/>
  </conditionalFormatting>
  <conditionalFormatting sqref="A2">
    <cfRule type="duplicateValues" dxfId="61" priority="33"/>
  </conditionalFormatting>
  <conditionalFormatting sqref="A2">
    <cfRule type="duplicateValues" dxfId="60" priority="28"/>
  </conditionalFormatting>
  <conditionalFormatting sqref="A3:A90">
    <cfRule type="duplicateValues" dxfId="59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8"/>
  <sheetViews>
    <sheetView workbookViewId="0">
      <pane xSplit="2" ySplit="2" topLeftCell="O3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X2" sqref="X2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8" max="8" width="11.28515625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SUBTOTAL(9,K3:K108)</f>
        <v>19641866</v>
      </c>
      <c r="L1" s="31">
        <f>SUBTOTAL(9,L31:L108)</f>
        <v>3889564</v>
      </c>
      <c r="M1" s="30">
        <f>L1/K1</f>
        <v>0.19802415921175717</v>
      </c>
      <c r="N1" s="30"/>
      <c r="O1" s="30"/>
      <c r="P1" s="31">
        <f>SUBTOTAL(9,P3:P108)</f>
        <v>1350</v>
      </c>
      <c r="Q1" s="31">
        <f>SUBTOTAL(9,Q31:Q108)</f>
        <v>237</v>
      </c>
      <c r="R1" s="30">
        <f>Q1/P1</f>
        <v>0.17555555555555555</v>
      </c>
      <c r="S1" s="30"/>
      <c r="T1" s="30"/>
      <c r="U1" s="31">
        <f>SUBTOTAL(9,U31:U108)</f>
        <v>13</v>
      </c>
      <c r="V1" s="31">
        <f>SUBTOTAL(9,V31:V108)</f>
        <v>64</v>
      </c>
      <c r="W1" s="31">
        <f>SUBTOTAL(9,W31:W108)</f>
        <v>3</v>
      </c>
      <c r="X1" s="31">
        <f>SUBTOTAL(9,X31:X108)</f>
        <v>10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75" t="s">
        <v>3562</v>
      </c>
      <c r="B3" s="75" t="s">
        <v>3563</v>
      </c>
      <c r="C3" s="75" t="s">
        <v>91</v>
      </c>
      <c r="D3" s="75" t="s">
        <v>92</v>
      </c>
      <c r="E3" s="75" t="s">
        <v>8</v>
      </c>
      <c r="F3" s="75" t="s">
        <v>3564</v>
      </c>
      <c r="G3" s="67">
        <v>1931364247</v>
      </c>
      <c r="H3" s="54" t="s">
        <v>229</v>
      </c>
      <c r="I3" s="54" t="s">
        <v>3514</v>
      </c>
      <c r="J3" s="34" t="s">
        <v>3419</v>
      </c>
      <c r="K3" s="43">
        <f>VLOOKUP(A3,'SSP_March''19'!$A$3:$L$1193,11,0)</f>
        <v>224179</v>
      </c>
      <c r="L3" s="43">
        <f>VLOOKUP(A3,'SSP_March''19'!$A$3:$L$1193,12,0)</f>
        <v>63735</v>
      </c>
      <c r="M3" s="44">
        <f t="shared" ref="M3:M12" si="0">L3/K3</f>
        <v>0.28430406059443569</v>
      </c>
      <c r="N3" s="49">
        <f>ROUND(VLOOKUP(A3,'SSP_March''19'!$A$3:$N$1193,14,0),0)</f>
        <v>197579</v>
      </c>
      <c r="O3" s="44">
        <f t="shared" ref="O3:O12" si="1">N3/K3</f>
        <v>0.88134481820331079</v>
      </c>
      <c r="P3" s="45">
        <f>VLOOKUP(A3,'SSP_March''19'!$A$3:$Q$1193,16,0)</f>
        <v>10</v>
      </c>
      <c r="Q3" s="34">
        <f>VLOOKUP(A3,'SSP_March''19'!$A$3:$Q$1193,17,0)</f>
        <v>3</v>
      </c>
      <c r="R3" s="35">
        <f t="shared" ref="R3:R12" si="2">Q3/P3</f>
        <v>0.3</v>
      </c>
      <c r="S3" s="49">
        <f>ROUND(VLOOKUP(A3,'SSP_March''19'!$A$3:$T$1193,19,0),0)</f>
        <v>9</v>
      </c>
      <c r="T3" s="44">
        <f>VLOOKUP(A3,'SSP_March''19'!$A$3:$T$1193,20,0)</f>
        <v>0.9</v>
      </c>
      <c r="U3" s="34">
        <f>VLOOKUP(A3,'SSP_March''19'!$A$3:$X$1193,21,0)</f>
        <v>0</v>
      </c>
      <c r="V3" s="34">
        <f>VLOOKUP(A3,'SSP_March''19'!$A$3:$X$1193,22,0)</f>
        <v>0</v>
      </c>
      <c r="W3" s="34">
        <f>VLOOKUP(A3,'SSP_March''19'!$A$3:$X$1193,23,0)</f>
        <v>0</v>
      </c>
      <c r="X3" s="34">
        <f>VLOOKUP(A3,'SSP_March''19'!$A$3:$X$1193,24,0)</f>
        <v>0</v>
      </c>
    </row>
    <row r="4" spans="1:24">
      <c r="A4" s="34" t="s">
        <v>3232</v>
      </c>
      <c r="B4" s="34" t="s">
        <v>93</v>
      </c>
      <c r="C4" s="34" t="s">
        <v>91</v>
      </c>
      <c r="D4" s="34" t="s">
        <v>92</v>
      </c>
      <c r="E4" s="34" t="s">
        <v>8</v>
      </c>
      <c r="F4" s="34" t="s">
        <v>3233</v>
      </c>
      <c r="G4" s="54">
        <v>1812170999</v>
      </c>
      <c r="H4" s="54" t="s">
        <v>229</v>
      </c>
      <c r="I4" s="54" t="s">
        <v>3518</v>
      </c>
      <c r="J4" s="34" t="s">
        <v>3420</v>
      </c>
      <c r="K4" s="43">
        <f>VLOOKUP(A4,'SSP_March''19'!$A$3:$L$1193,11,0)</f>
        <v>338286</v>
      </c>
      <c r="L4" s="43">
        <f>VLOOKUP(A4,'SSP_March''19'!$A$3:$L$1193,12,0)</f>
        <v>118040</v>
      </c>
      <c r="M4" s="44">
        <f t="shared" si="0"/>
        <v>0.34893551610176005</v>
      </c>
      <c r="N4" s="49">
        <f>ROUND(VLOOKUP(A4,'SSP_March''19'!$A$3:$N$1193,14,0),0)</f>
        <v>365924</v>
      </c>
      <c r="O4" s="44">
        <f t="shared" si="1"/>
        <v>1.0817000999154562</v>
      </c>
      <c r="P4" s="45">
        <f>VLOOKUP(A4,'SSP_March''19'!$A$3:$Q$1193,16,0)</f>
        <v>19</v>
      </c>
      <c r="Q4" s="34">
        <f>VLOOKUP(A4,'SSP_March''19'!$A$3:$Q$1193,17,0)</f>
        <v>6</v>
      </c>
      <c r="R4" s="35">
        <f t="shared" si="2"/>
        <v>0.31578947368421051</v>
      </c>
      <c r="S4" s="49">
        <f>ROUND(VLOOKUP(A4,'SSP_March''19'!$A$3:$T$1193,19,0),0)</f>
        <v>19</v>
      </c>
      <c r="T4" s="44">
        <f>VLOOKUP(A4,'SSP_March''19'!$A$3:$T$1193,20,0)</f>
        <v>1</v>
      </c>
      <c r="U4" s="34">
        <f>VLOOKUP(A4,'SSP_March''19'!$A$3:$X$1193,21,0)</f>
        <v>0</v>
      </c>
      <c r="V4" s="34">
        <f>VLOOKUP(A4,'SSP_March''19'!$A$3:$X$1193,22,0)</f>
        <v>3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34" t="s">
        <v>3213</v>
      </c>
      <c r="B5" s="34" t="s">
        <v>3214</v>
      </c>
      <c r="C5" s="34" t="s">
        <v>91</v>
      </c>
      <c r="D5" s="34" t="s">
        <v>92</v>
      </c>
      <c r="E5" s="34" t="s">
        <v>8</v>
      </c>
      <c r="F5" s="34" t="s">
        <v>3215</v>
      </c>
      <c r="G5" s="54">
        <v>1936747836</v>
      </c>
      <c r="H5" s="54" t="s">
        <v>229</v>
      </c>
      <c r="I5" s="54" t="s">
        <v>3514</v>
      </c>
      <c r="J5" s="34" t="s">
        <v>3420</v>
      </c>
      <c r="K5" s="43">
        <f>VLOOKUP(A5,'SSP_March''19'!$A$3:$L$1193,11,0)</f>
        <v>282619</v>
      </c>
      <c r="L5" s="43">
        <f>VLOOKUP(A5,'SSP_March''19'!$A$3:$L$1193,12,0)</f>
        <v>154695</v>
      </c>
      <c r="M5" s="44">
        <f t="shared" si="0"/>
        <v>0.54736235001893008</v>
      </c>
      <c r="N5" s="49">
        <f>ROUND(VLOOKUP(A5,'SSP_March''19'!$A$3:$N$1193,14,0),0)</f>
        <v>479555</v>
      </c>
      <c r="O5" s="44">
        <f t="shared" si="1"/>
        <v>1.6968250542249459</v>
      </c>
      <c r="P5" s="45">
        <f>VLOOKUP(A5,'SSP_March''19'!$A$3:$Q$1193,16,0)</f>
        <v>18</v>
      </c>
      <c r="Q5" s="34">
        <f>VLOOKUP(A5,'SSP_March''19'!$A$3:$Q$1193,17,0)</f>
        <v>9</v>
      </c>
      <c r="R5" s="35">
        <f t="shared" si="2"/>
        <v>0.5</v>
      </c>
      <c r="S5" s="49">
        <f>ROUND(VLOOKUP(A5,'SSP_March''19'!$A$3:$T$1193,19,0),0)</f>
        <v>28</v>
      </c>
      <c r="T5" s="44">
        <f>VLOOKUP(A5,'SSP_March''19'!$A$3:$T$1193,20,0)</f>
        <v>1.5555555555555556</v>
      </c>
      <c r="U5" s="34">
        <f>VLOOKUP(A5,'SSP_March''19'!$A$3:$X$1193,21,0)</f>
        <v>0</v>
      </c>
      <c r="V5" s="34">
        <f>VLOOKUP(A5,'SSP_March''19'!$A$3:$X$1193,22,0)</f>
        <v>3</v>
      </c>
      <c r="W5" s="34">
        <f>VLOOKUP(A5,'SSP_March''19'!$A$3:$X$1193,23,0)</f>
        <v>0</v>
      </c>
      <c r="X5" s="34">
        <f>VLOOKUP(A5,'SSP_March''19'!$A$3:$X$1193,24,0)</f>
        <v>0</v>
      </c>
    </row>
    <row r="6" spans="1:24">
      <c r="A6" s="34" t="s">
        <v>3234</v>
      </c>
      <c r="B6" s="34" t="s">
        <v>3235</v>
      </c>
      <c r="C6" s="34" t="s">
        <v>91</v>
      </c>
      <c r="D6" s="34" t="s">
        <v>92</v>
      </c>
      <c r="E6" s="34" t="s">
        <v>8</v>
      </c>
      <c r="F6" s="34" t="s">
        <v>3236</v>
      </c>
      <c r="G6" s="54">
        <v>1720209944</v>
      </c>
      <c r="H6" s="54" t="s">
        <v>229</v>
      </c>
      <c r="I6" s="54" t="s">
        <v>3514</v>
      </c>
      <c r="J6" s="34" t="s">
        <v>3420</v>
      </c>
      <c r="K6" s="43">
        <f>VLOOKUP(A6,'SSP_March''19'!$A$3:$L$1193,11,0)</f>
        <v>297502</v>
      </c>
      <c r="L6" s="43">
        <f>VLOOKUP(A6,'SSP_March''19'!$A$3:$L$1193,12,0)</f>
        <v>124040</v>
      </c>
      <c r="M6" s="44">
        <f t="shared" si="0"/>
        <v>0.41693837352353935</v>
      </c>
      <c r="N6" s="49">
        <f>ROUND(VLOOKUP(A6,'SSP_March''19'!$A$3:$N$1193,14,0),0)</f>
        <v>384524</v>
      </c>
      <c r="O6" s="44">
        <f t="shared" si="1"/>
        <v>1.292508957922972</v>
      </c>
      <c r="P6" s="45">
        <f>VLOOKUP(A6,'SSP_March''19'!$A$3:$Q$1193,16,0)</f>
        <v>20</v>
      </c>
      <c r="Q6" s="34">
        <f>VLOOKUP(A6,'SSP_March''19'!$A$3:$Q$1193,17,0)</f>
        <v>7</v>
      </c>
      <c r="R6" s="35">
        <f t="shared" si="2"/>
        <v>0.35</v>
      </c>
      <c r="S6" s="49">
        <f>ROUND(VLOOKUP(A6,'SSP_March''19'!$A$3:$T$1193,19,0),0)</f>
        <v>22</v>
      </c>
      <c r="T6" s="44">
        <f>VLOOKUP(A6,'SSP_March''19'!$A$3:$T$1193,20,0)</f>
        <v>1.1000000000000001</v>
      </c>
      <c r="U6" s="34">
        <f>VLOOKUP(A6,'SSP_March''19'!$A$3:$X$1193,21,0)</f>
        <v>1</v>
      </c>
      <c r="V6" s="34">
        <f>VLOOKUP(A6,'SSP_March''19'!$A$3:$X$1193,22,0)</f>
        <v>0</v>
      </c>
      <c r="W6" s="34">
        <f>VLOOKUP(A6,'SSP_March''19'!$A$3:$X$1193,23,0)</f>
        <v>0</v>
      </c>
      <c r="X6" s="34">
        <f>VLOOKUP(A6,'SSP_March''19'!$A$3:$X$1193,24,0)</f>
        <v>1</v>
      </c>
    </row>
    <row r="7" spans="1:24">
      <c r="A7" s="75" t="s">
        <v>3565</v>
      </c>
      <c r="B7" s="75" t="s">
        <v>3566</v>
      </c>
      <c r="C7" s="75" t="s">
        <v>91</v>
      </c>
      <c r="D7" s="75" t="s">
        <v>92</v>
      </c>
      <c r="E7" s="75" t="s">
        <v>8</v>
      </c>
      <c r="F7" s="75" t="s">
        <v>3567</v>
      </c>
      <c r="G7" s="67">
        <v>1768497450</v>
      </c>
      <c r="H7" s="54" t="s">
        <v>229</v>
      </c>
      <c r="I7" s="54" t="s">
        <v>3514</v>
      </c>
      <c r="J7" s="34" t="s">
        <v>3515</v>
      </c>
      <c r="K7" s="43">
        <f>VLOOKUP(A7,'SSP_March''19'!$A$3:$L$1193,11,0)</f>
        <v>130000</v>
      </c>
      <c r="L7" s="43">
        <f>VLOOKUP(A7,'SSP_March''19'!$A$3:$L$1193,12,0)</f>
        <v>58700</v>
      </c>
      <c r="M7" s="44">
        <f t="shared" si="0"/>
        <v>0.45153846153846156</v>
      </c>
      <c r="N7" s="49">
        <f>ROUND(VLOOKUP(A7,'SSP_March''19'!$A$3:$N$1193,14,0),0)</f>
        <v>181970</v>
      </c>
      <c r="O7" s="44">
        <f t="shared" si="1"/>
        <v>1.3997692307692309</v>
      </c>
      <c r="P7" s="45">
        <f>VLOOKUP(A7,'SSP_March''19'!$A$3:$Q$1193,16,0)</f>
        <v>10</v>
      </c>
      <c r="Q7" s="34">
        <f>VLOOKUP(A7,'SSP_March''19'!$A$3:$Q$1193,17,0)</f>
        <v>2</v>
      </c>
      <c r="R7" s="35">
        <f t="shared" si="2"/>
        <v>0.2</v>
      </c>
      <c r="S7" s="49">
        <f>ROUND(VLOOKUP(A7,'SSP_March''19'!$A$3:$T$1193,19,0),0)</f>
        <v>6</v>
      </c>
      <c r="T7" s="44">
        <f>VLOOKUP(A7,'SSP_March''19'!$A$3:$T$1193,20,0)</f>
        <v>0.6</v>
      </c>
      <c r="U7" s="34">
        <f>VLOOKUP(A7,'SSP_March''19'!$A$3:$X$1193,21,0)</f>
        <v>0</v>
      </c>
      <c r="V7" s="34">
        <f>VLOOKUP(A7,'SSP_March''19'!$A$3:$X$1193,22,0)</f>
        <v>0</v>
      </c>
      <c r="W7" s="34">
        <f>VLOOKUP(A7,'SSP_March''19'!$A$3:$X$1193,23,0)</f>
        <v>0</v>
      </c>
      <c r="X7" s="34">
        <f>VLOOKUP(A7,'SSP_March''19'!$A$3:$X$1193,24,0)</f>
        <v>0</v>
      </c>
    </row>
    <row r="8" spans="1:24">
      <c r="A8" s="34" t="s">
        <v>1835</v>
      </c>
      <c r="B8" s="34" t="s">
        <v>1836</v>
      </c>
      <c r="C8" s="34" t="s">
        <v>91</v>
      </c>
      <c r="D8" s="34" t="s">
        <v>92</v>
      </c>
      <c r="E8" s="34" t="s">
        <v>8</v>
      </c>
      <c r="F8" s="34" t="s">
        <v>1837</v>
      </c>
      <c r="G8" s="54">
        <v>1914489457</v>
      </c>
      <c r="H8" s="54" t="s">
        <v>229</v>
      </c>
      <c r="I8" s="54" t="s">
        <v>3514</v>
      </c>
      <c r="J8" s="34" t="s">
        <v>3420</v>
      </c>
      <c r="K8" s="43">
        <f>VLOOKUP(A8,'SSP_March''19'!$A$3:$L$1193,11,0)</f>
        <v>164859</v>
      </c>
      <c r="L8" s="43">
        <f>VLOOKUP(A8,'SSP_March''19'!$A$3:$L$1193,12,0)</f>
        <v>30600</v>
      </c>
      <c r="M8" s="44">
        <f t="shared" si="0"/>
        <v>0.18561316033701528</v>
      </c>
      <c r="N8" s="49">
        <f>ROUND(VLOOKUP(A8,'SSP_March''19'!$A$3:$N$1193,14,0),0)</f>
        <v>94860</v>
      </c>
      <c r="O8" s="44">
        <f t="shared" si="1"/>
        <v>0.57540079704474734</v>
      </c>
      <c r="P8" s="45">
        <f>VLOOKUP(A8,'SSP_March''19'!$A$3:$Q$1193,16,0)</f>
        <v>10</v>
      </c>
      <c r="Q8" s="34">
        <f>VLOOKUP(A8,'SSP_March''19'!$A$3:$Q$1193,17,0)</f>
        <v>2</v>
      </c>
      <c r="R8" s="35">
        <f t="shared" si="2"/>
        <v>0.2</v>
      </c>
      <c r="S8" s="49">
        <f>ROUND(VLOOKUP(A8,'SSP_March''19'!$A$3:$T$1193,19,0),0)</f>
        <v>6</v>
      </c>
      <c r="T8" s="44">
        <f>VLOOKUP(A8,'SSP_March''19'!$A$3:$T$1193,20,0)</f>
        <v>0.6</v>
      </c>
      <c r="U8" s="34">
        <f>VLOOKUP(A8,'SSP_March''19'!$A$3:$X$1193,21,0)</f>
        <v>0</v>
      </c>
      <c r="V8" s="34">
        <f>VLOOKUP(A8,'SSP_March''19'!$A$3:$X$1193,22,0)</f>
        <v>0</v>
      </c>
      <c r="W8" s="34">
        <f>VLOOKUP(A8,'SSP_March''19'!$A$3:$X$1193,23,0)</f>
        <v>0</v>
      </c>
      <c r="X8" s="34">
        <f>VLOOKUP(A8,'SSP_March''19'!$A$3:$X$1193,24,0)</f>
        <v>0</v>
      </c>
    </row>
    <row r="9" spans="1:24">
      <c r="A9" s="34" t="s">
        <v>1820</v>
      </c>
      <c r="B9" s="34" t="s">
        <v>1821</v>
      </c>
      <c r="C9" s="34" t="s">
        <v>91</v>
      </c>
      <c r="D9" s="34" t="s">
        <v>92</v>
      </c>
      <c r="E9" s="34" t="s">
        <v>8</v>
      </c>
      <c r="F9" s="34" t="s">
        <v>1822</v>
      </c>
      <c r="G9" s="54">
        <v>1954110851</v>
      </c>
      <c r="H9" s="54" t="s">
        <v>229</v>
      </c>
      <c r="I9" s="54" t="s">
        <v>3514</v>
      </c>
      <c r="J9" s="34" t="s">
        <v>3419</v>
      </c>
      <c r="K9" s="43">
        <f>VLOOKUP(A9,'SSP_March''19'!$A$3:$L$1193,11,0)</f>
        <v>224179</v>
      </c>
      <c r="L9" s="43">
        <f>VLOOKUP(A9,'SSP_March''19'!$A$3:$L$1193,12,0)</f>
        <v>69769</v>
      </c>
      <c r="M9" s="44">
        <f t="shared" si="0"/>
        <v>0.31122005183357943</v>
      </c>
      <c r="N9" s="49">
        <f>ROUND(VLOOKUP(A9,'SSP_March''19'!$A$3:$N$1193,14,0),0)</f>
        <v>216284</v>
      </c>
      <c r="O9" s="44">
        <f t="shared" si="1"/>
        <v>0.96478260675620819</v>
      </c>
      <c r="P9" s="45">
        <f>VLOOKUP(A9,'SSP_March''19'!$A$3:$Q$1193,16,0)</f>
        <v>10</v>
      </c>
      <c r="Q9" s="34">
        <f>VLOOKUP(A9,'SSP_March''19'!$A$3:$Q$1193,17,0)</f>
        <v>3</v>
      </c>
      <c r="R9" s="35">
        <f t="shared" si="2"/>
        <v>0.3</v>
      </c>
      <c r="S9" s="49">
        <f>ROUND(VLOOKUP(A9,'SSP_March''19'!$A$3:$T$1193,19,0),0)</f>
        <v>9</v>
      </c>
      <c r="T9" s="44">
        <f>VLOOKUP(A9,'SSP_March''19'!$A$3:$T$1193,20,0)</f>
        <v>0.9</v>
      </c>
      <c r="U9" s="34">
        <f>VLOOKUP(A9,'SSP_March''19'!$A$3:$X$1193,21,0)</f>
        <v>0</v>
      </c>
      <c r="V9" s="34">
        <f>VLOOKUP(A9,'SSP_March''19'!$A$3:$X$1193,22,0)</f>
        <v>3</v>
      </c>
      <c r="W9" s="34">
        <f>VLOOKUP(A9,'SSP_March''19'!$A$3:$X$1193,23,0)</f>
        <v>0</v>
      </c>
      <c r="X9" s="34">
        <f>VLOOKUP(A9,'SSP_March''19'!$A$3:$X$1193,24,0)</f>
        <v>0</v>
      </c>
    </row>
    <row r="10" spans="1:24">
      <c r="A10" s="34" t="s">
        <v>1807</v>
      </c>
      <c r="B10" s="34" t="s">
        <v>1808</v>
      </c>
      <c r="C10" s="34" t="s">
        <v>91</v>
      </c>
      <c r="D10" s="34" t="s">
        <v>92</v>
      </c>
      <c r="E10" s="34" t="s">
        <v>8</v>
      </c>
      <c r="F10" s="34" t="s">
        <v>1809</v>
      </c>
      <c r="G10" s="54">
        <v>1913259079</v>
      </c>
      <c r="H10" s="54" t="s">
        <v>229</v>
      </c>
      <c r="I10" s="54" t="s">
        <v>3514</v>
      </c>
      <c r="J10" s="34" t="s">
        <v>3421</v>
      </c>
      <c r="K10" s="43">
        <f>VLOOKUP(A10,'SSP_March''19'!$A$3:$L$1193,11,0)</f>
        <v>130000</v>
      </c>
      <c r="L10" s="43">
        <f>VLOOKUP(A10,'SSP_March''19'!$A$3:$L$1193,12,0)</f>
        <v>40940</v>
      </c>
      <c r="M10" s="44">
        <f t="shared" si="0"/>
        <v>0.31492307692307692</v>
      </c>
      <c r="N10" s="49">
        <f>ROUND(VLOOKUP(A10,'SSP_March''19'!$A$3:$N$1193,14,0),0)</f>
        <v>126914</v>
      </c>
      <c r="O10" s="44">
        <f t="shared" si="1"/>
        <v>0.97626153846153851</v>
      </c>
      <c r="P10" s="45">
        <f>VLOOKUP(A10,'SSP_March''19'!$A$3:$Q$1193,16,0)</f>
        <v>10</v>
      </c>
      <c r="Q10" s="34">
        <f>VLOOKUP(A10,'SSP_March''19'!$A$3:$Q$1193,17,0)</f>
        <v>4</v>
      </c>
      <c r="R10" s="35">
        <f t="shared" si="2"/>
        <v>0.4</v>
      </c>
      <c r="S10" s="49">
        <f>ROUND(VLOOKUP(A10,'SSP_March''19'!$A$3:$T$1193,19,0),0)</f>
        <v>12</v>
      </c>
      <c r="T10" s="44">
        <f>VLOOKUP(A10,'SSP_March''19'!$A$3:$T$1193,20,0)</f>
        <v>1.2</v>
      </c>
      <c r="U10" s="34">
        <f>VLOOKUP(A10,'SSP_March''19'!$A$3:$X$1193,21,0)</f>
        <v>0</v>
      </c>
      <c r="V10" s="34">
        <f>VLOOKUP(A10,'SSP_March''19'!$A$3:$X$1193,22,0)</f>
        <v>2</v>
      </c>
      <c r="W10" s="34">
        <f>VLOOKUP(A10,'SSP_March''19'!$A$3:$X$1193,23,0)</f>
        <v>0</v>
      </c>
      <c r="X10" s="34">
        <f>VLOOKUP(A10,'SSP_March''19'!$A$3:$X$1193,24,0)</f>
        <v>0</v>
      </c>
    </row>
    <row r="11" spans="1:24">
      <c r="A11" s="34" t="s">
        <v>1844</v>
      </c>
      <c r="B11" s="34" t="s">
        <v>1802</v>
      </c>
      <c r="C11" s="34" t="s">
        <v>155</v>
      </c>
      <c r="D11" s="34" t="s">
        <v>92</v>
      </c>
      <c r="E11" s="34" t="s">
        <v>8</v>
      </c>
      <c r="F11" s="34" t="s">
        <v>1845</v>
      </c>
      <c r="G11" s="54">
        <v>1965303110</v>
      </c>
      <c r="H11" s="54" t="s">
        <v>229</v>
      </c>
      <c r="I11" s="54" t="s">
        <v>3514</v>
      </c>
      <c r="J11" s="34" t="s">
        <v>3419</v>
      </c>
      <c r="K11" s="43">
        <f>VLOOKUP(A11,'SSP_March''19'!$A$3:$L$1193,11,0)</f>
        <v>130000</v>
      </c>
      <c r="L11" s="43">
        <f>VLOOKUP(A11,'SSP_March''19'!$A$3:$L$1193,12,0)</f>
        <v>29800</v>
      </c>
      <c r="M11" s="44">
        <f t="shared" si="0"/>
        <v>0.22923076923076924</v>
      </c>
      <c r="N11" s="49">
        <f>ROUND(VLOOKUP(A11,'SSP_March''19'!$A$3:$N$1193,14,0),0)</f>
        <v>92380</v>
      </c>
      <c r="O11" s="44">
        <f t="shared" si="1"/>
        <v>0.71061538461538465</v>
      </c>
      <c r="P11" s="45">
        <f>VLOOKUP(A11,'SSP_March''19'!$A$3:$Q$1193,16,0)</f>
        <v>10</v>
      </c>
      <c r="Q11" s="34">
        <f>VLOOKUP(A11,'SSP_March''19'!$A$3:$Q$1193,17,0)</f>
        <v>2</v>
      </c>
      <c r="R11" s="35">
        <f t="shared" si="2"/>
        <v>0.2</v>
      </c>
      <c r="S11" s="49">
        <f>ROUND(VLOOKUP(A11,'SSP_March''19'!$A$3:$T$1193,19,0),0)</f>
        <v>6</v>
      </c>
      <c r="T11" s="44">
        <f>VLOOKUP(A11,'SSP_March''19'!$A$3:$T$1193,20,0)</f>
        <v>0.6</v>
      </c>
      <c r="U11" s="34">
        <f>VLOOKUP(A11,'SSP_March''19'!$A$3:$X$1193,21,0)</f>
        <v>0</v>
      </c>
      <c r="V11" s="34">
        <f>VLOOKUP(A11,'SSP_March''19'!$A$3:$X$1193,22,0)</f>
        <v>1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34" t="s">
        <v>1815</v>
      </c>
      <c r="B12" s="34" t="s">
        <v>1816</v>
      </c>
      <c r="C12" s="34" t="s">
        <v>155</v>
      </c>
      <c r="D12" s="34" t="s">
        <v>92</v>
      </c>
      <c r="E12" s="34" t="s">
        <v>8</v>
      </c>
      <c r="F12" s="34" t="s">
        <v>1817</v>
      </c>
      <c r="G12" s="54">
        <v>1914760498</v>
      </c>
      <c r="H12" s="54" t="s">
        <v>229</v>
      </c>
      <c r="I12" s="54" t="s">
        <v>3514</v>
      </c>
      <c r="J12" s="34" t="s">
        <v>3419</v>
      </c>
      <c r="K12" s="43">
        <f>VLOOKUP(A12,'SSP_March''19'!$A$3:$L$1193,11,0)</f>
        <v>180000</v>
      </c>
      <c r="L12" s="43">
        <f>VLOOKUP(A12,'SSP_March''19'!$A$3:$L$1193,12,0)</f>
        <v>15570</v>
      </c>
      <c r="M12" s="44">
        <f t="shared" si="0"/>
        <v>8.6499999999999994E-2</v>
      </c>
      <c r="N12" s="49">
        <f>ROUND(VLOOKUP(A12,'SSP_March''19'!$A$3:$N$1193,14,0),0)</f>
        <v>48267</v>
      </c>
      <c r="O12" s="44">
        <f t="shared" si="1"/>
        <v>0.26815</v>
      </c>
      <c r="P12" s="45">
        <f>VLOOKUP(A12,'SSP_March''19'!$A$3:$Q$1193,16,0)</f>
        <v>15</v>
      </c>
      <c r="Q12" s="34">
        <f>VLOOKUP(A12,'SSP_March''19'!$A$3:$Q$1193,17,0)</f>
        <v>0</v>
      </c>
      <c r="R12" s="35">
        <f t="shared" si="2"/>
        <v>0</v>
      </c>
      <c r="S12" s="49">
        <f>ROUND(VLOOKUP(A12,'SSP_March''19'!$A$3:$T$1193,19,0),0)</f>
        <v>0</v>
      </c>
      <c r="T12" s="44">
        <f>VLOOKUP(A12,'SSP_March''19'!$A$3:$T$1193,20,0)</f>
        <v>0</v>
      </c>
      <c r="U12" s="34">
        <f>VLOOKUP(A12,'SSP_March''19'!$A$3:$X$1193,21,0)</f>
        <v>1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34" t="s">
        <v>1813</v>
      </c>
      <c r="B13" s="34" t="s">
        <v>843</v>
      </c>
      <c r="C13" s="34" t="s">
        <v>155</v>
      </c>
      <c r="D13" s="34" t="s">
        <v>92</v>
      </c>
      <c r="E13" s="34" t="s">
        <v>8</v>
      </c>
      <c r="F13" s="34" t="s">
        <v>1814</v>
      </c>
      <c r="G13" s="54">
        <v>1748052602</v>
      </c>
      <c r="H13" s="54" t="s">
        <v>229</v>
      </c>
      <c r="I13" s="54" t="s">
        <v>3518</v>
      </c>
      <c r="J13" s="34" t="s">
        <v>3419</v>
      </c>
      <c r="K13" s="43">
        <f>VLOOKUP(A13,'SSP_March''19'!$A$3:$L$1193,11,0)</f>
        <v>350000</v>
      </c>
      <c r="L13" s="43">
        <f>VLOOKUP(A13,'SSP_March''19'!$A$3:$L$1193,12,0)</f>
        <v>118320</v>
      </c>
      <c r="M13" s="44">
        <f t="shared" ref="M13:M30" si="3">L13/K13</f>
        <v>0.33805714285714283</v>
      </c>
      <c r="N13" s="49">
        <f>ROUND(VLOOKUP(A13,'SSP_March''19'!$A$3:$N$1193,14,0),0)</f>
        <v>366792</v>
      </c>
      <c r="O13" s="44">
        <f t="shared" ref="O13:O30" si="4">N13/K13</f>
        <v>1.0479771428571429</v>
      </c>
      <c r="P13" s="45">
        <f>VLOOKUP(A13,'SSP_March''19'!$A$3:$Q$1193,16,0)</f>
        <v>25</v>
      </c>
      <c r="Q13" s="34">
        <f>VLOOKUP(A13,'SSP_March''19'!$A$3:$Q$1193,17,0)</f>
        <v>12</v>
      </c>
      <c r="R13" s="35">
        <f t="shared" ref="R13:R30" si="5">Q13/P13</f>
        <v>0.48</v>
      </c>
      <c r="S13" s="49">
        <f>ROUND(VLOOKUP(A13,'SSP_March''19'!$A$3:$T$1193,19,0),0)</f>
        <v>37</v>
      </c>
      <c r="T13" s="44">
        <f>VLOOKUP(A13,'SSP_March''19'!$A$3:$T$1193,20,0)</f>
        <v>1.48</v>
      </c>
      <c r="U13" s="34">
        <f>VLOOKUP(A13,'SSP_March''19'!$A$3:$X$1193,21,0)</f>
        <v>1</v>
      </c>
      <c r="V13" s="34">
        <f>VLOOKUP(A13,'SSP_March''19'!$A$3:$X$1193,22,0)</f>
        <v>7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34" t="s">
        <v>1838</v>
      </c>
      <c r="B14" s="34" t="s">
        <v>1839</v>
      </c>
      <c r="C14" s="34" t="s">
        <v>155</v>
      </c>
      <c r="D14" s="34" t="s">
        <v>92</v>
      </c>
      <c r="E14" s="34" t="s">
        <v>8</v>
      </c>
      <c r="F14" s="34" t="s">
        <v>1840</v>
      </c>
      <c r="G14" s="54">
        <v>1715229931</v>
      </c>
      <c r="H14" s="54" t="s">
        <v>229</v>
      </c>
      <c r="I14" s="54" t="s">
        <v>3514</v>
      </c>
      <c r="J14" s="34" t="s">
        <v>3421</v>
      </c>
      <c r="K14" s="43">
        <f>VLOOKUP(A14,'SSP_March''19'!$A$3:$L$1193,11,0)</f>
        <v>130000</v>
      </c>
      <c r="L14" s="43">
        <f>VLOOKUP(A14,'SSP_March''19'!$A$3:$L$1193,12,0)</f>
        <v>13170</v>
      </c>
      <c r="M14" s="44">
        <f t="shared" si="3"/>
        <v>0.10130769230769231</v>
      </c>
      <c r="N14" s="49">
        <f>ROUND(VLOOKUP(A14,'SSP_March''19'!$A$3:$N$1193,14,0),0)</f>
        <v>40827</v>
      </c>
      <c r="O14" s="44">
        <f t="shared" si="4"/>
        <v>0.31405384615384613</v>
      </c>
      <c r="P14" s="45">
        <f>VLOOKUP(A14,'SSP_March''19'!$A$3:$Q$1193,16,0)</f>
        <v>10</v>
      </c>
      <c r="Q14" s="34">
        <f>VLOOKUP(A14,'SSP_March''19'!$A$3:$Q$1193,17,0)</f>
        <v>1</v>
      </c>
      <c r="R14" s="35">
        <f t="shared" si="5"/>
        <v>0.1</v>
      </c>
      <c r="S14" s="49">
        <f>ROUND(VLOOKUP(A14,'SSP_March''19'!$A$3:$T$1193,19,0),0)</f>
        <v>3</v>
      </c>
      <c r="T14" s="44">
        <f>VLOOKUP(A14,'SSP_March''19'!$A$3:$T$1193,20,0)</f>
        <v>0.3</v>
      </c>
      <c r="U14" s="34">
        <f>VLOOKUP(A14,'SSP_March''19'!$A$3:$X$1193,21,0)</f>
        <v>0</v>
      </c>
      <c r="V14" s="34">
        <f>VLOOKUP(A14,'SSP_March''19'!$A$3:$X$1193,22,0)</f>
        <v>0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34" t="s">
        <v>1826</v>
      </c>
      <c r="B15" s="34" t="s">
        <v>1827</v>
      </c>
      <c r="C15" s="34" t="s">
        <v>155</v>
      </c>
      <c r="D15" s="34" t="s">
        <v>92</v>
      </c>
      <c r="E15" s="34" t="s">
        <v>8</v>
      </c>
      <c r="F15" s="34" t="s">
        <v>1828</v>
      </c>
      <c r="G15" s="54">
        <v>1911271245</v>
      </c>
      <c r="H15" s="54" t="s">
        <v>229</v>
      </c>
      <c r="I15" s="54" t="s">
        <v>3514</v>
      </c>
      <c r="J15" s="34" t="s">
        <v>3419</v>
      </c>
      <c r="K15" s="43">
        <f>VLOOKUP(A15,'SSP_March''19'!$A$3:$L$1193,11,0)</f>
        <v>130000</v>
      </c>
      <c r="L15" s="43">
        <f>VLOOKUP(A15,'SSP_March''19'!$A$3:$L$1193,12,0)</f>
        <v>35690</v>
      </c>
      <c r="M15" s="44">
        <f t="shared" si="3"/>
        <v>0.27453846153846156</v>
      </c>
      <c r="N15" s="49">
        <f>ROUND(VLOOKUP(A15,'SSP_March''19'!$A$3:$N$1193,14,0),0)</f>
        <v>110639</v>
      </c>
      <c r="O15" s="44">
        <f t="shared" si="4"/>
        <v>0.8510692307692308</v>
      </c>
      <c r="P15" s="45">
        <f>VLOOKUP(A15,'SSP_March''19'!$A$3:$Q$1193,16,0)</f>
        <v>10</v>
      </c>
      <c r="Q15" s="34">
        <f>VLOOKUP(A15,'SSP_March''19'!$A$3:$Q$1193,17,0)</f>
        <v>2</v>
      </c>
      <c r="R15" s="35">
        <f t="shared" si="5"/>
        <v>0.2</v>
      </c>
      <c r="S15" s="49">
        <f>ROUND(VLOOKUP(A15,'SSP_March''19'!$A$3:$T$1193,19,0),0)</f>
        <v>6</v>
      </c>
      <c r="T15" s="44">
        <f>VLOOKUP(A15,'SSP_March''19'!$A$3:$T$1193,20,0)</f>
        <v>0.6</v>
      </c>
      <c r="U15" s="34">
        <f>VLOOKUP(A15,'SSP_March''19'!$A$3:$X$1193,21,0)</f>
        <v>0</v>
      </c>
      <c r="V15" s="34">
        <f>VLOOKUP(A15,'SSP_March''19'!$A$3:$X$1193,22,0)</f>
        <v>1</v>
      </c>
      <c r="W15" s="34">
        <f>VLOOKUP(A15,'SSP_March''19'!$A$3:$X$1193,23,0)</f>
        <v>1</v>
      </c>
      <c r="X15" s="34">
        <f>VLOOKUP(A15,'SSP_March''19'!$A$3:$X$1193,24,0)</f>
        <v>0</v>
      </c>
    </row>
    <row r="16" spans="1:24">
      <c r="A16" s="34" t="s">
        <v>1832</v>
      </c>
      <c r="B16" s="34" t="s">
        <v>1833</v>
      </c>
      <c r="C16" s="34" t="s">
        <v>155</v>
      </c>
      <c r="D16" s="34" t="s">
        <v>92</v>
      </c>
      <c r="E16" s="34" t="s">
        <v>8</v>
      </c>
      <c r="F16" s="34" t="s">
        <v>1834</v>
      </c>
      <c r="G16" s="54">
        <v>1763274126</v>
      </c>
      <c r="H16" s="54" t="s">
        <v>229</v>
      </c>
      <c r="I16" s="54" t="s">
        <v>3514</v>
      </c>
      <c r="J16" s="34" t="s">
        <v>3419</v>
      </c>
      <c r="K16" s="43">
        <f>VLOOKUP(A16,'SSP_March''19'!$A$3:$L$1193,11,0)</f>
        <v>200000</v>
      </c>
      <c r="L16" s="43">
        <f>VLOOKUP(A16,'SSP_March''19'!$A$3:$L$1193,12,0)</f>
        <v>72970</v>
      </c>
      <c r="M16" s="44">
        <f t="shared" si="3"/>
        <v>0.36485000000000001</v>
      </c>
      <c r="N16" s="49">
        <f>ROUND(VLOOKUP(A16,'SSP_March''19'!$A$3:$N$1193,14,0),0)</f>
        <v>226207</v>
      </c>
      <c r="O16" s="44">
        <f t="shared" si="4"/>
        <v>1.131035</v>
      </c>
      <c r="P16" s="45">
        <f>VLOOKUP(A16,'SSP_March''19'!$A$3:$Q$1193,16,0)</f>
        <v>16</v>
      </c>
      <c r="Q16" s="34">
        <f>VLOOKUP(A16,'SSP_March''19'!$A$3:$Q$1193,17,0)</f>
        <v>3</v>
      </c>
      <c r="R16" s="35">
        <f t="shared" si="5"/>
        <v>0.1875</v>
      </c>
      <c r="S16" s="49">
        <f>ROUND(VLOOKUP(A16,'SSP_March''19'!$A$3:$T$1193,19,0),0)</f>
        <v>9</v>
      </c>
      <c r="T16" s="44">
        <f>VLOOKUP(A16,'SSP_March''19'!$A$3:$T$1193,20,0)</f>
        <v>0.5625</v>
      </c>
      <c r="U16" s="34">
        <f>VLOOKUP(A16,'SSP_March''19'!$A$3:$X$1193,21,0)</f>
        <v>1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34" t="s">
        <v>1846</v>
      </c>
      <c r="B17" s="34" t="s">
        <v>1847</v>
      </c>
      <c r="C17" s="34" t="s">
        <v>155</v>
      </c>
      <c r="D17" s="34" t="s">
        <v>92</v>
      </c>
      <c r="E17" s="34" t="s">
        <v>8</v>
      </c>
      <c r="F17" s="34" t="s">
        <v>1848</v>
      </c>
      <c r="G17" s="54">
        <v>1826515735</v>
      </c>
      <c r="H17" s="54" t="s">
        <v>229</v>
      </c>
      <c r="I17" s="54" t="s">
        <v>3514</v>
      </c>
      <c r="J17" s="34" t="s">
        <v>3419</v>
      </c>
      <c r="K17" s="43">
        <f>VLOOKUP(A17,'SSP_March''19'!$A$3:$L$1193,11,0)</f>
        <v>130000</v>
      </c>
      <c r="L17" s="43">
        <f>VLOOKUP(A17,'SSP_March''19'!$A$3:$L$1193,12,0)</f>
        <v>15120</v>
      </c>
      <c r="M17" s="44">
        <f t="shared" si="3"/>
        <v>0.11630769230769231</v>
      </c>
      <c r="N17" s="49">
        <f>ROUND(VLOOKUP(A17,'SSP_March''19'!$A$3:$N$1193,14,0),0)</f>
        <v>46872</v>
      </c>
      <c r="O17" s="44">
        <f t="shared" si="4"/>
        <v>0.36055384615384617</v>
      </c>
      <c r="P17" s="45">
        <f>VLOOKUP(A17,'SSP_March''19'!$A$3:$Q$1193,16,0)</f>
        <v>10</v>
      </c>
      <c r="Q17" s="34">
        <f>VLOOKUP(A17,'SSP_March''19'!$A$3:$Q$1193,17,0)</f>
        <v>0</v>
      </c>
      <c r="R17" s="35">
        <f t="shared" si="5"/>
        <v>0</v>
      </c>
      <c r="S17" s="49">
        <f>ROUND(VLOOKUP(A17,'SSP_March''19'!$A$3:$T$1193,19,0),0)</f>
        <v>0</v>
      </c>
      <c r="T17" s="44">
        <f>VLOOKUP(A17,'SSP_March''19'!$A$3:$T$1193,20,0)</f>
        <v>0</v>
      </c>
      <c r="U17" s="34">
        <f>VLOOKUP(A17,'SSP_March''19'!$A$3:$X$1193,21,0)</f>
        <v>0</v>
      </c>
      <c r="V17" s="34">
        <f>VLOOKUP(A17,'SSP_March''19'!$A$3:$X$1193,22,0)</f>
        <v>0</v>
      </c>
      <c r="W17" s="34">
        <f>VLOOKUP(A17,'SSP_March''19'!$A$3:$X$1193,23,0)</f>
        <v>0</v>
      </c>
      <c r="X17" s="34">
        <f>VLOOKUP(A17,'SSP_March''19'!$A$3:$X$1193,24,0)</f>
        <v>0</v>
      </c>
    </row>
    <row r="18" spans="1:24">
      <c r="A18" s="34" t="s">
        <v>3237</v>
      </c>
      <c r="B18" s="34" t="s">
        <v>3238</v>
      </c>
      <c r="C18" s="34" t="s">
        <v>155</v>
      </c>
      <c r="D18" s="34" t="s">
        <v>92</v>
      </c>
      <c r="E18" s="34" t="s">
        <v>8</v>
      </c>
      <c r="F18" s="34" t="s">
        <v>3239</v>
      </c>
      <c r="G18" s="54">
        <v>1835841436</v>
      </c>
      <c r="H18" s="54" t="s">
        <v>229</v>
      </c>
      <c r="I18" s="54" t="s">
        <v>3514</v>
      </c>
      <c r="J18" s="34" t="s">
        <v>3420</v>
      </c>
      <c r="K18" s="43">
        <f>VLOOKUP(A18,'SSP_March''19'!$A$3:$L$1193,11,0)</f>
        <v>220000</v>
      </c>
      <c r="L18" s="43">
        <f>VLOOKUP(A18,'SSP_March''19'!$A$3:$L$1193,12,0)</f>
        <v>47430</v>
      </c>
      <c r="M18" s="44">
        <f t="shared" si="3"/>
        <v>0.21559090909090908</v>
      </c>
      <c r="N18" s="49">
        <f>ROUND(VLOOKUP(A18,'SSP_March''19'!$A$3:$N$1193,14,0),0)</f>
        <v>147033</v>
      </c>
      <c r="O18" s="44">
        <f t="shared" si="4"/>
        <v>0.66833181818181819</v>
      </c>
      <c r="P18" s="45">
        <f>VLOOKUP(A18,'SSP_March''19'!$A$3:$Q$1193,16,0)</f>
        <v>12</v>
      </c>
      <c r="Q18" s="34">
        <f>VLOOKUP(A18,'SSP_March''19'!$A$3:$Q$1193,17,0)</f>
        <v>4</v>
      </c>
      <c r="R18" s="35">
        <f t="shared" si="5"/>
        <v>0.33333333333333331</v>
      </c>
      <c r="S18" s="49">
        <f>ROUND(VLOOKUP(A18,'SSP_March''19'!$A$3:$T$1193,19,0),0)</f>
        <v>12</v>
      </c>
      <c r="T18" s="44">
        <f>VLOOKUP(A18,'SSP_March''19'!$A$3:$T$1193,20,0)</f>
        <v>1</v>
      </c>
      <c r="U18" s="34">
        <f>VLOOKUP(A18,'SSP_March''19'!$A$3:$X$1193,21,0)</f>
        <v>0</v>
      </c>
      <c r="V18" s="34">
        <f>VLOOKUP(A18,'SSP_March''19'!$A$3:$X$1193,22,0)</f>
        <v>2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34" t="s">
        <v>3365</v>
      </c>
      <c r="B19" s="34" t="s">
        <v>3366</v>
      </c>
      <c r="C19" s="34" t="s">
        <v>155</v>
      </c>
      <c r="D19" s="34" t="s">
        <v>92</v>
      </c>
      <c r="E19" s="34" t="s">
        <v>8</v>
      </c>
      <c r="F19" s="34" t="s">
        <v>3364</v>
      </c>
      <c r="G19" s="54">
        <v>1914453534</v>
      </c>
      <c r="H19" s="54" t="s">
        <v>229</v>
      </c>
      <c r="I19" s="54" t="s">
        <v>3514</v>
      </c>
      <c r="J19" s="34" t="s">
        <v>3421</v>
      </c>
      <c r="K19" s="43">
        <f>VLOOKUP(A19,'SSP_March''19'!$A$3:$L$1193,11,0)</f>
        <v>130000</v>
      </c>
      <c r="L19" s="43">
        <f>VLOOKUP(A19,'SSP_March''19'!$A$3:$L$1193,12,0)</f>
        <v>26960</v>
      </c>
      <c r="M19" s="44">
        <f t="shared" si="3"/>
        <v>0.20738461538461539</v>
      </c>
      <c r="N19" s="49">
        <f>ROUND(VLOOKUP(A19,'SSP_March''19'!$A$3:$N$1193,14,0),0)</f>
        <v>83576</v>
      </c>
      <c r="O19" s="44">
        <f t="shared" si="4"/>
        <v>0.64289230769230765</v>
      </c>
      <c r="P19" s="45">
        <f>VLOOKUP(A19,'SSP_March''19'!$A$3:$Q$1193,16,0)</f>
        <v>10</v>
      </c>
      <c r="Q19" s="34">
        <f>VLOOKUP(A19,'SSP_March''19'!$A$3:$Q$1193,17,0)</f>
        <v>1</v>
      </c>
      <c r="R19" s="35">
        <f t="shared" si="5"/>
        <v>0.1</v>
      </c>
      <c r="S19" s="49">
        <f>ROUND(VLOOKUP(A19,'SSP_March''19'!$A$3:$T$1193,19,0),0)</f>
        <v>3</v>
      </c>
      <c r="T19" s="44">
        <f>VLOOKUP(A19,'SSP_March''19'!$A$3:$T$1193,20,0)</f>
        <v>0.3</v>
      </c>
      <c r="U19" s="34">
        <f>VLOOKUP(A19,'SSP_March''19'!$A$3:$X$1193,21,0)</f>
        <v>0</v>
      </c>
      <c r="V19" s="34">
        <f>VLOOKUP(A19,'SSP_March''19'!$A$3:$X$1193,22,0)</f>
        <v>0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34" t="s">
        <v>3024</v>
      </c>
      <c r="B20" s="34" t="s">
        <v>156</v>
      </c>
      <c r="C20" s="34" t="s">
        <v>155</v>
      </c>
      <c r="D20" s="34" t="s">
        <v>92</v>
      </c>
      <c r="E20" s="34" t="s">
        <v>8</v>
      </c>
      <c r="F20" s="34" t="s">
        <v>3025</v>
      </c>
      <c r="G20" s="54">
        <v>1926081995</v>
      </c>
      <c r="H20" s="54" t="s">
        <v>229</v>
      </c>
      <c r="I20" s="54" t="s">
        <v>3514</v>
      </c>
      <c r="J20" s="34" t="s">
        <v>3420</v>
      </c>
      <c r="K20" s="43">
        <f>VLOOKUP(A20,'SSP_March''19'!$A$3:$L$1193,11,0)</f>
        <v>200000</v>
      </c>
      <c r="L20" s="43">
        <f>VLOOKUP(A20,'SSP_March''19'!$A$3:$L$1193,12,0)</f>
        <v>68885</v>
      </c>
      <c r="M20" s="44">
        <f t="shared" si="3"/>
        <v>0.34442499999999998</v>
      </c>
      <c r="N20" s="49">
        <f>ROUND(VLOOKUP(A20,'SSP_March''19'!$A$3:$N$1193,14,0),0)</f>
        <v>213544</v>
      </c>
      <c r="O20" s="44">
        <f t="shared" si="4"/>
        <v>1.06772</v>
      </c>
      <c r="P20" s="45">
        <f>VLOOKUP(A20,'SSP_March''19'!$A$3:$Q$1193,16,0)</f>
        <v>14</v>
      </c>
      <c r="Q20" s="34">
        <f>VLOOKUP(A20,'SSP_March''19'!$A$3:$Q$1193,17,0)</f>
        <v>7</v>
      </c>
      <c r="R20" s="35">
        <f t="shared" si="5"/>
        <v>0.5</v>
      </c>
      <c r="S20" s="49">
        <f>ROUND(VLOOKUP(A20,'SSP_March''19'!$A$3:$T$1193,19,0),0)</f>
        <v>22</v>
      </c>
      <c r="T20" s="44">
        <f>VLOOKUP(A20,'SSP_March''19'!$A$3:$T$1193,20,0)</f>
        <v>1.5714285714285714</v>
      </c>
      <c r="U20" s="34">
        <f>VLOOKUP(A20,'SSP_March''19'!$A$3:$X$1193,21,0)</f>
        <v>0</v>
      </c>
      <c r="V20" s="34">
        <f>VLOOKUP(A20,'SSP_March''19'!$A$3:$X$1193,22,0)</f>
        <v>3</v>
      </c>
      <c r="W20" s="34">
        <f>VLOOKUP(A20,'SSP_March''19'!$A$3:$X$1193,23,0)</f>
        <v>0</v>
      </c>
      <c r="X20" s="34">
        <f>VLOOKUP(A20,'SSP_March''19'!$A$3:$X$1193,24,0)</f>
        <v>1</v>
      </c>
    </row>
    <row r="21" spans="1:24">
      <c r="A21" s="34" t="s">
        <v>1810</v>
      </c>
      <c r="B21" s="34" t="s">
        <v>1811</v>
      </c>
      <c r="C21" s="34" t="s">
        <v>155</v>
      </c>
      <c r="D21" s="34" t="s">
        <v>92</v>
      </c>
      <c r="E21" s="34" t="s">
        <v>8</v>
      </c>
      <c r="F21" s="34" t="s">
        <v>1812</v>
      </c>
      <c r="G21" s="54">
        <v>1620230416</v>
      </c>
      <c r="H21" s="54" t="s">
        <v>229</v>
      </c>
      <c r="I21" s="54" t="s">
        <v>3518</v>
      </c>
      <c r="J21" s="34" t="s">
        <v>3419</v>
      </c>
      <c r="K21" s="43">
        <f>VLOOKUP(A21,'SSP_March''19'!$A$3:$L$1193,11,0)</f>
        <v>300000</v>
      </c>
      <c r="L21" s="43">
        <f>VLOOKUP(A21,'SSP_March''19'!$A$3:$L$1193,12,0)</f>
        <v>70010</v>
      </c>
      <c r="M21" s="44">
        <f t="shared" si="3"/>
        <v>0.23336666666666667</v>
      </c>
      <c r="N21" s="49">
        <f>ROUND(VLOOKUP(A21,'SSP_March''19'!$A$3:$N$1193,14,0),0)</f>
        <v>217031</v>
      </c>
      <c r="O21" s="44">
        <f t="shared" si="4"/>
        <v>0.72343666666666662</v>
      </c>
      <c r="P21" s="45">
        <f>VLOOKUP(A21,'SSP_March''19'!$A$3:$Q$1193,16,0)</f>
        <v>20</v>
      </c>
      <c r="Q21" s="34">
        <f>VLOOKUP(A21,'SSP_March''19'!$A$3:$Q$1193,17,0)</f>
        <v>1</v>
      </c>
      <c r="R21" s="35">
        <f t="shared" si="5"/>
        <v>0.05</v>
      </c>
      <c r="S21" s="49">
        <f>ROUND(VLOOKUP(A21,'SSP_March''19'!$A$3:$T$1193,19,0),0)</f>
        <v>3</v>
      </c>
      <c r="T21" s="44">
        <f>VLOOKUP(A21,'SSP_March''19'!$A$3:$T$1193,20,0)</f>
        <v>0.15</v>
      </c>
      <c r="U21" s="34">
        <f>VLOOKUP(A21,'SSP_March''19'!$A$3:$X$1193,21,0)</f>
        <v>0</v>
      </c>
      <c r="V21" s="34">
        <f>VLOOKUP(A21,'SSP_March''19'!$A$3:$X$1193,22,0)</f>
        <v>1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34" t="s">
        <v>1823</v>
      </c>
      <c r="B22" s="34" t="s">
        <v>1824</v>
      </c>
      <c r="C22" s="34" t="s">
        <v>155</v>
      </c>
      <c r="D22" s="34" t="s">
        <v>92</v>
      </c>
      <c r="E22" s="34" t="s">
        <v>8</v>
      </c>
      <c r="F22" s="34" t="s">
        <v>1825</v>
      </c>
      <c r="G22" s="54">
        <v>1673282261</v>
      </c>
      <c r="H22" s="54" t="s">
        <v>229</v>
      </c>
      <c r="I22" s="54" t="s">
        <v>3514</v>
      </c>
      <c r="J22" s="34" t="s">
        <v>3419</v>
      </c>
      <c r="K22" s="43">
        <f>VLOOKUP(A22,'SSP_March''19'!$A$3:$L$1193,11,0)</f>
        <v>250000</v>
      </c>
      <c r="L22" s="43">
        <f>VLOOKUP(A22,'SSP_March''19'!$A$3:$L$1193,12,0)</f>
        <v>87214</v>
      </c>
      <c r="M22" s="44">
        <f t="shared" si="3"/>
        <v>0.348856</v>
      </c>
      <c r="N22" s="49">
        <f>ROUND(VLOOKUP(A22,'SSP_March''19'!$A$3:$N$1193,14,0),0)</f>
        <v>270363</v>
      </c>
      <c r="O22" s="44">
        <f t="shared" si="4"/>
        <v>1.0814520000000001</v>
      </c>
      <c r="P22" s="45">
        <f>VLOOKUP(A22,'SSP_March''19'!$A$3:$Q$1193,16,0)</f>
        <v>16</v>
      </c>
      <c r="Q22" s="34">
        <f>VLOOKUP(A22,'SSP_March''19'!$A$3:$Q$1193,17,0)</f>
        <v>6</v>
      </c>
      <c r="R22" s="35">
        <f t="shared" si="5"/>
        <v>0.375</v>
      </c>
      <c r="S22" s="49">
        <f>ROUND(VLOOKUP(A22,'SSP_March''19'!$A$3:$T$1193,19,0),0)</f>
        <v>19</v>
      </c>
      <c r="T22" s="44">
        <f>VLOOKUP(A22,'SSP_March''19'!$A$3:$T$1193,20,0)</f>
        <v>1.1875</v>
      </c>
      <c r="U22" s="34">
        <f>VLOOKUP(A22,'SSP_March''19'!$A$3:$X$1193,21,0)</f>
        <v>1</v>
      </c>
      <c r="V22" s="34">
        <f>VLOOKUP(A22,'SSP_March''19'!$A$3:$X$1193,22,0)</f>
        <v>1</v>
      </c>
      <c r="W22" s="34">
        <f>VLOOKUP(A22,'SSP_March''19'!$A$3:$X$1193,23,0)</f>
        <v>0</v>
      </c>
      <c r="X22" s="34">
        <f>VLOOKUP(A22,'SSP_March''19'!$A$3:$X$1193,24,0)</f>
        <v>0</v>
      </c>
    </row>
    <row r="23" spans="1:24">
      <c r="A23" s="34" t="s">
        <v>1803</v>
      </c>
      <c r="B23" s="34" t="s">
        <v>118</v>
      </c>
      <c r="C23" s="34" t="s">
        <v>155</v>
      </c>
      <c r="D23" s="34" t="s">
        <v>92</v>
      </c>
      <c r="E23" s="34" t="s">
        <v>8</v>
      </c>
      <c r="F23" s="34" t="s">
        <v>849</v>
      </c>
      <c r="G23" s="54">
        <v>1704522272</v>
      </c>
      <c r="H23" s="54" t="s">
        <v>229</v>
      </c>
      <c r="I23" s="54" t="s">
        <v>3514</v>
      </c>
      <c r="J23" s="34" t="s">
        <v>3419</v>
      </c>
      <c r="K23" s="43">
        <f>VLOOKUP(A23,'SSP_March''19'!$A$3:$L$1193,11,0)</f>
        <v>200000</v>
      </c>
      <c r="L23" s="43">
        <f>VLOOKUP(A23,'SSP_March''19'!$A$3:$L$1193,12,0)</f>
        <v>65990</v>
      </c>
      <c r="M23" s="44">
        <f t="shared" si="3"/>
        <v>0.32995000000000002</v>
      </c>
      <c r="N23" s="49">
        <f>ROUND(VLOOKUP(A23,'SSP_March''19'!$A$3:$N$1193,14,0),0)</f>
        <v>204569</v>
      </c>
      <c r="O23" s="44">
        <f t="shared" si="4"/>
        <v>1.022845</v>
      </c>
      <c r="P23" s="45">
        <f>VLOOKUP(A23,'SSP_March''19'!$A$3:$Q$1193,16,0)</f>
        <v>14</v>
      </c>
      <c r="Q23" s="34">
        <f>VLOOKUP(A23,'SSP_March''19'!$A$3:$Q$1193,17,0)</f>
        <v>5</v>
      </c>
      <c r="R23" s="35">
        <f t="shared" si="5"/>
        <v>0.35714285714285715</v>
      </c>
      <c r="S23" s="49">
        <f>ROUND(VLOOKUP(A23,'SSP_March''19'!$A$3:$T$1193,19,0),0)</f>
        <v>16</v>
      </c>
      <c r="T23" s="44">
        <f>VLOOKUP(A23,'SSP_March''19'!$A$3:$T$1193,20,0)</f>
        <v>1.1428571428571428</v>
      </c>
      <c r="U23" s="34">
        <f>VLOOKUP(A23,'SSP_March''19'!$A$3:$X$1193,21,0)</f>
        <v>0</v>
      </c>
      <c r="V23" s="34">
        <f>VLOOKUP(A23,'SSP_March''19'!$A$3:$X$1193,22,0)</f>
        <v>2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34" t="s">
        <v>1818</v>
      </c>
      <c r="B24" s="34" t="s">
        <v>67</v>
      </c>
      <c r="C24" s="34" t="s">
        <v>155</v>
      </c>
      <c r="D24" s="34" t="s">
        <v>92</v>
      </c>
      <c r="E24" s="34" t="s">
        <v>8</v>
      </c>
      <c r="F24" s="34" t="s">
        <v>1063</v>
      </c>
      <c r="G24" s="54">
        <v>1687376241</v>
      </c>
      <c r="H24" s="54" t="s">
        <v>229</v>
      </c>
      <c r="I24" s="54" t="s">
        <v>3514</v>
      </c>
      <c r="J24" s="34" t="s">
        <v>3515</v>
      </c>
      <c r="K24" s="43">
        <f>VLOOKUP(A24,'SSP_March''19'!$A$3:$L$1193,11,0)</f>
        <v>130000</v>
      </c>
      <c r="L24" s="43">
        <f>VLOOKUP(A24,'SSP_March''19'!$A$3:$L$1193,12,0)</f>
        <v>14570</v>
      </c>
      <c r="M24" s="44">
        <f t="shared" si="3"/>
        <v>0.11207692307692307</v>
      </c>
      <c r="N24" s="49">
        <f>ROUND(VLOOKUP(A24,'SSP_March''19'!$A$3:$N$1193,14,0),0)</f>
        <v>45167</v>
      </c>
      <c r="O24" s="44">
        <f t="shared" si="4"/>
        <v>0.34743846153846153</v>
      </c>
      <c r="P24" s="45">
        <f>VLOOKUP(A24,'SSP_March''19'!$A$3:$Q$1193,16,0)</f>
        <v>10</v>
      </c>
      <c r="Q24" s="34">
        <f>VLOOKUP(A24,'SSP_March''19'!$A$3:$Q$1193,17,0)</f>
        <v>0</v>
      </c>
      <c r="R24" s="35">
        <f t="shared" si="5"/>
        <v>0</v>
      </c>
      <c r="S24" s="49">
        <f>ROUND(VLOOKUP(A24,'SSP_March''19'!$A$3:$T$1193,19,0),0)</f>
        <v>0</v>
      </c>
      <c r="T24" s="44">
        <f>VLOOKUP(A24,'SSP_March''19'!$A$3:$T$1193,20,0)</f>
        <v>0</v>
      </c>
      <c r="U24" s="34">
        <f>VLOOKUP(A24,'SSP_March''19'!$A$3:$X$1193,21,0)</f>
        <v>0</v>
      </c>
      <c r="V24" s="34">
        <f>VLOOKUP(A24,'SSP_March''19'!$A$3:$X$1193,22,0)</f>
        <v>0</v>
      </c>
      <c r="W24" s="34">
        <f>VLOOKUP(A24,'SSP_March''19'!$A$3:$X$1193,23,0)</f>
        <v>0</v>
      </c>
      <c r="X24" s="34">
        <f>VLOOKUP(A24,'SSP_March''19'!$A$3:$X$1193,24,0)</f>
        <v>0</v>
      </c>
    </row>
    <row r="25" spans="1:24">
      <c r="A25" s="34" t="s">
        <v>1804</v>
      </c>
      <c r="B25" s="34" t="s">
        <v>1805</v>
      </c>
      <c r="C25" s="34" t="s">
        <v>155</v>
      </c>
      <c r="D25" s="34" t="s">
        <v>92</v>
      </c>
      <c r="E25" s="34" t="s">
        <v>8</v>
      </c>
      <c r="F25" s="34" t="s">
        <v>1806</v>
      </c>
      <c r="G25" s="54">
        <v>1814218738</v>
      </c>
      <c r="H25" s="54" t="s">
        <v>229</v>
      </c>
      <c r="I25" s="54" t="s">
        <v>3514</v>
      </c>
      <c r="J25" s="34" t="s">
        <v>3419</v>
      </c>
      <c r="K25" s="43">
        <f>VLOOKUP(A25,'SSP_March''19'!$A$3:$L$1193,11,0)</f>
        <v>200000</v>
      </c>
      <c r="L25" s="43">
        <f>VLOOKUP(A25,'SSP_March''19'!$A$3:$L$1193,12,0)</f>
        <v>85370</v>
      </c>
      <c r="M25" s="44">
        <f t="shared" si="3"/>
        <v>0.42685000000000001</v>
      </c>
      <c r="N25" s="49">
        <f>ROUND(VLOOKUP(A25,'SSP_March''19'!$A$3:$N$1193,14,0),0)</f>
        <v>264647</v>
      </c>
      <c r="O25" s="44">
        <f t="shared" si="4"/>
        <v>1.3232349999999999</v>
      </c>
      <c r="P25" s="45">
        <f>VLOOKUP(A25,'SSP_March''19'!$A$3:$Q$1193,16,0)</f>
        <v>12</v>
      </c>
      <c r="Q25" s="34">
        <f>VLOOKUP(A25,'SSP_March''19'!$A$3:$Q$1193,17,0)</f>
        <v>6</v>
      </c>
      <c r="R25" s="35">
        <f t="shared" si="5"/>
        <v>0.5</v>
      </c>
      <c r="S25" s="49">
        <f>ROUND(VLOOKUP(A25,'SSP_March''19'!$A$3:$T$1193,19,0),0)</f>
        <v>19</v>
      </c>
      <c r="T25" s="44">
        <f>VLOOKUP(A25,'SSP_March''19'!$A$3:$T$1193,20,0)</f>
        <v>1.5833333333333333</v>
      </c>
      <c r="U25" s="34">
        <f>VLOOKUP(A25,'SSP_March''19'!$A$3:$X$1193,21,0)</f>
        <v>0</v>
      </c>
      <c r="V25" s="34">
        <f>VLOOKUP(A25,'SSP_March''19'!$A$3:$X$1193,22,0)</f>
        <v>1</v>
      </c>
      <c r="W25" s="34">
        <f>VLOOKUP(A25,'SSP_March''19'!$A$3:$X$1193,23,0)</f>
        <v>0</v>
      </c>
      <c r="X25" s="34">
        <f>VLOOKUP(A25,'SSP_March''19'!$A$3:$X$1193,24,0)</f>
        <v>1</v>
      </c>
    </row>
    <row r="26" spans="1:24">
      <c r="A26" s="34" t="s">
        <v>1829</v>
      </c>
      <c r="B26" s="34" t="s">
        <v>1830</v>
      </c>
      <c r="C26" s="34" t="s">
        <v>155</v>
      </c>
      <c r="D26" s="34" t="s">
        <v>92</v>
      </c>
      <c r="E26" s="34" t="s">
        <v>8</v>
      </c>
      <c r="F26" s="34" t="s">
        <v>1831</v>
      </c>
      <c r="G26" s="54">
        <v>1683380243</v>
      </c>
      <c r="H26" s="54" t="s">
        <v>229</v>
      </c>
      <c r="I26" s="54" t="s">
        <v>3514</v>
      </c>
      <c r="J26" s="34" t="s">
        <v>3421</v>
      </c>
      <c r="K26" s="43">
        <f>VLOOKUP(A26,'SSP_March''19'!$A$3:$L$1193,11,0)</f>
        <v>130000</v>
      </c>
      <c r="L26" s="43">
        <f>VLOOKUP(A26,'SSP_March''19'!$A$3:$L$1193,12,0)</f>
        <v>14680</v>
      </c>
      <c r="M26" s="44">
        <f t="shared" si="3"/>
        <v>0.11292307692307692</v>
      </c>
      <c r="N26" s="49">
        <f>ROUND(VLOOKUP(A26,'SSP_March''19'!$A$3:$N$1193,14,0),0)</f>
        <v>45508</v>
      </c>
      <c r="O26" s="44">
        <f t="shared" si="4"/>
        <v>0.35006153846153848</v>
      </c>
      <c r="P26" s="45">
        <f>VLOOKUP(A26,'SSP_March''19'!$A$3:$Q$1193,16,0)</f>
        <v>10</v>
      </c>
      <c r="Q26" s="34">
        <f>VLOOKUP(A26,'SSP_March''19'!$A$3:$Q$1193,17,0)</f>
        <v>1</v>
      </c>
      <c r="R26" s="35">
        <f t="shared" si="5"/>
        <v>0.1</v>
      </c>
      <c r="S26" s="49">
        <f>ROUND(VLOOKUP(A26,'SSP_March''19'!$A$3:$T$1193,19,0),0)</f>
        <v>3</v>
      </c>
      <c r="T26" s="44">
        <f>VLOOKUP(A26,'SSP_March''19'!$A$3:$T$1193,20,0)</f>
        <v>0.3</v>
      </c>
      <c r="U26" s="34">
        <f>VLOOKUP(A26,'SSP_March''19'!$A$3:$X$1193,21,0)</f>
        <v>0</v>
      </c>
      <c r="V26" s="34">
        <f>VLOOKUP(A26,'SSP_March''19'!$A$3:$X$1193,22,0)</f>
        <v>0</v>
      </c>
      <c r="W26" s="34">
        <f>VLOOKUP(A26,'SSP_March''19'!$A$3:$X$1193,23,0)</f>
        <v>0</v>
      </c>
      <c r="X26" s="34">
        <f>VLOOKUP(A26,'SSP_March''19'!$A$3:$X$1193,24,0)</f>
        <v>0</v>
      </c>
    </row>
    <row r="27" spans="1:24">
      <c r="A27" s="34" t="s">
        <v>1841</v>
      </c>
      <c r="B27" s="34" t="s">
        <v>1842</v>
      </c>
      <c r="C27" s="34" t="s">
        <v>155</v>
      </c>
      <c r="D27" s="34" t="s">
        <v>92</v>
      </c>
      <c r="E27" s="34" t="s">
        <v>8</v>
      </c>
      <c r="F27" s="34" t="s">
        <v>1843</v>
      </c>
      <c r="G27" s="54">
        <v>1811319005</v>
      </c>
      <c r="H27" s="54" t="s">
        <v>229</v>
      </c>
      <c r="I27" s="54" t="s">
        <v>3514</v>
      </c>
      <c r="J27" s="34" t="s">
        <v>3419</v>
      </c>
      <c r="K27" s="43">
        <f>VLOOKUP(A27,'SSP_March''19'!$A$3:$L$1193,11,0)</f>
        <v>130000</v>
      </c>
      <c r="L27" s="43">
        <f>VLOOKUP(A27,'SSP_March''19'!$A$3:$L$1193,12,0)</f>
        <v>40864</v>
      </c>
      <c r="M27" s="44">
        <f t="shared" si="3"/>
        <v>0.31433846153846151</v>
      </c>
      <c r="N27" s="49">
        <f>ROUND(VLOOKUP(A27,'SSP_March''19'!$A$3:$N$1193,14,0),0)</f>
        <v>126678</v>
      </c>
      <c r="O27" s="44">
        <f t="shared" si="4"/>
        <v>0.97444615384615385</v>
      </c>
      <c r="P27" s="45">
        <f>VLOOKUP(A27,'SSP_March''19'!$A$3:$Q$1193,16,0)</f>
        <v>10</v>
      </c>
      <c r="Q27" s="34">
        <f>VLOOKUP(A27,'SSP_March''19'!$A$3:$Q$1193,17,0)</f>
        <v>1</v>
      </c>
      <c r="R27" s="35">
        <f t="shared" si="5"/>
        <v>0.1</v>
      </c>
      <c r="S27" s="49">
        <f>ROUND(VLOOKUP(A27,'SSP_March''19'!$A$3:$T$1193,19,0),0)</f>
        <v>3</v>
      </c>
      <c r="T27" s="44">
        <f>VLOOKUP(A27,'SSP_March''19'!$A$3:$T$1193,20,0)</f>
        <v>0.3</v>
      </c>
      <c r="U27" s="34">
        <f>VLOOKUP(A27,'SSP_March''19'!$A$3:$X$1193,21,0)</f>
        <v>0</v>
      </c>
      <c r="V27" s="34">
        <f>VLOOKUP(A27,'SSP_March''19'!$A$3:$X$1193,22,0)</f>
        <v>0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34" t="s">
        <v>3156</v>
      </c>
      <c r="B28" s="34" t="s">
        <v>3157</v>
      </c>
      <c r="C28" s="34" t="s">
        <v>155</v>
      </c>
      <c r="D28" s="34" t="s">
        <v>92</v>
      </c>
      <c r="E28" s="34" t="s">
        <v>8</v>
      </c>
      <c r="F28" s="34" t="s">
        <v>3158</v>
      </c>
      <c r="G28" s="54">
        <v>1965121080</v>
      </c>
      <c r="H28" s="54" t="s">
        <v>229</v>
      </c>
      <c r="I28" s="54" t="s">
        <v>3514</v>
      </c>
      <c r="J28" s="34" t="s">
        <v>3419</v>
      </c>
      <c r="K28" s="43">
        <f>VLOOKUP(A28,'SSP_March''19'!$A$3:$L$1193,11,0)</f>
        <v>281491</v>
      </c>
      <c r="L28" s="43">
        <f>VLOOKUP(A28,'SSP_March''19'!$A$3:$L$1193,12,0)</f>
        <v>73065</v>
      </c>
      <c r="M28" s="44">
        <f t="shared" si="3"/>
        <v>0.25956424894579222</v>
      </c>
      <c r="N28" s="49">
        <f>ROUND(VLOOKUP(A28,'SSP_March''19'!$A$3:$N$1193,14,0),0)</f>
        <v>226502</v>
      </c>
      <c r="O28" s="44">
        <f t="shared" si="4"/>
        <v>0.80465094798767989</v>
      </c>
      <c r="P28" s="45">
        <f>VLOOKUP(A28,'SSP_March''19'!$A$3:$Q$1193,16,0)</f>
        <v>22</v>
      </c>
      <c r="Q28" s="34">
        <f>VLOOKUP(A28,'SSP_March''19'!$A$3:$Q$1193,17,0)</f>
        <v>5</v>
      </c>
      <c r="R28" s="35">
        <f t="shared" si="5"/>
        <v>0.22727272727272727</v>
      </c>
      <c r="S28" s="49">
        <f>ROUND(VLOOKUP(A28,'SSP_March''19'!$A$3:$T$1193,19,0),0)</f>
        <v>16</v>
      </c>
      <c r="T28" s="44">
        <f>VLOOKUP(A28,'SSP_March''19'!$A$3:$T$1193,20,0)</f>
        <v>0.72727272727272729</v>
      </c>
      <c r="U28" s="34">
        <f>VLOOKUP(A28,'SSP_March''19'!$A$3:$X$1193,21,0)</f>
        <v>0</v>
      </c>
      <c r="V28" s="34">
        <f>VLOOKUP(A28,'SSP_March''19'!$A$3:$X$1193,22,0)</f>
        <v>2</v>
      </c>
      <c r="W28" s="34">
        <f>VLOOKUP(A28,'SSP_March''19'!$A$3:$X$1193,23,0)</f>
        <v>0</v>
      </c>
      <c r="X28" s="34">
        <f>VLOOKUP(A28,'SSP_March''19'!$A$3:$X$1193,24,0)</f>
        <v>1</v>
      </c>
    </row>
    <row r="29" spans="1:24">
      <c r="A29" s="34" t="s">
        <v>1864</v>
      </c>
      <c r="B29" s="34" t="s">
        <v>1865</v>
      </c>
      <c r="C29" s="34" t="s">
        <v>51</v>
      </c>
      <c r="D29" s="34" t="s">
        <v>196</v>
      </c>
      <c r="E29" s="34" t="s">
        <v>8</v>
      </c>
      <c r="F29" s="34" t="s">
        <v>1866</v>
      </c>
      <c r="G29" s="54">
        <v>1924830083</v>
      </c>
      <c r="H29" s="54" t="s">
        <v>229</v>
      </c>
      <c r="I29" s="54" t="s">
        <v>3514</v>
      </c>
      <c r="J29" s="34" t="s">
        <v>3421</v>
      </c>
      <c r="K29" s="43">
        <f>VLOOKUP(A29,'SSP_March''19'!$A$3:$L$1193,11,0)</f>
        <v>130000</v>
      </c>
      <c r="L29" s="43">
        <f>VLOOKUP(A29,'SSP_March''19'!$A$3:$L$1193,12,0)</f>
        <v>28750</v>
      </c>
      <c r="M29" s="44">
        <f t="shared" si="3"/>
        <v>0.22115384615384615</v>
      </c>
      <c r="N29" s="49">
        <f>ROUND(VLOOKUP(A29,'SSP_March''19'!$A$3:$N$1193,14,0),0)</f>
        <v>89125</v>
      </c>
      <c r="O29" s="44">
        <f t="shared" si="4"/>
        <v>0.68557692307692308</v>
      </c>
      <c r="P29" s="45">
        <f>VLOOKUP(A29,'SSP_March''19'!$A$3:$Q$1193,16,0)</f>
        <v>10</v>
      </c>
      <c r="Q29" s="34">
        <f>VLOOKUP(A29,'SSP_March''19'!$A$3:$Q$1193,17,0)</f>
        <v>1</v>
      </c>
      <c r="R29" s="35">
        <f t="shared" si="5"/>
        <v>0.1</v>
      </c>
      <c r="S29" s="49">
        <f>ROUND(VLOOKUP(A29,'SSP_March''19'!$A$3:$T$1193,19,0),0)</f>
        <v>3</v>
      </c>
      <c r="T29" s="44">
        <f>VLOOKUP(A29,'SSP_March''19'!$A$3:$T$1193,20,0)</f>
        <v>0.3</v>
      </c>
      <c r="U29" s="34">
        <f>VLOOKUP(A29,'SSP_March''19'!$A$3:$X$1193,21,0)</f>
        <v>0</v>
      </c>
      <c r="V29" s="34">
        <f>VLOOKUP(A29,'SSP_March''19'!$A$3:$X$1193,22,0)</f>
        <v>0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34" t="s">
        <v>1849</v>
      </c>
      <c r="B30" s="34" t="s">
        <v>1850</v>
      </c>
      <c r="C30" s="34" t="s">
        <v>51</v>
      </c>
      <c r="D30" s="34" t="s">
        <v>196</v>
      </c>
      <c r="E30" s="34" t="s">
        <v>8</v>
      </c>
      <c r="F30" s="34" t="s">
        <v>1851</v>
      </c>
      <c r="G30" s="54">
        <v>1687224058</v>
      </c>
      <c r="H30" s="54" t="s">
        <v>229</v>
      </c>
      <c r="I30" s="54" t="s">
        <v>3514</v>
      </c>
      <c r="J30" s="34" t="s">
        <v>3419</v>
      </c>
      <c r="K30" s="43">
        <f>VLOOKUP(A30,'SSP_March''19'!$A$3:$L$1193,11,0)</f>
        <v>130000</v>
      </c>
      <c r="L30" s="43">
        <f>VLOOKUP(A30,'SSP_March''19'!$A$3:$L$1193,12,0)</f>
        <v>17220</v>
      </c>
      <c r="M30" s="44">
        <f t="shared" si="3"/>
        <v>0.13246153846153846</v>
      </c>
      <c r="N30" s="49">
        <f>ROUND(VLOOKUP(A30,'SSP_March''19'!$A$3:$N$1193,14,0),0)</f>
        <v>53382</v>
      </c>
      <c r="O30" s="44">
        <f t="shared" si="4"/>
        <v>0.41063076923076924</v>
      </c>
      <c r="P30" s="45">
        <f>VLOOKUP(A30,'SSP_March''19'!$A$3:$Q$1193,16,0)</f>
        <v>10</v>
      </c>
      <c r="Q30" s="34">
        <f>VLOOKUP(A30,'SSP_March''19'!$A$3:$Q$1193,17,0)</f>
        <v>1</v>
      </c>
      <c r="R30" s="35">
        <f t="shared" si="5"/>
        <v>0.1</v>
      </c>
      <c r="S30" s="49">
        <f>ROUND(VLOOKUP(A30,'SSP_March''19'!$A$3:$T$1193,19,0),0)</f>
        <v>3</v>
      </c>
      <c r="T30" s="44">
        <f>VLOOKUP(A30,'SSP_March''19'!$A$3:$T$1193,20,0)</f>
        <v>0.3</v>
      </c>
      <c r="U30" s="34">
        <f>VLOOKUP(A30,'SSP_March''19'!$A$3:$X$1193,21,0)</f>
        <v>0</v>
      </c>
      <c r="V30" s="34">
        <f>VLOOKUP(A30,'SSP_March''19'!$A$3:$X$1193,22,0)</f>
        <v>1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34" t="s">
        <v>1858</v>
      </c>
      <c r="B31" s="34" t="s">
        <v>1859</v>
      </c>
      <c r="C31" s="34" t="s">
        <v>51</v>
      </c>
      <c r="D31" s="34" t="s">
        <v>196</v>
      </c>
      <c r="E31" s="34" t="s">
        <v>8</v>
      </c>
      <c r="F31" s="34" t="s">
        <v>1860</v>
      </c>
      <c r="G31" s="54">
        <v>1819488568</v>
      </c>
      <c r="H31" s="54" t="s">
        <v>229</v>
      </c>
      <c r="I31" s="54" t="s">
        <v>3514</v>
      </c>
      <c r="J31" s="34" t="s">
        <v>3421</v>
      </c>
      <c r="K31" s="43">
        <f>VLOOKUP(A31,'SSP_March''19'!$A$3:$L$1193,11,0)</f>
        <v>130000</v>
      </c>
      <c r="L31" s="43">
        <f>VLOOKUP(A31,'SSP_March''19'!$A$3:$L$1193,12,0)</f>
        <v>4990</v>
      </c>
      <c r="M31" s="44">
        <f t="shared" ref="M31:M78" si="6">L31/K31</f>
        <v>3.8384615384615385E-2</v>
      </c>
      <c r="N31" s="49">
        <f>ROUND(VLOOKUP(A31,'SSP_March''19'!$A$3:$N$1193,14,0),0)</f>
        <v>15469</v>
      </c>
      <c r="O31" s="44">
        <f t="shared" ref="O31:O78" si="7">N31/K31</f>
        <v>0.11899230769230769</v>
      </c>
      <c r="P31" s="45">
        <f>VLOOKUP(A31,'SSP_March''19'!$A$3:$Q$1193,16,0)</f>
        <v>10</v>
      </c>
      <c r="Q31" s="34">
        <f>VLOOKUP(A31,'SSP_March''19'!$A$3:$Q$1193,17,0)</f>
        <v>0</v>
      </c>
      <c r="R31" s="35">
        <f t="shared" ref="R31:R78" si="8">Q31/P31</f>
        <v>0</v>
      </c>
      <c r="S31" s="49">
        <f>ROUND(VLOOKUP(A31,'SSP_March''19'!$A$3:$T$1193,19,0),0)</f>
        <v>0</v>
      </c>
      <c r="T31" s="44">
        <f>VLOOKUP(A31,'SSP_March''19'!$A$3:$T$1193,20,0)</f>
        <v>0</v>
      </c>
      <c r="U31" s="34">
        <f>VLOOKUP(A31,'SSP_March''19'!$A$3:$X$1193,21,0)</f>
        <v>0</v>
      </c>
      <c r="V31" s="34">
        <f>VLOOKUP(A31,'SSP_March''19'!$A$3:$X$1193,22,0)</f>
        <v>0</v>
      </c>
      <c r="W31" s="34">
        <f>VLOOKUP(A31,'SSP_March''19'!$A$3:$X$1193,23,0)</f>
        <v>0</v>
      </c>
      <c r="X31" s="34">
        <f>VLOOKUP(A31,'SSP_March''19'!$A$3:$X$1193,24,0)</f>
        <v>0</v>
      </c>
    </row>
    <row r="32" spans="1:24">
      <c r="A32" s="34" t="s">
        <v>2912</v>
      </c>
      <c r="B32" s="34" t="s">
        <v>2913</v>
      </c>
      <c r="C32" s="34" t="s">
        <v>195</v>
      </c>
      <c r="D32" s="34" t="s">
        <v>196</v>
      </c>
      <c r="E32" s="34" t="s">
        <v>8</v>
      </c>
      <c r="F32" s="34" t="s">
        <v>2914</v>
      </c>
      <c r="G32" s="54">
        <v>1912862379</v>
      </c>
      <c r="H32" s="54" t="s">
        <v>229</v>
      </c>
      <c r="I32" s="54" t="s">
        <v>3514</v>
      </c>
      <c r="J32" s="34" t="s">
        <v>3421</v>
      </c>
      <c r="K32" s="43">
        <f>VLOOKUP(A32,'SSP_March''19'!$A$3:$L$1193,11,0)</f>
        <v>173654</v>
      </c>
      <c r="L32" s="43">
        <f>VLOOKUP(A32,'SSP_March''19'!$A$3:$L$1193,12,0)</f>
        <v>84035</v>
      </c>
      <c r="M32" s="44">
        <f t="shared" si="6"/>
        <v>0.48392205189629955</v>
      </c>
      <c r="N32" s="49">
        <f>ROUND(VLOOKUP(A32,'SSP_March''19'!$A$3:$N$1193,14,0),0)</f>
        <v>260509</v>
      </c>
      <c r="O32" s="44">
        <f t="shared" si="7"/>
        <v>1.5001612401672291</v>
      </c>
      <c r="P32" s="45">
        <f>VLOOKUP(A32,'SSP_March''19'!$A$3:$Q$1193,16,0)</f>
        <v>10</v>
      </c>
      <c r="Q32" s="34">
        <f>VLOOKUP(A32,'SSP_March''19'!$A$3:$Q$1193,17,0)</f>
        <v>7</v>
      </c>
      <c r="R32" s="35">
        <f t="shared" si="8"/>
        <v>0.7</v>
      </c>
      <c r="S32" s="49">
        <f>ROUND(VLOOKUP(A32,'SSP_March''19'!$A$3:$T$1193,19,0),0)</f>
        <v>22</v>
      </c>
      <c r="T32" s="44">
        <f>VLOOKUP(A32,'SSP_March''19'!$A$3:$T$1193,20,0)</f>
        <v>2.2000000000000002</v>
      </c>
      <c r="U32" s="34">
        <f>VLOOKUP(A32,'SSP_March''19'!$A$3:$X$1193,21,0)</f>
        <v>0</v>
      </c>
      <c r="V32" s="34">
        <f>VLOOKUP(A32,'SSP_March''19'!$A$3:$X$1193,22,0)</f>
        <v>1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34" t="s">
        <v>1879</v>
      </c>
      <c r="B33" s="34" t="s">
        <v>1880</v>
      </c>
      <c r="C33" s="34" t="s">
        <v>195</v>
      </c>
      <c r="D33" s="34" t="s">
        <v>196</v>
      </c>
      <c r="E33" s="34" t="s">
        <v>8</v>
      </c>
      <c r="F33" s="34" t="s">
        <v>1881</v>
      </c>
      <c r="G33" s="54">
        <v>1726288834</v>
      </c>
      <c r="H33" s="54" t="s">
        <v>229</v>
      </c>
      <c r="I33" s="54" t="s">
        <v>3514</v>
      </c>
      <c r="J33" s="34" t="s">
        <v>3421</v>
      </c>
      <c r="K33" s="43">
        <f>VLOOKUP(A33,'SSP_March''19'!$A$3:$L$1193,11,0)</f>
        <v>130000</v>
      </c>
      <c r="L33" s="43">
        <f>VLOOKUP(A33,'SSP_March''19'!$A$3:$L$1193,12,0)</f>
        <v>11965</v>
      </c>
      <c r="M33" s="44">
        <f t="shared" ref="M33:M50" si="9">L33/K33</f>
        <v>9.2038461538461541E-2</v>
      </c>
      <c r="N33" s="49">
        <f>ROUND(VLOOKUP(A33,'SSP_March''19'!$A$3:$N$1193,14,0),0)</f>
        <v>37092</v>
      </c>
      <c r="O33" s="44">
        <f t="shared" ref="O33:O50" si="10">N33/K33</f>
        <v>0.2853230769230769</v>
      </c>
      <c r="P33" s="45">
        <f>VLOOKUP(A33,'SSP_March''19'!$A$3:$Q$1193,16,0)</f>
        <v>10</v>
      </c>
      <c r="Q33" s="34">
        <f>VLOOKUP(A33,'SSP_March''19'!$A$3:$Q$1193,17,0)</f>
        <v>1</v>
      </c>
      <c r="R33" s="35">
        <f t="shared" ref="R33:R50" si="11">Q33/P33</f>
        <v>0.1</v>
      </c>
      <c r="S33" s="49">
        <f>ROUND(VLOOKUP(A33,'SSP_March''19'!$A$3:$T$1193,19,0),0)</f>
        <v>3</v>
      </c>
      <c r="T33" s="44">
        <f>VLOOKUP(A33,'SSP_March''19'!$A$3:$T$1193,20,0)</f>
        <v>0.3</v>
      </c>
      <c r="U33" s="34">
        <f>VLOOKUP(A33,'SSP_March''19'!$A$3:$X$1193,21,0)</f>
        <v>0</v>
      </c>
      <c r="V33" s="34">
        <f>VLOOKUP(A33,'SSP_March''19'!$A$3:$X$1193,22,0)</f>
        <v>0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34" t="s">
        <v>1876</v>
      </c>
      <c r="B34" s="34" t="s">
        <v>1877</v>
      </c>
      <c r="C34" s="34" t="s">
        <v>195</v>
      </c>
      <c r="D34" s="34" t="s">
        <v>196</v>
      </c>
      <c r="E34" s="34" t="s">
        <v>8</v>
      </c>
      <c r="F34" s="34" t="s">
        <v>1878</v>
      </c>
      <c r="G34" s="54">
        <v>1715657868</v>
      </c>
      <c r="H34" s="54" t="s">
        <v>229</v>
      </c>
      <c r="I34" s="54" t="s">
        <v>3514</v>
      </c>
      <c r="J34" s="34" t="s">
        <v>3419</v>
      </c>
      <c r="K34" s="43">
        <f>VLOOKUP(A34,'SSP_March''19'!$A$3:$L$1193,11,0)</f>
        <v>243525</v>
      </c>
      <c r="L34" s="43">
        <f>VLOOKUP(A34,'SSP_March''19'!$A$3:$L$1193,12,0)</f>
        <v>29135</v>
      </c>
      <c r="M34" s="44">
        <f t="shared" si="9"/>
        <v>0.11963864079663279</v>
      </c>
      <c r="N34" s="49">
        <f>ROUND(VLOOKUP(A34,'SSP_March''19'!$A$3:$N$1193,14,0),0)</f>
        <v>90319</v>
      </c>
      <c r="O34" s="44">
        <f t="shared" si="10"/>
        <v>0.37088183964685351</v>
      </c>
      <c r="P34" s="45">
        <f>VLOOKUP(A34,'SSP_March''19'!$A$3:$Q$1193,16,0)</f>
        <v>13</v>
      </c>
      <c r="Q34" s="34">
        <f>VLOOKUP(A34,'SSP_March''19'!$A$3:$Q$1193,17,0)</f>
        <v>2</v>
      </c>
      <c r="R34" s="35">
        <f t="shared" si="11"/>
        <v>0.15384615384615385</v>
      </c>
      <c r="S34" s="49">
        <f>ROUND(VLOOKUP(A34,'SSP_March''19'!$A$3:$T$1193,19,0),0)</f>
        <v>6</v>
      </c>
      <c r="T34" s="44">
        <f>VLOOKUP(A34,'SSP_March''19'!$A$3:$T$1193,20,0)</f>
        <v>0.46153846153846156</v>
      </c>
      <c r="U34" s="34">
        <f>VLOOKUP(A34,'SSP_March''19'!$A$3:$X$1193,21,0)</f>
        <v>0</v>
      </c>
      <c r="V34" s="34">
        <f>VLOOKUP(A34,'SSP_March''19'!$A$3:$X$1193,22,0)</f>
        <v>0</v>
      </c>
      <c r="W34" s="34">
        <f>VLOOKUP(A34,'SSP_March''19'!$A$3:$X$1193,23,0)</f>
        <v>0</v>
      </c>
      <c r="X34" s="34">
        <f>VLOOKUP(A34,'SSP_March''19'!$A$3:$X$1193,24,0)</f>
        <v>1</v>
      </c>
    </row>
    <row r="35" spans="1:24">
      <c r="A35" s="34" t="s">
        <v>1867</v>
      </c>
      <c r="B35" s="34" t="s">
        <v>1868</v>
      </c>
      <c r="C35" s="34" t="s">
        <v>195</v>
      </c>
      <c r="D35" s="34" t="s">
        <v>196</v>
      </c>
      <c r="E35" s="34" t="s">
        <v>8</v>
      </c>
      <c r="F35" s="34" t="s">
        <v>1869</v>
      </c>
      <c r="G35" s="54">
        <v>1712335566</v>
      </c>
      <c r="H35" s="54" t="s">
        <v>229</v>
      </c>
      <c r="I35" s="54" t="s">
        <v>3514</v>
      </c>
      <c r="J35" s="34" t="s">
        <v>3421</v>
      </c>
      <c r="K35" s="43">
        <f>VLOOKUP(A35,'SSP_March''19'!$A$3:$L$1193,11,0)</f>
        <v>130000</v>
      </c>
      <c r="L35" s="43">
        <f>VLOOKUP(A35,'SSP_March''19'!$A$3:$L$1193,12,0)</f>
        <v>37030</v>
      </c>
      <c r="M35" s="44">
        <f t="shared" si="9"/>
        <v>0.28484615384615386</v>
      </c>
      <c r="N35" s="49">
        <f>ROUND(VLOOKUP(A35,'SSP_March''19'!$A$3:$N$1193,14,0),0)</f>
        <v>114793</v>
      </c>
      <c r="O35" s="44">
        <f t="shared" si="10"/>
        <v>0.88302307692307691</v>
      </c>
      <c r="P35" s="45">
        <f>VLOOKUP(A35,'SSP_March''19'!$A$3:$Q$1193,16,0)</f>
        <v>10</v>
      </c>
      <c r="Q35" s="34">
        <f>VLOOKUP(A35,'SSP_March''19'!$A$3:$Q$1193,17,0)</f>
        <v>1</v>
      </c>
      <c r="R35" s="35">
        <f t="shared" si="11"/>
        <v>0.1</v>
      </c>
      <c r="S35" s="49">
        <f>ROUND(VLOOKUP(A35,'SSP_March''19'!$A$3:$T$1193,19,0),0)</f>
        <v>3</v>
      </c>
      <c r="T35" s="44">
        <f>VLOOKUP(A35,'SSP_March''19'!$A$3:$T$1193,20,0)</f>
        <v>0.3</v>
      </c>
      <c r="U35" s="34">
        <f>VLOOKUP(A35,'SSP_March''19'!$A$3:$X$1193,21,0)</f>
        <v>0</v>
      </c>
      <c r="V35" s="34">
        <f>VLOOKUP(A35,'SSP_March''19'!$A$3:$X$1193,22,0)</f>
        <v>0</v>
      </c>
      <c r="W35" s="34">
        <f>VLOOKUP(A35,'SSP_March''19'!$A$3:$X$1193,23,0)</f>
        <v>0</v>
      </c>
      <c r="X35" s="34">
        <f>VLOOKUP(A35,'SSP_March''19'!$A$3:$X$1193,24,0)</f>
        <v>1</v>
      </c>
    </row>
    <row r="36" spans="1:24">
      <c r="A36" s="34" t="s">
        <v>1873</v>
      </c>
      <c r="B36" s="34" t="s">
        <v>1874</v>
      </c>
      <c r="C36" s="34" t="s">
        <v>195</v>
      </c>
      <c r="D36" s="34" t="s">
        <v>196</v>
      </c>
      <c r="E36" s="34" t="s">
        <v>8</v>
      </c>
      <c r="F36" s="34" t="s">
        <v>1875</v>
      </c>
      <c r="G36" s="54">
        <v>1937856429</v>
      </c>
      <c r="H36" s="54" t="s">
        <v>229</v>
      </c>
      <c r="I36" s="54" t="s">
        <v>3514</v>
      </c>
      <c r="J36" s="34" t="s">
        <v>3421</v>
      </c>
      <c r="K36" s="43">
        <f>VLOOKUP(A36,'SSP_March''19'!$A$3:$L$1193,11,0)</f>
        <v>130000</v>
      </c>
      <c r="L36" s="43">
        <f>VLOOKUP(A36,'SSP_March''19'!$A$3:$L$1193,12,0)</f>
        <v>35300</v>
      </c>
      <c r="M36" s="44">
        <f t="shared" si="9"/>
        <v>0.27153846153846156</v>
      </c>
      <c r="N36" s="49">
        <f>ROUND(VLOOKUP(A36,'SSP_March''19'!$A$3:$N$1193,14,0),0)</f>
        <v>109430</v>
      </c>
      <c r="O36" s="44">
        <f t="shared" si="10"/>
        <v>0.84176923076923071</v>
      </c>
      <c r="P36" s="45">
        <f>VLOOKUP(A36,'SSP_March''19'!$A$3:$Q$1193,16,0)</f>
        <v>10</v>
      </c>
      <c r="Q36" s="34">
        <f>VLOOKUP(A36,'SSP_March''19'!$A$3:$Q$1193,17,0)</f>
        <v>3</v>
      </c>
      <c r="R36" s="35">
        <f t="shared" si="11"/>
        <v>0.3</v>
      </c>
      <c r="S36" s="49">
        <f>ROUND(VLOOKUP(A36,'SSP_March''19'!$A$3:$T$1193,19,0),0)</f>
        <v>9</v>
      </c>
      <c r="T36" s="44">
        <f>VLOOKUP(A36,'SSP_March''19'!$A$3:$T$1193,20,0)</f>
        <v>0.9</v>
      </c>
      <c r="U36" s="34">
        <f>VLOOKUP(A36,'SSP_March''19'!$A$3:$X$1193,21,0)</f>
        <v>0</v>
      </c>
      <c r="V36" s="34">
        <f>VLOOKUP(A36,'SSP_March''19'!$A$3:$X$1193,22,0)</f>
        <v>0</v>
      </c>
      <c r="W36" s="34">
        <f>VLOOKUP(A36,'SSP_March''19'!$A$3:$X$1193,23,0)</f>
        <v>0</v>
      </c>
      <c r="X36" s="34">
        <f>VLOOKUP(A36,'SSP_March''19'!$A$3:$X$1193,24,0)</f>
        <v>0</v>
      </c>
    </row>
    <row r="37" spans="1:24">
      <c r="A37" s="34" t="s">
        <v>1870</v>
      </c>
      <c r="B37" s="34" t="s">
        <v>1871</v>
      </c>
      <c r="C37" s="34" t="s">
        <v>195</v>
      </c>
      <c r="D37" s="34" t="s">
        <v>196</v>
      </c>
      <c r="E37" s="34" t="s">
        <v>8</v>
      </c>
      <c r="F37" s="34" t="s">
        <v>1872</v>
      </c>
      <c r="G37" s="54">
        <v>1914859838</v>
      </c>
      <c r="H37" s="54" t="s">
        <v>229</v>
      </c>
      <c r="I37" s="54" t="s">
        <v>3514</v>
      </c>
      <c r="J37" s="34" t="s">
        <v>3421</v>
      </c>
      <c r="K37" s="43">
        <f>VLOOKUP(A37,'SSP_March''19'!$A$3:$L$1193,11,0)</f>
        <v>130000</v>
      </c>
      <c r="L37" s="43">
        <f>VLOOKUP(A37,'SSP_March''19'!$A$3:$L$1193,12,0)</f>
        <v>35090</v>
      </c>
      <c r="M37" s="44">
        <f t="shared" si="9"/>
        <v>0.26992307692307693</v>
      </c>
      <c r="N37" s="49">
        <f>ROUND(VLOOKUP(A37,'SSP_March''19'!$A$3:$N$1193,14,0),0)</f>
        <v>108779</v>
      </c>
      <c r="O37" s="44">
        <f t="shared" si="10"/>
        <v>0.83676153846153845</v>
      </c>
      <c r="P37" s="45">
        <f>VLOOKUP(A37,'SSP_March''19'!$A$3:$Q$1193,16,0)</f>
        <v>10</v>
      </c>
      <c r="Q37" s="34">
        <f>VLOOKUP(A37,'SSP_March''19'!$A$3:$Q$1193,17,0)</f>
        <v>3</v>
      </c>
      <c r="R37" s="35">
        <f t="shared" si="11"/>
        <v>0.3</v>
      </c>
      <c r="S37" s="49">
        <f>ROUND(VLOOKUP(A37,'SSP_March''19'!$A$3:$T$1193,19,0),0)</f>
        <v>9</v>
      </c>
      <c r="T37" s="44">
        <f>VLOOKUP(A37,'SSP_March''19'!$A$3:$T$1193,20,0)</f>
        <v>0.9</v>
      </c>
      <c r="U37" s="34">
        <f>VLOOKUP(A37,'SSP_March''19'!$A$3:$X$1193,21,0)</f>
        <v>0</v>
      </c>
      <c r="V37" s="34">
        <f>VLOOKUP(A37,'SSP_March''19'!$A$3:$X$1193,22,0)</f>
        <v>1</v>
      </c>
      <c r="W37" s="34">
        <f>VLOOKUP(A37,'SSP_March''19'!$A$3:$X$1193,23,0)</f>
        <v>1</v>
      </c>
      <c r="X37" s="34">
        <f>VLOOKUP(A37,'SSP_March''19'!$A$3:$X$1193,24,0)</f>
        <v>0</v>
      </c>
    </row>
    <row r="38" spans="1:24">
      <c r="A38" s="34" t="s">
        <v>1988</v>
      </c>
      <c r="B38" s="34" t="s">
        <v>1989</v>
      </c>
      <c r="C38" s="34" t="s">
        <v>63</v>
      </c>
      <c r="D38" s="34" t="s">
        <v>64</v>
      </c>
      <c r="E38" s="34" t="s">
        <v>8</v>
      </c>
      <c r="F38" s="34" t="s">
        <v>1990</v>
      </c>
      <c r="G38" s="54">
        <v>1827370374</v>
      </c>
      <c r="H38" s="54" t="s">
        <v>229</v>
      </c>
      <c r="I38" s="54" t="s">
        <v>3518</v>
      </c>
      <c r="J38" s="34" t="s">
        <v>3419</v>
      </c>
      <c r="K38" s="43">
        <f>VLOOKUP(A38,'SSP_March''19'!$A$3:$L$1193,11,0)</f>
        <v>300000</v>
      </c>
      <c r="L38" s="43">
        <f>VLOOKUP(A38,'SSP_March''19'!$A$3:$L$1193,12,0)</f>
        <v>40030</v>
      </c>
      <c r="M38" s="44">
        <f t="shared" si="9"/>
        <v>0.13343333333333332</v>
      </c>
      <c r="N38" s="49">
        <f>ROUND(VLOOKUP(A38,'SSP_March''19'!$A$3:$N$1193,14,0),0)</f>
        <v>124093</v>
      </c>
      <c r="O38" s="44">
        <f t="shared" si="10"/>
        <v>0.41364333333333331</v>
      </c>
      <c r="P38" s="45">
        <f>VLOOKUP(A38,'SSP_March''19'!$A$3:$Q$1193,16,0)</f>
        <v>17</v>
      </c>
      <c r="Q38" s="34">
        <f>VLOOKUP(A38,'SSP_March''19'!$A$3:$Q$1193,17,0)</f>
        <v>1</v>
      </c>
      <c r="R38" s="35">
        <f t="shared" si="11"/>
        <v>5.8823529411764705E-2</v>
      </c>
      <c r="S38" s="49">
        <f>ROUND(VLOOKUP(A38,'SSP_March''19'!$A$3:$T$1193,19,0),0)</f>
        <v>3</v>
      </c>
      <c r="T38" s="44">
        <f>VLOOKUP(A38,'SSP_March''19'!$A$3:$T$1193,20,0)</f>
        <v>0.17647058823529413</v>
      </c>
      <c r="U38" s="34">
        <f>VLOOKUP(A38,'SSP_March''19'!$A$3:$X$1193,21,0)</f>
        <v>0</v>
      </c>
      <c r="V38" s="34">
        <f>VLOOKUP(A38,'SSP_March''19'!$A$3:$X$1193,22,0)</f>
        <v>1</v>
      </c>
      <c r="W38" s="34">
        <f>VLOOKUP(A38,'SSP_March''19'!$A$3:$X$1193,23,0)</f>
        <v>0</v>
      </c>
      <c r="X38" s="34">
        <f>VLOOKUP(A38,'SSP_March''19'!$A$3:$X$1193,24,0)</f>
        <v>0</v>
      </c>
    </row>
    <row r="39" spans="1:24">
      <c r="A39" s="34" t="s">
        <v>1974</v>
      </c>
      <c r="B39" s="34" t="s">
        <v>1975</v>
      </c>
      <c r="C39" s="34" t="s">
        <v>63</v>
      </c>
      <c r="D39" s="34" t="s">
        <v>64</v>
      </c>
      <c r="E39" s="34" t="s">
        <v>8</v>
      </c>
      <c r="F39" s="34" t="s">
        <v>1976</v>
      </c>
      <c r="G39" s="54">
        <v>1915211111</v>
      </c>
      <c r="H39" s="54" t="s">
        <v>229</v>
      </c>
      <c r="I39" s="54" t="s">
        <v>3514</v>
      </c>
      <c r="J39" s="34" t="s">
        <v>3421</v>
      </c>
      <c r="K39" s="43">
        <f>VLOOKUP(A39,'SSP_March''19'!$A$3:$L$1193,11,0)</f>
        <v>177968</v>
      </c>
      <c r="L39" s="43">
        <f>VLOOKUP(A39,'SSP_March''19'!$A$3:$L$1193,12,0)</f>
        <v>83014</v>
      </c>
      <c r="M39" s="44">
        <f t="shared" si="9"/>
        <v>0.46645464353142135</v>
      </c>
      <c r="N39" s="49">
        <f>ROUND(VLOOKUP(A39,'SSP_March''19'!$A$3:$N$1193,14,0),0)</f>
        <v>257343</v>
      </c>
      <c r="O39" s="44">
        <f t="shared" si="10"/>
        <v>1.446007147352333</v>
      </c>
      <c r="P39" s="45">
        <f>VLOOKUP(A39,'SSP_March''19'!$A$3:$Q$1193,16,0)</f>
        <v>10</v>
      </c>
      <c r="Q39" s="34">
        <f>VLOOKUP(A39,'SSP_March''19'!$A$3:$Q$1193,17,0)</f>
        <v>5</v>
      </c>
      <c r="R39" s="35">
        <f t="shared" si="11"/>
        <v>0.5</v>
      </c>
      <c r="S39" s="49">
        <f>ROUND(VLOOKUP(A39,'SSP_March''19'!$A$3:$T$1193,19,0),0)</f>
        <v>16</v>
      </c>
      <c r="T39" s="44">
        <f>VLOOKUP(A39,'SSP_March''19'!$A$3:$T$1193,20,0)</f>
        <v>1.6</v>
      </c>
      <c r="U39" s="34">
        <f>VLOOKUP(A39,'SSP_March''19'!$A$3:$X$1193,21,0)</f>
        <v>0</v>
      </c>
      <c r="V39" s="34">
        <f>VLOOKUP(A39,'SSP_March''19'!$A$3:$X$1193,22,0)</f>
        <v>0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34" t="s">
        <v>1985</v>
      </c>
      <c r="B40" s="34" t="s">
        <v>1986</v>
      </c>
      <c r="C40" s="34" t="s">
        <v>63</v>
      </c>
      <c r="D40" s="34" t="s">
        <v>64</v>
      </c>
      <c r="E40" s="34" t="s">
        <v>8</v>
      </c>
      <c r="F40" s="34" t="s">
        <v>1987</v>
      </c>
      <c r="G40" s="54">
        <v>1717338844</v>
      </c>
      <c r="H40" s="54" t="s">
        <v>229</v>
      </c>
      <c r="I40" s="54" t="s">
        <v>3514</v>
      </c>
      <c r="J40" s="34" t="s">
        <v>3419</v>
      </c>
      <c r="K40" s="43">
        <f>VLOOKUP(A40,'SSP_March''19'!$A$3:$L$1193,11,0)</f>
        <v>138361</v>
      </c>
      <c r="L40" s="43">
        <f>VLOOKUP(A40,'SSP_March''19'!$A$3:$L$1193,12,0)</f>
        <v>29885</v>
      </c>
      <c r="M40" s="44">
        <f t="shared" si="9"/>
        <v>0.21599294598911542</v>
      </c>
      <c r="N40" s="49">
        <f>ROUND(VLOOKUP(A40,'SSP_March''19'!$A$3:$N$1193,14,0),0)</f>
        <v>92644</v>
      </c>
      <c r="O40" s="44">
        <f t="shared" si="10"/>
        <v>0.66958174630134215</v>
      </c>
      <c r="P40" s="45">
        <f>VLOOKUP(A40,'SSP_March''19'!$A$3:$Q$1193,16,0)</f>
        <v>10</v>
      </c>
      <c r="Q40" s="34">
        <f>VLOOKUP(A40,'SSP_March''19'!$A$3:$Q$1193,17,0)</f>
        <v>0</v>
      </c>
      <c r="R40" s="35">
        <f t="shared" si="11"/>
        <v>0</v>
      </c>
      <c r="S40" s="49">
        <f>ROUND(VLOOKUP(A40,'SSP_March''19'!$A$3:$T$1193,19,0),0)</f>
        <v>0</v>
      </c>
      <c r="T40" s="44">
        <f>VLOOKUP(A40,'SSP_March''19'!$A$3:$T$1193,20,0)</f>
        <v>0</v>
      </c>
      <c r="U40" s="34">
        <f>VLOOKUP(A40,'SSP_March''19'!$A$3:$X$1193,21,0)</f>
        <v>0</v>
      </c>
      <c r="V40" s="34">
        <f>VLOOKUP(A40,'SSP_March''19'!$A$3:$X$1193,22,0)</f>
        <v>0</v>
      </c>
      <c r="W40" s="34">
        <f>VLOOKUP(A40,'SSP_March''19'!$A$3:$X$1193,23,0)</f>
        <v>0</v>
      </c>
      <c r="X40" s="34">
        <f>VLOOKUP(A40,'SSP_March''19'!$A$3:$X$1193,24,0)</f>
        <v>0</v>
      </c>
    </row>
    <row r="41" spans="1:24">
      <c r="A41" s="34" t="s">
        <v>3240</v>
      </c>
      <c r="B41" s="34" t="s">
        <v>3241</v>
      </c>
      <c r="C41" s="34" t="s">
        <v>63</v>
      </c>
      <c r="D41" s="34" t="s">
        <v>64</v>
      </c>
      <c r="E41" s="34" t="s">
        <v>8</v>
      </c>
      <c r="F41" s="34" t="s">
        <v>3242</v>
      </c>
      <c r="G41" s="81">
        <v>1686645550</v>
      </c>
      <c r="H41" s="54" t="s">
        <v>229</v>
      </c>
      <c r="I41" s="54" t="s">
        <v>3514</v>
      </c>
      <c r="J41" s="34" t="s">
        <v>3419</v>
      </c>
      <c r="K41" s="43">
        <f>VLOOKUP(A41,'SSP_March''19'!$A$3:$L$1193,11,0)</f>
        <v>287719</v>
      </c>
      <c r="L41" s="43">
        <f>VLOOKUP(A41,'SSP_March''19'!$A$3:$L$1193,12,0)</f>
        <v>116357</v>
      </c>
      <c r="M41" s="44">
        <f t="shared" si="9"/>
        <v>0.4044119435977464</v>
      </c>
      <c r="N41" s="49">
        <f>ROUND(VLOOKUP(A41,'SSP_March''19'!$A$3:$N$1193,14,0),0)</f>
        <v>360707</v>
      </c>
      <c r="O41" s="44">
        <f t="shared" si="10"/>
        <v>1.2536780678370216</v>
      </c>
      <c r="P41" s="45">
        <f>VLOOKUP(A41,'SSP_March''19'!$A$3:$Q$1193,16,0)</f>
        <v>19</v>
      </c>
      <c r="Q41" s="34">
        <f>VLOOKUP(A41,'SSP_March''19'!$A$3:$Q$1193,17,0)</f>
        <v>6</v>
      </c>
      <c r="R41" s="35">
        <f t="shared" si="11"/>
        <v>0.31578947368421051</v>
      </c>
      <c r="S41" s="49">
        <f>ROUND(VLOOKUP(A41,'SSP_March''19'!$A$3:$T$1193,19,0),0)</f>
        <v>19</v>
      </c>
      <c r="T41" s="44">
        <f>VLOOKUP(A41,'SSP_March''19'!$A$3:$T$1193,20,0)</f>
        <v>1</v>
      </c>
      <c r="U41" s="34">
        <f>VLOOKUP(A41,'SSP_March''19'!$A$3:$X$1193,21,0)</f>
        <v>0</v>
      </c>
      <c r="V41" s="34">
        <f>VLOOKUP(A41,'SSP_March''19'!$A$3:$X$1193,22,0)</f>
        <v>4</v>
      </c>
      <c r="W41" s="34">
        <f>VLOOKUP(A41,'SSP_March''19'!$A$3:$X$1193,23,0)</f>
        <v>0</v>
      </c>
      <c r="X41" s="34">
        <f>VLOOKUP(A41,'SSP_March''19'!$A$3:$X$1193,24,0)</f>
        <v>0</v>
      </c>
    </row>
    <row r="42" spans="1:24">
      <c r="A42" s="75" t="s">
        <v>3568</v>
      </c>
      <c r="B42" s="75" t="s">
        <v>3569</v>
      </c>
      <c r="C42" s="75" t="s">
        <v>63</v>
      </c>
      <c r="D42" s="75" t="s">
        <v>64</v>
      </c>
      <c r="E42" s="75" t="s">
        <v>8</v>
      </c>
      <c r="F42" s="75" t="s">
        <v>3570</v>
      </c>
      <c r="G42" s="67">
        <v>1939365255</v>
      </c>
      <c r="H42" s="54" t="s">
        <v>229</v>
      </c>
      <c r="I42" s="54" t="s">
        <v>3514</v>
      </c>
      <c r="J42" s="34" t="s">
        <v>3421</v>
      </c>
      <c r="K42" s="43">
        <f>VLOOKUP(A42,'SSP_March''19'!$A$3:$L$1193,11,0)</f>
        <v>130000</v>
      </c>
      <c r="L42" s="43">
        <f>VLOOKUP(A42,'SSP_March''19'!$A$3:$L$1193,12,0)</f>
        <v>21710</v>
      </c>
      <c r="M42" s="44">
        <f t="shared" si="9"/>
        <v>0.16700000000000001</v>
      </c>
      <c r="N42" s="49">
        <f>ROUND(VLOOKUP(A42,'SSP_March''19'!$A$3:$N$1193,14,0),0)</f>
        <v>67301</v>
      </c>
      <c r="O42" s="44">
        <f t="shared" si="10"/>
        <v>0.51770000000000005</v>
      </c>
      <c r="P42" s="45">
        <f>VLOOKUP(A42,'SSP_March''19'!$A$3:$Q$1193,16,0)</f>
        <v>10</v>
      </c>
      <c r="Q42" s="34">
        <f>VLOOKUP(A42,'SSP_March''19'!$A$3:$Q$1193,17,0)</f>
        <v>1</v>
      </c>
      <c r="R42" s="35">
        <f t="shared" si="11"/>
        <v>0.1</v>
      </c>
      <c r="S42" s="49">
        <f>ROUND(VLOOKUP(A42,'SSP_March''19'!$A$3:$T$1193,19,0),0)</f>
        <v>3</v>
      </c>
      <c r="T42" s="44">
        <f>VLOOKUP(A42,'SSP_March''19'!$A$3:$T$1193,20,0)</f>
        <v>0.3</v>
      </c>
      <c r="U42" s="34">
        <f>VLOOKUP(A42,'SSP_March''19'!$A$3:$X$1193,21,0)</f>
        <v>0</v>
      </c>
      <c r="V42" s="34">
        <f>VLOOKUP(A42,'SSP_March''19'!$A$3:$X$1193,22,0)</f>
        <v>1</v>
      </c>
      <c r="W42" s="34">
        <f>VLOOKUP(A42,'SSP_March''19'!$A$3:$X$1193,23,0)</f>
        <v>0</v>
      </c>
      <c r="X42" s="34">
        <f>VLOOKUP(A42,'SSP_March''19'!$A$3:$X$1193,24,0)</f>
        <v>0</v>
      </c>
    </row>
    <row r="43" spans="1:24">
      <c r="A43" s="34" t="s">
        <v>3439</v>
      </c>
      <c r="B43" s="34" t="s">
        <v>3440</v>
      </c>
      <c r="C43" s="34" t="s">
        <v>63</v>
      </c>
      <c r="D43" s="34" t="s">
        <v>64</v>
      </c>
      <c r="E43" s="34" t="s">
        <v>8</v>
      </c>
      <c r="F43" s="34" t="s">
        <v>3441</v>
      </c>
      <c r="G43" s="54">
        <v>1922556646</v>
      </c>
      <c r="H43" s="54" t="s">
        <v>229</v>
      </c>
      <c r="I43" s="54" t="s">
        <v>3514</v>
      </c>
      <c r="J43" s="34" t="s">
        <v>3419</v>
      </c>
      <c r="K43" s="43">
        <f>VLOOKUP(A43,'SSP_March''19'!$A$3:$L$1193,11,0)</f>
        <v>240000</v>
      </c>
      <c r="L43" s="43">
        <f>VLOOKUP(A43,'SSP_March''19'!$A$3:$L$1193,12,0)</f>
        <v>99675</v>
      </c>
      <c r="M43" s="44">
        <f t="shared" si="9"/>
        <v>0.41531249999999997</v>
      </c>
      <c r="N43" s="49">
        <f>ROUND(VLOOKUP(A43,'SSP_March''19'!$A$3:$N$1193,14,0),0)</f>
        <v>308993</v>
      </c>
      <c r="O43" s="44">
        <f t="shared" si="10"/>
        <v>1.2874708333333333</v>
      </c>
      <c r="P43" s="45">
        <f>VLOOKUP(A43,'SSP_March''19'!$A$3:$Q$1193,16,0)</f>
        <v>13</v>
      </c>
      <c r="Q43" s="34">
        <f>VLOOKUP(A43,'SSP_March''19'!$A$3:$Q$1193,17,0)</f>
        <v>6</v>
      </c>
      <c r="R43" s="35">
        <f t="shared" si="11"/>
        <v>0.46153846153846156</v>
      </c>
      <c r="S43" s="49">
        <f>ROUND(VLOOKUP(A43,'SSP_March''19'!$A$3:$T$1193,19,0),0)</f>
        <v>19</v>
      </c>
      <c r="T43" s="44">
        <f>VLOOKUP(A43,'SSP_March''19'!$A$3:$T$1193,20,0)</f>
        <v>1.4615384615384615</v>
      </c>
      <c r="U43" s="34">
        <f>VLOOKUP(A43,'SSP_March''19'!$A$3:$X$1193,21,0)</f>
        <v>1</v>
      </c>
      <c r="V43" s="34">
        <f>VLOOKUP(A43,'SSP_March''19'!$A$3:$X$1193,22,0)</f>
        <v>0</v>
      </c>
      <c r="W43" s="34">
        <f>VLOOKUP(A43,'SSP_March''19'!$A$3:$X$1193,23,0)</f>
        <v>1</v>
      </c>
      <c r="X43" s="34">
        <f>VLOOKUP(A43,'SSP_March''19'!$A$3:$X$1193,24,0)</f>
        <v>0</v>
      </c>
    </row>
    <row r="44" spans="1:24">
      <c r="A44" s="34" t="s">
        <v>1983</v>
      </c>
      <c r="B44" s="34" t="s">
        <v>646</v>
      </c>
      <c r="C44" s="34" t="s">
        <v>63</v>
      </c>
      <c r="D44" s="34" t="s">
        <v>64</v>
      </c>
      <c r="E44" s="34" t="s">
        <v>8</v>
      </c>
      <c r="F44" s="34" t="s">
        <v>1984</v>
      </c>
      <c r="G44" s="54">
        <v>1813527287</v>
      </c>
      <c r="H44" s="54" t="s">
        <v>229</v>
      </c>
      <c r="I44" s="54" t="s">
        <v>3514</v>
      </c>
      <c r="J44" s="34" t="s">
        <v>3419</v>
      </c>
      <c r="K44" s="43">
        <f>VLOOKUP(A44,'SSP_March''19'!$A$3:$L$1193,11,0)</f>
        <v>138361</v>
      </c>
      <c r="L44" s="43">
        <f>VLOOKUP(A44,'SSP_March''19'!$A$3:$L$1193,12,0)</f>
        <v>55285</v>
      </c>
      <c r="M44" s="44">
        <f t="shared" si="9"/>
        <v>0.39957068827198416</v>
      </c>
      <c r="N44" s="49">
        <f>ROUND(VLOOKUP(A44,'SSP_March''19'!$A$3:$N$1193,14,0),0)</f>
        <v>171384</v>
      </c>
      <c r="O44" s="44">
        <f t="shared" si="10"/>
        <v>1.2386727473782353</v>
      </c>
      <c r="P44" s="45">
        <f>VLOOKUP(A44,'SSP_March''19'!$A$3:$Q$1193,16,0)</f>
        <v>10</v>
      </c>
      <c r="Q44" s="34">
        <f>VLOOKUP(A44,'SSP_March''19'!$A$3:$Q$1193,17,0)</f>
        <v>2</v>
      </c>
      <c r="R44" s="35">
        <f t="shared" si="11"/>
        <v>0.2</v>
      </c>
      <c r="S44" s="49">
        <f>ROUND(VLOOKUP(A44,'SSP_March''19'!$A$3:$T$1193,19,0),0)</f>
        <v>6</v>
      </c>
      <c r="T44" s="44">
        <f>VLOOKUP(A44,'SSP_March''19'!$A$3:$T$1193,20,0)</f>
        <v>0.6</v>
      </c>
      <c r="U44" s="34">
        <f>VLOOKUP(A44,'SSP_March''19'!$A$3:$X$1193,21,0)</f>
        <v>0</v>
      </c>
      <c r="V44" s="34">
        <f>VLOOKUP(A44,'SSP_March''19'!$A$3:$X$1193,22,0)</f>
        <v>0</v>
      </c>
      <c r="W44" s="34">
        <f>VLOOKUP(A44,'SSP_March''19'!$A$3:$X$1193,23,0)</f>
        <v>0</v>
      </c>
      <c r="X44" s="34">
        <f>VLOOKUP(A44,'SSP_March''19'!$A$3:$X$1193,24,0)</f>
        <v>0</v>
      </c>
    </row>
    <row r="45" spans="1:24">
      <c r="A45" s="34" t="s">
        <v>1971</v>
      </c>
      <c r="B45" s="34" t="s">
        <v>1972</v>
      </c>
      <c r="C45" s="34" t="s">
        <v>63</v>
      </c>
      <c r="D45" s="34" t="s">
        <v>64</v>
      </c>
      <c r="E45" s="34" t="s">
        <v>8</v>
      </c>
      <c r="F45" s="34" t="s">
        <v>1973</v>
      </c>
      <c r="G45" s="54">
        <v>1777347766</v>
      </c>
      <c r="H45" s="54" t="s">
        <v>229</v>
      </c>
      <c r="I45" s="54" t="s">
        <v>3518</v>
      </c>
      <c r="J45" s="34" t="s">
        <v>3420</v>
      </c>
      <c r="K45" s="43">
        <f>VLOOKUP(A45,'SSP_March''19'!$A$3:$L$1193,11,0)</f>
        <v>300000</v>
      </c>
      <c r="L45" s="43">
        <f>VLOOKUP(A45,'SSP_March''19'!$A$3:$L$1193,12,0)</f>
        <v>77060</v>
      </c>
      <c r="M45" s="44">
        <f t="shared" si="9"/>
        <v>0.25686666666666669</v>
      </c>
      <c r="N45" s="49">
        <f>ROUND(VLOOKUP(A45,'SSP_March''19'!$A$3:$N$1193,14,0),0)</f>
        <v>238886</v>
      </c>
      <c r="O45" s="44">
        <f t="shared" si="10"/>
        <v>0.7962866666666667</v>
      </c>
      <c r="P45" s="45">
        <f>VLOOKUP(A45,'SSP_March''19'!$A$3:$Q$1193,16,0)</f>
        <v>18</v>
      </c>
      <c r="Q45" s="34">
        <f>VLOOKUP(A45,'SSP_March''19'!$A$3:$Q$1193,17,0)</f>
        <v>4</v>
      </c>
      <c r="R45" s="35">
        <f t="shared" si="11"/>
        <v>0.22222222222222221</v>
      </c>
      <c r="S45" s="49">
        <f>ROUND(VLOOKUP(A45,'SSP_March''19'!$A$3:$T$1193,19,0),0)</f>
        <v>12</v>
      </c>
      <c r="T45" s="44">
        <f>VLOOKUP(A45,'SSP_March''19'!$A$3:$T$1193,20,0)</f>
        <v>0.66666666666666663</v>
      </c>
      <c r="U45" s="34">
        <f>VLOOKUP(A45,'SSP_March''19'!$A$3:$X$1193,21,0)</f>
        <v>0</v>
      </c>
      <c r="V45" s="34">
        <f>VLOOKUP(A45,'SSP_March''19'!$A$3:$X$1193,22,0)</f>
        <v>1</v>
      </c>
      <c r="W45" s="34">
        <f>VLOOKUP(A45,'SSP_March''19'!$A$3:$X$1193,23,0)</f>
        <v>0</v>
      </c>
      <c r="X45" s="34">
        <f>VLOOKUP(A45,'SSP_March''19'!$A$3:$X$1193,24,0)</f>
        <v>0</v>
      </c>
    </row>
    <row r="46" spans="1:24">
      <c r="A46" s="34" t="s">
        <v>1978</v>
      </c>
      <c r="B46" s="34" t="s">
        <v>1690</v>
      </c>
      <c r="C46" s="34" t="s">
        <v>157</v>
      </c>
      <c r="D46" s="34" t="s">
        <v>64</v>
      </c>
      <c r="E46" s="34" t="s">
        <v>8</v>
      </c>
      <c r="F46" s="34" t="s">
        <v>1979</v>
      </c>
      <c r="G46" s="54">
        <v>1979181919</v>
      </c>
      <c r="H46" s="54" t="s">
        <v>229</v>
      </c>
      <c r="I46" s="54" t="s">
        <v>3514</v>
      </c>
      <c r="J46" s="34" t="s">
        <v>3515</v>
      </c>
      <c r="K46" s="43">
        <f>VLOOKUP(A46,'SSP_March''19'!$A$3:$L$1193,11,0)</f>
        <v>160471</v>
      </c>
      <c r="L46" s="43">
        <f>VLOOKUP(A46,'SSP_March''19'!$A$3:$L$1193,12,0)</f>
        <v>22960</v>
      </c>
      <c r="M46" s="44">
        <f t="shared" si="9"/>
        <v>0.14307881174791706</v>
      </c>
      <c r="N46" s="49">
        <f>ROUND(VLOOKUP(A46,'SSP_March''19'!$A$3:$N$1193,14,0),0)</f>
        <v>71176</v>
      </c>
      <c r="O46" s="44">
        <f t="shared" si="10"/>
        <v>0.44354431641854292</v>
      </c>
      <c r="P46" s="45">
        <f>VLOOKUP(A46,'SSP_March''19'!$A$3:$Q$1193,16,0)</f>
        <v>10</v>
      </c>
      <c r="Q46" s="34">
        <f>VLOOKUP(A46,'SSP_March''19'!$A$3:$Q$1193,17,0)</f>
        <v>1</v>
      </c>
      <c r="R46" s="35">
        <f t="shared" si="11"/>
        <v>0.1</v>
      </c>
      <c r="S46" s="49">
        <f>ROUND(VLOOKUP(A46,'SSP_March''19'!$A$3:$T$1193,19,0),0)</f>
        <v>3</v>
      </c>
      <c r="T46" s="44">
        <f>VLOOKUP(A46,'SSP_March''19'!$A$3:$T$1193,20,0)</f>
        <v>0.3</v>
      </c>
      <c r="U46" s="34">
        <f>VLOOKUP(A46,'SSP_March''19'!$A$3:$X$1193,21,0)</f>
        <v>0</v>
      </c>
      <c r="V46" s="34">
        <f>VLOOKUP(A46,'SSP_March''19'!$A$3:$X$1193,22,0)</f>
        <v>0</v>
      </c>
      <c r="W46" s="34">
        <f>VLOOKUP(A46,'SSP_March''19'!$A$3:$X$1193,23,0)</f>
        <v>0</v>
      </c>
      <c r="X46" s="34">
        <f>VLOOKUP(A46,'SSP_March''19'!$A$3:$X$1193,24,0)</f>
        <v>0</v>
      </c>
    </row>
    <row r="47" spans="1:24">
      <c r="A47" s="34" t="s">
        <v>3368</v>
      </c>
      <c r="B47" s="34" t="s">
        <v>3369</v>
      </c>
      <c r="C47" s="34" t="s">
        <v>157</v>
      </c>
      <c r="D47" s="34" t="s">
        <v>64</v>
      </c>
      <c r="E47" s="34" t="s">
        <v>8</v>
      </c>
      <c r="F47" s="34" t="s">
        <v>3367</v>
      </c>
      <c r="G47" s="54">
        <v>1877681443</v>
      </c>
      <c r="H47" s="54" t="s">
        <v>229</v>
      </c>
      <c r="I47" s="54" t="s">
        <v>3514</v>
      </c>
      <c r="J47" s="34" t="s">
        <v>3419</v>
      </c>
      <c r="K47" s="43">
        <f>VLOOKUP(A47,'SSP_March''19'!$A$3:$L$1193,11,0)</f>
        <v>196385</v>
      </c>
      <c r="L47" s="43">
        <f>VLOOKUP(A47,'SSP_March''19'!$A$3:$L$1193,12,0)</f>
        <v>44080</v>
      </c>
      <c r="M47" s="44">
        <f t="shared" si="9"/>
        <v>0.22445706138452529</v>
      </c>
      <c r="N47" s="49">
        <f>ROUND(VLOOKUP(A47,'SSP_March''19'!$A$3:$N$1193,14,0),0)</f>
        <v>136648</v>
      </c>
      <c r="O47" s="44">
        <f t="shared" si="10"/>
        <v>0.69581689029202842</v>
      </c>
      <c r="P47" s="45">
        <f>VLOOKUP(A47,'SSP_March''19'!$A$3:$Q$1193,16,0)</f>
        <v>15</v>
      </c>
      <c r="Q47" s="34">
        <f>VLOOKUP(A47,'SSP_March''19'!$A$3:$Q$1193,17,0)</f>
        <v>3</v>
      </c>
      <c r="R47" s="35">
        <f t="shared" si="11"/>
        <v>0.2</v>
      </c>
      <c r="S47" s="49">
        <f>ROUND(VLOOKUP(A47,'SSP_March''19'!$A$3:$T$1193,19,0),0)</f>
        <v>9</v>
      </c>
      <c r="T47" s="44">
        <f>VLOOKUP(A47,'SSP_March''19'!$A$3:$T$1193,20,0)</f>
        <v>0.6</v>
      </c>
      <c r="U47" s="34">
        <f>VLOOKUP(A47,'SSP_March''19'!$A$3:$X$1193,21,0)</f>
        <v>0</v>
      </c>
      <c r="V47" s="34">
        <f>VLOOKUP(A47,'SSP_March''19'!$A$3:$X$1193,22,0)</f>
        <v>1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34" t="s">
        <v>1980</v>
      </c>
      <c r="B48" s="34" t="s">
        <v>1981</v>
      </c>
      <c r="C48" s="34" t="s">
        <v>157</v>
      </c>
      <c r="D48" s="34" t="s">
        <v>64</v>
      </c>
      <c r="E48" s="34" t="s">
        <v>8</v>
      </c>
      <c r="F48" s="34" t="s">
        <v>1982</v>
      </c>
      <c r="G48" s="54">
        <v>1911816666</v>
      </c>
      <c r="H48" s="54" t="s">
        <v>229</v>
      </c>
      <c r="I48" s="54" t="s">
        <v>3514</v>
      </c>
      <c r="J48" s="34" t="s">
        <v>3419</v>
      </c>
      <c r="K48" s="43">
        <f>VLOOKUP(A48,'SSP_March''19'!$A$3:$L$1193,11,0)</f>
        <v>146722</v>
      </c>
      <c r="L48" s="43">
        <f>VLOOKUP(A48,'SSP_March''19'!$A$3:$L$1193,12,0)</f>
        <v>61010</v>
      </c>
      <c r="M48" s="44">
        <f t="shared" si="9"/>
        <v>0.41582039503278306</v>
      </c>
      <c r="N48" s="49">
        <f>ROUND(VLOOKUP(A48,'SSP_March''19'!$A$3:$N$1193,14,0),0)</f>
        <v>189131</v>
      </c>
      <c r="O48" s="44">
        <f t="shared" si="10"/>
        <v>1.2890432246016275</v>
      </c>
      <c r="P48" s="45">
        <f>VLOOKUP(A48,'SSP_March''19'!$A$3:$Q$1193,16,0)</f>
        <v>10</v>
      </c>
      <c r="Q48" s="34">
        <f>VLOOKUP(A48,'SSP_March''19'!$A$3:$Q$1193,17,0)</f>
        <v>4</v>
      </c>
      <c r="R48" s="35">
        <f t="shared" si="11"/>
        <v>0.4</v>
      </c>
      <c r="S48" s="49">
        <f>ROUND(VLOOKUP(A48,'SSP_March''19'!$A$3:$T$1193,19,0),0)</f>
        <v>12</v>
      </c>
      <c r="T48" s="44">
        <f>VLOOKUP(A48,'SSP_March''19'!$A$3:$T$1193,20,0)</f>
        <v>1.2</v>
      </c>
      <c r="U48" s="34">
        <f>VLOOKUP(A48,'SSP_March''19'!$A$3:$X$1193,21,0)</f>
        <v>0</v>
      </c>
      <c r="V48" s="34">
        <f>VLOOKUP(A48,'SSP_March''19'!$A$3:$X$1193,22,0)</f>
        <v>2</v>
      </c>
      <c r="W48" s="34">
        <f>VLOOKUP(A48,'SSP_March''19'!$A$3:$X$1193,23,0)</f>
        <v>0</v>
      </c>
      <c r="X48" s="34">
        <f>VLOOKUP(A48,'SSP_March''19'!$A$3:$X$1193,24,0)</f>
        <v>0</v>
      </c>
    </row>
    <row r="49" spans="1:24">
      <c r="A49" s="34" t="s">
        <v>3243</v>
      </c>
      <c r="B49" s="34" t="s">
        <v>395</v>
      </c>
      <c r="C49" s="34" t="s">
        <v>157</v>
      </c>
      <c r="D49" s="34" t="s">
        <v>64</v>
      </c>
      <c r="E49" s="34" t="s">
        <v>8</v>
      </c>
      <c r="F49" s="34" t="s">
        <v>3244</v>
      </c>
      <c r="G49" s="54">
        <v>1718319440</v>
      </c>
      <c r="H49" s="54" t="s">
        <v>229</v>
      </c>
      <c r="I49" s="54" t="s">
        <v>3514</v>
      </c>
      <c r="J49" s="34" t="s">
        <v>3515</v>
      </c>
      <c r="K49" s="43">
        <f>VLOOKUP(A49,'SSP_March''19'!$A$3:$L$1193,11,0)</f>
        <v>138361</v>
      </c>
      <c r="L49" s="43">
        <f>VLOOKUP(A49,'SSP_March''19'!$A$3:$L$1193,12,0)</f>
        <v>41220</v>
      </c>
      <c r="M49" s="44">
        <f t="shared" si="9"/>
        <v>0.29791632035038773</v>
      </c>
      <c r="N49" s="49">
        <f>ROUND(VLOOKUP(A49,'SSP_March''19'!$A$3:$N$1193,14,0),0)</f>
        <v>127782</v>
      </c>
      <c r="O49" s="44">
        <f t="shared" si="10"/>
        <v>0.92354059308620207</v>
      </c>
      <c r="P49" s="45">
        <f>VLOOKUP(A49,'SSP_March''19'!$A$3:$Q$1193,16,0)</f>
        <v>10</v>
      </c>
      <c r="Q49" s="34">
        <f>VLOOKUP(A49,'SSP_March''19'!$A$3:$Q$1193,17,0)</f>
        <v>1</v>
      </c>
      <c r="R49" s="35">
        <f t="shared" si="11"/>
        <v>0.1</v>
      </c>
      <c r="S49" s="49">
        <f>ROUND(VLOOKUP(A49,'SSP_March''19'!$A$3:$T$1193,19,0),0)</f>
        <v>3</v>
      </c>
      <c r="T49" s="44">
        <f>VLOOKUP(A49,'SSP_March''19'!$A$3:$T$1193,20,0)</f>
        <v>0.3</v>
      </c>
      <c r="U49" s="34">
        <f>VLOOKUP(A49,'SSP_March''19'!$A$3:$X$1193,21,0)</f>
        <v>0</v>
      </c>
      <c r="V49" s="34">
        <f>VLOOKUP(A49,'SSP_March''19'!$A$3:$X$1193,22,0)</f>
        <v>1</v>
      </c>
      <c r="W49" s="34">
        <f>VLOOKUP(A49,'SSP_March''19'!$A$3:$X$1193,23,0)</f>
        <v>0</v>
      </c>
      <c r="X49" s="34">
        <f>VLOOKUP(A49,'SSP_March''19'!$A$3:$X$1193,24,0)</f>
        <v>0</v>
      </c>
    </row>
    <row r="50" spans="1:24">
      <c r="A50" s="34" t="s">
        <v>1994</v>
      </c>
      <c r="B50" s="34" t="s">
        <v>1995</v>
      </c>
      <c r="C50" s="34" t="s">
        <v>157</v>
      </c>
      <c r="D50" s="34" t="s">
        <v>64</v>
      </c>
      <c r="E50" s="34" t="s">
        <v>8</v>
      </c>
      <c r="F50" s="34" t="s">
        <v>1996</v>
      </c>
      <c r="G50" s="54">
        <v>1688301844</v>
      </c>
      <c r="H50" s="54" t="s">
        <v>229</v>
      </c>
      <c r="I50" s="54" t="s">
        <v>3514</v>
      </c>
      <c r="J50" s="34" t="s">
        <v>3515</v>
      </c>
      <c r="K50" s="43">
        <f>VLOOKUP(A50,'SSP_March''19'!$A$3:$L$1193,11,0)</f>
        <v>174826</v>
      </c>
      <c r="L50" s="43">
        <f>VLOOKUP(A50,'SSP_March''19'!$A$3:$L$1193,12,0)</f>
        <v>24850</v>
      </c>
      <c r="M50" s="44">
        <f t="shared" si="9"/>
        <v>0.14214132909292668</v>
      </c>
      <c r="N50" s="49">
        <f>ROUND(VLOOKUP(A50,'SSP_March''19'!$A$3:$N$1193,14,0),0)</f>
        <v>77035</v>
      </c>
      <c r="O50" s="44">
        <f t="shared" si="10"/>
        <v>0.44063812018807269</v>
      </c>
      <c r="P50" s="45">
        <f>VLOOKUP(A50,'SSP_March''19'!$A$3:$Q$1193,16,0)</f>
        <v>13</v>
      </c>
      <c r="Q50" s="34">
        <f>VLOOKUP(A50,'SSP_March''19'!$A$3:$Q$1193,17,0)</f>
        <v>1</v>
      </c>
      <c r="R50" s="35">
        <f t="shared" si="11"/>
        <v>7.6923076923076927E-2</v>
      </c>
      <c r="S50" s="49">
        <f>ROUND(VLOOKUP(A50,'SSP_March''19'!$A$3:$T$1193,19,0),0)</f>
        <v>3</v>
      </c>
      <c r="T50" s="44">
        <f>VLOOKUP(A50,'SSP_March''19'!$A$3:$T$1193,20,0)</f>
        <v>0.23076923076923078</v>
      </c>
      <c r="U50" s="34">
        <f>VLOOKUP(A50,'SSP_March''19'!$A$3:$X$1193,21,0)</f>
        <v>0</v>
      </c>
      <c r="V50" s="34">
        <f>VLOOKUP(A50,'SSP_March''19'!$A$3:$X$1193,22,0)</f>
        <v>1</v>
      </c>
      <c r="W50" s="34">
        <f>VLOOKUP(A50,'SSP_March''19'!$A$3:$X$1193,23,0)</f>
        <v>0</v>
      </c>
      <c r="X50" s="34">
        <f>VLOOKUP(A50,'SSP_March''19'!$A$3:$X$1193,24,0)</f>
        <v>0</v>
      </c>
    </row>
    <row r="51" spans="1:24">
      <c r="A51" s="34" t="s">
        <v>1991</v>
      </c>
      <c r="B51" s="34" t="s">
        <v>1992</v>
      </c>
      <c r="C51" s="34" t="s">
        <v>157</v>
      </c>
      <c r="D51" s="34" t="s">
        <v>64</v>
      </c>
      <c r="E51" s="34" t="s">
        <v>8</v>
      </c>
      <c r="F51" s="34" t="s">
        <v>1993</v>
      </c>
      <c r="G51" s="54">
        <v>1677226438</v>
      </c>
      <c r="H51" s="54" t="s">
        <v>229</v>
      </c>
      <c r="I51" s="54" t="s">
        <v>3514</v>
      </c>
      <c r="J51" s="34" t="s">
        <v>3419</v>
      </c>
      <c r="K51" s="43">
        <f>VLOOKUP(A51,'SSP_March''19'!$A$3:$L$1193,11,0)</f>
        <v>221364</v>
      </c>
      <c r="L51" s="43">
        <f>VLOOKUP(A51,'SSP_March''19'!$A$3:$L$1193,12,0)</f>
        <v>100790</v>
      </c>
      <c r="M51" s="44">
        <f t="shared" si="6"/>
        <v>0.45531342042969952</v>
      </c>
      <c r="N51" s="49">
        <f>ROUND(VLOOKUP(A51,'SSP_March''19'!$A$3:$N$1193,14,0),0)</f>
        <v>312449</v>
      </c>
      <c r="O51" s="44">
        <f t="shared" si="7"/>
        <v>1.4114716033320684</v>
      </c>
      <c r="P51" s="45">
        <f>VLOOKUP(A51,'SSP_March''19'!$A$3:$Q$1193,16,0)</f>
        <v>13</v>
      </c>
      <c r="Q51" s="34">
        <f>VLOOKUP(A51,'SSP_March''19'!$A$3:$Q$1193,17,0)</f>
        <v>10</v>
      </c>
      <c r="R51" s="35">
        <f t="shared" si="8"/>
        <v>0.76923076923076927</v>
      </c>
      <c r="S51" s="49">
        <f>ROUND(VLOOKUP(A51,'SSP_March''19'!$A$3:$T$1193,19,0),0)</f>
        <v>31</v>
      </c>
      <c r="T51" s="44">
        <f>VLOOKUP(A51,'SSP_March''19'!$A$3:$T$1193,20,0)</f>
        <v>2.3846153846153846</v>
      </c>
      <c r="U51" s="34">
        <f>VLOOKUP(A51,'SSP_March''19'!$A$3:$X$1193,21,0)</f>
        <v>0</v>
      </c>
      <c r="V51" s="34">
        <f>VLOOKUP(A51,'SSP_March''19'!$A$3:$X$1193,22,0)</f>
        <v>3</v>
      </c>
      <c r="W51" s="34">
        <f>VLOOKUP(A51,'SSP_March''19'!$A$3:$X$1193,23,0)</f>
        <v>0</v>
      </c>
      <c r="X51" s="34">
        <f>VLOOKUP(A51,'SSP_March''19'!$A$3:$X$1193,24,0)</f>
        <v>0</v>
      </c>
    </row>
    <row r="52" spans="1:24">
      <c r="A52" s="34" t="s">
        <v>2000</v>
      </c>
      <c r="B52" s="34" t="s">
        <v>2001</v>
      </c>
      <c r="C52" s="34" t="s">
        <v>125</v>
      </c>
      <c r="D52" s="34" t="s">
        <v>126</v>
      </c>
      <c r="E52" s="34" t="s">
        <v>8</v>
      </c>
      <c r="F52" s="34" t="s">
        <v>2002</v>
      </c>
      <c r="G52" s="54">
        <v>1849953588</v>
      </c>
      <c r="H52" s="54" t="s">
        <v>229</v>
      </c>
      <c r="I52" s="54" t="s">
        <v>3518</v>
      </c>
      <c r="J52" s="34" t="s">
        <v>3419</v>
      </c>
      <c r="K52" s="43">
        <f>VLOOKUP(A52,'SSP_March''19'!$A$3:$L$1193,11,0)</f>
        <v>310000</v>
      </c>
      <c r="L52" s="43">
        <f>VLOOKUP(A52,'SSP_March''19'!$A$3:$L$1193,12,0)</f>
        <v>86955</v>
      </c>
      <c r="M52" s="44">
        <f t="shared" si="6"/>
        <v>0.28050000000000003</v>
      </c>
      <c r="N52" s="49">
        <f>ROUND(VLOOKUP(A52,'SSP_March''19'!$A$3:$N$1193,14,0),0)</f>
        <v>269561</v>
      </c>
      <c r="O52" s="44">
        <f t="shared" si="7"/>
        <v>0.8695516129032258</v>
      </c>
      <c r="P52" s="45">
        <f>VLOOKUP(A52,'SSP_March''19'!$A$3:$Q$1193,16,0)</f>
        <v>29</v>
      </c>
      <c r="Q52" s="34">
        <f>VLOOKUP(A52,'SSP_March''19'!$A$3:$Q$1193,17,0)</f>
        <v>7</v>
      </c>
      <c r="R52" s="35">
        <f t="shared" si="8"/>
        <v>0.2413793103448276</v>
      </c>
      <c r="S52" s="49">
        <f>ROUND(VLOOKUP(A52,'SSP_March''19'!$A$3:$T$1193,19,0),0)</f>
        <v>22</v>
      </c>
      <c r="T52" s="44">
        <f>VLOOKUP(A52,'SSP_March''19'!$A$3:$T$1193,20,0)</f>
        <v>0.75862068965517238</v>
      </c>
      <c r="U52" s="34">
        <f>VLOOKUP(A52,'SSP_March''19'!$A$3:$X$1193,21,0)</f>
        <v>0</v>
      </c>
      <c r="V52" s="34">
        <f>VLOOKUP(A52,'SSP_March''19'!$A$3:$X$1193,22,0)</f>
        <v>1</v>
      </c>
      <c r="W52" s="34">
        <f>VLOOKUP(A52,'SSP_March''19'!$A$3:$X$1193,23,0)</f>
        <v>0</v>
      </c>
      <c r="X52" s="34">
        <f>VLOOKUP(A52,'SSP_March''19'!$A$3:$X$1193,24,0)</f>
        <v>0</v>
      </c>
    </row>
    <row r="53" spans="1:24">
      <c r="A53" s="34" t="s">
        <v>3154</v>
      </c>
      <c r="B53" s="34" t="s">
        <v>1402</v>
      </c>
      <c r="C53" s="34" t="s">
        <v>125</v>
      </c>
      <c r="D53" s="34" t="s">
        <v>126</v>
      </c>
      <c r="E53" s="34" t="s">
        <v>8</v>
      </c>
      <c r="F53" s="34" t="s">
        <v>3155</v>
      </c>
      <c r="G53" s="54">
        <v>1712011552</v>
      </c>
      <c r="H53" s="54" t="s">
        <v>229</v>
      </c>
      <c r="I53" s="54" t="s">
        <v>3514</v>
      </c>
      <c r="J53" s="34" t="s">
        <v>3515</v>
      </c>
      <c r="K53" s="43">
        <f>VLOOKUP(A53,'SSP_March''19'!$A$3:$L$1193,11,0)</f>
        <v>130000</v>
      </c>
      <c r="L53" s="43">
        <f>VLOOKUP(A53,'SSP_March''19'!$A$3:$L$1193,12,0)</f>
        <v>11680</v>
      </c>
      <c r="M53" s="44">
        <f t="shared" si="6"/>
        <v>8.9846153846153839E-2</v>
      </c>
      <c r="N53" s="49">
        <f>ROUND(VLOOKUP(A53,'SSP_March''19'!$A$3:$N$1193,14,0),0)</f>
        <v>36208</v>
      </c>
      <c r="O53" s="44">
        <f t="shared" si="7"/>
        <v>0.27852307692307693</v>
      </c>
      <c r="P53" s="45">
        <f>VLOOKUP(A53,'SSP_March''19'!$A$3:$Q$1193,16,0)</f>
        <v>10</v>
      </c>
      <c r="Q53" s="34">
        <f>VLOOKUP(A53,'SSP_March''19'!$A$3:$Q$1193,17,0)</f>
        <v>1</v>
      </c>
      <c r="R53" s="35">
        <f t="shared" si="8"/>
        <v>0.1</v>
      </c>
      <c r="S53" s="49">
        <f>ROUND(VLOOKUP(A53,'SSP_March''19'!$A$3:$T$1193,19,0),0)</f>
        <v>3</v>
      </c>
      <c r="T53" s="44">
        <f>VLOOKUP(A53,'SSP_March''19'!$A$3:$T$1193,20,0)</f>
        <v>0.3</v>
      </c>
      <c r="U53" s="34">
        <f>VLOOKUP(A53,'SSP_March''19'!$A$3:$X$1193,21,0)</f>
        <v>0</v>
      </c>
      <c r="V53" s="34">
        <f>VLOOKUP(A53,'SSP_March''19'!$A$3:$X$1193,22,0)</f>
        <v>1</v>
      </c>
      <c r="W53" s="34">
        <f>VLOOKUP(A53,'SSP_March''19'!$A$3:$X$1193,23,0)</f>
        <v>0</v>
      </c>
      <c r="X53" s="34">
        <f>VLOOKUP(A53,'SSP_March''19'!$A$3:$X$1193,24,0)</f>
        <v>0</v>
      </c>
    </row>
    <row r="54" spans="1:24">
      <c r="A54" s="34" t="s">
        <v>2003</v>
      </c>
      <c r="B54" s="34" t="s">
        <v>2004</v>
      </c>
      <c r="C54" s="34" t="s">
        <v>125</v>
      </c>
      <c r="D54" s="34" t="s">
        <v>126</v>
      </c>
      <c r="E54" s="34" t="s">
        <v>8</v>
      </c>
      <c r="F54" s="34" t="s">
        <v>2005</v>
      </c>
      <c r="G54" s="54">
        <v>1721185261</v>
      </c>
      <c r="H54" s="54" t="s">
        <v>229</v>
      </c>
      <c r="I54" s="54" t="s">
        <v>3514</v>
      </c>
      <c r="J54" s="34" t="s">
        <v>3419</v>
      </c>
      <c r="K54" s="43">
        <f>VLOOKUP(A54,'SSP_March''19'!$A$3:$L$1193,11,0)</f>
        <v>231296</v>
      </c>
      <c r="L54" s="43">
        <f>VLOOKUP(A54,'SSP_March''19'!$A$3:$L$1193,12,0)</f>
        <v>27000</v>
      </c>
      <c r="M54" s="44">
        <f t="shared" si="6"/>
        <v>0.11673353624792474</v>
      </c>
      <c r="N54" s="49">
        <f>ROUND(VLOOKUP(A54,'SSP_March''19'!$A$3:$N$1193,14,0),0)</f>
        <v>83700</v>
      </c>
      <c r="O54" s="44">
        <f t="shared" si="7"/>
        <v>0.36187396236856667</v>
      </c>
      <c r="P54" s="45">
        <f>VLOOKUP(A54,'SSP_March''19'!$A$3:$Q$1193,16,0)</f>
        <v>20</v>
      </c>
      <c r="Q54" s="34">
        <f>VLOOKUP(A54,'SSP_March''19'!$A$3:$Q$1193,17,0)</f>
        <v>1</v>
      </c>
      <c r="R54" s="35">
        <f t="shared" si="8"/>
        <v>0.05</v>
      </c>
      <c r="S54" s="49">
        <f>ROUND(VLOOKUP(A54,'SSP_March''19'!$A$3:$T$1193,19,0),0)</f>
        <v>3</v>
      </c>
      <c r="T54" s="44">
        <f>VLOOKUP(A54,'SSP_March''19'!$A$3:$T$1193,20,0)</f>
        <v>0.15</v>
      </c>
      <c r="U54" s="34">
        <f>VLOOKUP(A54,'SSP_March''19'!$A$3:$X$1193,21,0)</f>
        <v>0</v>
      </c>
      <c r="V54" s="34">
        <f>VLOOKUP(A54,'SSP_March''19'!$A$3:$X$1193,22,0)</f>
        <v>0</v>
      </c>
      <c r="W54" s="34">
        <f>VLOOKUP(A54,'SSP_March''19'!$A$3:$X$1193,23,0)</f>
        <v>1</v>
      </c>
      <c r="X54" s="34">
        <f>VLOOKUP(A54,'SSP_March''19'!$A$3:$X$1193,24,0)</f>
        <v>0</v>
      </c>
    </row>
    <row r="55" spans="1:24">
      <c r="A55" s="75" t="s">
        <v>3571</v>
      </c>
      <c r="B55" s="75" t="s">
        <v>3572</v>
      </c>
      <c r="C55" s="75" t="s">
        <v>125</v>
      </c>
      <c r="D55" s="75" t="s">
        <v>126</v>
      </c>
      <c r="E55" s="75" t="s">
        <v>8</v>
      </c>
      <c r="F55" s="75" t="s">
        <v>3573</v>
      </c>
      <c r="G55" s="67">
        <v>1611977444</v>
      </c>
      <c r="H55" s="54" t="s">
        <v>229</v>
      </c>
      <c r="I55" s="54" t="s">
        <v>3514</v>
      </c>
      <c r="J55" s="34" t="s">
        <v>3419</v>
      </c>
      <c r="K55" s="43">
        <f>VLOOKUP(A55,'SSP_March''19'!$A$3:$L$1193,11,0)</f>
        <v>130000</v>
      </c>
      <c r="L55" s="43">
        <f>VLOOKUP(A55,'SSP_March''19'!$A$3:$L$1193,12,0)</f>
        <v>60145</v>
      </c>
      <c r="M55" s="44">
        <f t="shared" si="6"/>
        <v>0.46265384615384614</v>
      </c>
      <c r="N55" s="49">
        <f>ROUND(VLOOKUP(A55,'SSP_March''19'!$A$3:$N$1193,14,0),0)</f>
        <v>186450</v>
      </c>
      <c r="O55" s="44">
        <f t="shared" si="7"/>
        <v>1.4342307692307692</v>
      </c>
      <c r="P55" s="45">
        <f>VLOOKUP(A55,'SSP_March''19'!$A$3:$Q$1193,16,0)</f>
        <v>10</v>
      </c>
      <c r="Q55" s="34">
        <f>VLOOKUP(A55,'SSP_March''19'!$A$3:$Q$1193,17,0)</f>
        <v>6</v>
      </c>
      <c r="R55" s="35">
        <f t="shared" si="8"/>
        <v>0.6</v>
      </c>
      <c r="S55" s="49">
        <f>ROUND(VLOOKUP(A55,'SSP_March''19'!$A$3:$T$1193,19,0),0)</f>
        <v>19</v>
      </c>
      <c r="T55" s="44">
        <f>VLOOKUP(A55,'SSP_March''19'!$A$3:$T$1193,20,0)</f>
        <v>1.9</v>
      </c>
      <c r="U55" s="34">
        <f>VLOOKUP(A55,'SSP_March''19'!$A$3:$X$1193,21,0)</f>
        <v>0</v>
      </c>
      <c r="V55" s="34">
        <f>VLOOKUP(A55,'SSP_March''19'!$A$3:$X$1193,22,0)</f>
        <v>0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34" t="s">
        <v>2006</v>
      </c>
      <c r="B56" s="34" t="s">
        <v>2007</v>
      </c>
      <c r="C56" s="34" t="s">
        <v>125</v>
      </c>
      <c r="D56" s="34" t="s">
        <v>126</v>
      </c>
      <c r="E56" s="34" t="s">
        <v>8</v>
      </c>
      <c r="F56" s="34" t="s">
        <v>2008</v>
      </c>
      <c r="G56" s="54">
        <v>1751408099</v>
      </c>
      <c r="H56" s="54" t="s">
        <v>229</v>
      </c>
      <c r="I56" s="54" t="s">
        <v>3514</v>
      </c>
      <c r="J56" s="34" t="s">
        <v>3421</v>
      </c>
      <c r="K56" s="43">
        <f>VLOOKUP(A56,'SSP_March''19'!$A$3:$L$1193,11,0)</f>
        <v>130000</v>
      </c>
      <c r="L56" s="43">
        <f>VLOOKUP(A56,'SSP_March''19'!$A$3:$L$1193,12,0)</f>
        <v>27259</v>
      </c>
      <c r="M56" s="44">
        <f t="shared" si="6"/>
        <v>0.20968461538461539</v>
      </c>
      <c r="N56" s="49">
        <f>ROUND(VLOOKUP(A56,'SSP_March''19'!$A$3:$N$1193,14,0),0)</f>
        <v>84503</v>
      </c>
      <c r="O56" s="44">
        <f t="shared" si="7"/>
        <v>0.65002307692307693</v>
      </c>
      <c r="P56" s="45">
        <f>VLOOKUP(A56,'SSP_March''19'!$A$3:$Q$1193,16,0)</f>
        <v>10</v>
      </c>
      <c r="Q56" s="34">
        <f>VLOOKUP(A56,'SSP_March''19'!$A$3:$Q$1193,17,0)</f>
        <v>1</v>
      </c>
      <c r="R56" s="35">
        <f t="shared" si="8"/>
        <v>0.1</v>
      </c>
      <c r="S56" s="49">
        <f>ROUND(VLOOKUP(A56,'SSP_March''19'!$A$3:$T$1193,19,0),0)</f>
        <v>3</v>
      </c>
      <c r="T56" s="44">
        <f>VLOOKUP(A56,'SSP_March''19'!$A$3:$T$1193,20,0)</f>
        <v>0.3</v>
      </c>
      <c r="U56" s="34">
        <f>VLOOKUP(A56,'SSP_March''19'!$A$3:$X$1193,21,0)</f>
        <v>0</v>
      </c>
      <c r="V56" s="34">
        <f>VLOOKUP(A56,'SSP_March''19'!$A$3:$X$1193,22,0)</f>
        <v>1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34" t="s">
        <v>1997</v>
      </c>
      <c r="B57" s="34" t="s">
        <v>1998</v>
      </c>
      <c r="C57" s="34" t="s">
        <v>125</v>
      </c>
      <c r="D57" s="34" t="s">
        <v>126</v>
      </c>
      <c r="E57" s="34" t="s">
        <v>8</v>
      </c>
      <c r="F57" s="34" t="s">
        <v>1999</v>
      </c>
      <c r="G57" s="54">
        <v>1712012696</v>
      </c>
      <c r="H57" s="54" t="s">
        <v>229</v>
      </c>
      <c r="I57" s="54" t="s">
        <v>3514</v>
      </c>
      <c r="J57" s="34" t="s">
        <v>3419</v>
      </c>
      <c r="K57" s="43">
        <f>VLOOKUP(A57,'SSP_March''19'!$A$3:$L$1193,11,0)</f>
        <v>130000</v>
      </c>
      <c r="L57" s="43">
        <f>VLOOKUP(A57,'SSP_March''19'!$A$3:$L$1193,12,0)</f>
        <v>41680</v>
      </c>
      <c r="M57" s="44">
        <f t="shared" si="6"/>
        <v>0.32061538461538464</v>
      </c>
      <c r="N57" s="49">
        <f>ROUND(VLOOKUP(A57,'SSP_March''19'!$A$3:$N$1193,14,0),0)</f>
        <v>129208</v>
      </c>
      <c r="O57" s="44">
        <f t="shared" si="7"/>
        <v>0.99390769230769227</v>
      </c>
      <c r="P57" s="45">
        <f>VLOOKUP(A57,'SSP_March''19'!$A$3:$Q$1193,16,0)</f>
        <v>10</v>
      </c>
      <c r="Q57" s="34">
        <f>VLOOKUP(A57,'SSP_March''19'!$A$3:$Q$1193,17,0)</f>
        <v>2</v>
      </c>
      <c r="R57" s="35">
        <f t="shared" si="8"/>
        <v>0.2</v>
      </c>
      <c r="S57" s="49">
        <f>ROUND(VLOOKUP(A57,'SSP_March''19'!$A$3:$T$1193,19,0),0)</f>
        <v>6</v>
      </c>
      <c r="T57" s="44">
        <f>VLOOKUP(A57,'SSP_March''19'!$A$3:$T$1193,20,0)</f>
        <v>0.6</v>
      </c>
      <c r="U57" s="34">
        <f>VLOOKUP(A57,'SSP_March''19'!$A$3:$X$1193,21,0)</f>
        <v>0</v>
      </c>
      <c r="V57" s="34">
        <f>VLOOKUP(A57,'SSP_March''19'!$A$3:$X$1193,22,0)</f>
        <v>0</v>
      </c>
      <c r="W57" s="34">
        <f>VLOOKUP(A57,'SSP_March''19'!$A$3:$X$1193,23,0)</f>
        <v>0</v>
      </c>
      <c r="X57" s="34">
        <f>VLOOKUP(A57,'SSP_March''19'!$A$3:$X$1193,24,0)</f>
        <v>0</v>
      </c>
    </row>
    <row r="58" spans="1:24">
      <c r="A58" s="34" t="s">
        <v>2041</v>
      </c>
      <c r="B58" s="34" t="s">
        <v>2042</v>
      </c>
      <c r="C58" s="34" t="s">
        <v>2015</v>
      </c>
      <c r="D58" s="34" t="s">
        <v>70</v>
      </c>
      <c r="E58" s="34" t="s">
        <v>8</v>
      </c>
      <c r="F58" s="34" t="s">
        <v>558</v>
      </c>
      <c r="G58" s="54">
        <v>1818411549</v>
      </c>
      <c r="H58" s="54" t="s">
        <v>229</v>
      </c>
      <c r="I58" s="54" t="s">
        <v>3514</v>
      </c>
      <c r="J58" s="34" t="s">
        <v>3421</v>
      </c>
      <c r="K58" s="43">
        <f>VLOOKUP(A58,'SSP_March''19'!$A$3:$L$1193,11,0)</f>
        <v>130000</v>
      </c>
      <c r="L58" s="43">
        <f>VLOOKUP(A58,'SSP_March''19'!$A$3:$L$1193,12,0)</f>
        <v>0</v>
      </c>
      <c r="M58" s="44">
        <f t="shared" si="6"/>
        <v>0</v>
      </c>
      <c r="N58" s="49">
        <f>ROUND(VLOOKUP(A58,'SSP_March''19'!$A$3:$N$1193,14,0),0)</f>
        <v>0</v>
      </c>
      <c r="O58" s="44">
        <f t="shared" si="7"/>
        <v>0</v>
      </c>
      <c r="P58" s="45">
        <f>VLOOKUP(A58,'SSP_March''19'!$A$3:$Q$1193,16,0)</f>
        <v>10</v>
      </c>
      <c r="Q58" s="34">
        <f>VLOOKUP(A58,'SSP_March''19'!$A$3:$Q$1193,17,0)</f>
        <v>0</v>
      </c>
      <c r="R58" s="35">
        <f t="shared" si="8"/>
        <v>0</v>
      </c>
      <c r="S58" s="49">
        <f>ROUND(VLOOKUP(A58,'SSP_March''19'!$A$3:$T$1193,19,0),0)</f>
        <v>0</v>
      </c>
      <c r="T58" s="44">
        <f>VLOOKUP(A58,'SSP_March''19'!$A$3:$T$1193,20,0)</f>
        <v>0</v>
      </c>
      <c r="U58" s="34">
        <f>VLOOKUP(A58,'SSP_March''19'!$A$3:$X$1193,21,0)</f>
        <v>0</v>
      </c>
      <c r="V58" s="34">
        <f>VLOOKUP(A58,'SSP_March''19'!$A$3:$X$1193,22,0)</f>
        <v>0</v>
      </c>
      <c r="W58" s="34">
        <f>VLOOKUP(A58,'SSP_March''19'!$A$3:$X$1193,23,0)</f>
        <v>0</v>
      </c>
      <c r="X58" s="34">
        <f>VLOOKUP(A58,'SSP_March''19'!$A$3:$X$1193,24,0)</f>
        <v>0</v>
      </c>
    </row>
    <row r="59" spans="1:24">
      <c r="A59" s="34" t="s">
        <v>2013</v>
      </c>
      <c r="B59" s="34" t="s">
        <v>2014</v>
      </c>
      <c r="C59" s="34" t="s">
        <v>2015</v>
      </c>
      <c r="D59" s="34" t="s">
        <v>70</v>
      </c>
      <c r="E59" s="34" t="s">
        <v>8</v>
      </c>
      <c r="F59" s="34" t="s">
        <v>2016</v>
      </c>
      <c r="G59" s="54">
        <v>1718953709</v>
      </c>
      <c r="H59" s="54" t="s">
        <v>229</v>
      </c>
      <c r="I59" s="54" t="s">
        <v>3514</v>
      </c>
      <c r="J59" s="34" t="s">
        <v>3419</v>
      </c>
      <c r="K59" s="43">
        <f>VLOOKUP(A59,'SSP_March''19'!$A$3:$L$1193,11,0)</f>
        <v>161094</v>
      </c>
      <c r="L59" s="43">
        <f>VLOOKUP(A59,'SSP_March''19'!$A$3:$L$1193,12,0)</f>
        <v>66390</v>
      </c>
      <c r="M59" s="44">
        <f t="shared" si="6"/>
        <v>0.41211963201608998</v>
      </c>
      <c r="N59" s="49">
        <f>ROUND(VLOOKUP(A59,'SSP_March''19'!$A$3:$N$1193,14,0),0)</f>
        <v>205809</v>
      </c>
      <c r="O59" s="44">
        <f t="shared" si="7"/>
        <v>1.2775708592498789</v>
      </c>
      <c r="P59" s="45">
        <f>VLOOKUP(A59,'SSP_March''19'!$A$3:$Q$1193,16,0)</f>
        <v>10</v>
      </c>
      <c r="Q59" s="34">
        <f>VLOOKUP(A59,'SSP_March''19'!$A$3:$Q$1193,17,0)</f>
        <v>3</v>
      </c>
      <c r="R59" s="35">
        <f t="shared" si="8"/>
        <v>0.3</v>
      </c>
      <c r="S59" s="49">
        <f>ROUND(VLOOKUP(A59,'SSP_March''19'!$A$3:$T$1193,19,0),0)</f>
        <v>9</v>
      </c>
      <c r="T59" s="44">
        <f>VLOOKUP(A59,'SSP_March''19'!$A$3:$T$1193,20,0)</f>
        <v>0.9</v>
      </c>
      <c r="U59" s="34">
        <f>VLOOKUP(A59,'SSP_March''19'!$A$3:$X$1193,21,0)</f>
        <v>0</v>
      </c>
      <c r="V59" s="34">
        <f>VLOOKUP(A59,'SSP_March''19'!$A$3:$X$1193,22,0)</f>
        <v>0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34" t="s">
        <v>2022</v>
      </c>
      <c r="B60" s="34" t="s">
        <v>2023</v>
      </c>
      <c r="C60" s="34" t="s">
        <v>2015</v>
      </c>
      <c r="D60" s="34" t="s">
        <v>70</v>
      </c>
      <c r="E60" s="34" t="s">
        <v>8</v>
      </c>
      <c r="F60" s="34" t="s">
        <v>2024</v>
      </c>
      <c r="G60" s="54">
        <v>1817065576</v>
      </c>
      <c r="H60" s="54" t="s">
        <v>229</v>
      </c>
      <c r="I60" s="54" t="s">
        <v>3514</v>
      </c>
      <c r="J60" s="34" t="s">
        <v>3419</v>
      </c>
      <c r="K60" s="43">
        <f>VLOOKUP(A60,'SSP_March''19'!$A$3:$L$1193,11,0)</f>
        <v>174829</v>
      </c>
      <c r="L60" s="43">
        <f>VLOOKUP(A60,'SSP_March''19'!$A$3:$L$1193,12,0)</f>
        <v>62298</v>
      </c>
      <c r="M60" s="44">
        <f t="shared" si="6"/>
        <v>0.35633676335161785</v>
      </c>
      <c r="N60" s="49">
        <f>ROUND(VLOOKUP(A60,'SSP_March''19'!$A$3:$N$1193,14,0),0)</f>
        <v>193124</v>
      </c>
      <c r="O60" s="44">
        <f t="shared" si="7"/>
        <v>1.1046451103649852</v>
      </c>
      <c r="P60" s="45">
        <f>VLOOKUP(A60,'SSP_March''19'!$A$3:$Q$1193,16,0)</f>
        <v>10</v>
      </c>
      <c r="Q60" s="34">
        <f>VLOOKUP(A60,'SSP_March''19'!$A$3:$Q$1193,17,0)</f>
        <v>2</v>
      </c>
      <c r="R60" s="35">
        <f t="shared" si="8"/>
        <v>0.2</v>
      </c>
      <c r="S60" s="49">
        <f>ROUND(VLOOKUP(A60,'SSP_March''19'!$A$3:$T$1193,19,0),0)</f>
        <v>6</v>
      </c>
      <c r="T60" s="44">
        <f>VLOOKUP(A60,'SSP_March''19'!$A$3:$T$1193,20,0)</f>
        <v>0.6</v>
      </c>
      <c r="U60" s="34">
        <f>VLOOKUP(A60,'SSP_March''19'!$A$3:$X$1193,21,0)</f>
        <v>0</v>
      </c>
      <c r="V60" s="34">
        <f>VLOOKUP(A60,'SSP_March''19'!$A$3:$X$1193,22,0)</f>
        <v>1</v>
      </c>
      <c r="W60" s="34">
        <f>VLOOKUP(A60,'SSP_March''19'!$A$3:$X$1193,23,0)</f>
        <v>0</v>
      </c>
      <c r="X60" s="34">
        <f>VLOOKUP(A60,'SSP_March''19'!$A$3:$X$1193,24,0)</f>
        <v>0</v>
      </c>
    </row>
    <row r="61" spans="1:24">
      <c r="A61" s="34" t="s">
        <v>2038</v>
      </c>
      <c r="B61" s="34" t="s">
        <v>2039</v>
      </c>
      <c r="C61" s="34" t="s">
        <v>2015</v>
      </c>
      <c r="D61" s="34" t="s">
        <v>70</v>
      </c>
      <c r="E61" s="34" t="s">
        <v>8</v>
      </c>
      <c r="F61" s="34" t="s">
        <v>2040</v>
      </c>
      <c r="G61" s="54">
        <v>1811110182</v>
      </c>
      <c r="H61" s="54" t="s">
        <v>229</v>
      </c>
      <c r="I61" s="54" t="s">
        <v>3514</v>
      </c>
      <c r="J61" s="34" t="s">
        <v>3419</v>
      </c>
      <c r="K61" s="43">
        <f>VLOOKUP(A61,'SSP_March''19'!$A$3:$L$1193,11,0)</f>
        <v>130000</v>
      </c>
      <c r="L61" s="43">
        <f>VLOOKUP(A61,'SSP_March''19'!$A$3:$L$1193,12,0)</f>
        <v>28285</v>
      </c>
      <c r="M61" s="44">
        <f t="shared" si="6"/>
        <v>0.21757692307692308</v>
      </c>
      <c r="N61" s="49">
        <f>ROUND(VLOOKUP(A61,'SSP_March''19'!$A$3:$N$1193,14,0),0)</f>
        <v>87684</v>
      </c>
      <c r="O61" s="44">
        <f t="shared" si="7"/>
        <v>0.67449230769230772</v>
      </c>
      <c r="P61" s="45">
        <f>VLOOKUP(A61,'SSP_March''19'!$A$3:$Q$1193,16,0)</f>
        <v>10</v>
      </c>
      <c r="Q61" s="34">
        <f>VLOOKUP(A61,'SSP_March''19'!$A$3:$Q$1193,17,0)</f>
        <v>1</v>
      </c>
      <c r="R61" s="35">
        <f t="shared" si="8"/>
        <v>0.1</v>
      </c>
      <c r="S61" s="49">
        <f>ROUND(VLOOKUP(A61,'SSP_March''19'!$A$3:$T$1193,19,0),0)</f>
        <v>3</v>
      </c>
      <c r="T61" s="44">
        <f>VLOOKUP(A61,'SSP_March''19'!$A$3:$T$1193,20,0)</f>
        <v>0.3</v>
      </c>
      <c r="U61" s="34">
        <f>VLOOKUP(A61,'SSP_March''19'!$A$3:$X$1193,21,0)</f>
        <v>0</v>
      </c>
      <c r="V61" s="34">
        <f>VLOOKUP(A61,'SSP_March''19'!$A$3:$X$1193,22,0)</f>
        <v>0</v>
      </c>
      <c r="W61" s="34">
        <f>VLOOKUP(A61,'SSP_March''19'!$A$3:$X$1193,23,0)</f>
        <v>0</v>
      </c>
      <c r="X61" s="34">
        <f>VLOOKUP(A61,'SSP_March''19'!$A$3:$X$1193,24,0)</f>
        <v>0</v>
      </c>
    </row>
    <row r="62" spans="1:24">
      <c r="A62" s="34" t="s">
        <v>2033</v>
      </c>
      <c r="B62" s="34" t="s">
        <v>217</v>
      </c>
      <c r="C62" s="34" t="s">
        <v>144</v>
      </c>
      <c r="D62" s="34" t="s">
        <v>70</v>
      </c>
      <c r="E62" s="34" t="s">
        <v>8</v>
      </c>
      <c r="F62" s="34" t="s">
        <v>2034</v>
      </c>
      <c r="G62" s="54">
        <v>1955245769</v>
      </c>
      <c r="H62" s="54" t="s">
        <v>229</v>
      </c>
      <c r="I62" s="54" t="s">
        <v>3518</v>
      </c>
      <c r="J62" s="34" t="s">
        <v>3419</v>
      </c>
      <c r="K62" s="43">
        <f>VLOOKUP(A62,'SSP_March''19'!$A$3:$L$1193,11,0)</f>
        <v>449122</v>
      </c>
      <c r="L62" s="43">
        <f>VLOOKUP(A62,'SSP_March''19'!$A$3:$L$1193,12,0)</f>
        <v>163875</v>
      </c>
      <c r="M62" s="44">
        <f t="shared" si="6"/>
        <v>0.36487858532870804</v>
      </c>
      <c r="N62" s="49">
        <f>ROUND(VLOOKUP(A62,'SSP_March''19'!$A$3:$N$1193,14,0),0)</f>
        <v>508013</v>
      </c>
      <c r="O62" s="44">
        <f t="shared" si="7"/>
        <v>1.1311247278022454</v>
      </c>
      <c r="P62" s="45">
        <f>VLOOKUP(A62,'SSP_March''19'!$A$3:$Q$1193,16,0)</f>
        <v>22</v>
      </c>
      <c r="Q62" s="34">
        <f>VLOOKUP(A62,'SSP_March''19'!$A$3:$Q$1193,17,0)</f>
        <v>11</v>
      </c>
      <c r="R62" s="35">
        <f t="shared" si="8"/>
        <v>0.5</v>
      </c>
      <c r="S62" s="49">
        <f>ROUND(VLOOKUP(A62,'SSP_March''19'!$A$3:$T$1193,19,0),0)</f>
        <v>34</v>
      </c>
      <c r="T62" s="44">
        <f>VLOOKUP(A62,'SSP_March''19'!$A$3:$T$1193,20,0)</f>
        <v>1.5454545454545454</v>
      </c>
      <c r="U62" s="34">
        <f>VLOOKUP(A62,'SSP_March''19'!$A$3:$X$1193,21,0)</f>
        <v>2</v>
      </c>
      <c r="V62" s="34">
        <f>VLOOKUP(A62,'SSP_March''19'!$A$3:$X$1193,22,0)</f>
        <v>0</v>
      </c>
      <c r="W62" s="34">
        <f>VLOOKUP(A62,'SSP_March''19'!$A$3:$X$1193,23,0)</f>
        <v>0</v>
      </c>
      <c r="X62" s="34">
        <f>VLOOKUP(A62,'SSP_March''19'!$A$3:$X$1193,24,0)</f>
        <v>1</v>
      </c>
    </row>
    <row r="63" spans="1:24">
      <c r="A63" s="34" t="s">
        <v>2020</v>
      </c>
      <c r="B63" s="34" t="s">
        <v>269</v>
      </c>
      <c r="C63" s="34" t="s">
        <v>144</v>
      </c>
      <c r="D63" s="34" t="s">
        <v>70</v>
      </c>
      <c r="E63" s="34" t="s">
        <v>8</v>
      </c>
      <c r="F63" s="34" t="s">
        <v>2021</v>
      </c>
      <c r="G63" s="54">
        <v>1817500416</v>
      </c>
      <c r="H63" s="54" t="s">
        <v>229</v>
      </c>
      <c r="I63" s="54" t="s">
        <v>3514</v>
      </c>
      <c r="J63" s="34" t="s">
        <v>3419</v>
      </c>
      <c r="K63" s="43">
        <f>VLOOKUP(A63,'SSP_March''19'!$A$3:$L$1193,11,0)</f>
        <v>130000</v>
      </c>
      <c r="L63" s="43">
        <f>VLOOKUP(A63,'SSP_March''19'!$A$3:$L$1193,12,0)</f>
        <v>18115</v>
      </c>
      <c r="M63" s="44">
        <f t="shared" si="6"/>
        <v>0.13934615384615384</v>
      </c>
      <c r="N63" s="49">
        <f>ROUND(VLOOKUP(A63,'SSP_March''19'!$A$3:$N$1193,14,0),0)</f>
        <v>56157</v>
      </c>
      <c r="O63" s="44">
        <f t="shared" si="7"/>
        <v>0.43197692307692309</v>
      </c>
      <c r="P63" s="45">
        <f>VLOOKUP(A63,'SSP_March''19'!$A$3:$Q$1193,16,0)</f>
        <v>10</v>
      </c>
      <c r="Q63" s="34">
        <f>VLOOKUP(A63,'SSP_March''19'!$A$3:$Q$1193,17,0)</f>
        <v>0</v>
      </c>
      <c r="R63" s="35">
        <f t="shared" si="8"/>
        <v>0</v>
      </c>
      <c r="S63" s="49">
        <f>ROUND(VLOOKUP(A63,'SSP_March''19'!$A$3:$T$1193,19,0),0)</f>
        <v>0</v>
      </c>
      <c r="T63" s="44">
        <f>VLOOKUP(A63,'SSP_March''19'!$A$3:$T$1193,20,0)</f>
        <v>0</v>
      </c>
      <c r="U63" s="34">
        <f>VLOOKUP(A63,'SSP_March''19'!$A$3:$X$1193,21,0)</f>
        <v>0</v>
      </c>
      <c r="V63" s="34">
        <f>VLOOKUP(A63,'SSP_March''19'!$A$3:$X$1193,22,0)</f>
        <v>0</v>
      </c>
      <c r="W63" s="34">
        <f>VLOOKUP(A63,'SSP_March''19'!$A$3:$X$1193,23,0)</f>
        <v>0</v>
      </c>
      <c r="X63" s="34">
        <f>VLOOKUP(A63,'SSP_March''19'!$A$3:$X$1193,24,0)</f>
        <v>0</v>
      </c>
    </row>
    <row r="64" spans="1:24">
      <c r="A64" s="34" t="s">
        <v>2035</v>
      </c>
      <c r="B64" s="34" t="s">
        <v>2036</v>
      </c>
      <c r="C64" s="34" t="s">
        <v>144</v>
      </c>
      <c r="D64" s="34" t="s">
        <v>70</v>
      </c>
      <c r="E64" s="34" t="s">
        <v>8</v>
      </c>
      <c r="F64" s="34" t="s">
        <v>2037</v>
      </c>
      <c r="G64" s="54">
        <v>1710688880</v>
      </c>
      <c r="H64" s="54" t="s">
        <v>229</v>
      </c>
      <c r="I64" s="54" t="s">
        <v>3514</v>
      </c>
      <c r="J64" s="34" t="s">
        <v>3419</v>
      </c>
      <c r="K64" s="43">
        <f>VLOOKUP(A64,'SSP_March''19'!$A$3:$L$1193,11,0)</f>
        <v>130000</v>
      </c>
      <c r="L64" s="43">
        <f>VLOOKUP(A64,'SSP_March''19'!$A$3:$L$1193,12,0)</f>
        <v>51959</v>
      </c>
      <c r="M64" s="44">
        <f t="shared" si="6"/>
        <v>0.39968461538461536</v>
      </c>
      <c r="N64" s="49">
        <f>ROUND(VLOOKUP(A64,'SSP_March''19'!$A$3:$N$1193,14,0),0)</f>
        <v>161073</v>
      </c>
      <c r="O64" s="44">
        <f t="shared" si="7"/>
        <v>1.239023076923077</v>
      </c>
      <c r="P64" s="45">
        <f>VLOOKUP(A64,'SSP_March''19'!$A$3:$Q$1193,16,0)</f>
        <v>10</v>
      </c>
      <c r="Q64" s="34">
        <f>VLOOKUP(A64,'SSP_March''19'!$A$3:$Q$1193,17,0)</f>
        <v>3</v>
      </c>
      <c r="R64" s="35">
        <f t="shared" si="8"/>
        <v>0.3</v>
      </c>
      <c r="S64" s="49">
        <f>ROUND(VLOOKUP(A64,'SSP_March''19'!$A$3:$T$1193,19,0),0)</f>
        <v>9</v>
      </c>
      <c r="T64" s="44">
        <f>VLOOKUP(A64,'SSP_March''19'!$A$3:$T$1193,20,0)</f>
        <v>0.9</v>
      </c>
      <c r="U64" s="34">
        <f>VLOOKUP(A64,'SSP_March''19'!$A$3:$X$1193,21,0)</f>
        <v>0</v>
      </c>
      <c r="V64" s="34">
        <f>VLOOKUP(A64,'SSP_March''19'!$A$3:$X$1193,22,0)</f>
        <v>2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34" t="s">
        <v>2010</v>
      </c>
      <c r="B65" s="34" t="s">
        <v>2011</v>
      </c>
      <c r="C65" s="34" t="s">
        <v>144</v>
      </c>
      <c r="D65" s="34" t="s">
        <v>70</v>
      </c>
      <c r="E65" s="34" t="s">
        <v>8</v>
      </c>
      <c r="F65" s="34" t="s">
        <v>2012</v>
      </c>
      <c r="G65" s="54">
        <v>1925994338</v>
      </c>
      <c r="H65" s="54" t="s">
        <v>229</v>
      </c>
      <c r="I65" s="54" t="s">
        <v>3518</v>
      </c>
      <c r="J65" s="34" t="s">
        <v>3420</v>
      </c>
      <c r="K65" s="43">
        <f>VLOOKUP(A65,'SSP_March''19'!$A$3:$L$1193,11,0)</f>
        <v>443583</v>
      </c>
      <c r="L65" s="43">
        <f>VLOOKUP(A65,'SSP_March''19'!$A$3:$L$1193,12,0)</f>
        <v>213325</v>
      </c>
      <c r="M65" s="44">
        <f t="shared" si="6"/>
        <v>0.48091338035948178</v>
      </c>
      <c r="N65" s="49">
        <f>ROUND(VLOOKUP(A65,'SSP_March''19'!$A$3:$N$1193,14,0),0)</f>
        <v>661308</v>
      </c>
      <c r="O65" s="44">
        <f t="shared" si="7"/>
        <v>1.4908326062991593</v>
      </c>
      <c r="P65" s="45">
        <f>VLOOKUP(A65,'SSP_March''19'!$A$3:$Q$1193,16,0)</f>
        <v>26</v>
      </c>
      <c r="Q65" s="34">
        <f>VLOOKUP(A65,'SSP_March''19'!$A$3:$Q$1193,17,0)</f>
        <v>12</v>
      </c>
      <c r="R65" s="35">
        <f t="shared" si="8"/>
        <v>0.46153846153846156</v>
      </c>
      <c r="S65" s="49">
        <f>ROUND(VLOOKUP(A65,'SSP_March''19'!$A$3:$T$1193,19,0),0)</f>
        <v>37</v>
      </c>
      <c r="T65" s="44">
        <f>VLOOKUP(A65,'SSP_March''19'!$A$3:$T$1193,20,0)</f>
        <v>1.4230769230769231</v>
      </c>
      <c r="U65" s="34">
        <f>VLOOKUP(A65,'SSP_March''19'!$A$3:$X$1193,21,0)</f>
        <v>1</v>
      </c>
      <c r="V65" s="34">
        <f>VLOOKUP(A65,'SSP_March''19'!$A$3:$X$1193,22,0)</f>
        <v>2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34" t="s">
        <v>2017</v>
      </c>
      <c r="B66" s="34" t="s">
        <v>2018</v>
      </c>
      <c r="C66" s="34" t="s">
        <v>144</v>
      </c>
      <c r="D66" s="34" t="s">
        <v>70</v>
      </c>
      <c r="E66" s="34" t="s">
        <v>8</v>
      </c>
      <c r="F66" s="34" t="s">
        <v>2019</v>
      </c>
      <c r="G66" s="54">
        <v>1864782194</v>
      </c>
      <c r="H66" s="54" t="s">
        <v>229</v>
      </c>
      <c r="I66" s="54" t="s">
        <v>3518</v>
      </c>
      <c r="J66" s="34" t="s">
        <v>3419</v>
      </c>
      <c r="K66" s="43">
        <f>VLOOKUP(A66,'SSP_March''19'!$A$3:$L$1193,11,0)</f>
        <v>300986</v>
      </c>
      <c r="L66" s="43">
        <f>VLOOKUP(A66,'SSP_March''19'!$A$3:$L$1193,12,0)</f>
        <v>61300</v>
      </c>
      <c r="M66" s="44">
        <f t="shared" si="6"/>
        <v>0.20366395779205676</v>
      </c>
      <c r="N66" s="49">
        <f>ROUND(VLOOKUP(A66,'SSP_March''19'!$A$3:$N$1193,14,0),0)</f>
        <v>190030</v>
      </c>
      <c r="O66" s="44">
        <f t="shared" si="7"/>
        <v>0.63135826915537596</v>
      </c>
      <c r="P66" s="45">
        <f>VLOOKUP(A66,'SSP_March''19'!$A$3:$Q$1193,16,0)</f>
        <v>12</v>
      </c>
      <c r="Q66" s="34">
        <f>VLOOKUP(A66,'SSP_March''19'!$A$3:$Q$1193,17,0)</f>
        <v>3</v>
      </c>
      <c r="R66" s="35">
        <f t="shared" si="8"/>
        <v>0.25</v>
      </c>
      <c r="S66" s="49">
        <f>ROUND(VLOOKUP(A66,'SSP_March''19'!$A$3:$T$1193,19,0),0)</f>
        <v>9</v>
      </c>
      <c r="T66" s="44">
        <f>VLOOKUP(A66,'SSP_March''19'!$A$3:$T$1193,20,0)</f>
        <v>0.75</v>
      </c>
      <c r="U66" s="34">
        <f>VLOOKUP(A66,'SSP_March''19'!$A$3:$X$1193,21,0)</f>
        <v>0</v>
      </c>
      <c r="V66" s="34">
        <f>VLOOKUP(A66,'SSP_March''19'!$A$3:$X$1193,22,0)</f>
        <v>0</v>
      </c>
      <c r="W66" s="34">
        <f>VLOOKUP(A66,'SSP_March''19'!$A$3:$X$1193,23,0)</f>
        <v>0</v>
      </c>
      <c r="X66" s="34">
        <f>VLOOKUP(A66,'SSP_March''19'!$A$3:$X$1193,24,0)</f>
        <v>0</v>
      </c>
    </row>
    <row r="67" spans="1:24">
      <c r="A67" s="34" t="s">
        <v>2030</v>
      </c>
      <c r="B67" s="34" t="s">
        <v>2031</v>
      </c>
      <c r="C67" s="34" t="s">
        <v>144</v>
      </c>
      <c r="D67" s="34" t="s">
        <v>70</v>
      </c>
      <c r="E67" s="34" t="s">
        <v>8</v>
      </c>
      <c r="F67" s="34" t="s">
        <v>2032</v>
      </c>
      <c r="G67" s="54">
        <v>1711119943</v>
      </c>
      <c r="H67" s="54" t="s">
        <v>229</v>
      </c>
      <c r="I67" s="54" t="s">
        <v>3514</v>
      </c>
      <c r="J67" s="34" t="s">
        <v>3419</v>
      </c>
      <c r="K67" s="43">
        <f>VLOOKUP(A67,'SSP_March''19'!$A$3:$L$1193,11,0)</f>
        <v>130000</v>
      </c>
      <c r="L67" s="43">
        <f>VLOOKUP(A67,'SSP_March''19'!$A$3:$L$1193,12,0)</f>
        <v>13620</v>
      </c>
      <c r="M67" s="44">
        <f t="shared" si="6"/>
        <v>0.10476923076923077</v>
      </c>
      <c r="N67" s="49">
        <f>ROUND(VLOOKUP(A67,'SSP_March''19'!$A$3:$N$1193,14,0),0)</f>
        <v>42222</v>
      </c>
      <c r="O67" s="44">
        <f t="shared" si="7"/>
        <v>0.32478461538461539</v>
      </c>
      <c r="P67" s="45">
        <f>VLOOKUP(A67,'SSP_March''19'!$A$3:$Q$1193,16,0)</f>
        <v>10</v>
      </c>
      <c r="Q67" s="34">
        <f>VLOOKUP(A67,'SSP_March''19'!$A$3:$Q$1193,17,0)</f>
        <v>0</v>
      </c>
      <c r="R67" s="35">
        <f t="shared" si="8"/>
        <v>0</v>
      </c>
      <c r="S67" s="49">
        <f>ROUND(VLOOKUP(A67,'SSP_March''19'!$A$3:$T$1193,19,0),0)</f>
        <v>0</v>
      </c>
      <c r="T67" s="44">
        <f>VLOOKUP(A67,'SSP_March''19'!$A$3:$T$1193,20,0)</f>
        <v>0</v>
      </c>
      <c r="U67" s="34">
        <f>VLOOKUP(A67,'SSP_March''19'!$A$3:$X$1193,21,0)</f>
        <v>0</v>
      </c>
      <c r="V67" s="34">
        <f>VLOOKUP(A67,'SSP_March''19'!$A$3:$X$1193,22,0)</f>
        <v>0</v>
      </c>
      <c r="W67" s="34">
        <f>VLOOKUP(A67,'SSP_March''19'!$A$3:$X$1193,23,0)</f>
        <v>0</v>
      </c>
      <c r="X67" s="34">
        <f>VLOOKUP(A67,'SSP_March''19'!$A$3:$X$1193,24,0)</f>
        <v>0</v>
      </c>
    </row>
    <row r="68" spans="1:24">
      <c r="A68" s="34" t="s">
        <v>2027</v>
      </c>
      <c r="B68" s="34" t="s">
        <v>2028</v>
      </c>
      <c r="C68" s="34" t="s">
        <v>144</v>
      </c>
      <c r="D68" s="34" t="s">
        <v>70</v>
      </c>
      <c r="E68" s="34" t="s">
        <v>8</v>
      </c>
      <c r="F68" s="34" t="s">
        <v>2029</v>
      </c>
      <c r="G68" s="54">
        <v>1718900800</v>
      </c>
      <c r="H68" s="54" t="s">
        <v>229</v>
      </c>
      <c r="I68" s="54" t="s">
        <v>3514</v>
      </c>
      <c r="J68" s="34" t="s">
        <v>3419</v>
      </c>
      <c r="K68" s="43">
        <f>VLOOKUP(A68,'SSP_March''19'!$A$3:$L$1193,11,0)</f>
        <v>130000</v>
      </c>
      <c r="L68" s="43">
        <f>VLOOKUP(A68,'SSP_March''19'!$A$3:$L$1193,12,0)</f>
        <v>16070</v>
      </c>
      <c r="M68" s="44">
        <f t="shared" si="6"/>
        <v>0.12361538461538461</v>
      </c>
      <c r="N68" s="49">
        <f>ROUND(VLOOKUP(A68,'SSP_March''19'!$A$3:$N$1193,14,0),0)</f>
        <v>49817</v>
      </c>
      <c r="O68" s="44">
        <f t="shared" si="7"/>
        <v>0.3832076923076923</v>
      </c>
      <c r="P68" s="45">
        <f>VLOOKUP(A68,'SSP_March''19'!$A$3:$Q$1193,16,0)</f>
        <v>10</v>
      </c>
      <c r="Q68" s="34">
        <f>VLOOKUP(A68,'SSP_March''19'!$A$3:$Q$1193,17,0)</f>
        <v>1</v>
      </c>
      <c r="R68" s="35">
        <f t="shared" si="8"/>
        <v>0.1</v>
      </c>
      <c r="S68" s="49">
        <f>ROUND(VLOOKUP(A68,'SSP_March''19'!$A$3:$T$1193,19,0),0)</f>
        <v>3</v>
      </c>
      <c r="T68" s="44">
        <f>VLOOKUP(A68,'SSP_March''19'!$A$3:$T$1193,20,0)</f>
        <v>0.3</v>
      </c>
      <c r="U68" s="34">
        <f>VLOOKUP(A68,'SSP_March''19'!$A$3:$X$1193,21,0)</f>
        <v>0</v>
      </c>
      <c r="V68" s="34">
        <f>VLOOKUP(A68,'SSP_March''19'!$A$3:$X$1193,22,0)</f>
        <v>0</v>
      </c>
      <c r="W68" s="34">
        <f>VLOOKUP(A68,'SSP_March''19'!$A$3:$X$1193,23,0)</f>
        <v>0</v>
      </c>
      <c r="X68" s="34">
        <f>VLOOKUP(A68,'SSP_March''19'!$A$3:$X$1193,24,0)</f>
        <v>0</v>
      </c>
    </row>
    <row r="69" spans="1:24">
      <c r="A69" s="34" t="s">
        <v>2025</v>
      </c>
      <c r="B69" s="34" t="s">
        <v>2026</v>
      </c>
      <c r="C69" s="34" t="s">
        <v>144</v>
      </c>
      <c r="D69" s="34" t="s">
        <v>70</v>
      </c>
      <c r="E69" s="34" t="s">
        <v>8</v>
      </c>
      <c r="F69" s="34" t="s">
        <v>1091</v>
      </c>
      <c r="G69" s="54">
        <v>1716666343</v>
      </c>
      <c r="H69" s="54" t="s">
        <v>229</v>
      </c>
      <c r="I69" s="54" t="s">
        <v>3514</v>
      </c>
      <c r="J69" s="34" t="s">
        <v>3421</v>
      </c>
      <c r="K69" s="43">
        <f>VLOOKUP(A69,'SSP_March''19'!$A$3:$L$1193,11,0)</f>
        <v>130000</v>
      </c>
      <c r="L69" s="43">
        <f>VLOOKUP(A69,'SSP_March''19'!$A$3:$L$1193,12,0)</f>
        <v>34160</v>
      </c>
      <c r="M69" s="44">
        <f t="shared" si="6"/>
        <v>0.26276923076923075</v>
      </c>
      <c r="N69" s="49">
        <f>ROUND(VLOOKUP(A69,'SSP_March''19'!$A$3:$N$1193,14,0),0)</f>
        <v>105896</v>
      </c>
      <c r="O69" s="44">
        <f t="shared" si="7"/>
        <v>0.81458461538461535</v>
      </c>
      <c r="P69" s="45">
        <f>VLOOKUP(A69,'SSP_March''19'!$A$3:$Q$1193,16,0)</f>
        <v>10</v>
      </c>
      <c r="Q69" s="34">
        <f>VLOOKUP(A69,'SSP_March''19'!$A$3:$Q$1193,17,0)</f>
        <v>2</v>
      </c>
      <c r="R69" s="35">
        <f t="shared" si="8"/>
        <v>0.2</v>
      </c>
      <c r="S69" s="49">
        <f>ROUND(VLOOKUP(A69,'SSP_March''19'!$A$3:$T$1193,19,0),0)</f>
        <v>6</v>
      </c>
      <c r="T69" s="44">
        <f>VLOOKUP(A69,'SSP_March''19'!$A$3:$T$1193,20,0)</f>
        <v>0.6</v>
      </c>
      <c r="U69" s="34">
        <f>VLOOKUP(A69,'SSP_March''19'!$A$3:$X$1193,21,0)</f>
        <v>0</v>
      </c>
      <c r="V69" s="34">
        <f>VLOOKUP(A69,'SSP_March''19'!$A$3:$X$1193,22,0)</f>
        <v>0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34" t="s">
        <v>1893</v>
      </c>
      <c r="B70" s="34" t="s">
        <v>1894</v>
      </c>
      <c r="C70" s="34" t="s">
        <v>159</v>
      </c>
      <c r="D70" s="34" t="s">
        <v>160</v>
      </c>
      <c r="E70" s="34" t="s">
        <v>8</v>
      </c>
      <c r="F70" s="34" t="s">
        <v>1895</v>
      </c>
      <c r="G70" s="82">
        <v>1821221216</v>
      </c>
      <c r="H70" s="54" t="s">
        <v>229</v>
      </c>
      <c r="I70" s="54" t="s">
        <v>3514</v>
      </c>
      <c r="J70" s="34" t="s">
        <v>3515</v>
      </c>
      <c r="K70" s="43">
        <f>VLOOKUP(A70,'SSP_March''19'!$A$3:$L$1193,11,0)</f>
        <v>130000</v>
      </c>
      <c r="L70" s="43">
        <f>VLOOKUP(A70,'SSP_March''19'!$A$3:$L$1193,12,0)</f>
        <v>9330</v>
      </c>
      <c r="M70" s="44">
        <f t="shared" si="6"/>
        <v>7.1769230769230766E-2</v>
      </c>
      <c r="N70" s="49">
        <f>ROUND(VLOOKUP(A70,'SSP_March''19'!$A$3:$N$1193,14,0),0)</f>
        <v>28923</v>
      </c>
      <c r="O70" s="44">
        <f t="shared" si="7"/>
        <v>0.22248461538461539</v>
      </c>
      <c r="P70" s="45">
        <f>VLOOKUP(A70,'SSP_March''19'!$A$3:$Q$1193,16,0)</f>
        <v>10</v>
      </c>
      <c r="Q70" s="34">
        <f>VLOOKUP(A70,'SSP_March''19'!$A$3:$Q$1193,17,0)</f>
        <v>0</v>
      </c>
      <c r="R70" s="35">
        <f t="shared" si="8"/>
        <v>0</v>
      </c>
      <c r="S70" s="49">
        <f>ROUND(VLOOKUP(A70,'SSP_March''19'!$A$3:$T$1193,19,0),0)</f>
        <v>0</v>
      </c>
      <c r="T70" s="44">
        <f>VLOOKUP(A70,'SSP_March''19'!$A$3:$T$1193,20,0)</f>
        <v>0</v>
      </c>
      <c r="U70" s="34">
        <f>VLOOKUP(A70,'SSP_March''19'!$A$3:$X$1193,21,0)</f>
        <v>0</v>
      </c>
      <c r="V70" s="34">
        <f>VLOOKUP(A70,'SSP_March''19'!$A$3:$X$1193,22,0)</f>
        <v>0</v>
      </c>
      <c r="W70" s="34">
        <f>VLOOKUP(A70,'SSP_March''19'!$A$3:$X$1193,23,0)</f>
        <v>0</v>
      </c>
      <c r="X70" s="34">
        <f>VLOOKUP(A70,'SSP_March''19'!$A$3:$X$1193,24,0)</f>
        <v>0</v>
      </c>
    </row>
    <row r="71" spans="1:24">
      <c r="A71" s="34" t="s">
        <v>1896</v>
      </c>
      <c r="B71" s="34" t="s">
        <v>1897</v>
      </c>
      <c r="C71" s="34" t="s">
        <v>159</v>
      </c>
      <c r="D71" s="34" t="s">
        <v>160</v>
      </c>
      <c r="E71" s="34" t="s">
        <v>8</v>
      </c>
      <c r="F71" s="34" t="s">
        <v>1898</v>
      </c>
      <c r="G71" s="82">
        <v>1839919133</v>
      </c>
      <c r="H71" s="54" t="s">
        <v>229</v>
      </c>
      <c r="I71" s="54" t="s">
        <v>3514</v>
      </c>
      <c r="J71" s="34" t="s">
        <v>3419</v>
      </c>
      <c r="K71" s="43">
        <f>VLOOKUP(A71,'SSP_March''19'!$A$3:$L$1193,11,0)</f>
        <v>130000</v>
      </c>
      <c r="L71" s="43">
        <f>VLOOKUP(A71,'SSP_March''19'!$A$3:$L$1193,12,0)</f>
        <v>16760</v>
      </c>
      <c r="M71" s="44">
        <f t="shared" si="6"/>
        <v>0.12892307692307692</v>
      </c>
      <c r="N71" s="49">
        <f>ROUND(VLOOKUP(A71,'SSP_March''19'!$A$3:$N$1193,14,0),0)</f>
        <v>51956</v>
      </c>
      <c r="O71" s="44">
        <f t="shared" si="7"/>
        <v>0.39966153846153846</v>
      </c>
      <c r="P71" s="45">
        <f>VLOOKUP(A71,'SSP_March''19'!$A$3:$Q$1193,16,0)</f>
        <v>10</v>
      </c>
      <c r="Q71" s="34">
        <f>VLOOKUP(A71,'SSP_March''19'!$A$3:$Q$1193,17,0)</f>
        <v>0</v>
      </c>
      <c r="R71" s="35">
        <f t="shared" si="8"/>
        <v>0</v>
      </c>
      <c r="S71" s="49">
        <f>ROUND(VLOOKUP(A71,'SSP_March''19'!$A$3:$T$1193,19,0),0)</f>
        <v>0</v>
      </c>
      <c r="T71" s="44">
        <f>VLOOKUP(A71,'SSP_March''19'!$A$3:$T$1193,20,0)</f>
        <v>0</v>
      </c>
      <c r="U71" s="34">
        <f>VLOOKUP(A71,'SSP_March''19'!$A$3:$X$1193,21,0)</f>
        <v>0</v>
      </c>
      <c r="V71" s="34">
        <f>VLOOKUP(A71,'SSP_March''19'!$A$3:$X$1193,22,0)</f>
        <v>0</v>
      </c>
      <c r="W71" s="34">
        <f>VLOOKUP(A71,'SSP_March''19'!$A$3:$X$1193,23,0)</f>
        <v>0</v>
      </c>
      <c r="X71" s="34">
        <f>VLOOKUP(A71,'SSP_March''19'!$A$3:$X$1193,24,0)</f>
        <v>0</v>
      </c>
    </row>
    <row r="72" spans="1:24">
      <c r="A72" s="34" t="s">
        <v>1925</v>
      </c>
      <c r="B72" s="34" t="s">
        <v>1926</v>
      </c>
      <c r="C72" s="34" t="s">
        <v>159</v>
      </c>
      <c r="D72" s="34" t="s">
        <v>160</v>
      </c>
      <c r="E72" s="34" t="s">
        <v>8</v>
      </c>
      <c r="F72" s="34" t="s">
        <v>1927</v>
      </c>
      <c r="G72" s="82">
        <v>1915331603</v>
      </c>
      <c r="H72" s="54" t="s">
        <v>229</v>
      </c>
      <c r="I72" s="54" t="s">
        <v>3514</v>
      </c>
      <c r="J72" s="34" t="s">
        <v>3419</v>
      </c>
      <c r="K72" s="43">
        <f>VLOOKUP(A72,'SSP_March''19'!$A$3:$L$1193,11,0)</f>
        <v>157505</v>
      </c>
      <c r="L72" s="43">
        <f>VLOOKUP(A72,'SSP_March''19'!$A$3:$L$1193,12,0)</f>
        <v>34449</v>
      </c>
      <c r="M72" s="44">
        <f t="shared" si="6"/>
        <v>0.21871686613123392</v>
      </c>
      <c r="N72" s="49">
        <f>ROUND(VLOOKUP(A72,'SSP_March''19'!$A$3:$N$1193,14,0),0)</f>
        <v>106792</v>
      </c>
      <c r="O72" s="44">
        <f t="shared" si="7"/>
        <v>0.67802291990730457</v>
      </c>
      <c r="P72" s="45">
        <f>VLOOKUP(A72,'SSP_March''19'!$A$3:$Q$1193,16,0)</f>
        <v>10</v>
      </c>
      <c r="Q72" s="34">
        <f>VLOOKUP(A72,'SSP_March''19'!$A$3:$Q$1193,17,0)</f>
        <v>1</v>
      </c>
      <c r="R72" s="35">
        <f t="shared" si="8"/>
        <v>0.1</v>
      </c>
      <c r="S72" s="49">
        <f>ROUND(VLOOKUP(A72,'SSP_March''19'!$A$3:$T$1193,19,0),0)</f>
        <v>3</v>
      </c>
      <c r="T72" s="44">
        <f>VLOOKUP(A72,'SSP_March''19'!$A$3:$T$1193,20,0)</f>
        <v>0.3</v>
      </c>
      <c r="U72" s="34">
        <f>VLOOKUP(A72,'SSP_March''19'!$A$3:$X$1193,21,0)</f>
        <v>2</v>
      </c>
      <c r="V72" s="34">
        <f>VLOOKUP(A72,'SSP_March''19'!$A$3:$X$1193,22,0)</f>
        <v>0</v>
      </c>
      <c r="W72" s="34">
        <f>VLOOKUP(A72,'SSP_March''19'!$A$3:$X$1193,23,0)</f>
        <v>0</v>
      </c>
      <c r="X72" s="34">
        <f>VLOOKUP(A72,'SSP_March''19'!$A$3:$X$1193,24,0)</f>
        <v>0</v>
      </c>
    </row>
    <row r="73" spans="1:24">
      <c r="A73" s="34" t="s">
        <v>1890</v>
      </c>
      <c r="B73" s="34" t="s">
        <v>1891</v>
      </c>
      <c r="C73" s="34" t="s">
        <v>159</v>
      </c>
      <c r="D73" s="34" t="s">
        <v>160</v>
      </c>
      <c r="E73" s="34" t="s">
        <v>8</v>
      </c>
      <c r="F73" s="34" t="s">
        <v>1892</v>
      </c>
      <c r="G73" s="82">
        <v>1977711127</v>
      </c>
      <c r="H73" s="54" t="s">
        <v>229</v>
      </c>
      <c r="I73" s="54" t="s">
        <v>3514</v>
      </c>
      <c r="J73" s="34" t="s">
        <v>3419</v>
      </c>
      <c r="K73" s="43">
        <f>VLOOKUP(A73,'SSP_March''19'!$A$3:$L$1193,11,0)</f>
        <v>215923</v>
      </c>
      <c r="L73" s="43">
        <f>VLOOKUP(A73,'SSP_March''19'!$A$3:$L$1193,12,0)</f>
        <v>30650</v>
      </c>
      <c r="M73" s="44">
        <f t="shared" si="6"/>
        <v>0.14194875024893133</v>
      </c>
      <c r="N73" s="49">
        <f>ROUND(VLOOKUP(A73,'SSP_March''19'!$A$3:$N$1193,14,0),0)</f>
        <v>95015</v>
      </c>
      <c r="O73" s="44">
        <f t="shared" si="7"/>
        <v>0.44004112577168714</v>
      </c>
      <c r="P73" s="45">
        <f>VLOOKUP(A73,'SSP_March''19'!$A$3:$Q$1193,16,0)</f>
        <v>15</v>
      </c>
      <c r="Q73" s="34">
        <f>VLOOKUP(A73,'SSP_March''19'!$A$3:$Q$1193,17,0)</f>
        <v>2</v>
      </c>
      <c r="R73" s="35">
        <f t="shared" si="8"/>
        <v>0.13333333333333333</v>
      </c>
      <c r="S73" s="49">
        <f>ROUND(VLOOKUP(A73,'SSP_March''19'!$A$3:$T$1193,19,0),0)</f>
        <v>6</v>
      </c>
      <c r="T73" s="44">
        <f>VLOOKUP(A73,'SSP_March''19'!$A$3:$T$1193,20,0)</f>
        <v>0.4</v>
      </c>
      <c r="U73" s="34">
        <f>VLOOKUP(A73,'SSP_March''19'!$A$3:$X$1193,21,0)</f>
        <v>0</v>
      </c>
      <c r="V73" s="34">
        <f>VLOOKUP(A73,'SSP_March''19'!$A$3:$X$1193,22,0)</f>
        <v>1</v>
      </c>
      <c r="W73" s="34">
        <f>VLOOKUP(A73,'SSP_March''19'!$A$3:$X$1193,23,0)</f>
        <v>0</v>
      </c>
      <c r="X73" s="34">
        <f>VLOOKUP(A73,'SSP_March''19'!$A$3:$X$1193,24,0)</f>
        <v>1</v>
      </c>
    </row>
    <row r="74" spans="1:24">
      <c r="A74" s="34" t="s">
        <v>1913</v>
      </c>
      <c r="B74" s="34" t="s">
        <v>1914</v>
      </c>
      <c r="C74" s="34" t="s">
        <v>159</v>
      </c>
      <c r="D74" s="34" t="s">
        <v>160</v>
      </c>
      <c r="E74" s="34" t="s">
        <v>8</v>
      </c>
      <c r="F74" s="34" t="s">
        <v>1915</v>
      </c>
      <c r="G74" s="82">
        <v>1643420650</v>
      </c>
      <c r="H74" s="54" t="s">
        <v>229</v>
      </c>
      <c r="I74" s="54" t="s">
        <v>3514</v>
      </c>
      <c r="J74" s="34" t="s">
        <v>3421</v>
      </c>
      <c r="K74" s="43">
        <f>VLOOKUP(A74,'SSP_March''19'!$A$3:$L$1193,11,0)</f>
        <v>172020</v>
      </c>
      <c r="L74" s="43">
        <f>VLOOKUP(A74,'SSP_March''19'!$A$3:$L$1193,12,0)</f>
        <v>71310</v>
      </c>
      <c r="M74" s="44">
        <f t="shared" si="6"/>
        <v>0.41454482036972445</v>
      </c>
      <c r="N74" s="49">
        <f>ROUND(VLOOKUP(A74,'SSP_March''19'!$A$3:$N$1193,14,0),0)</f>
        <v>221061</v>
      </c>
      <c r="O74" s="44">
        <f t="shared" si="7"/>
        <v>1.2850889431461459</v>
      </c>
      <c r="P74" s="45">
        <f>VLOOKUP(A74,'SSP_March''19'!$A$3:$Q$1193,16,0)</f>
        <v>12</v>
      </c>
      <c r="Q74" s="34">
        <f>VLOOKUP(A74,'SSP_March''19'!$A$3:$Q$1193,17,0)</f>
        <v>7</v>
      </c>
      <c r="R74" s="35">
        <f t="shared" si="8"/>
        <v>0.58333333333333337</v>
      </c>
      <c r="S74" s="49">
        <f>ROUND(VLOOKUP(A74,'SSP_March''19'!$A$3:$T$1193,19,0),0)</f>
        <v>22</v>
      </c>
      <c r="T74" s="44">
        <f>VLOOKUP(A74,'SSP_March''19'!$A$3:$T$1193,20,0)</f>
        <v>1.8333333333333333</v>
      </c>
      <c r="U74" s="34">
        <f>VLOOKUP(A74,'SSP_March''19'!$A$3:$X$1193,21,0)</f>
        <v>0</v>
      </c>
      <c r="V74" s="34">
        <f>VLOOKUP(A74,'SSP_March''19'!$A$3:$X$1193,22,0)</f>
        <v>5</v>
      </c>
      <c r="W74" s="34">
        <f>VLOOKUP(A74,'SSP_March''19'!$A$3:$X$1193,23,0)</f>
        <v>0</v>
      </c>
      <c r="X74" s="34">
        <f>VLOOKUP(A74,'SSP_March''19'!$A$3:$X$1193,24,0)</f>
        <v>0</v>
      </c>
    </row>
    <row r="75" spans="1:24">
      <c r="A75" s="34" t="s">
        <v>1910</v>
      </c>
      <c r="B75" s="34" t="s">
        <v>1911</v>
      </c>
      <c r="C75" s="34" t="s">
        <v>159</v>
      </c>
      <c r="D75" s="34" t="s">
        <v>160</v>
      </c>
      <c r="E75" s="34" t="s">
        <v>8</v>
      </c>
      <c r="F75" s="34" t="s">
        <v>1912</v>
      </c>
      <c r="G75" s="82">
        <v>1516139344</v>
      </c>
      <c r="H75" s="54" t="s">
        <v>229</v>
      </c>
      <c r="I75" s="54" t="s">
        <v>3514</v>
      </c>
      <c r="J75" s="34" t="s">
        <v>3421</v>
      </c>
      <c r="K75" s="43">
        <f>VLOOKUP(A75,'SSP_March''19'!$A$3:$L$1193,11,0)</f>
        <v>130000</v>
      </c>
      <c r="L75" s="43">
        <f>VLOOKUP(A75,'SSP_March''19'!$A$3:$L$1193,12,0)</f>
        <v>11670</v>
      </c>
      <c r="M75" s="44">
        <f t="shared" si="6"/>
        <v>8.9769230769230768E-2</v>
      </c>
      <c r="N75" s="49">
        <f>ROUND(VLOOKUP(A75,'SSP_March''19'!$A$3:$N$1193,14,0),0)</f>
        <v>36177</v>
      </c>
      <c r="O75" s="44">
        <f t="shared" si="7"/>
        <v>0.27828461538461541</v>
      </c>
      <c r="P75" s="45">
        <f>VLOOKUP(A75,'SSP_March''19'!$A$3:$Q$1193,16,0)</f>
        <v>10</v>
      </c>
      <c r="Q75" s="34">
        <f>VLOOKUP(A75,'SSP_March''19'!$A$3:$Q$1193,17,0)</f>
        <v>0</v>
      </c>
      <c r="R75" s="35">
        <f t="shared" si="8"/>
        <v>0</v>
      </c>
      <c r="S75" s="49">
        <f>ROUND(VLOOKUP(A75,'SSP_March''19'!$A$3:$T$1193,19,0),0)</f>
        <v>0</v>
      </c>
      <c r="T75" s="44">
        <f>VLOOKUP(A75,'SSP_March''19'!$A$3:$T$1193,20,0)</f>
        <v>0</v>
      </c>
      <c r="U75" s="34">
        <f>VLOOKUP(A75,'SSP_March''19'!$A$3:$X$1193,21,0)</f>
        <v>0</v>
      </c>
      <c r="V75" s="34">
        <f>VLOOKUP(A75,'SSP_March''19'!$A$3:$X$1193,22,0)</f>
        <v>0</v>
      </c>
      <c r="W75" s="34">
        <f>VLOOKUP(A75,'SSP_March''19'!$A$3:$X$1193,23,0)</f>
        <v>0</v>
      </c>
      <c r="X75" s="34">
        <f>VLOOKUP(A75,'SSP_March''19'!$A$3:$X$1193,24,0)</f>
        <v>0</v>
      </c>
    </row>
    <row r="76" spans="1:24">
      <c r="A76" s="34" t="s">
        <v>1902</v>
      </c>
      <c r="B76" s="34" t="s">
        <v>1903</v>
      </c>
      <c r="C76" s="34" t="s">
        <v>159</v>
      </c>
      <c r="D76" s="34" t="s">
        <v>160</v>
      </c>
      <c r="E76" s="34" t="s">
        <v>8</v>
      </c>
      <c r="F76" s="34" t="s">
        <v>1904</v>
      </c>
      <c r="G76" s="82">
        <v>1954771102</v>
      </c>
      <c r="H76" s="54" t="s">
        <v>229</v>
      </c>
      <c r="I76" s="54" t="s">
        <v>3514</v>
      </c>
      <c r="J76" s="34" t="s">
        <v>3421</v>
      </c>
      <c r="K76" s="43">
        <f>VLOOKUP(A76,'SSP_March''19'!$A$3:$L$1193,11,0)</f>
        <v>130000</v>
      </c>
      <c r="L76" s="43">
        <f>VLOOKUP(A76,'SSP_March''19'!$A$3:$L$1193,12,0)</f>
        <v>78155</v>
      </c>
      <c r="M76" s="44">
        <f t="shared" si="6"/>
        <v>0.60119230769230769</v>
      </c>
      <c r="N76" s="49">
        <f>ROUND(VLOOKUP(A76,'SSP_March''19'!$A$3:$N$1193,14,0),0)</f>
        <v>242281</v>
      </c>
      <c r="O76" s="44">
        <f t="shared" si="7"/>
        <v>1.8636999999999999</v>
      </c>
      <c r="P76" s="45">
        <f>VLOOKUP(A76,'SSP_March''19'!$A$3:$Q$1193,16,0)</f>
        <v>10</v>
      </c>
      <c r="Q76" s="34">
        <f>VLOOKUP(A76,'SSP_March''19'!$A$3:$Q$1193,17,0)</f>
        <v>5</v>
      </c>
      <c r="R76" s="35">
        <f t="shared" si="8"/>
        <v>0.5</v>
      </c>
      <c r="S76" s="49">
        <f>ROUND(VLOOKUP(A76,'SSP_March''19'!$A$3:$T$1193,19,0),0)</f>
        <v>16</v>
      </c>
      <c r="T76" s="44">
        <f>VLOOKUP(A76,'SSP_March''19'!$A$3:$T$1193,20,0)</f>
        <v>1.6</v>
      </c>
      <c r="U76" s="34">
        <f>VLOOKUP(A76,'SSP_March''19'!$A$3:$X$1193,21,0)</f>
        <v>0</v>
      </c>
      <c r="V76" s="34">
        <f>VLOOKUP(A76,'SSP_March''19'!$A$3:$X$1193,22,0)</f>
        <v>2</v>
      </c>
      <c r="W76" s="34">
        <f>VLOOKUP(A76,'SSP_March''19'!$A$3:$X$1193,23,0)</f>
        <v>0</v>
      </c>
      <c r="X76" s="34">
        <f>VLOOKUP(A76,'SSP_March''19'!$A$3:$X$1193,24,0)</f>
        <v>0</v>
      </c>
    </row>
    <row r="77" spans="1:24">
      <c r="A77" s="34" t="s">
        <v>1882</v>
      </c>
      <c r="B77" s="34" t="s">
        <v>210</v>
      </c>
      <c r="C77" s="34" t="s">
        <v>159</v>
      </c>
      <c r="D77" s="34" t="s">
        <v>160</v>
      </c>
      <c r="E77" s="34" t="s">
        <v>8</v>
      </c>
      <c r="F77" s="34" t="s">
        <v>876</v>
      </c>
      <c r="G77" s="82">
        <v>1755000769</v>
      </c>
      <c r="H77" s="54" t="s">
        <v>229</v>
      </c>
      <c r="I77" s="54" t="s">
        <v>3514</v>
      </c>
      <c r="J77" s="34" t="s">
        <v>3421</v>
      </c>
      <c r="K77" s="43">
        <f>VLOOKUP(A77,'SSP_March''19'!$A$3:$L$1193,11,0)</f>
        <v>173371</v>
      </c>
      <c r="L77" s="43">
        <f>VLOOKUP(A77,'SSP_March''19'!$A$3:$L$1193,12,0)</f>
        <v>41529</v>
      </c>
      <c r="M77" s="44">
        <f t="shared" si="6"/>
        <v>0.23953833109343547</v>
      </c>
      <c r="N77" s="49">
        <f>ROUND(VLOOKUP(A77,'SSP_March''19'!$A$3:$N$1193,14,0),0)</f>
        <v>128740</v>
      </c>
      <c r="O77" s="44">
        <f t="shared" si="7"/>
        <v>0.74256940318738429</v>
      </c>
      <c r="P77" s="45">
        <f>VLOOKUP(A77,'SSP_March''19'!$A$3:$Q$1193,16,0)</f>
        <v>10</v>
      </c>
      <c r="Q77" s="34">
        <f>VLOOKUP(A77,'SSP_March''19'!$A$3:$Q$1193,17,0)</f>
        <v>2</v>
      </c>
      <c r="R77" s="35">
        <f t="shared" si="8"/>
        <v>0.2</v>
      </c>
      <c r="S77" s="49">
        <f>ROUND(VLOOKUP(A77,'SSP_March''19'!$A$3:$T$1193,19,0),0)</f>
        <v>6</v>
      </c>
      <c r="T77" s="44">
        <f>VLOOKUP(A77,'SSP_March''19'!$A$3:$T$1193,20,0)</f>
        <v>0.6</v>
      </c>
      <c r="U77" s="34">
        <f>VLOOKUP(A77,'SSP_March''19'!$A$3:$X$1193,21,0)</f>
        <v>0</v>
      </c>
      <c r="V77" s="34">
        <f>VLOOKUP(A77,'SSP_March''19'!$A$3:$X$1193,22,0)</f>
        <v>1</v>
      </c>
      <c r="W77" s="34">
        <f>VLOOKUP(A77,'SSP_March''19'!$A$3:$X$1193,23,0)</f>
        <v>0</v>
      </c>
      <c r="X77" s="34">
        <f>VLOOKUP(A77,'SSP_March''19'!$A$3:$X$1193,24,0)</f>
        <v>0</v>
      </c>
    </row>
    <row r="78" spans="1:24">
      <c r="A78" s="34" t="s">
        <v>1928</v>
      </c>
      <c r="B78" s="34" t="s">
        <v>1929</v>
      </c>
      <c r="C78" s="34" t="s">
        <v>159</v>
      </c>
      <c r="D78" s="34" t="s">
        <v>160</v>
      </c>
      <c r="E78" s="34" t="s">
        <v>8</v>
      </c>
      <c r="F78" s="34" t="s">
        <v>1930</v>
      </c>
      <c r="G78" s="82">
        <v>1879965392</v>
      </c>
      <c r="H78" s="54" t="s">
        <v>229</v>
      </c>
      <c r="I78" s="54" t="s">
        <v>3514</v>
      </c>
      <c r="J78" s="34" t="s">
        <v>3421</v>
      </c>
      <c r="K78" s="43">
        <f>VLOOKUP(A78,'SSP_March''19'!$A$3:$L$1193,11,0)</f>
        <v>130000</v>
      </c>
      <c r="L78" s="43">
        <f>VLOOKUP(A78,'SSP_March''19'!$A$3:$L$1193,12,0)</f>
        <v>42969</v>
      </c>
      <c r="M78" s="44">
        <f t="shared" si="6"/>
        <v>0.33053076923076924</v>
      </c>
      <c r="N78" s="49">
        <f>ROUND(VLOOKUP(A78,'SSP_March''19'!$A$3:$N$1193,14,0),0)</f>
        <v>133204</v>
      </c>
      <c r="O78" s="44">
        <f t="shared" si="7"/>
        <v>1.0246461538461538</v>
      </c>
      <c r="P78" s="45">
        <f>VLOOKUP(A78,'SSP_March''19'!$A$3:$Q$1193,16,0)</f>
        <v>10</v>
      </c>
      <c r="Q78" s="34">
        <f>VLOOKUP(A78,'SSP_March''19'!$A$3:$Q$1193,17,0)</f>
        <v>2</v>
      </c>
      <c r="R78" s="35">
        <f t="shared" si="8"/>
        <v>0.2</v>
      </c>
      <c r="S78" s="49">
        <f>ROUND(VLOOKUP(A78,'SSP_March''19'!$A$3:$T$1193,19,0),0)</f>
        <v>6</v>
      </c>
      <c r="T78" s="44">
        <f>VLOOKUP(A78,'SSP_March''19'!$A$3:$T$1193,20,0)</f>
        <v>0.6</v>
      </c>
      <c r="U78" s="34">
        <f>VLOOKUP(A78,'SSP_March''19'!$A$3:$X$1193,21,0)</f>
        <v>0</v>
      </c>
      <c r="V78" s="34">
        <f>VLOOKUP(A78,'SSP_March''19'!$A$3:$X$1193,22,0)</f>
        <v>0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34" t="s">
        <v>1883</v>
      </c>
      <c r="B79" s="34" t="s">
        <v>1884</v>
      </c>
      <c r="C79" s="34" t="s">
        <v>159</v>
      </c>
      <c r="D79" s="34" t="s">
        <v>160</v>
      </c>
      <c r="E79" s="34" t="s">
        <v>8</v>
      </c>
      <c r="F79" s="34" t="s">
        <v>1885</v>
      </c>
      <c r="G79" s="82">
        <v>1715223232</v>
      </c>
      <c r="H79" s="54" t="s">
        <v>229</v>
      </c>
      <c r="I79" s="54" t="s">
        <v>3522</v>
      </c>
      <c r="J79" s="34" t="s">
        <v>3419</v>
      </c>
      <c r="K79" s="43">
        <f>VLOOKUP(A79,'SSP_March''19'!$A$3:$L$1193,11,0)</f>
        <v>582265</v>
      </c>
      <c r="L79" s="43">
        <f>VLOOKUP(A79,'SSP_March''19'!$A$3:$L$1193,12,0)</f>
        <v>242784</v>
      </c>
      <c r="M79" s="44">
        <f t="shared" ref="M79:M108" si="12">L79/K79</f>
        <v>0.41696478407597914</v>
      </c>
      <c r="N79" s="49">
        <f>ROUND(VLOOKUP(A79,'SSP_March''19'!$A$3:$N$1193,14,0),0)</f>
        <v>752630</v>
      </c>
      <c r="O79" s="44">
        <f t="shared" ref="O79:O108" si="13">N79/K79</f>
        <v>1.2925901436631086</v>
      </c>
      <c r="P79" s="45">
        <f>VLOOKUP(A79,'SSP_March''19'!$A$3:$Q$1193,16,0)</f>
        <v>35</v>
      </c>
      <c r="Q79" s="34">
        <f>VLOOKUP(A79,'SSP_March''19'!$A$3:$Q$1193,17,0)</f>
        <v>15</v>
      </c>
      <c r="R79" s="35">
        <f t="shared" ref="R79:R108" si="14">Q79/P79</f>
        <v>0.42857142857142855</v>
      </c>
      <c r="S79" s="49">
        <f>ROUND(VLOOKUP(A79,'SSP_March''19'!$A$3:$T$1193,19,0),0)</f>
        <v>47</v>
      </c>
      <c r="T79" s="44">
        <f>VLOOKUP(A79,'SSP_March''19'!$A$3:$T$1193,20,0)</f>
        <v>1.3428571428571427</v>
      </c>
      <c r="U79" s="34">
        <f>VLOOKUP(A79,'SSP_March''19'!$A$3:$X$1193,21,0)</f>
        <v>0</v>
      </c>
      <c r="V79" s="34">
        <f>VLOOKUP(A79,'SSP_March''19'!$A$3:$X$1193,22,0)</f>
        <v>8</v>
      </c>
      <c r="W79" s="34">
        <f>VLOOKUP(A79,'SSP_March''19'!$A$3:$X$1193,23,0)</f>
        <v>0</v>
      </c>
      <c r="X79" s="34">
        <f>VLOOKUP(A79,'SSP_March''19'!$A$3:$X$1193,24,0)</f>
        <v>1</v>
      </c>
    </row>
    <row r="80" spans="1:24">
      <c r="A80" s="34" t="s">
        <v>1886</v>
      </c>
      <c r="B80" s="34" t="s">
        <v>1887</v>
      </c>
      <c r="C80" s="34" t="s">
        <v>159</v>
      </c>
      <c r="D80" s="34" t="s">
        <v>160</v>
      </c>
      <c r="E80" s="34" t="s">
        <v>8</v>
      </c>
      <c r="F80" s="34" t="s">
        <v>1888</v>
      </c>
      <c r="G80" s="82" t="s">
        <v>1889</v>
      </c>
      <c r="H80" s="54" t="s">
        <v>229</v>
      </c>
      <c r="I80" s="54" t="s">
        <v>3514</v>
      </c>
      <c r="J80" s="34" t="s">
        <v>3421</v>
      </c>
      <c r="K80" s="43">
        <f>VLOOKUP(A80,'SSP_March''19'!$A$3:$L$1193,11,0)</f>
        <v>180000</v>
      </c>
      <c r="L80" s="43">
        <f>VLOOKUP(A80,'SSP_March''19'!$A$3:$L$1193,12,0)</f>
        <v>38450</v>
      </c>
      <c r="M80" s="44">
        <f t="shared" si="12"/>
        <v>0.21361111111111111</v>
      </c>
      <c r="N80" s="49">
        <f>ROUND(VLOOKUP(A80,'SSP_March''19'!$A$3:$N$1193,14,0),0)</f>
        <v>119195</v>
      </c>
      <c r="O80" s="44">
        <f t="shared" si="13"/>
        <v>0.66219444444444442</v>
      </c>
      <c r="P80" s="45">
        <f>VLOOKUP(A80,'SSP_March''19'!$A$3:$Q$1193,16,0)</f>
        <v>12</v>
      </c>
      <c r="Q80" s="34">
        <f>VLOOKUP(A80,'SSP_March''19'!$A$3:$Q$1193,17,0)</f>
        <v>4</v>
      </c>
      <c r="R80" s="35">
        <f t="shared" si="14"/>
        <v>0.33333333333333331</v>
      </c>
      <c r="S80" s="49">
        <f>ROUND(VLOOKUP(A80,'SSP_March''19'!$A$3:$T$1193,19,0),0)</f>
        <v>12</v>
      </c>
      <c r="T80" s="44">
        <f>VLOOKUP(A80,'SSP_March''19'!$A$3:$T$1193,20,0)</f>
        <v>1</v>
      </c>
      <c r="U80" s="34">
        <f>VLOOKUP(A80,'SSP_March''19'!$A$3:$X$1193,21,0)</f>
        <v>0</v>
      </c>
      <c r="V80" s="34">
        <f>VLOOKUP(A80,'SSP_March''19'!$A$3:$X$1193,22,0)</f>
        <v>1</v>
      </c>
      <c r="W80" s="34">
        <f>VLOOKUP(A80,'SSP_March''19'!$A$3:$X$1193,23,0)</f>
        <v>0</v>
      </c>
      <c r="X80" s="34">
        <f>VLOOKUP(A80,'SSP_March''19'!$A$3:$X$1193,24,0)</f>
        <v>1</v>
      </c>
    </row>
    <row r="81" spans="1:24">
      <c r="A81" s="34" t="s">
        <v>1899</v>
      </c>
      <c r="B81" s="34" t="s">
        <v>88</v>
      </c>
      <c r="C81" s="34" t="s">
        <v>159</v>
      </c>
      <c r="D81" s="34" t="s">
        <v>160</v>
      </c>
      <c r="E81" s="34" t="s">
        <v>8</v>
      </c>
      <c r="F81" s="34" t="s">
        <v>1900</v>
      </c>
      <c r="G81" s="82" t="s">
        <v>1901</v>
      </c>
      <c r="H81" s="54" t="s">
        <v>229</v>
      </c>
      <c r="I81" s="54" t="s">
        <v>3514</v>
      </c>
      <c r="J81" s="34" t="s">
        <v>3421</v>
      </c>
      <c r="K81" s="43">
        <f>VLOOKUP(A81,'SSP_March''19'!$A$3:$L$1193,11,0)</f>
        <v>263772</v>
      </c>
      <c r="L81" s="43">
        <f>VLOOKUP(A81,'SSP_March''19'!$A$3:$L$1193,12,0)</f>
        <v>54920</v>
      </c>
      <c r="M81" s="44">
        <f t="shared" si="12"/>
        <v>0.20821012086195653</v>
      </c>
      <c r="N81" s="49">
        <f>ROUND(VLOOKUP(A81,'SSP_March''19'!$A$3:$N$1193,14,0),0)</f>
        <v>170252</v>
      </c>
      <c r="O81" s="44">
        <f t="shared" si="13"/>
        <v>0.64545137467206526</v>
      </c>
      <c r="P81" s="45">
        <f>VLOOKUP(A81,'SSP_March''19'!$A$3:$Q$1193,16,0)</f>
        <v>20</v>
      </c>
      <c r="Q81" s="34">
        <f>VLOOKUP(A81,'SSP_March''19'!$A$3:$Q$1193,17,0)</f>
        <v>5</v>
      </c>
      <c r="R81" s="35">
        <f t="shared" si="14"/>
        <v>0.25</v>
      </c>
      <c r="S81" s="49">
        <f>ROUND(VLOOKUP(A81,'SSP_March''19'!$A$3:$T$1193,19,0),0)</f>
        <v>16</v>
      </c>
      <c r="T81" s="44">
        <f>VLOOKUP(A81,'SSP_March''19'!$A$3:$T$1193,20,0)</f>
        <v>0.8</v>
      </c>
      <c r="U81" s="34">
        <f>VLOOKUP(A81,'SSP_March''19'!$A$3:$X$1193,21,0)</f>
        <v>1</v>
      </c>
      <c r="V81" s="34">
        <f>VLOOKUP(A81,'SSP_March''19'!$A$3:$X$1193,22,0)</f>
        <v>1</v>
      </c>
      <c r="W81" s="34">
        <f>VLOOKUP(A81,'SSP_March''19'!$A$3:$X$1193,23,0)</f>
        <v>0</v>
      </c>
      <c r="X81" s="34">
        <f>VLOOKUP(A81,'SSP_March''19'!$A$3:$X$1193,24,0)</f>
        <v>1</v>
      </c>
    </row>
    <row r="82" spans="1:24">
      <c r="A82" s="34" t="s">
        <v>1908</v>
      </c>
      <c r="B82" s="34" t="s">
        <v>432</v>
      </c>
      <c r="C82" s="34" t="s">
        <v>159</v>
      </c>
      <c r="D82" s="34" t="s">
        <v>160</v>
      </c>
      <c r="E82" s="34" t="s">
        <v>8</v>
      </c>
      <c r="F82" s="34" t="s">
        <v>1909</v>
      </c>
      <c r="G82" s="82">
        <v>1916867700</v>
      </c>
      <c r="H82" s="54" t="s">
        <v>229</v>
      </c>
      <c r="I82" s="54" t="s">
        <v>3518</v>
      </c>
      <c r="J82" s="34" t="s">
        <v>3419</v>
      </c>
      <c r="K82" s="43">
        <f>VLOOKUP(A82,'SSP_March''19'!$A$3:$L$1193,11,0)</f>
        <v>301921</v>
      </c>
      <c r="L82" s="43">
        <f>VLOOKUP(A82,'SSP_March''19'!$A$3:$L$1193,12,0)</f>
        <v>68200</v>
      </c>
      <c r="M82" s="44">
        <f t="shared" si="12"/>
        <v>0.22588690419016896</v>
      </c>
      <c r="N82" s="49">
        <f>ROUND(VLOOKUP(A82,'SSP_March''19'!$A$3:$N$1193,14,0),0)</f>
        <v>211420</v>
      </c>
      <c r="O82" s="44">
        <f t="shared" si="13"/>
        <v>0.70024940298952376</v>
      </c>
      <c r="P82" s="45">
        <f>VLOOKUP(A82,'SSP_March''19'!$A$3:$Q$1193,16,0)</f>
        <v>24</v>
      </c>
      <c r="Q82" s="34">
        <f>VLOOKUP(A82,'SSP_March''19'!$A$3:$Q$1193,17,0)</f>
        <v>5</v>
      </c>
      <c r="R82" s="35">
        <f t="shared" si="14"/>
        <v>0.20833333333333334</v>
      </c>
      <c r="S82" s="49">
        <f>ROUND(VLOOKUP(A82,'SSP_March''19'!$A$3:$T$1193,19,0),0)</f>
        <v>16</v>
      </c>
      <c r="T82" s="44">
        <f>VLOOKUP(A82,'SSP_March''19'!$A$3:$T$1193,20,0)</f>
        <v>0.66666666666666663</v>
      </c>
      <c r="U82" s="34">
        <f>VLOOKUP(A82,'SSP_March''19'!$A$3:$X$1193,21,0)</f>
        <v>1</v>
      </c>
      <c r="V82" s="34">
        <f>VLOOKUP(A82,'SSP_March''19'!$A$3:$X$1193,22,0)</f>
        <v>2</v>
      </c>
      <c r="W82" s="34">
        <f>VLOOKUP(A82,'SSP_March''19'!$A$3:$X$1193,23,0)</f>
        <v>0</v>
      </c>
      <c r="X82" s="34">
        <f>VLOOKUP(A82,'SSP_March''19'!$A$3:$X$1193,24,0)</f>
        <v>0</v>
      </c>
    </row>
    <row r="83" spans="1:24">
      <c r="A83" s="34" t="s">
        <v>1919</v>
      </c>
      <c r="B83" s="34" t="s">
        <v>1920</v>
      </c>
      <c r="C83" s="34" t="s">
        <v>159</v>
      </c>
      <c r="D83" s="34" t="s">
        <v>160</v>
      </c>
      <c r="E83" s="34" t="s">
        <v>8</v>
      </c>
      <c r="F83" s="34" t="s">
        <v>1921</v>
      </c>
      <c r="G83" s="82">
        <v>1834178964</v>
      </c>
      <c r="H83" s="54" t="s">
        <v>229</v>
      </c>
      <c r="I83" s="54" t="s">
        <v>3514</v>
      </c>
      <c r="J83" s="34" t="s">
        <v>3421</v>
      </c>
      <c r="K83" s="43">
        <f>VLOOKUP(A83,'SSP_March''19'!$A$3:$L$1193,11,0)</f>
        <v>130000</v>
      </c>
      <c r="L83" s="43">
        <f>VLOOKUP(A83,'SSP_March''19'!$A$3:$L$1193,12,0)</f>
        <v>10530</v>
      </c>
      <c r="M83" s="44">
        <f t="shared" si="12"/>
        <v>8.1000000000000003E-2</v>
      </c>
      <c r="N83" s="49">
        <f>ROUND(VLOOKUP(A83,'SSP_March''19'!$A$3:$N$1193,14,0),0)</f>
        <v>32643</v>
      </c>
      <c r="O83" s="44">
        <f t="shared" si="13"/>
        <v>0.25109999999999999</v>
      </c>
      <c r="P83" s="45">
        <f>VLOOKUP(A83,'SSP_March''19'!$A$3:$Q$1193,16,0)</f>
        <v>10</v>
      </c>
      <c r="Q83" s="34">
        <f>VLOOKUP(A83,'SSP_March''19'!$A$3:$Q$1193,17,0)</f>
        <v>0</v>
      </c>
      <c r="R83" s="35">
        <f t="shared" si="14"/>
        <v>0</v>
      </c>
      <c r="S83" s="49">
        <f>ROUND(VLOOKUP(A83,'SSP_March''19'!$A$3:$T$1193,19,0),0)</f>
        <v>0</v>
      </c>
      <c r="T83" s="44">
        <f>VLOOKUP(A83,'SSP_March''19'!$A$3:$T$1193,20,0)</f>
        <v>0</v>
      </c>
      <c r="U83" s="34">
        <f>VLOOKUP(A83,'SSP_March''19'!$A$3:$X$1193,21,0)</f>
        <v>1</v>
      </c>
      <c r="V83" s="34">
        <f>VLOOKUP(A83,'SSP_March''19'!$A$3:$X$1193,22,0)</f>
        <v>0</v>
      </c>
      <c r="W83" s="34">
        <f>VLOOKUP(A83,'SSP_March''19'!$A$3:$X$1193,23,0)</f>
        <v>0</v>
      </c>
      <c r="X83" s="34">
        <f>VLOOKUP(A83,'SSP_March''19'!$A$3:$X$1193,24,0)</f>
        <v>0</v>
      </c>
    </row>
    <row r="84" spans="1:24">
      <c r="A84" s="34" t="s">
        <v>1905</v>
      </c>
      <c r="B84" s="34" t="s">
        <v>1906</v>
      </c>
      <c r="C84" s="34" t="s">
        <v>159</v>
      </c>
      <c r="D84" s="34" t="s">
        <v>160</v>
      </c>
      <c r="E84" s="34" t="s">
        <v>8</v>
      </c>
      <c r="F84" s="34" t="s">
        <v>1907</v>
      </c>
      <c r="G84" s="82">
        <v>1671466916</v>
      </c>
      <c r="H84" s="54" t="s">
        <v>229</v>
      </c>
      <c r="I84" s="54" t="s">
        <v>3514</v>
      </c>
      <c r="J84" s="34" t="s">
        <v>3515</v>
      </c>
      <c r="K84" s="43">
        <f>VLOOKUP(A84,'SSP_March''19'!$A$3:$L$1193,11,0)</f>
        <v>243434</v>
      </c>
      <c r="L84" s="43">
        <f>VLOOKUP(A84,'SSP_March''19'!$A$3:$L$1193,12,0)</f>
        <v>19070</v>
      </c>
      <c r="M84" s="44">
        <f t="shared" si="12"/>
        <v>7.83374549159115E-2</v>
      </c>
      <c r="N84" s="49">
        <f>ROUND(VLOOKUP(A84,'SSP_March''19'!$A$3:$N$1193,14,0),0)</f>
        <v>59117</v>
      </c>
      <c r="O84" s="44">
        <f t="shared" si="13"/>
        <v>0.24284611023932565</v>
      </c>
      <c r="P84" s="45">
        <f>VLOOKUP(A84,'SSP_March''19'!$A$3:$Q$1193,16,0)</f>
        <v>19</v>
      </c>
      <c r="Q84" s="34">
        <f>VLOOKUP(A84,'SSP_March''19'!$A$3:$Q$1193,17,0)</f>
        <v>2</v>
      </c>
      <c r="R84" s="35">
        <f t="shared" si="14"/>
        <v>0.10526315789473684</v>
      </c>
      <c r="S84" s="49">
        <f>ROUND(VLOOKUP(A84,'SSP_March''19'!$A$3:$T$1193,19,0),0)</f>
        <v>6</v>
      </c>
      <c r="T84" s="44">
        <f>VLOOKUP(A84,'SSP_March''19'!$A$3:$T$1193,20,0)</f>
        <v>0.31578947368421051</v>
      </c>
      <c r="U84" s="34">
        <f>VLOOKUP(A84,'SSP_March''19'!$A$3:$X$1193,21,0)</f>
        <v>0</v>
      </c>
      <c r="V84" s="34">
        <f>VLOOKUP(A84,'SSP_March''19'!$A$3:$X$1193,22,0)</f>
        <v>2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34" t="s">
        <v>1916</v>
      </c>
      <c r="B85" s="34" t="s">
        <v>1917</v>
      </c>
      <c r="C85" s="34" t="s">
        <v>159</v>
      </c>
      <c r="D85" s="34" t="s">
        <v>160</v>
      </c>
      <c r="E85" s="34" t="s">
        <v>8</v>
      </c>
      <c r="F85" s="34" t="s">
        <v>1918</v>
      </c>
      <c r="G85" s="82">
        <v>1621977129</v>
      </c>
      <c r="H85" s="54" t="s">
        <v>229</v>
      </c>
      <c r="I85" s="54" t="s">
        <v>3514</v>
      </c>
      <c r="J85" s="34" t="s">
        <v>3421</v>
      </c>
      <c r="K85" s="43">
        <f>VLOOKUP(A85,'SSP_March''19'!$A$3:$L$1193,11,0)</f>
        <v>180000</v>
      </c>
      <c r="L85" s="43">
        <f>VLOOKUP(A85,'SSP_March''19'!$A$3:$L$1193,12,0)</f>
        <v>15470</v>
      </c>
      <c r="M85" s="44">
        <f t="shared" si="12"/>
        <v>8.5944444444444448E-2</v>
      </c>
      <c r="N85" s="49">
        <f>ROUND(VLOOKUP(A85,'SSP_March''19'!$A$3:$N$1193,14,0),0)</f>
        <v>47957</v>
      </c>
      <c r="O85" s="44">
        <f t="shared" si="13"/>
        <v>0.26642777777777776</v>
      </c>
      <c r="P85" s="45">
        <f>VLOOKUP(A85,'SSP_March''19'!$A$3:$Q$1193,16,0)</f>
        <v>15</v>
      </c>
      <c r="Q85" s="34">
        <f>VLOOKUP(A85,'SSP_March''19'!$A$3:$Q$1193,17,0)</f>
        <v>1</v>
      </c>
      <c r="R85" s="35">
        <f t="shared" si="14"/>
        <v>6.6666666666666666E-2</v>
      </c>
      <c r="S85" s="49">
        <f>ROUND(VLOOKUP(A85,'SSP_March''19'!$A$3:$T$1193,19,0),0)</f>
        <v>3</v>
      </c>
      <c r="T85" s="44">
        <f>VLOOKUP(A85,'SSP_March''19'!$A$3:$T$1193,20,0)</f>
        <v>0.2</v>
      </c>
      <c r="U85" s="34">
        <f>VLOOKUP(A85,'SSP_March''19'!$A$3:$X$1193,21,0)</f>
        <v>0</v>
      </c>
      <c r="V85" s="34">
        <f>VLOOKUP(A85,'SSP_March''19'!$A$3:$X$1193,22,0)</f>
        <v>1</v>
      </c>
      <c r="W85" s="34">
        <f>VLOOKUP(A85,'SSP_March''19'!$A$3:$X$1193,23,0)</f>
        <v>0</v>
      </c>
      <c r="X85" s="34">
        <f>VLOOKUP(A85,'SSP_March''19'!$A$3:$X$1193,24,0)</f>
        <v>0</v>
      </c>
    </row>
    <row r="86" spans="1:24">
      <c r="A86" s="34" t="s">
        <v>1922</v>
      </c>
      <c r="B86" s="34" t="s">
        <v>1923</v>
      </c>
      <c r="C86" s="34" t="s">
        <v>159</v>
      </c>
      <c r="D86" s="34" t="s">
        <v>160</v>
      </c>
      <c r="E86" s="34" t="s">
        <v>8</v>
      </c>
      <c r="F86" s="34" t="s">
        <v>1924</v>
      </c>
      <c r="G86" s="82">
        <v>1840181814</v>
      </c>
      <c r="H86" s="54" t="s">
        <v>229</v>
      </c>
      <c r="I86" s="54" t="s">
        <v>3514</v>
      </c>
      <c r="J86" s="34" t="s">
        <v>3419</v>
      </c>
      <c r="K86" s="43">
        <f>VLOOKUP(A86,'SSP_March''19'!$A$3:$L$1193,11,0)</f>
        <v>225310</v>
      </c>
      <c r="L86" s="43">
        <f>VLOOKUP(A86,'SSP_March''19'!$A$3:$L$1193,12,0)</f>
        <v>84729</v>
      </c>
      <c r="M86" s="44">
        <f t="shared" si="12"/>
        <v>0.37605521281789533</v>
      </c>
      <c r="N86" s="49">
        <f>ROUND(VLOOKUP(A86,'SSP_March''19'!$A$3:$N$1193,14,0),0)</f>
        <v>262660</v>
      </c>
      <c r="O86" s="44">
        <f t="shared" si="13"/>
        <v>1.1657716035684169</v>
      </c>
      <c r="P86" s="45">
        <f>VLOOKUP(A86,'SSP_March''19'!$A$3:$Q$1193,16,0)</f>
        <v>15</v>
      </c>
      <c r="Q86" s="34">
        <f>VLOOKUP(A86,'SSP_March''19'!$A$3:$Q$1193,17,0)</f>
        <v>7</v>
      </c>
      <c r="R86" s="35">
        <f t="shared" si="14"/>
        <v>0.46666666666666667</v>
      </c>
      <c r="S86" s="49">
        <f>ROUND(VLOOKUP(A86,'SSP_March''19'!$A$3:$T$1193,19,0),0)</f>
        <v>22</v>
      </c>
      <c r="T86" s="44">
        <f>VLOOKUP(A86,'SSP_March''19'!$A$3:$T$1193,20,0)</f>
        <v>1.4666666666666666</v>
      </c>
      <c r="U86" s="34">
        <f>VLOOKUP(A86,'SSP_March''19'!$A$3:$X$1193,21,0)</f>
        <v>0</v>
      </c>
      <c r="V86" s="34">
        <f>VLOOKUP(A86,'SSP_March''19'!$A$3:$X$1193,22,0)</f>
        <v>1</v>
      </c>
      <c r="W86" s="34">
        <f>VLOOKUP(A86,'SSP_March''19'!$A$3:$X$1193,23,0)</f>
        <v>0</v>
      </c>
      <c r="X86" s="34">
        <f>VLOOKUP(A86,'SSP_March''19'!$A$3:$X$1193,24,0)</f>
        <v>1</v>
      </c>
    </row>
    <row r="87" spans="1:24">
      <c r="A87" s="34" t="s">
        <v>1933</v>
      </c>
      <c r="B87" s="34" t="s">
        <v>1934</v>
      </c>
      <c r="C87" s="34" t="s">
        <v>2915</v>
      </c>
      <c r="D87" s="34" t="s">
        <v>160</v>
      </c>
      <c r="E87" s="34" t="s">
        <v>8</v>
      </c>
      <c r="F87" s="34" t="s">
        <v>1935</v>
      </c>
      <c r="G87" s="82" t="s">
        <v>1936</v>
      </c>
      <c r="H87" s="54" t="s">
        <v>229</v>
      </c>
      <c r="I87" s="54" t="s">
        <v>3514</v>
      </c>
      <c r="J87" s="34" t="s">
        <v>3421</v>
      </c>
      <c r="K87" s="43">
        <f>VLOOKUP(A87,'SSP_March''19'!$A$3:$L$1193,11,0)</f>
        <v>219946</v>
      </c>
      <c r="L87" s="43">
        <f>VLOOKUP(A87,'SSP_March''19'!$A$3:$L$1193,12,0)</f>
        <v>81520</v>
      </c>
      <c r="M87" s="44">
        <f t="shared" si="12"/>
        <v>0.37063642894164933</v>
      </c>
      <c r="N87" s="49">
        <f>ROUND(VLOOKUP(A87,'SSP_March''19'!$A$3:$N$1193,14,0),0)</f>
        <v>252712</v>
      </c>
      <c r="O87" s="44">
        <f t="shared" si="13"/>
        <v>1.1489729297191129</v>
      </c>
      <c r="P87" s="45">
        <f>VLOOKUP(A87,'SSP_March''19'!$A$3:$Q$1193,16,0)</f>
        <v>12</v>
      </c>
      <c r="Q87" s="34">
        <f>VLOOKUP(A87,'SSP_March''19'!$A$3:$Q$1193,17,0)</f>
        <v>6</v>
      </c>
      <c r="R87" s="35">
        <f t="shared" si="14"/>
        <v>0.5</v>
      </c>
      <c r="S87" s="49">
        <f>ROUND(VLOOKUP(A87,'SSP_March''19'!$A$3:$T$1193,19,0),0)</f>
        <v>19</v>
      </c>
      <c r="T87" s="44">
        <f>VLOOKUP(A87,'SSP_March''19'!$A$3:$T$1193,20,0)</f>
        <v>1.5833333333333333</v>
      </c>
      <c r="U87" s="34">
        <f>VLOOKUP(A87,'SSP_March''19'!$A$3:$X$1193,21,0)</f>
        <v>0</v>
      </c>
      <c r="V87" s="34">
        <f>VLOOKUP(A87,'SSP_March''19'!$A$3:$X$1193,22,0)</f>
        <v>2</v>
      </c>
      <c r="W87" s="34">
        <f>VLOOKUP(A87,'SSP_March''19'!$A$3:$X$1193,23,0)</f>
        <v>0</v>
      </c>
      <c r="X87" s="34">
        <f>VLOOKUP(A87,'SSP_March''19'!$A$3:$X$1193,24,0)</f>
        <v>0</v>
      </c>
    </row>
    <row r="88" spans="1:24">
      <c r="A88" s="34" t="s">
        <v>1931</v>
      </c>
      <c r="B88" s="34" t="s">
        <v>1932</v>
      </c>
      <c r="C88" s="34" t="s">
        <v>2915</v>
      </c>
      <c r="D88" s="34" t="s">
        <v>160</v>
      </c>
      <c r="E88" s="34" t="s">
        <v>8</v>
      </c>
      <c r="F88" s="34" t="s">
        <v>1881</v>
      </c>
      <c r="G88" s="82">
        <v>1774937614</v>
      </c>
      <c r="H88" s="54" t="s">
        <v>229</v>
      </c>
      <c r="I88" s="54" t="s">
        <v>3514</v>
      </c>
      <c r="J88" s="34" t="s">
        <v>3421</v>
      </c>
      <c r="K88" s="43">
        <f>VLOOKUP(A88,'SSP_March''19'!$A$3:$L$1193,11,0)</f>
        <v>130000</v>
      </c>
      <c r="L88" s="43">
        <f>VLOOKUP(A88,'SSP_March''19'!$A$3:$L$1193,12,0)</f>
        <v>13765</v>
      </c>
      <c r="M88" s="44">
        <f t="shared" si="12"/>
        <v>0.10588461538461538</v>
      </c>
      <c r="N88" s="49">
        <f>ROUND(VLOOKUP(A88,'SSP_March''19'!$A$3:$N$1193,14,0),0)</f>
        <v>42672</v>
      </c>
      <c r="O88" s="44">
        <f t="shared" si="13"/>
        <v>0.32824615384615385</v>
      </c>
      <c r="P88" s="45">
        <f>VLOOKUP(A88,'SSP_March''19'!$A$3:$Q$1193,16,0)</f>
        <v>10</v>
      </c>
      <c r="Q88" s="34">
        <f>VLOOKUP(A88,'SSP_March''19'!$A$3:$Q$1193,17,0)</f>
        <v>2</v>
      </c>
      <c r="R88" s="35">
        <f t="shared" si="14"/>
        <v>0.2</v>
      </c>
      <c r="S88" s="49">
        <f>ROUND(VLOOKUP(A88,'SSP_March''19'!$A$3:$T$1193,19,0),0)</f>
        <v>6</v>
      </c>
      <c r="T88" s="44">
        <f>VLOOKUP(A88,'SSP_March''19'!$A$3:$T$1193,20,0)</f>
        <v>0.6</v>
      </c>
      <c r="U88" s="34">
        <f>VLOOKUP(A88,'SSP_March''19'!$A$3:$X$1193,21,0)</f>
        <v>0</v>
      </c>
      <c r="V88" s="34">
        <f>VLOOKUP(A88,'SSP_March''19'!$A$3:$X$1193,22,0)</f>
        <v>0</v>
      </c>
      <c r="W88" s="34">
        <f>VLOOKUP(A88,'SSP_March''19'!$A$3:$X$1193,23,0)</f>
        <v>0</v>
      </c>
      <c r="X88" s="34">
        <f>VLOOKUP(A88,'SSP_March''19'!$A$3:$X$1193,24,0)</f>
        <v>0</v>
      </c>
    </row>
    <row r="89" spans="1:24">
      <c r="A89" s="34" t="s">
        <v>1953</v>
      </c>
      <c r="B89" s="34" t="s">
        <v>1954</v>
      </c>
      <c r="C89" s="34" t="s">
        <v>2915</v>
      </c>
      <c r="D89" s="34" t="s">
        <v>160</v>
      </c>
      <c r="E89" s="34" t="s">
        <v>8</v>
      </c>
      <c r="F89" s="34" t="s">
        <v>1955</v>
      </c>
      <c r="G89" s="82">
        <v>1742200226</v>
      </c>
      <c r="H89" s="54" t="s">
        <v>229</v>
      </c>
      <c r="I89" s="54" t="s">
        <v>3514</v>
      </c>
      <c r="J89" s="34" t="s">
        <v>3419</v>
      </c>
      <c r="K89" s="43">
        <f>VLOOKUP(A89,'SSP_March''19'!$A$3:$L$1193,11,0)</f>
        <v>281373</v>
      </c>
      <c r="L89" s="43">
        <f>VLOOKUP(A89,'SSP_March''19'!$A$3:$L$1193,12,0)</f>
        <v>110844</v>
      </c>
      <c r="M89" s="44">
        <f t="shared" si="12"/>
        <v>0.39393971703041869</v>
      </c>
      <c r="N89" s="49">
        <f>ROUND(VLOOKUP(A89,'SSP_March''19'!$A$3:$N$1193,14,0),0)</f>
        <v>343616</v>
      </c>
      <c r="O89" s="44">
        <f t="shared" si="13"/>
        <v>1.2212117011937891</v>
      </c>
      <c r="P89" s="45">
        <f>VLOOKUP(A89,'SSP_March''19'!$A$3:$Q$1193,16,0)</f>
        <v>15</v>
      </c>
      <c r="Q89" s="34">
        <f>VLOOKUP(A89,'SSP_March''19'!$A$3:$Q$1193,17,0)</f>
        <v>5</v>
      </c>
      <c r="R89" s="35">
        <f t="shared" si="14"/>
        <v>0.33333333333333331</v>
      </c>
      <c r="S89" s="49">
        <f>ROUND(VLOOKUP(A89,'SSP_March''19'!$A$3:$T$1193,19,0),0)</f>
        <v>16</v>
      </c>
      <c r="T89" s="44">
        <f>VLOOKUP(A89,'SSP_March''19'!$A$3:$T$1193,20,0)</f>
        <v>1.0666666666666667</v>
      </c>
      <c r="U89" s="34">
        <f>VLOOKUP(A89,'SSP_March''19'!$A$3:$X$1193,21,0)</f>
        <v>0</v>
      </c>
      <c r="V89" s="34">
        <f>VLOOKUP(A89,'SSP_March''19'!$A$3:$X$1193,22,0)</f>
        <v>1</v>
      </c>
      <c r="W89" s="34">
        <f>VLOOKUP(A89,'SSP_March''19'!$A$3:$X$1193,23,0)</f>
        <v>0</v>
      </c>
      <c r="X89" s="34">
        <f>VLOOKUP(A89,'SSP_March''19'!$A$3:$X$1193,24,0)</f>
        <v>0</v>
      </c>
    </row>
    <row r="90" spans="1:24">
      <c r="A90" s="34" t="s">
        <v>1938</v>
      </c>
      <c r="B90" s="34" t="s">
        <v>557</v>
      </c>
      <c r="C90" s="34" t="s">
        <v>2915</v>
      </c>
      <c r="D90" s="34" t="s">
        <v>160</v>
      </c>
      <c r="E90" s="34" t="s">
        <v>8</v>
      </c>
      <c r="F90" s="34" t="s">
        <v>1939</v>
      </c>
      <c r="G90" s="82">
        <v>1842808041</v>
      </c>
      <c r="H90" s="54" t="s">
        <v>229</v>
      </c>
      <c r="I90" s="54" t="s">
        <v>3514</v>
      </c>
      <c r="J90" s="34" t="s">
        <v>3419</v>
      </c>
      <c r="K90" s="43">
        <f>VLOOKUP(A90,'SSP_March''19'!$A$3:$L$1193,11,0)</f>
        <v>195666</v>
      </c>
      <c r="L90" s="43">
        <f>VLOOKUP(A90,'SSP_March''19'!$A$3:$L$1193,12,0)</f>
        <v>70449</v>
      </c>
      <c r="M90" s="44">
        <f t="shared" si="12"/>
        <v>0.36004722332955136</v>
      </c>
      <c r="N90" s="49">
        <f>ROUND(VLOOKUP(A90,'SSP_March''19'!$A$3:$N$1193,14,0),0)</f>
        <v>218392</v>
      </c>
      <c r="O90" s="44">
        <f t="shared" si="13"/>
        <v>1.1161469033966045</v>
      </c>
      <c r="P90" s="45">
        <f>VLOOKUP(A90,'SSP_March''19'!$A$3:$Q$1193,16,0)</f>
        <v>12</v>
      </c>
      <c r="Q90" s="34">
        <f>VLOOKUP(A90,'SSP_March''19'!$A$3:$Q$1193,17,0)</f>
        <v>5</v>
      </c>
      <c r="R90" s="35">
        <f t="shared" si="14"/>
        <v>0.41666666666666669</v>
      </c>
      <c r="S90" s="49">
        <f>ROUND(VLOOKUP(A90,'SSP_March''19'!$A$3:$T$1193,19,0),0)</f>
        <v>16</v>
      </c>
      <c r="T90" s="44">
        <f>VLOOKUP(A90,'SSP_March''19'!$A$3:$T$1193,20,0)</f>
        <v>1.3333333333333333</v>
      </c>
      <c r="U90" s="34">
        <f>VLOOKUP(A90,'SSP_March''19'!$A$3:$X$1193,21,0)</f>
        <v>0</v>
      </c>
      <c r="V90" s="34">
        <f>VLOOKUP(A90,'SSP_March''19'!$A$3:$X$1193,22,0)</f>
        <v>2</v>
      </c>
      <c r="W90" s="34">
        <f>VLOOKUP(A90,'SSP_March''19'!$A$3:$X$1193,23,0)</f>
        <v>0</v>
      </c>
      <c r="X90" s="34">
        <f>VLOOKUP(A90,'SSP_March''19'!$A$3:$X$1193,24,0)</f>
        <v>0</v>
      </c>
    </row>
    <row r="91" spans="1:24">
      <c r="A91" s="34" t="s">
        <v>1943</v>
      </c>
      <c r="B91" s="34" t="s">
        <v>1944</v>
      </c>
      <c r="C91" s="34" t="s">
        <v>2915</v>
      </c>
      <c r="D91" s="34" t="s">
        <v>160</v>
      </c>
      <c r="E91" s="34" t="s">
        <v>8</v>
      </c>
      <c r="F91" s="34" t="s">
        <v>1147</v>
      </c>
      <c r="G91" s="82">
        <v>1621381153</v>
      </c>
      <c r="H91" s="54" t="s">
        <v>229</v>
      </c>
      <c r="I91" s="54" t="s">
        <v>3514</v>
      </c>
      <c r="J91" s="34" t="s">
        <v>3421</v>
      </c>
      <c r="K91" s="43">
        <f>VLOOKUP(A91,'SSP_March''19'!$A$3:$L$1193,11,0)</f>
        <v>130000</v>
      </c>
      <c r="L91" s="43">
        <f>VLOOKUP(A91,'SSP_March''19'!$A$3:$L$1193,12,0)</f>
        <v>14180</v>
      </c>
      <c r="M91" s="44">
        <f t="shared" si="12"/>
        <v>0.10907692307692307</v>
      </c>
      <c r="N91" s="49">
        <f>ROUND(VLOOKUP(A91,'SSP_March''19'!$A$3:$N$1193,14,0),0)</f>
        <v>43958</v>
      </c>
      <c r="O91" s="44">
        <f t="shared" si="13"/>
        <v>0.33813846153846155</v>
      </c>
      <c r="P91" s="45">
        <f>VLOOKUP(A91,'SSP_March''19'!$A$3:$Q$1193,16,0)</f>
        <v>10</v>
      </c>
      <c r="Q91" s="34">
        <f>VLOOKUP(A91,'SSP_March''19'!$A$3:$Q$1193,17,0)</f>
        <v>1</v>
      </c>
      <c r="R91" s="35">
        <f t="shared" si="14"/>
        <v>0.1</v>
      </c>
      <c r="S91" s="49">
        <f>ROUND(VLOOKUP(A91,'SSP_March''19'!$A$3:$T$1193,19,0),0)</f>
        <v>3</v>
      </c>
      <c r="T91" s="44">
        <f>VLOOKUP(A91,'SSP_March''19'!$A$3:$T$1193,20,0)</f>
        <v>0.3</v>
      </c>
      <c r="U91" s="34">
        <f>VLOOKUP(A91,'SSP_March''19'!$A$3:$X$1193,21,0)</f>
        <v>0</v>
      </c>
      <c r="V91" s="34">
        <f>VLOOKUP(A91,'SSP_March''19'!$A$3:$X$1193,22,0)</f>
        <v>0</v>
      </c>
      <c r="W91" s="34">
        <f>VLOOKUP(A91,'SSP_March''19'!$A$3:$X$1193,23,0)</f>
        <v>0</v>
      </c>
      <c r="X91" s="34">
        <f>VLOOKUP(A91,'SSP_March''19'!$A$3:$X$1193,24,0)</f>
        <v>0</v>
      </c>
    </row>
    <row r="92" spans="1:24">
      <c r="A92" s="75" t="s">
        <v>3574</v>
      </c>
      <c r="B92" s="75" t="s">
        <v>476</v>
      </c>
      <c r="C92" s="75" t="s">
        <v>2915</v>
      </c>
      <c r="D92" s="75" t="s">
        <v>160</v>
      </c>
      <c r="E92" s="75" t="s">
        <v>8</v>
      </c>
      <c r="F92" s="75" t="s">
        <v>3575</v>
      </c>
      <c r="G92" s="67">
        <v>1777237773</v>
      </c>
      <c r="H92" s="54" t="s">
        <v>229</v>
      </c>
      <c r="I92" s="54" t="s">
        <v>3514</v>
      </c>
      <c r="J92" s="34" t="s">
        <v>3421</v>
      </c>
      <c r="K92" s="43">
        <f>VLOOKUP(A92,'SSP_March''19'!$A$3:$L$1193,11,0)</f>
        <v>130000</v>
      </c>
      <c r="L92" s="43">
        <f>VLOOKUP(A92,'SSP_March''19'!$A$3:$L$1193,12,0)</f>
        <v>115585</v>
      </c>
      <c r="M92" s="44">
        <f t="shared" si="12"/>
        <v>0.88911538461538464</v>
      </c>
      <c r="N92" s="49">
        <f>ROUND(VLOOKUP(A92,'SSP_March''19'!$A$3:$N$1193,14,0),0)</f>
        <v>358314</v>
      </c>
      <c r="O92" s="44">
        <f t="shared" si="13"/>
        <v>2.7562615384615383</v>
      </c>
      <c r="P92" s="45">
        <f>VLOOKUP(A92,'SSP_March''19'!$A$3:$Q$1193,16,0)</f>
        <v>10</v>
      </c>
      <c r="Q92" s="34">
        <f>VLOOKUP(A92,'SSP_March''19'!$A$3:$Q$1193,17,0)</f>
        <v>12</v>
      </c>
      <c r="R92" s="35">
        <f t="shared" si="14"/>
        <v>1.2</v>
      </c>
      <c r="S92" s="49">
        <f>ROUND(VLOOKUP(A92,'SSP_March''19'!$A$3:$T$1193,19,0),0)</f>
        <v>37</v>
      </c>
      <c r="T92" s="44">
        <f>VLOOKUP(A92,'SSP_March''19'!$A$3:$T$1193,20,0)</f>
        <v>3.7</v>
      </c>
      <c r="U92" s="34">
        <f>VLOOKUP(A92,'SSP_March''19'!$A$3:$X$1193,21,0)</f>
        <v>0</v>
      </c>
      <c r="V92" s="34">
        <f>VLOOKUP(A92,'SSP_March''19'!$A$3:$X$1193,22,0)</f>
        <v>0</v>
      </c>
      <c r="W92" s="34">
        <f>VLOOKUP(A92,'SSP_March''19'!$A$3:$X$1193,23,0)</f>
        <v>0</v>
      </c>
      <c r="X92" s="34">
        <f>VLOOKUP(A92,'SSP_March''19'!$A$3:$X$1193,24,0)</f>
        <v>1</v>
      </c>
    </row>
    <row r="93" spans="1:24">
      <c r="A93" s="34" t="s">
        <v>1945</v>
      </c>
      <c r="B93" s="34" t="s">
        <v>1946</v>
      </c>
      <c r="C93" s="34" t="s">
        <v>2915</v>
      </c>
      <c r="D93" s="34" t="s">
        <v>160</v>
      </c>
      <c r="E93" s="34" t="s">
        <v>8</v>
      </c>
      <c r="F93" s="34" t="s">
        <v>1947</v>
      </c>
      <c r="G93" s="82">
        <v>1816623551</v>
      </c>
      <c r="H93" s="54" t="s">
        <v>229</v>
      </c>
      <c r="I93" s="54" t="s">
        <v>3514</v>
      </c>
      <c r="J93" s="34" t="s">
        <v>3419</v>
      </c>
      <c r="K93" s="43">
        <f>VLOOKUP(A93,'SSP_March''19'!$A$3:$L$1193,11,0)</f>
        <v>130000</v>
      </c>
      <c r="L93" s="43">
        <f>VLOOKUP(A93,'SSP_March''19'!$A$3:$L$1193,12,0)</f>
        <v>63619</v>
      </c>
      <c r="M93" s="44">
        <f t="shared" si="12"/>
        <v>0.4893769230769231</v>
      </c>
      <c r="N93" s="49">
        <f>ROUND(VLOOKUP(A93,'SSP_March''19'!$A$3:$N$1193,14,0),0)</f>
        <v>197219</v>
      </c>
      <c r="O93" s="44">
        <f t="shared" si="13"/>
        <v>1.5170692307692308</v>
      </c>
      <c r="P93" s="45">
        <f>VLOOKUP(A93,'SSP_March''19'!$A$3:$Q$1193,16,0)</f>
        <v>10</v>
      </c>
      <c r="Q93" s="34">
        <f>VLOOKUP(A93,'SSP_March''19'!$A$3:$Q$1193,17,0)</f>
        <v>5</v>
      </c>
      <c r="R93" s="35">
        <f t="shared" si="14"/>
        <v>0.5</v>
      </c>
      <c r="S93" s="49">
        <f>ROUND(VLOOKUP(A93,'SSP_March''19'!$A$3:$T$1193,19,0),0)</f>
        <v>16</v>
      </c>
      <c r="T93" s="44">
        <f>VLOOKUP(A93,'SSP_March''19'!$A$3:$T$1193,20,0)</f>
        <v>1.6</v>
      </c>
      <c r="U93" s="34">
        <f>VLOOKUP(A93,'SSP_March''19'!$A$3:$X$1193,21,0)</f>
        <v>0</v>
      </c>
      <c r="V93" s="34">
        <f>VLOOKUP(A93,'SSP_March''19'!$A$3:$X$1193,22,0)</f>
        <v>1</v>
      </c>
      <c r="W93" s="34">
        <f>VLOOKUP(A93,'SSP_March''19'!$A$3:$X$1193,23,0)</f>
        <v>0</v>
      </c>
      <c r="X93" s="34">
        <f>VLOOKUP(A93,'SSP_March''19'!$A$3:$X$1193,24,0)</f>
        <v>1</v>
      </c>
    </row>
    <row r="94" spans="1:24">
      <c r="A94" s="34" t="s">
        <v>1948</v>
      </c>
      <c r="B94" s="34" t="s">
        <v>1949</v>
      </c>
      <c r="C94" s="34" t="s">
        <v>2915</v>
      </c>
      <c r="D94" s="34" t="s">
        <v>160</v>
      </c>
      <c r="E94" s="34" t="s">
        <v>8</v>
      </c>
      <c r="F94" s="34" t="s">
        <v>1204</v>
      </c>
      <c r="G94" s="82">
        <v>1955874420</v>
      </c>
      <c r="H94" s="54" t="s">
        <v>229</v>
      </c>
      <c r="I94" s="54" t="s">
        <v>3514</v>
      </c>
      <c r="J94" s="34" t="s">
        <v>3419</v>
      </c>
      <c r="K94" s="43">
        <f>VLOOKUP(A94,'SSP_March''19'!$A$3:$L$1193,11,0)</f>
        <v>151114</v>
      </c>
      <c r="L94" s="43">
        <f>VLOOKUP(A94,'SSP_March''19'!$A$3:$L$1193,12,0)</f>
        <v>23300</v>
      </c>
      <c r="M94" s="44">
        <f t="shared" si="12"/>
        <v>0.15418822875445029</v>
      </c>
      <c r="N94" s="49">
        <f>ROUND(VLOOKUP(A94,'SSP_March''19'!$A$3:$N$1193,14,0),0)</f>
        <v>72230</v>
      </c>
      <c r="O94" s="44">
        <f t="shared" si="13"/>
        <v>0.47798350913879589</v>
      </c>
      <c r="P94" s="45">
        <f>VLOOKUP(A94,'SSP_March''19'!$A$3:$Q$1193,16,0)</f>
        <v>10</v>
      </c>
      <c r="Q94" s="34">
        <f>VLOOKUP(A94,'SSP_March''19'!$A$3:$Q$1193,17,0)</f>
        <v>0</v>
      </c>
      <c r="R94" s="35">
        <f t="shared" si="14"/>
        <v>0</v>
      </c>
      <c r="S94" s="49">
        <f>ROUND(VLOOKUP(A94,'SSP_March''19'!$A$3:$T$1193,19,0),0)</f>
        <v>0</v>
      </c>
      <c r="T94" s="44">
        <f>VLOOKUP(A94,'SSP_March''19'!$A$3:$T$1193,20,0)</f>
        <v>0</v>
      </c>
      <c r="U94" s="34">
        <f>VLOOKUP(A94,'SSP_March''19'!$A$3:$X$1193,21,0)</f>
        <v>0</v>
      </c>
      <c r="V94" s="34">
        <f>VLOOKUP(A94,'SSP_March''19'!$A$3:$X$1193,22,0)</f>
        <v>0</v>
      </c>
      <c r="W94" s="34">
        <f>VLOOKUP(A94,'SSP_March''19'!$A$3:$X$1193,23,0)</f>
        <v>0</v>
      </c>
      <c r="X94" s="34">
        <f>VLOOKUP(A94,'SSP_March''19'!$A$3:$X$1193,24,0)</f>
        <v>0</v>
      </c>
    </row>
    <row r="95" spans="1:24">
      <c r="A95" s="34" t="s">
        <v>3370</v>
      </c>
      <c r="B95" s="34" t="s">
        <v>3245</v>
      </c>
      <c r="C95" s="34" t="s">
        <v>2915</v>
      </c>
      <c r="D95" s="34" t="s">
        <v>160</v>
      </c>
      <c r="E95" s="34" t="s">
        <v>8</v>
      </c>
      <c r="F95" s="34" t="s">
        <v>3246</v>
      </c>
      <c r="G95" s="82">
        <v>1749504090</v>
      </c>
      <c r="H95" s="54" t="s">
        <v>229</v>
      </c>
      <c r="I95" s="54" t="s">
        <v>3514</v>
      </c>
      <c r="J95" s="34" t="s">
        <v>3419</v>
      </c>
      <c r="K95" s="43">
        <f>VLOOKUP(A95,'SSP_March''19'!$A$3:$L$1193,11,0)</f>
        <v>130000</v>
      </c>
      <c r="L95" s="43">
        <f>VLOOKUP(A95,'SSP_March''19'!$A$3:$L$1193,12,0)</f>
        <v>121640</v>
      </c>
      <c r="M95" s="44">
        <f t="shared" si="12"/>
        <v>0.93569230769230771</v>
      </c>
      <c r="N95" s="49">
        <f>ROUND(VLOOKUP(A95,'SSP_March''19'!$A$3:$N$1193,14,0),0)</f>
        <v>377084</v>
      </c>
      <c r="O95" s="44">
        <f t="shared" si="13"/>
        <v>2.9006461538461537</v>
      </c>
      <c r="P95" s="45">
        <f>VLOOKUP(A95,'SSP_March''19'!$A$3:$Q$1193,16,0)</f>
        <v>10</v>
      </c>
      <c r="Q95" s="34">
        <f>VLOOKUP(A95,'SSP_March''19'!$A$3:$Q$1193,17,0)</f>
        <v>5</v>
      </c>
      <c r="R95" s="35">
        <f t="shared" si="14"/>
        <v>0.5</v>
      </c>
      <c r="S95" s="49">
        <f>ROUND(VLOOKUP(A95,'SSP_March''19'!$A$3:$T$1193,19,0),0)</f>
        <v>16</v>
      </c>
      <c r="T95" s="44">
        <f>VLOOKUP(A95,'SSP_March''19'!$A$3:$T$1193,20,0)</f>
        <v>1.6</v>
      </c>
      <c r="U95" s="34">
        <f>VLOOKUP(A95,'SSP_March''19'!$A$3:$X$1193,21,0)</f>
        <v>1</v>
      </c>
      <c r="V95" s="34">
        <f>VLOOKUP(A95,'SSP_March''19'!$A$3:$X$1193,22,0)</f>
        <v>2</v>
      </c>
      <c r="W95" s="34">
        <f>VLOOKUP(A95,'SSP_March''19'!$A$3:$X$1193,23,0)</f>
        <v>0</v>
      </c>
      <c r="X95" s="34">
        <f>VLOOKUP(A95,'SSP_March''19'!$A$3:$X$1193,24,0)</f>
        <v>0</v>
      </c>
    </row>
    <row r="96" spans="1:24">
      <c r="A96" s="75" t="s">
        <v>3576</v>
      </c>
      <c r="B96" s="75" t="s">
        <v>3577</v>
      </c>
      <c r="C96" s="75" t="s">
        <v>2915</v>
      </c>
      <c r="D96" s="75" t="s">
        <v>160</v>
      </c>
      <c r="E96" s="75" t="s">
        <v>8</v>
      </c>
      <c r="F96" s="75" t="s">
        <v>3578</v>
      </c>
      <c r="G96" s="67">
        <v>1757777769</v>
      </c>
      <c r="H96" s="54" t="s">
        <v>229</v>
      </c>
      <c r="I96" s="54" t="s">
        <v>3514</v>
      </c>
      <c r="J96" s="34" t="s">
        <v>3419</v>
      </c>
      <c r="K96" s="43">
        <f>VLOOKUP(A96,'SSP_March''19'!$A$3:$L$1193,11,0)</f>
        <v>130000</v>
      </c>
      <c r="L96" s="43">
        <f>VLOOKUP(A96,'SSP_March''19'!$A$3:$L$1193,12,0)</f>
        <v>8490</v>
      </c>
      <c r="M96" s="44">
        <f t="shared" si="12"/>
        <v>6.5307692307692303E-2</v>
      </c>
      <c r="N96" s="49">
        <f>ROUND(VLOOKUP(A96,'SSP_March''19'!$A$3:$N$1193,14,0),0)</f>
        <v>26319</v>
      </c>
      <c r="O96" s="44">
        <f t="shared" si="13"/>
        <v>0.20245384615384615</v>
      </c>
      <c r="P96" s="45">
        <f>VLOOKUP(A96,'SSP_March''19'!$A$3:$Q$1193,16,0)</f>
        <v>10</v>
      </c>
      <c r="Q96" s="34">
        <f>VLOOKUP(A96,'SSP_March''19'!$A$3:$Q$1193,17,0)</f>
        <v>1</v>
      </c>
      <c r="R96" s="35">
        <f t="shared" si="14"/>
        <v>0.1</v>
      </c>
      <c r="S96" s="49">
        <f>ROUND(VLOOKUP(A96,'SSP_March''19'!$A$3:$T$1193,19,0),0)</f>
        <v>3</v>
      </c>
      <c r="T96" s="44">
        <f>VLOOKUP(A96,'SSP_March''19'!$A$3:$T$1193,20,0)</f>
        <v>0.3</v>
      </c>
      <c r="U96" s="34">
        <f>VLOOKUP(A96,'SSP_March''19'!$A$3:$X$1193,21,0)</f>
        <v>0</v>
      </c>
      <c r="V96" s="34">
        <f>VLOOKUP(A96,'SSP_March''19'!$A$3:$X$1193,22,0)</f>
        <v>0</v>
      </c>
      <c r="W96" s="34">
        <f>VLOOKUP(A96,'SSP_March''19'!$A$3:$X$1193,23,0)</f>
        <v>0</v>
      </c>
      <c r="X96" s="34">
        <f>VLOOKUP(A96,'SSP_March''19'!$A$3:$X$1193,24,0)</f>
        <v>0</v>
      </c>
    </row>
    <row r="97" spans="1:24">
      <c r="A97" s="34" t="s">
        <v>1940</v>
      </c>
      <c r="B97" s="34" t="s">
        <v>1941</v>
      </c>
      <c r="C97" s="34" t="s">
        <v>2915</v>
      </c>
      <c r="D97" s="34" t="s">
        <v>160</v>
      </c>
      <c r="E97" s="34" t="s">
        <v>8</v>
      </c>
      <c r="F97" s="34" t="s">
        <v>1942</v>
      </c>
      <c r="G97" s="82">
        <v>1711662226</v>
      </c>
      <c r="H97" s="54" t="s">
        <v>229</v>
      </c>
      <c r="I97" s="54" t="s">
        <v>3514</v>
      </c>
      <c r="J97" s="34" t="s">
        <v>3421</v>
      </c>
      <c r="K97" s="43">
        <f>VLOOKUP(A97,'SSP_March''19'!$A$3:$L$1193,11,0)</f>
        <v>130000</v>
      </c>
      <c r="L97" s="43">
        <f>VLOOKUP(A97,'SSP_March''19'!$A$3:$L$1193,12,0)</f>
        <v>51370</v>
      </c>
      <c r="M97" s="44">
        <f t="shared" si="12"/>
        <v>0.39515384615384613</v>
      </c>
      <c r="N97" s="49">
        <f>ROUND(VLOOKUP(A97,'SSP_March''19'!$A$3:$N$1193,14,0),0)</f>
        <v>159247</v>
      </c>
      <c r="O97" s="44">
        <f t="shared" si="13"/>
        <v>1.2249769230769232</v>
      </c>
      <c r="P97" s="45">
        <f>VLOOKUP(A97,'SSP_March''19'!$A$3:$Q$1193,16,0)</f>
        <v>10</v>
      </c>
      <c r="Q97" s="34">
        <f>VLOOKUP(A97,'SSP_March''19'!$A$3:$Q$1193,17,0)</f>
        <v>4</v>
      </c>
      <c r="R97" s="35">
        <f t="shared" si="14"/>
        <v>0.4</v>
      </c>
      <c r="S97" s="49">
        <f>ROUND(VLOOKUP(A97,'SSP_March''19'!$A$3:$T$1193,19,0),0)</f>
        <v>12</v>
      </c>
      <c r="T97" s="44">
        <f>VLOOKUP(A97,'SSP_March''19'!$A$3:$T$1193,20,0)</f>
        <v>1.2</v>
      </c>
      <c r="U97" s="34">
        <f>VLOOKUP(A97,'SSP_March''19'!$A$3:$X$1193,21,0)</f>
        <v>0</v>
      </c>
      <c r="V97" s="34">
        <f>VLOOKUP(A97,'SSP_March''19'!$A$3:$X$1193,22,0)</f>
        <v>1</v>
      </c>
      <c r="W97" s="34">
        <f>VLOOKUP(A97,'SSP_March''19'!$A$3:$X$1193,23,0)</f>
        <v>0</v>
      </c>
      <c r="X97" s="34">
        <f>VLOOKUP(A97,'SSP_March''19'!$A$3:$X$1193,24,0)</f>
        <v>0</v>
      </c>
    </row>
    <row r="98" spans="1:24">
      <c r="A98" s="34" t="s">
        <v>1950</v>
      </c>
      <c r="B98" s="34" t="s">
        <v>1951</v>
      </c>
      <c r="C98" s="34" t="s">
        <v>2915</v>
      </c>
      <c r="D98" s="34" t="s">
        <v>160</v>
      </c>
      <c r="E98" s="34" t="s">
        <v>8</v>
      </c>
      <c r="F98" s="34" t="s">
        <v>1952</v>
      </c>
      <c r="G98" s="82">
        <v>1670868595</v>
      </c>
      <c r="H98" s="54" t="s">
        <v>229</v>
      </c>
      <c r="I98" s="54" t="s">
        <v>3514</v>
      </c>
      <c r="J98" s="34" t="s">
        <v>3419</v>
      </c>
      <c r="K98" s="43">
        <f>VLOOKUP(A98,'SSP_March''19'!$A$3:$L$1193,11,0)</f>
        <v>156504</v>
      </c>
      <c r="L98" s="43">
        <f>VLOOKUP(A98,'SSP_March''19'!$A$3:$L$1193,12,0)</f>
        <v>24750</v>
      </c>
      <c r="M98" s="44">
        <f t="shared" si="12"/>
        <v>0.15814292286459131</v>
      </c>
      <c r="N98" s="49">
        <f>ROUND(VLOOKUP(A98,'SSP_March''19'!$A$3:$N$1193,14,0),0)</f>
        <v>76725</v>
      </c>
      <c r="O98" s="44">
        <f t="shared" si="13"/>
        <v>0.49024306088023312</v>
      </c>
      <c r="P98" s="45">
        <f>VLOOKUP(A98,'SSP_March''19'!$A$3:$Q$1193,16,0)</f>
        <v>10</v>
      </c>
      <c r="Q98" s="34">
        <f>VLOOKUP(A98,'SSP_March''19'!$A$3:$Q$1193,17,0)</f>
        <v>1</v>
      </c>
      <c r="R98" s="35">
        <f t="shared" si="14"/>
        <v>0.1</v>
      </c>
      <c r="S98" s="49">
        <f>ROUND(VLOOKUP(A98,'SSP_March''19'!$A$3:$T$1193,19,0),0)</f>
        <v>3</v>
      </c>
      <c r="T98" s="44">
        <f>VLOOKUP(A98,'SSP_March''19'!$A$3:$T$1193,20,0)</f>
        <v>0.3</v>
      </c>
      <c r="U98" s="34">
        <f>VLOOKUP(A98,'SSP_March''19'!$A$3:$X$1193,21,0)</f>
        <v>0</v>
      </c>
      <c r="V98" s="34">
        <f>VLOOKUP(A98,'SSP_March''19'!$A$3:$X$1193,22,0)</f>
        <v>0</v>
      </c>
      <c r="W98" s="34">
        <f>VLOOKUP(A98,'SSP_March''19'!$A$3:$X$1193,23,0)</f>
        <v>0</v>
      </c>
      <c r="X98" s="34">
        <f>VLOOKUP(A98,'SSP_March''19'!$A$3:$X$1193,24,0)</f>
        <v>0</v>
      </c>
    </row>
    <row r="99" spans="1:24">
      <c r="A99" s="34" t="s">
        <v>1861</v>
      </c>
      <c r="B99" s="34" t="s">
        <v>1862</v>
      </c>
      <c r="C99" s="34" t="s">
        <v>151</v>
      </c>
      <c r="D99" s="34" t="s">
        <v>154</v>
      </c>
      <c r="E99" s="34" t="s">
        <v>8</v>
      </c>
      <c r="F99" s="34" t="s">
        <v>1863</v>
      </c>
      <c r="G99" s="54">
        <v>1920221696</v>
      </c>
      <c r="H99" s="54" t="s">
        <v>229</v>
      </c>
      <c r="I99" s="54" t="s">
        <v>3514</v>
      </c>
      <c r="J99" s="34" t="s">
        <v>3421</v>
      </c>
      <c r="K99" s="43">
        <f>VLOOKUP(A99,'SSP_March''19'!$A$3:$L$1193,11,0)</f>
        <v>130000</v>
      </c>
      <c r="L99" s="43">
        <f>VLOOKUP(A99,'SSP_March''19'!$A$3:$L$1193,12,0)</f>
        <v>8080</v>
      </c>
      <c r="M99" s="44">
        <f t="shared" si="12"/>
        <v>6.2153846153846157E-2</v>
      </c>
      <c r="N99" s="49">
        <f>ROUND(VLOOKUP(A99,'SSP_March''19'!$A$3:$N$1193,14,0),0)</f>
        <v>25048</v>
      </c>
      <c r="O99" s="44">
        <f t="shared" si="13"/>
        <v>0.19267692307692308</v>
      </c>
      <c r="P99" s="45">
        <f>VLOOKUP(A99,'SSP_March''19'!$A$3:$Q$1193,16,0)</f>
        <v>10</v>
      </c>
      <c r="Q99" s="34">
        <f>VLOOKUP(A99,'SSP_March''19'!$A$3:$Q$1193,17,0)</f>
        <v>0</v>
      </c>
      <c r="R99" s="35">
        <f t="shared" si="14"/>
        <v>0</v>
      </c>
      <c r="S99" s="49">
        <f>ROUND(VLOOKUP(A99,'SSP_March''19'!$A$3:$T$1193,19,0),0)</f>
        <v>0</v>
      </c>
      <c r="T99" s="44">
        <f>VLOOKUP(A99,'SSP_March''19'!$A$3:$T$1193,20,0)</f>
        <v>0</v>
      </c>
      <c r="U99" s="34">
        <f>VLOOKUP(A99,'SSP_March''19'!$A$3:$X$1193,21,0)</f>
        <v>0</v>
      </c>
      <c r="V99" s="34">
        <f>VLOOKUP(A99,'SSP_March''19'!$A$3:$X$1193,22,0)</f>
        <v>0</v>
      </c>
      <c r="W99" s="34">
        <f>VLOOKUP(A99,'SSP_March''19'!$A$3:$X$1193,23,0)</f>
        <v>0</v>
      </c>
      <c r="X99" s="34">
        <f>VLOOKUP(A99,'SSP_March''19'!$A$3:$X$1193,24,0)</f>
        <v>0</v>
      </c>
    </row>
    <row r="100" spans="1:24">
      <c r="A100" s="34" t="s">
        <v>1852</v>
      </c>
      <c r="B100" s="34" t="s">
        <v>1853</v>
      </c>
      <c r="C100" s="34" t="s">
        <v>151</v>
      </c>
      <c r="D100" s="34" t="s">
        <v>154</v>
      </c>
      <c r="E100" s="34" t="s">
        <v>8</v>
      </c>
      <c r="F100" s="34" t="s">
        <v>1854</v>
      </c>
      <c r="G100" s="54">
        <v>1686017139</v>
      </c>
      <c r="H100" s="54" t="s">
        <v>229</v>
      </c>
      <c r="I100" s="54" t="s">
        <v>3514</v>
      </c>
      <c r="J100" s="34" t="s">
        <v>3419</v>
      </c>
      <c r="K100" s="43">
        <f>VLOOKUP(A100,'SSP_March''19'!$A$3:$L$1193,11,0)</f>
        <v>200000</v>
      </c>
      <c r="L100" s="43">
        <f>VLOOKUP(A100,'SSP_March''19'!$A$3:$L$1193,12,0)</f>
        <v>94320</v>
      </c>
      <c r="M100" s="44">
        <f t="shared" si="12"/>
        <v>0.47160000000000002</v>
      </c>
      <c r="N100" s="49">
        <f>ROUND(VLOOKUP(A100,'SSP_March''19'!$A$3:$N$1193,14,0),0)</f>
        <v>292392</v>
      </c>
      <c r="O100" s="44">
        <f t="shared" si="13"/>
        <v>1.4619599999999999</v>
      </c>
      <c r="P100" s="45">
        <f>VLOOKUP(A100,'SSP_March''19'!$A$3:$Q$1193,16,0)</f>
        <v>13</v>
      </c>
      <c r="Q100" s="34">
        <f>VLOOKUP(A100,'SSP_March''19'!$A$3:$Q$1193,17,0)</f>
        <v>5</v>
      </c>
      <c r="R100" s="35">
        <f t="shared" si="14"/>
        <v>0.38461538461538464</v>
      </c>
      <c r="S100" s="49">
        <f>ROUND(VLOOKUP(A100,'SSP_March''19'!$A$3:$T$1193,19,0),0)</f>
        <v>16</v>
      </c>
      <c r="T100" s="44">
        <f>VLOOKUP(A100,'SSP_March''19'!$A$3:$T$1193,20,0)</f>
        <v>1.2307692307692308</v>
      </c>
      <c r="U100" s="34">
        <f>VLOOKUP(A100,'SSP_March''19'!$A$3:$X$1193,21,0)</f>
        <v>1</v>
      </c>
      <c r="V100" s="34">
        <f>VLOOKUP(A100,'SSP_March''19'!$A$3:$X$1193,22,0)</f>
        <v>3</v>
      </c>
      <c r="W100" s="34">
        <f>VLOOKUP(A100,'SSP_March''19'!$A$3:$X$1193,23,0)</f>
        <v>0</v>
      </c>
      <c r="X100" s="34">
        <f>VLOOKUP(A100,'SSP_March''19'!$A$3:$X$1193,24,0)</f>
        <v>0</v>
      </c>
    </row>
    <row r="101" spans="1:24">
      <c r="A101" s="34" t="s">
        <v>1855</v>
      </c>
      <c r="B101" s="34" t="s">
        <v>1856</v>
      </c>
      <c r="C101" s="34" t="s">
        <v>151</v>
      </c>
      <c r="D101" s="34" t="s">
        <v>154</v>
      </c>
      <c r="E101" s="34" t="s">
        <v>8</v>
      </c>
      <c r="F101" s="34" t="s">
        <v>1857</v>
      </c>
      <c r="G101" s="54">
        <v>1726664969</v>
      </c>
      <c r="H101" s="54" t="s">
        <v>229</v>
      </c>
      <c r="I101" s="54" t="s">
        <v>3514</v>
      </c>
      <c r="J101" s="34" t="s">
        <v>3419</v>
      </c>
      <c r="K101" s="43">
        <f>VLOOKUP(A101,'SSP_March''19'!$A$3:$L$1193,11,0)</f>
        <v>130000</v>
      </c>
      <c r="L101" s="43">
        <f>VLOOKUP(A101,'SSP_March''19'!$A$3:$L$1193,12,0)</f>
        <v>11580</v>
      </c>
      <c r="M101" s="44">
        <f t="shared" si="12"/>
        <v>8.9076923076923081E-2</v>
      </c>
      <c r="N101" s="49">
        <f>ROUND(VLOOKUP(A101,'SSP_March''19'!$A$3:$N$1193,14,0),0)</f>
        <v>35898</v>
      </c>
      <c r="O101" s="44">
        <f t="shared" si="13"/>
        <v>0.27613846153846155</v>
      </c>
      <c r="P101" s="45">
        <f>VLOOKUP(A101,'SSP_March''19'!$A$3:$Q$1193,16,0)</f>
        <v>10</v>
      </c>
      <c r="Q101" s="34">
        <f>VLOOKUP(A101,'SSP_March''19'!$A$3:$Q$1193,17,0)</f>
        <v>1</v>
      </c>
      <c r="R101" s="35">
        <f t="shared" si="14"/>
        <v>0.1</v>
      </c>
      <c r="S101" s="49">
        <f>ROUND(VLOOKUP(A101,'SSP_March''19'!$A$3:$T$1193,19,0),0)</f>
        <v>3</v>
      </c>
      <c r="T101" s="44">
        <f>VLOOKUP(A101,'SSP_March''19'!$A$3:$T$1193,20,0)</f>
        <v>0.3</v>
      </c>
      <c r="U101" s="34">
        <f>VLOOKUP(A101,'SSP_March''19'!$A$3:$X$1193,21,0)</f>
        <v>0</v>
      </c>
      <c r="V101" s="34">
        <f>VLOOKUP(A101,'SSP_March''19'!$A$3:$X$1193,22,0)</f>
        <v>0</v>
      </c>
      <c r="W101" s="34">
        <f>VLOOKUP(A101,'SSP_March''19'!$A$3:$X$1193,23,0)</f>
        <v>0</v>
      </c>
      <c r="X101" s="34">
        <f>VLOOKUP(A101,'SSP_March''19'!$A$3:$X$1193,24,0)</f>
        <v>0</v>
      </c>
    </row>
    <row r="102" spans="1:24">
      <c r="A102" s="75" t="s">
        <v>3579</v>
      </c>
      <c r="B102" s="75" t="s">
        <v>3580</v>
      </c>
      <c r="C102" s="75" t="s">
        <v>151</v>
      </c>
      <c r="D102" s="75" t="s">
        <v>154</v>
      </c>
      <c r="E102" s="75" t="s">
        <v>8</v>
      </c>
      <c r="F102" s="75" t="s">
        <v>3581</v>
      </c>
      <c r="G102" s="67">
        <v>1779577716</v>
      </c>
      <c r="H102" s="54" t="s">
        <v>229</v>
      </c>
      <c r="I102" s="54" t="s">
        <v>3514</v>
      </c>
      <c r="J102" s="34" t="s">
        <v>3421</v>
      </c>
      <c r="K102" s="43">
        <f>VLOOKUP(A102,'SSP_March''19'!$A$3:$L$1193,11,0)</f>
        <v>130000</v>
      </c>
      <c r="L102" s="43">
        <f>VLOOKUP(A102,'SSP_March''19'!$A$3:$L$1193,12,0)</f>
        <v>0</v>
      </c>
      <c r="M102" s="44">
        <f t="shared" si="12"/>
        <v>0</v>
      </c>
      <c r="N102" s="49">
        <f>ROUND(VLOOKUP(A102,'SSP_March''19'!$A$3:$N$1193,14,0),0)</f>
        <v>0</v>
      </c>
      <c r="O102" s="44">
        <f t="shared" si="13"/>
        <v>0</v>
      </c>
      <c r="P102" s="45">
        <f>VLOOKUP(A102,'SSP_March''19'!$A$3:$Q$1193,16,0)</f>
        <v>10</v>
      </c>
      <c r="Q102" s="34">
        <f>VLOOKUP(A102,'SSP_March''19'!$A$3:$Q$1193,17,0)</f>
        <v>0</v>
      </c>
      <c r="R102" s="35">
        <f t="shared" si="14"/>
        <v>0</v>
      </c>
      <c r="S102" s="49">
        <f>ROUND(VLOOKUP(A102,'SSP_March''19'!$A$3:$T$1193,19,0),0)</f>
        <v>0</v>
      </c>
      <c r="T102" s="44">
        <f>VLOOKUP(A102,'SSP_March''19'!$A$3:$T$1193,20,0)</f>
        <v>0</v>
      </c>
      <c r="U102" s="34">
        <f>VLOOKUP(A102,'SSP_March''19'!$A$3:$X$1193,21,0)</f>
        <v>0</v>
      </c>
      <c r="V102" s="34">
        <f>VLOOKUP(A102,'SSP_March''19'!$A$3:$X$1193,22,0)</f>
        <v>0</v>
      </c>
      <c r="W102" s="34">
        <f>VLOOKUP(A102,'SSP_March''19'!$A$3:$X$1193,23,0)</f>
        <v>0</v>
      </c>
      <c r="X102" s="34">
        <f>VLOOKUP(A102,'SSP_March''19'!$A$3:$X$1193,24,0)</f>
        <v>0</v>
      </c>
    </row>
    <row r="103" spans="1:24">
      <c r="A103" s="34" t="s">
        <v>1968</v>
      </c>
      <c r="B103" s="34" t="s">
        <v>1969</v>
      </c>
      <c r="C103" s="34" t="s">
        <v>90</v>
      </c>
      <c r="D103" s="34" t="s">
        <v>154</v>
      </c>
      <c r="E103" s="34" t="s">
        <v>8</v>
      </c>
      <c r="F103" s="34" t="s">
        <v>1970</v>
      </c>
      <c r="G103" s="54">
        <v>1934171456</v>
      </c>
      <c r="H103" s="54" t="s">
        <v>229</v>
      </c>
      <c r="I103" s="54" t="s">
        <v>3514</v>
      </c>
      <c r="J103" s="34" t="s">
        <v>3419</v>
      </c>
      <c r="K103" s="43">
        <f>VLOOKUP(A103,'SSP_March''19'!$A$3:$L$1193,11,0)</f>
        <v>130000</v>
      </c>
      <c r="L103" s="43">
        <f>VLOOKUP(A103,'SSP_March''19'!$A$3:$L$1193,12,0)</f>
        <v>16130</v>
      </c>
      <c r="M103" s="44">
        <f t="shared" si="12"/>
        <v>0.12407692307692307</v>
      </c>
      <c r="N103" s="49">
        <f>ROUND(VLOOKUP(A103,'SSP_March''19'!$A$3:$N$1193,14,0),0)</f>
        <v>50003</v>
      </c>
      <c r="O103" s="44">
        <f t="shared" si="13"/>
        <v>0.38463846153846154</v>
      </c>
      <c r="P103" s="45">
        <f>VLOOKUP(A103,'SSP_March''19'!$A$3:$Q$1193,16,0)</f>
        <v>10</v>
      </c>
      <c r="Q103" s="34">
        <f>VLOOKUP(A103,'SSP_March''19'!$A$3:$Q$1193,17,0)</f>
        <v>1</v>
      </c>
      <c r="R103" s="35">
        <f t="shared" si="14"/>
        <v>0.1</v>
      </c>
      <c r="S103" s="49">
        <f>ROUND(VLOOKUP(A103,'SSP_March''19'!$A$3:$T$1193,19,0),0)</f>
        <v>3</v>
      </c>
      <c r="T103" s="44">
        <f>VLOOKUP(A103,'SSP_March''19'!$A$3:$T$1193,20,0)</f>
        <v>0.3</v>
      </c>
      <c r="U103" s="34">
        <f>VLOOKUP(A103,'SSP_March''19'!$A$3:$X$1193,21,0)</f>
        <v>0</v>
      </c>
      <c r="V103" s="34">
        <f>VLOOKUP(A103,'SSP_March''19'!$A$3:$X$1193,22,0)</f>
        <v>0</v>
      </c>
      <c r="W103" s="34">
        <f>VLOOKUP(A103,'SSP_March''19'!$A$3:$X$1193,23,0)</f>
        <v>0</v>
      </c>
      <c r="X103" s="34">
        <f>VLOOKUP(A103,'SSP_March''19'!$A$3:$X$1193,24,0)</f>
        <v>0</v>
      </c>
    </row>
    <row r="104" spans="1:24">
      <c r="A104" s="34" t="s">
        <v>1956</v>
      </c>
      <c r="B104" s="34" t="s">
        <v>1957</v>
      </c>
      <c r="C104" s="34" t="s">
        <v>90</v>
      </c>
      <c r="D104" s="34" t="s">
        <v>154</v>
      </c>
      <c r="E104" s="34" t="s">
        <v>8</v>
      </c>
      <c r="F104" s="34" t="s">
        <v>1958</v>
      </c>
      <c r="G104" s="54">
        <v>1792223584</v>
      </c>
      <c r="H104" s="54" t="s">
        <v>229</v>
      </c>
      <c r="I104" s="54" t="s">
        <v>3514</v>
      </c>
      <c r="J104" s="34" t="s">
        <v>3515</v>
      </c>
      <c r="K104" s="43">
        <f>VLOOKUP(A104,'SSP_March''19'!$A$3:$L$1193,11,0)</f>
        <v>220000</v>
      </c>
      <c r="L104" s="43">
        <f>VLOOKUP(A104,'SSP_March''19'!$A$3:$L$1193,12,0)</f>
        <v>64380</v>
      </c>
      <c r="M104" s="44">
        <f t="shared" si="12"/>
        <v>0.29263636363636364</v>
      </c>
      <c r="N104" s="49">
        <f>ROUND(VLOOKUP(A104,'SSP_March''19'!$A$3:$N$1193,14,0),0)</f>
        <v>199578</v>
      </c>
      <c r="O104" s="44">
        <f t="shared" si="13"/>
        <v>0.90717272727272724</v>
      </c>
      <c r="P104" s="45">
        <f>VLOOKUP(A104,'SSP_March''19'!$A$3:$Q$1193,16,0)</f>
        <v>18</v>
      </c>
      <c r="Q104" s="34">
        <f>VLOOKUP(A104,'SSP_March''19'!$A$3:$Q$1193,17,0)</f>
        <v>3</v>
      </c>
      <c r="R104" s="35">
        <f t="shared" si="14"/>
        <v>0.16666666666666666</v>
      </c>
      <c r="S104" s="49">
        <f>ROUND(VLOOKUP(A104,'SSP_March''19'!$A$3:$T$1193,19,0),0)</f>
        <v>9</v>
      </c>
      <c r="T104" s="44">
        <f>VLOOKUP(A104,'SSP_March''19'!$A$3:$T$1193,20,0)</f>
        <v>0.5</v>
      </c>
      <c r="U104" s="34">
        <f>VLOOKUP(A104,'SSP_March''19'!$A$3:$X$1193,21,0)</f>
        <v>0</v>
      </c>
      <c r="V104" s="34">
        <f>VLOOKUP(A104,'SSP_March''19'!$A$3:$X$1193,22,0)</f>
        <v>1</v>
      </c>
      <c r="W104" s="34">
        <f>VLOOKUP(A104,'SSP_March''19'!$A$3:$X$1193,23,0)</f>
        <v>0</v>
      </c>
      <c r="X104" s="34">
        <f>VLOOKUP(A104,'SSP_March''19'!$A$3:$X$1193,24,0)</f>
        <v>0</v>
      </c>
    </row>
    <row r="105" spans="1:24">
      <c r="A105" s="34" t="s">
        <v>3159</v>
      </c>
      <c r="B105" s="34" t="s">
        <v>1749</v>
      </c>
      <c r="C105" s="34" t="s">
        <v>90</v>
      </c>
      <c r="D105" s="34" t="s">
        <v>154</v>
      </c>
      <c r="E105" s="34" t="s">
        <v>8</v>
      </c>
      <c r="F105" s="34" t="s">
        <v>3160</v>
      </c>
      <c r="G105" s="54">
        <v>1811144594</v>
      </c>
      <c r="H105" s="54" t="s">
        <v>229</v>
      </c>
      <c r="I105" s="54" t="s">
        <v>3514</v>
      </c>
      <c r="J105" s="34" t="s">
        <v>3421</v>
      </c>
      <c r="K105" s="43">
        <f>VLOOKUP(A105,'SSP_March''19'!$A$3:$L$1193,11,0)</f>
        <v>130000</v>
      </c>
      <c r="L105" s="43">
        <f>VLOOKUP(A105,'SSP_March''19'!$A$3:$L$1193,12,0)</f>
        <v>17980</v>
      </c>
      <c r="M105" s="44">
        <f t="shared" si="12"/>
        <v>0.1383076923076923</v>
      </c>
      <c r="N105" s="49">
        <f>ROUND(VLOOKUP(A105,'SSP_March''19'!$A$3:$N$1193,14,0),0)</f>
        <v>55738</v>
      </c>
      <c r="O105" s="44">
        <f t="shared" si="13"/>
        <v>0.42875384615384615</v>
      </c>
      <c r="P105" s="45">
        <f>VLOOKUP(A105,'SSP_March''19'!$A$3:$Q$1193,16,0)</f>
        <v>10</v>
      </c>
      <c r="Q105" s="34">
        <f>VLOOKUP(A105,'SSP_March''19'!$A$3:$Q$1193,17,0)</f>
        <v>2</v>
      </c>
      <c r="R105" s="35">
        <f t="shared" si="14"/>
        <v>0.2</v>
      </c>
      <c r="S105" s="49">
        <f>ROUND(VLOOKUP(A105,'SSP_March''19'!$A$3:$T$1193,19,0),0)</f>
        <v>6</v>
      </c>
      <c r="T105" s="44">
        <f>VLOOKUP(A105,'SSP_March''19'!$A$3:$T$1193,20,0)</f>
        <v>0.6</v>
      </c>
      <c r="U105" s="34">
        <f>VLOOKUP(A105,'SSP_March''19'!$A$3:$X$1193,21,0)</f>
        <v>0</v>
      </c>
      <c r="V105" s="34">
        <f>VLOOKUP(A105,'SSP_March''19'!$A$3:$X$1193,22,0)</f>
        <v>0</v>
      </c>
      <c r="W105" s="34">
        <f>VLOOKUP(A105,'SSP_March''19'!$A$3:$X$1193,23,0)</f>
        <v>0</v>
      </c>
      <c r="X105" s="34">
        <f>VLOOKUP(A105,'SSP_March''19'!$A$3:$X$1193,24,0)</f>
        <v>0</v>
      </c>
    </row>
    <row r="106" spans="1:24">
      <c r="A106" s="34" t="s">
        <v>1962</v>
      </c>
      <c r="B106" s="34" t="s">
        <v>1963</v>
      </c>
      <c r="C106" s="34" t="s">
        <v>90</v>
      </c>
      <c r="D106" s="34" t="s">
        <v>154</v>
      </c>
      <c r="E106" s="34" t="s">
        <v>8</v>
      </c>
      <c r="F106" s="34" t="s">
        <v>1964</v>
      </c>
      <c r="G106" s="54">
        <v>1914688389</v>
      </c>
      <c r="H106" s="54" t="s">
        <v>229</v>
      </c>
      <c r="I106" s="54" t="s">
        <v>3514</v>
      </c>
      <c r="J106" s="34" t="s">
        <v>3421</v>
      </c>
      <c r="K106" s="43">
        <f>VLOOKUP(A106,'SSP_March''19'!$A$3:$L$1193,11,0)</f>
        <v>130000</v>
      </c>
      <c r="L106" s="43">
        <f>VLOOKUP(A106,'SSP_March''19'!$A$3:$L$1193,12,0)</f>
        <v>4990</v>
      </c>
      <c r="M106" s="44">
        <f t="shared" si="12"/>
        <v>3.8384615384615385E-2</v>
      </c>
      <c r="N106" s="49">
        <f>ROUND(VLOOKUP(A106,'SSP_March''19'!$A$3:$N$1193,14,0),0)</f>
        <v>15469</v>
      </c>
      <c r="O106" s="44">
        <f t="shared" si="13"/>
        <v>0.11899230769230769</v>
      </c>
      <c r="P106" s="45">
        <f>VLOOKUP(A106,'SSP_March''19'!$A$3:$Q$1193,16,0)</f>
        <v>10</v>
      </c>
      <c r="Q106" s="34">
        <f>VLOOKUP(A106,'SSP_March''19'!$A$3:$Q$1193,17,0)</f>
        <v>0</v>
      </c>
      <c r="R106" s="35">
        <f t="shared" si="14"/>
        <v>0</v>
      </c>
      <c r="S106" s="49">
        <f>ROUND(VLOOKUP(A106,'SSP_March''19'!$A$3:$T$1193,19,0),0)</f>
        <v>0</v>
      </c>
      <c r="T106" s="44">
        <f>VLOOKUP(A106,'SSP_March''19'!$A$3:$T$1193,20,0)</f>
        <v>0</v>
      </c>
      <c r="U106" s="34">
        <f>VLOOKUP(A106,'SSP_March''19'!$A$3:$X$1193,21,0)</f>
        <v>0</v>
      </c>
      <c r="V106" s="34">
        <f>VLOOKUP(A106,'SSP_March''19'!$A$3:$X$1193,22,0)</f>
        <v>0</v>
      </c>
      <c r="W106" s="34">
        <f>VLOOKUP(A106,'SSP_March''19'!$A$3:$X$1193,23,0)</f>
        <v>0</v>
      </c>
      <c r="X106" s="34">
        <f>VLOOKUP(A106,'SSP_March''19'!$A$3:$X$1193,24,0)</f>
        <v>0</v>
      </c>
    </row>
    <row r="107" spans="1:24">
      <c r="A107" s="34" t="s">
        <v>1965</v>
      </c>
      <c r="B107" s="34" t="s">
        <v>1966</v>
      </c>
      <c r="C107" s="34" t="s">
        <v>90</v>
      </c>
      <c r="D107" s="34" t="s">
        <v>154</v>
      </c>
      <c r="E107" s="34" t="s">
        <v>8</v>
      </c>
      <c r="F107" s="34" t="s">
        <v>1967</v>
      </c>
      <c r="G107" s="54">
        <v>1923785511</v>
      </c>
      <c r="H107" s="54" t="s">
        <v>229</v>
      </c>
      <c r="I107" s="54" t="s">
        <v>3514</v>
      </c>
      <c r="J107" s="34" t="s">
        <v>3515</v>
      </c>
      <c r="K107" s="43">
        <f>VLOOKUP(A107,'SSP_March''19'!$A$3:$L$1193,11,0)</f>
        <v>130000</v>
      </c>
      <c r="L107" s="43">
        <f>VLOOKUP(A107,'SSP_March''19'!$A$3:$L$1193,12,0)</f>
        <v>18020</v>
      </c>
      <c r="M107" s="44">
        <f t="shared" si="12"/>
        <v>0.13861538461538461</v>
      </c>
      <c r="N107" s="49">
        <f>ROUND(VLOOKUP(A107,'SSP_March''19'!$A$3:$N$1193,14,0),0)</f>
        <v>55862</v>
      </c>
      <c r="O107" s="44">
        <f t="shared" si="13"/>
        <v>0.42970769230769229</v>
      </c>
      <c r="P107" s="45">
        <f>VLOOKUP(A107,'SSP_March''19'!$A$3:$Q$1193,16,0)</f>
        <v>10</v>
      </c>
      <c r="Q107" s="34">
        <f>VLOOKUP(A107,'SSP_March''19'!$A$3:$Q$1193,17,0)</f>
        <v>1</v>
      </c>
      <c r="R107" s="35">
        <f t="shared" si="14"/>
        <v>0.1</v>
      </c>
      <c r="S107" s="49">
        <f>ROUND(VLOOKUP(A107,'SSP_March''19'!$A$3:$T$1193,19,0),0)</f>
        <v>3</v>
      </c>
      <c r="T107" s="44">
        <f>VLOOKUP(A107,'SSP_March''19'!$A$3:$T$1193,20,0)</f>
        <v>0.3</v>
      </c>
      <c r="U107" s="34">
        <f>VLOOKUP(A107,'SSP_March''19'!$A$3:$X$1193,21,0)</f>
        <v>0</v>
      </c>
      <c r="V107" s="34">
        <f>VLOOKUP(A107,'SSP_March''19'!$A$3:$X$1193,22,0)</f>
        <v>0</v>
      </c>
      <c r="W107" s="34">
        <f>VLOOKUP(A107,'SSP_March''19'!$A$3:$X$1193,23,0)</f>
        <v>0</v>
      </c>
      <c r="X107" s="34">
        <f>VLOOKUP(A107,'SSP_March''19'!$A$3:$X$1193,24,0)</f>
        <v>0</v>
      </c>
    </row>
    <row r="108" spans="1:24">
      <c r="A108" s="34" t="s">
        <v>1959</v>
      </c>
      <c r="B108" s="34" t="s">
        <v>1960</v>
      </c>
      <c r="C108" s="34" t="s">
        <v>90</v>
      </c>
      <c r="D108" s="34" t="s">
        <v>154</v>
      </c>
      <c r="E108" s="34" t="s">
        <v>8</v>
      </c>
      <c r="F108" s="34" t="s">
        <v>1961</v>
      </c>
      <c r="G108" s="54">
        <v>1610704060</v>
      </c>
      <c r="H108" s="54" t="s">
        <v>229</v>
      </c>
      <c r="I108" s="54" t="s">
        <v>3514</v>
      </c>
      <c r="J108" s="34" t="s">
        <v>3419</v>
      </c>
      <c r="K108" s="43">
        <f>VLOOKUP(A108,'SSP_March''19'!$A$3:$L$1193,11,0)</f>
        <v>130000</v>
      </c>
      <c r="L108" s="43">
        <f>VLOOKUP(A108,'SSP_March''19'!$A$3:$L$1193,12,0)</f>
        <v>44010</v>
      </c>
      <c r="M108" s="44">
        <f t="shared" si="12"/>
        <v>0.33853846153846157</v>
      </c>
      <c r="N108" s="49">
        <f>ROUND(VLOOKUP(A108,'SSP_March''19'!$A$3:$N$1193,14,0),0)</f>
        <v>136431</v>
      </c>
      <c r="O108" s="44">
        <f t="shared" si="13"/>
        <v>1.0494692307692308</v>
      </c>
      <c r="P108" s="45">
        <f>VLOOKUP(A108,'SSP_March''19'!$A$3:$Q$1193,16,0)</f>
        <v>10</v>
      </c>
      <c r="Q108" s="34">
        <f>VLOOKUP(A108,'SSP_March''19'!$A$3:$Q$1193,17,0)</f>
        <v>1</v>
      </c>
      <c r="R108" s="35">
        <f t="shared" si="14"/>
        <v>0.1</v>
      </c>
      <c r="S108" s="49">
        <f>ROUND(VLOOKUP(A108,'SSP_March''19'!$A$3:$T$1193,19,0),0)</f>
        <v>3</v>
      </c>
      <c r="T108" s="44">
        <f>VLOOKUP(A108,'SSP_March''19'!$A$3:$T$1193,20,0)</f>
        <v>0.3</v>
      </c>
      <c r="U108" s="34">
        <f>VLOOKUP(A108,'SSP_March''19'!$A$3:$X$1193,21,0)</f>
        <v>2</v>
      </c>
      <c r="V108" s="34">
        <f>VLOOKUP(A108,'SSP_March''19'!$A$3:$X$1193,22,0)</f>
        <v>1</v>
      </c>
      <c r="W108" s="34">
        <f>VLOOKUP(A108,'SSP_March''19'!$A$3:$X$1193,23,0)</f>
        <v>0</v>
      </c>
      <c r="X108" s="34">
        <f>VLOOKUP(A108,'SSP_March''19'!$A$3:$X$1193,24,0)</f>
        <v>0</v>
      </c>
    </row>
  </sheetData>
  <conditionalFormatting sqref="A295:A1048576">
    <cfRule type="duplicateValues" dxfId="58" priority="50"/>
  </conditionalFormatting>
  <conditionalFormatting sqref="A2">
    <cfRule type="duplicateValues" dxfId="57" priority="48"/>
  </conditionalFormatting>
  <conditionalFormatting sqref="A2">
    <cfRule type="duplicateValues" dxfId="56" priority="46"/>
    <cfRule type="duplicateValues" priority="47"/>
  </conditionalFormatting>
  <conditionalFormatting sqref="A2">
    <cfRule type="duplicateValues" dxfId="55" priority="45"/>
  </conditionalFormatting>
  <conditionalFormatting sqref="A2">
    <cfRule type="duplicateValues" dxfId="54" priority="49"/>
  </conditionalFormatting>
  <conditionalFormatting sqref="A2">
    <cfRule type="duplicateValues" dxfId="53" priority="44"/>
  </conditionalFormatting>
  <conditionalFormatting sqref="A3:A108">
    <cfRule type="duplicateValues" dxfId="52" priority="1"/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70"/>
  <sheetViews>
    <sheetView workbookViewId="0">
      <pane xSplit="2" ySplit="2" topLeftCell="I3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Q2" sqref="Q2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8" max="8" width="11.42578125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SUBTOTAL(9,K3:K170)</f>
        <v>31252427</v>
      </c>
      <c r="L1" s="31">
        <f>SUBTOTAL(9,L3:L170)</f>
        <v>7565614</v>
      </c>
      <c r="M1" s="30">
        <f>L1/K1</f>
        <v>0.24208084703309601</v>
      </c>
      <c r="N1" s="30"/>
      <c r="O1" s="30"/>
      <c r="P1" s="31">
        <f>SUBTOTAL(9,P3:P170)</f>
        <v>1877</v>
      </c>
      <c r="Q1" s="31">
        <f>SUBTOTAL(9,Q3:Q170)</f>
        <v>297</v>
      </c>
      <c r="R1" s="30">
        <f>Q1/P1</f>
        <v>0.15823122003196591</v>
      </c>
      <c r="S1" s="30"/>
      <c r="T1" s="30"/>
      <c r="U1" s="31">
        <f>SUBTOTAL(9,U3:U170)</f>
        <v>76</v>
      </c>
      <c r="V1" s="31">
        <f>SUBTOTAL(9,V3:V170)</f>
        <v>44</v>
      </c>
      <c r="W1" s="31">
        <f>SUBTOTAL(9,W3:W170)</f>
        <v>15</v>
      </c>
      <c r="X1" s="31">
        <f>SUBTOTAL(9,X3:X170)</f>
        <v>17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34" t="s">
        <v>525</v>
      </c>
      <c r="B3" s="34" t="s">
        <v>526</v>
      </c>
      <c r="C3" s="34" t="s">
        <v>521</v>
      </c>
      <c r="D3" s="34" t="s">
        <v>89</v>
      </c>
      <c r="E3" s="34" t="s">
        <v>3</v>
      </c>
      <c r="F3" s="34" t="s">
        <v>527</v>
      </c>
      <c r="G3" s="54">
        <v>1715706747</v>
      </c>
      <c r="H3" s="54" t="s">
        <v>229</v>
      </c>
      <c r="I3" s="54" t="s">
        <v>3514</v>
      </c>
      <c r="J3" s="34" t="s">
        <v>3419</v>
      </c>
      <c r="K3" s="43">
        <f>VLOOKUP(A3,'SSP_March''19'!$A$3:$L$1193,11,0)</f>
        <v>130000</v>
      </c>
      <c r="L3" s="43">
        <f>VLOOKUP(A3,'SSP_March''19'!$A$3:$L$1193,12,0)</f>
        <v>17580</v>
      </c>
      <c r="M3" s="44">
        <f t="shared" ref="M3:M34" si="0">L3/K3</f>
        <v>0.13523076923076924</v>
      </c>
      <c r="N3" s="49">
        <f>ROUND(VLOOKUP(A3,'SSP_March''19'!$A$3:$N$1193,14,0),0)</f>
        <v>54498</v>
      </c>
      <c r="O3" s="44">
        <f t="shared" ref="O3:O34" si="1">N3/K3</f>
        <v>0.4192153846153846</v>
      </c>
      <c r="P3" s="45">
        <f>VLOOKUP(A3,'SSP_March''19'!$A$3:$Q$1193,16,0)</f>
        <v>10</v>
      </c>
      <c r="Q3" s="34">
        <f>VLOOKUP(A3,'SSP_March''19'!$A$3:$Q$1193,17,0)</f>
        <v>2</v>
      </c>
      <c r="R3" s="35">
        <f t="shared" ref="R3:R34" si="2">Q3/P3</f>
        <v>0.2</v>
      </c>
      <c r="S3" s="49">
        <f>ROUND(VLOOKUP(A3,'SSP_March''19'!$A$3:$T$1193,19,0),0)</f>
        <v>6</v>
      </c>
      <c r="T3" s="44">
        <f>VLOOKUP(A3,'SSP_March''19'!$A$3:$T$1193,20,0)</f>
        <v>0.6</v>
      </c>
      <c r="U3" s="34">
        <f>VLOOKUP(A3,'SSP_March''19'!$A$3:$X$1193,21,0)</f>
        <v>0</v>
      </c>
      <c r="V3" s="34">
        <f>VLOOKUP(A3,'SSP_March''19'!$A$3:$X$1193,22,0)</f>
        <v>1</v>
      </c>
      <c r="W3" s="34">
        <f>VLOOKUP(A3,'SSP_March''19'!$A$3:$X$1193,23,0)</f>
        <v>0</v>
      </c>
      <c r="X3" s="34">
        <f>VLOOKUP(A3,'SSP_March''19'!$A$3:$X$1193,24,0)</f>
        <v>0</v>
      </c>
    </row>
    <row r="4" spans="1:24">
      <c r="A4" s="34" t="s">
        <v>534</v>
      </c>
      <c r="B4" s="34" t="s">
        <v>535</v>
      </c>
      <c r="C4" s="34" t="s">
        <v>521</v>
      </c>
      <c r="D4" s="34" t="s">
        <v>89</v>
      </c>
      <c r="E4" s="34" t="s">
        <v>3</v>
      </c>
      <c r="F4" s="34" t="s">
        <v>536</v>
      </c>
      <c r="G4" s="54">
        <v>1674443790</v>
      </c>
      <c r="H4" s="54" t="s">
        <v>229</v>
      </c>
      <c r="I4" s="54" t="s">
        <v>3522</v>
      </c>
      <c r="J4" s="34" t="s">
        <v>3420</v>
      </c>
      <c r="K4" s="43">
        <f>VLOOKUP(A4,'SSP_March''19'!$A$3:$L$1193,11,0)</f>
        <v>514729</v>
      </c>
      <c r="L4" s="43">
        <f>VLOOKUP(A4,'SSP_March''19'!$A$3:$L$1193,12,0)</f>
        <v>157800</v>
      </c>
      <c r="M4" s="44">
        <f t="shared" si="0"/>
        <v>0.30656908781125602</v>
      </c>
      <c r="N4" s="49">
        <f>ROUND(VLOOKUP(A4,'SSP_March''19'!$A$3:$N$1193,14,0),0)</f>
        <v>489180</v>
      </c>
      <c r="O4" s="44">
        <f t="shared" si="1"/>
        <v>0.95036417221489367</v>
      </c>
      <c r="P4" s="45">
        <f>VLOOKUP(A4,'SSP_March''19'!$A$3:$Q$1193,16,0)</f>
        <v>14</v>
      </c>
      <c r="Q4" s="34">
        <f>VLOOKUP(A4,'SSP_March''19'!$A$3:$Q$1193,17,0)</f>
        <v>2</v>
      </c>
      <c r="R4" s="35">
        <f t="shared" si="2"/>
        <v>0.14285714285714285</v>
      </c>
      <c r="S4" s="49">
        <f>ROUND(VLOOKUP(A4,'SSP_March''19'!$A$3:$T$1193,19,0),0)</f>
        <v>6</v>
      </c>
      <c r="T4" s="44">
        <f>VLOOKUP(A4,'SSP_March''19'!$A$3:$T$1193,20,0)</f>
        <v>0.42857142857142855</v>
      </c>
      <c r="U4" s="34">
        <f>VLOOKUP(A4,'SSP_March''19'!$A$3:$X$1193,21,0)</f>
        <v>2</v>
      </c>
      <c r="V4" s="34">
        <f>VLOOKUP(A4,'SSP_March''19'!$A$3:$X$1193,22,0)</f>
        <v>0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34" t="s">
        <v>531</v>
      </c>
      <c r="B5" s="34" t="s">
        <v>532</v>
      </c>
      <c r="C5" s="34" t="s">
        <v>521</v>
      </c>
      <c r="D5" s="34" t="s">
        <v>89</v>
      </c>
      <c r="E5" s="34" t="s">
        <v>3</v>
      </c>
      <c r="F5" s="34" t="s">
        <v>533</v>
      </c>
      <c r="G5" s="54">
        <v>1815461890</v>
      </c>
      <c r="H5" s="54" t="s">
        <v>229</v>
      </c>
      <c r="I5" s="54" t="s">
        <v>3514</v>
      </c>
      <c r="J5" s="34" t="s">
        <v>3419</v>
      </c>
      <c r="K5" s="43">
        <f>VLOOKUP(A5,'SSP_March''19'!$A$3:$L$1193,11,0)</f>
        <v>130000</v>
      </c>
      <c r="L5" s="43">
        <f>VLOOKUP(A5,'SSP_March''19'!$A$3:$L$1193,12,0)</f>
        <v>55560</v>
      </c>
      <c r="M5" s="44">
        <f t="shared" si="0"/>
        <v>0.42738461538461536</v>
      </c>
      <c r="N5" s="49">
        <f>ROUND(VLOOKUP(A5,'SSP_March''19'!$A$3:$N$1193,14,0),0)</f>
        <v>172236</v>
      </c>
      <c r="O5" s="44">
        <f t="shared" si="1"/>
        <v>1.3248923076923076</v>
      </c>
      <c r="P5" s="45">
        <f>VLOOKUP(A5,'SSP_March''19'!$A$3:$Q$1193,16,0)</f>
        <v>10</v>
      </c>
      <c r="Q5" s="34">
        <f>VLOOKUP(A5,'SSP_March''19'!$A$3:$Q$1193,17,0)</f>
        <v>4</v>
      </c>
      <c r="R5" s="35">
        <f t="shared" si="2"/>
        <v>0.4</v>
      </c>
      <c r="S5" s="49">
        <f>ROUND(VLOOKUP(A5,'SSP_March''19'!$A$3:$T$1193,19,0),0)</f>
        <v>12</v>
      </c>
      <c r="T5" s="44">
        <f>VLOOKUP(A5,'SSP_March''19'!$A$3:$T$1193,20,0)</f>
        <v>1.2</v>
      </c>
      <c r="U5" s="34">
        <f>VLOOKUP(A5,'SSP_March''19'!$A$3:$X$1193,21,0)</f>
        <v>0</v>
      </c>
      <c r="V5" s="34">
        <f>VLOOKUP(A5,'SSP_March''19'!$A$3:$X$1193,22,0)</f>
        <v>0</v>
      </c>
      <c r="W5" s="34">
        <f>VLOOKUP(A5,'SSP_March''19'!$A$3:$X$1193,23,0)</f>
        <v>0</v>
      </c>
      <c r="X5" s="34">
        <f>VLOOKUP(A5,'SSP_March''19'!$A$3:$X$1193,24,0)</f>
        <v>0</v>
      </c>
    </row>
    <row r="6" spans="1:24">
      <c r="A6" s="34" t="s">
        <v>540</v>
      </c>
      <c r="B6" s="34" t="s">
        <v>269</v>
      </c>
      <c r="C6" s="34" t="s">
        <v>521</v>
      </c>
      <c r="D6" s="34" t="s">
        <v>89</v>
      </c>
      <c r="E6" s="34" t="s">
        <v>3</v>
      </c>
      <c r="F6" s="34" t="s">
        <v>541</v>
      </c>
      <c r="G6" s="54">
        <v>1711961354</v>
      </c>
      <c r="H6" s="54" t="s">
        <v>229</v>
      </c>
      <c r="I6" s="54" t="s">
        <v>3514</v>
      </c>
      <c r="J6" s="34" t="s">
        <v>3419</v>
      </c>
      <c r="K6" s="43">
        <f>VLOOKUP(A6,'SSP_March''19'!$A$3:$L$1193,11,0)</f>
        <v>130000</v>
      </c>
      <c r="L6" s="43">
        <f>VLOOKUP(A6,'SSP_March''19'!$A$3:$L$1193,12,0)</f>
        <v>32589</v>
      </c>
      <c r="M6" s="44">
        <f t="shared" si="0"/>
        <v>0.25068461538461539</v>
      </c>
      <c r="N6" s="49">
        <f>ROUND(VLOOKUP(A6,'SSP_March''19'!$A$3:$N$1193,14,0),0)</f>
        <v>101026</v>
      </c>
      <c r="O6" s="44">
        <f t="shared" si="1"/>
        <v>0.77712307692307692</v>
      </c>
      <c r="P6" s="45">
        <f>VLOOKUP(A6,'SSP_March''19'!$A$3:$Q$1193,16,0)</f>
        <v>10</v>
      </c>
      <c r="Q6" s="34">
        <f>VLOOKUP(A6,'SSP_March''19'!$A$3:$Q$1193,17,0)</f>
        <v>1</v>
      </c>
      <c r="R6" s="35">
        <f t="shared" si="2"/>
        <v>0.1</v>
      </c>
      <c r="S6" s="49">
        <f>ROUND(VLOOKUP(A6,'SSP_March''19'!$A$3:$T$1193,19,0),0)</f>
        <v>3</v>
      </c>
      <c r="T6" s="44">
        <f>VLOOKUP(A6,'SSP_March''19'!$A$3:$T$1193,20,0)</f>
        <v>0.3</v>
      </c>
      <c r="U6" s="34">
        <f>VLOOKUP(A6,'SSP_March''19'!$A$3:$X$1193,21,0)</f>
        <v>0</v>
      </c>
      <c r="V6" s="34">
        <f>VLOOKUP(A6,'SSP_March''19'!$A$3:$X$1193,22,0)</f>
        <v>0</v>
      </c>
      <c r="W6" s="34">
        <f>VLOOKUP(A6,'SSP_March''19'!$A$3:$X$1193,23,0)</f>
        <v>0</v>
      </c>
      <c r="X6" s="34">
        <f>VLOOKUP(A6,'SSP_March''19'!$A$3:$X$1193,24,0)</f>
        <v>0</v>
      </c>
    </row>
    <row r="7" spans="1:24">
      <c r="A7" s="34" t="s">
        <v>522</v>
      </c>
      <c r="B7" s="34" t="s">
        <v>523</v>
      </c>
      <c r="C7" s="34" t="s">
        <v>521</v>
      </c>
      <c r="D7" s="34" t="s">
        <v>89</v>
      </c>
      <c r="E7" s="34" t="s">
        <v>3</v>
      </c>
      <c r="F7" s="34" t="s">
        <v>524</v>
      </c>
      <c r="G7" s="54">
        <v>1864606464</v>
      </c>
      <c r="H7" s="54" t="s">
        <v>229</v>
      </c>
      <c r="I7" s="54" t="s">
        <v>3514</v>
      </c>
      <c r="J7" s="34" t="s">
        <v>3419</v>
      </c>
      <c r="K7" s="43">
        <f>VLOOKUP(A7,'SSP_March''19'!$A$3:$L$1193,11,0)</f>
        <v>161073</v>
      </c>
      <c r="L7" s="43">
        <f>VLOOKUP(A7,'SSP_March''19'!$A$3:$L$1193,12,0)</f>
        <v>44680</v>
      </c>
      <c r="M7" s="44">
        <f t="shared" si="0"/>
        <v>0.27738975495582746</v>
      </c>
      <c r="N7" s="49">
        <f>ROUND(VLOOKUP(A7,'SSP_March''19'!$A$3:$N$1193,14,0),0)</f>
        <v>138508</v>
      </c>
      <c r="O7" s="44">
        <f t="shared" si="1"/>
        <v>0.85990824036306523</v>
      </c>
      <c r="P7" s="45">
        <f>VLOOKUP(A7,'SSP_March''19'!$A$3:$Q$1193,16,0)</f>
        <v>10</v>
      </c>
      <c r="Q7" s="34">
        <f>VLOOKUP(A7,'SSP_March''19'!$A$3:$Q$1193,17,0)</f>
        <v>2</v>
      </c>
      <c r="R7" s="35">
        <f t="shared" si="2"/>
        <v>0.2</v>
      </c>
      <c r="S7" s="49">
        <f>ROUND(VLOOKUP(A7,'SSP_March''19'!$A$3:$T$1193,19,0),0)</f>
        <v>6</v>
      </c>
      <c r="T7" s="44">
        <f>VLOOKUP(A7,'SSP_March''19'!$A$3:$T$1193,20,0)</f>
        <v>0.6</v>
      </c>
      <c r="U7" s="34">
        <f>VLOOKUP(A7,'SSP_March''19'!$A$3:$X$1193,21,0)</f>
        <v>0</v>
      </c>
      <c r="V7" s="34">
        <f>VLOOKUP(A7,'SSP_March''19'!$A$3:$X$1193,22,0)</f>
        <v>0</v>
      </c>
      <c r="W7" s="34">
        <f>VLOOKUP(A7,'SSP_March''19'!$A$3:$X$1193,23,0)</f>
        <v>0</v>
      </c>
      <c r="X7" s="34">
        <f>VLOOKUP(A7,'SSP_March''19'!$A$3:$X$1193,24,0)</f>
        <v>0</v>
      </c>
    </row>
    <row r="8" spans="1:24">
      <c r="A8" s="34" t="s">
        <v>537</v>
      </c>
      <c r="B8" s="34" t="s">
        <v>538</v>
      </c>
      <c r="C8" s="34" t="s">
        <v>3353</v>
      </c>
      <c r="D8" s="34" t="s">
        <v>89</v>
      </c>
      <c r="E8" s="34" t="s">
        <v>3</v>
      </c>
      <c r="F8" s="34" t="s">
        <v>539</v>
      </c>
      <c r="G8" s="54">
        <v>1814386724</v>
      </c>
      <c r="H8" s="54" t="s">
        <v>229</v>
      </c>
      <c r="I8" s="54" t="s">
        <v>3514</v>
      </c>
      <c r="J8" s="34" t="s">
        <v>3419</v>
      </c>
      <c r="K8" s="43">
        <f>VLOOKUP(A8,'SSP_March''19'!$A$3:$L$1193,11,0)</f>
        <v>130000</v>
      </c>
      <c r="L8" s="43">
        <f>VLOOKUP(A8,'SSP_March''19'!$A$3:$L$1193,12,0)</f>
        <v>46490</v>
      </c>
      <c r="M8" s="44">
        <f t="shared" si="0"/>
        <v>0.35761538461538461</v>
      </c>
      <c r="N8" s="49">
        <f>ROUND(VLOOKUP(A8,'SSP_March''19'!$A$3:$N$1193,14,0),0)</f>
        <v>144119</v>
      </c>
      <c r="O8" s="44">
        <f t="shared" si="1"/>
        <v>1.1086076923076924</v>
      </c>
      <c r="P8" s="45">
        <f>VLOOKUP(A8,'SSP_March''19'!$A$3:$Q$1193,16,0)</f>
        <v>10</v>
      </c>
      <c r="Q8" s="34">
        <f>VLOOKUP(A8,'SSP_March''19'!$A$3:$Q$1193,17,0)</f>
        <v>0</v>
      </c>
      <c r="R8" s="35">
        <f t="shared" si="2"/>
        <v>0</v>
      </c>
      <c r="S8" s="49">
        <f>ROUND(VLOOKUP(A8,'SSP_March''19'!$A$3:$T$1193,19,0),0)</f>
        <v>0</v>
      </c>
      <c r="T8" s="44">
        <f>VLOOKUP(A8,'SSP_March''19'!$A$3:$T$1193,20,0)</f>
        <v>0</v>
      </c>
      <c r="U8" s="34">
        <f>VLOOKUP(A8,'SSP_March''19'!$A$3:$X$1193,21,0)</f>
        <v>0</v>
      </c>
      <c r="V8" s="34">
        <f>VLOOKUP(A8,'SSP_March''19'!$A$3:$X$1193,22,0)</f>
        <v>0</v>
      </c>
      <c r="W8" s="34">
        <f>VLOOKUP(A8,'SSP_March''19'!$A$3:$X$1193,23,0)</f>
        <v>0</v>
      </c>
      <c r="X8" s="34">
        <f>VLOOKUP(A8,'SSP_March''19'!$A$3:$X$1193,24,0)</f>
        <v>0</v>
      </c>
    </row>
    <row r="9" spans="1:24">
      <c r="A9" s="34" t="s">
        <v>3425</v>
      </c>
      <c r="B9" s="34" t="s">
        <v>3426</v>
      </c>
      <c r="C9" s="34" t="s">
        <v>3353</v>
      </c>
      <c r="D9" s="34" t="s">
        <v>89</v>
      </c>
      <c r="E9" s="34" t="s">
        <v>3</v>
      </c>
      <c r="F9" s="34" t="s">
        <v>3427</v>
      </c>
      <c r="G9" s="54">
        <v>1824249021</v>
      </c>
      <c r="H9" s="54" t="s">
        <v>229</v>
      </c>
      <c r="I9" s="54" t="s">
        <v>3514</v>
      </c>
      <c r="J9" s="34" t="s">
        <v>3421</v>
      </c>
      <c r="K9" s="43">
        <f>VLOOKUP(A9,'SSP_March''19'!$A$3:$L$1193,11,0)</f>
        <v>270462</v>
      </c>
      <c r="L9" s="43">
        <f>VLOOKUP(A9,'SSP_March''19'!$A$3:$L$1193,12,0)</f>
        <v>71550</v>
      </c>
      <c r="M9" s="44">
        <f t="shared" si="0"/>
        <v>0.26454733012401005</v>
      </c>
      <c r="N9" s="49">
        <f>ROUND(VLOOKUP(A9,'SSP_March''19'!$A$3:$N$1193,14,0),0)</f>
        <v>221805</v>
      </c>
      <c r="O9" s="44">
        <f t="shared" si="1"/>
        <v>0.82009672338443107</v>
      </c>
      <c r="P9" s="45">
        <f>VLOOKUP(A9,'SSP_March''19'!$A$3:$Q$1193,16,0)</f>
        <v>10</v>
      </c>
      <c r="Q9" s="34">
        <f>VLOOKUP(A9,'SSP_March''19'!$A$3:$Q$1193,17,0)</f>
        <v>2</v>
      </c>
      <c r="R9" s="35">
        <f t="shared" si="2"/>
        <v>0.2</v>
      </c>
      <c r="S9" s="49">
        <f>ROUND(VLOOKUP(A9,'SSP_March''19'!$A$3:$T$1193,19,0),0)</f>
        <v>6</v>
      </c>
      <c r="T9" s="44">
        <f>VLOOKUP(A9,'SSP_March''19'!$A$3:$T$1193,20,0)</f>
        <v>0.6</v>
      </c>
      <c r="U9" s="34">
        <f>VLOOKUP(A9,'SSP_March''19'!$A$3:$X$1193,21,0)</f>
        <v>0</v>
      </c>
      <c r="V9" s="34">
        <f>VLOOKUP(A9,'SSP_March''19'!$A$3:$X$1193,22,0)</f>
        <v>0</v>
      </c>
      <c r="W9" s="34">
        <f>VLOOKUP(A9,'SSP_March''19'!$A$3:$X$1193,23,0)</f>
        <v>0</v>
      </c>
      <c r="X9" s="34">
        <f>VLOOKUP(A9,'SSP_March''19'!$A$3:$X$1193,24,0)</f>
        <v>0</v>
      </c>
    </row>
    <row r="10" spans="1:24">
      <c r="A10" s="34" t="s">
        <v>3354</v>
      </c>
      <c r="B10" s="34" t="s">
        <v>3355</v>
      </c>
      <c r="C10" s="34" t="s">
        <v>3353</v>
      </c>
      <c r="D10" s="34" t="s">
        <v>89</v>
      </c>
      <c r="E10" s="34" t="s">
        <v>3</v>
      </c>
      <c r="F10" s="34" t="s">
        <v>3356</v>
      </c>
      <c r="G10" s="54">
        <v>1814919872</v>
      </c>
      <c r="H10" s="54" t="s">
        <v>229</v>
      </c>
      <c r="I10" s="54" t="s">
        <v>3514</v>
      </c>
      <c r="J10" s="34" t="s">
        <v>3421</v>
      </c>
      <c r="K10" s="43">
        <f>VLOOKUP(A10,'SSP_March''19'!$A$3:$L$1193,11,0)</f>
        <v>190253</v>
      </c>
      <c r="L10" s="43">
        <f>VLOOKUP(A10,'SSP_March''19'!$A$3:$L$1193,12,0)</f>
        <v>43695</v>
      </c>
      <c r="M10" s="44">
        <f t="shared" si="0"/>
        <v>0.22966786331884387</v>
      </c>
      <c r="N10" s="49">
        <f>ROUND(VLOOKUP(A10,'SSP_March''19'!$A$3:$N$1193,14,0),0)</f>
        <v>135455</v>
      </c>
      <c r="O10" s="44">
        <f t="shared" si="1"/>
        <v>0.71197300436786803</v>
      </c>
      <c r="P10" s="45">
        <f>VLOOKUP(A10,'SSP_March''19'!$A$3:$Q$1193,16,0)</f>
        <v>10</v>
      </c>
      <c r="Q10" s="34">
        <f>VLOOKUP(A10,'SSP_March''19'!$A$3:$Q$1193,17,0)</f>
        <v>2</v>
      </c>
      <c r="R10" s="35">
        <f t="shared" si="2"/>
        <v>0.2</v>
      </c>
      <c r="S10" s="49">
        <f>ROUND(VLOOKUP(A10,'SSP_March''19'!$A$3:$T$1193,19,0),0)</f>
        <v>6</v>
      </c>
      <c r="T10" s="44">
        <f>VLOOKUP(A10,'SSP_March''19'!$A$3:$T$1193,20,0)</f>
        <v>0.6</v>
      </c>
      <c r="U10" s="34">
        <f>VLOOKUP(A10,'SSP_March''19'!$A$3:$X$1193,21,0)</f>
        <v>0</v>
      </c>
      <c r="V10" s="34">
        <f>VLOOKUP(A10,'SSP_March''19'!$A$3:$X$1193,22,0)</f>
        <v>0</v>
      </c>
      <c r="W10" s="34">
        <f>VLOOKUP(A10,'SSP_March''19'!$A$3:$X$1193,23,0)</f>
        <v>0</v>
      </c>
      <c r="X10" s="34">
        <f>VLOOKUP(A10,'SSP_March''19'!$A$3:$X$1193,24,0)</f>
        <v>0</v>
      </c>
    </row>
    <row r="11" spans="1:24">
      <c r="A11" s="34" t="s">
        <v>550</v>
      </c>
      <c r="B11" s="34" t="s">
        <v>551</v>
      </c>
      <c r="C11" s="34" t="s">
        <v>3353</v>
      </c>
      <c r="D11" s="34" t="s">
        <v>89</v>
      </c>
      <c r="E11" s="34" t="s">
        <v>3</v>
      </c>
      <c r="F11" s="34" t="s">
        <v>552</v>
      </c>
      <c r="G11" s="54">
        <v>1862670913</v>
      </c>
      <c r="H11" s="54" t="s">
        <v>229</v>
      </c>
      <c r="I11" s="54" t="s">
        <v>3514</v>
      </c>
      <c r="J11" s="34" t="s">
        <v>3419</v>
      </c>
      <c r="K11" s="43">
        <f>VLOOKUP(A11,'SSP_March''19'!$A$3:$L$1193,11,0)</f>
        <v>130000</v>
      </c>
      <c r="L11" s="43">
        <f>VLOOKUP(A11,'SSP_March''19'!$A$3:$L$1193,12,0)</f>
        <v>24750</v>
      </c>
      <c r="M11" s="44">
        <f t="shared" si="0"/>
        <v>0.19038461538461537</v>
      </c>
      <c r="N11" s="49">
        <f>ROUND(VLOOKUP(A11,'SSP_March''19'!$A$3:$N$1193,14,0),0)</f>
        <v>76725</v>
      </c>
      <c r="O11" s="44">
        <f t="shared" si="1"/>
        <v>0.59019230769230768</v>
      </c>
      <c r="P11" s="45">
        <f>VLOOKUP(A11,'SSP_March''19'!$A$3:$Q$1193,16,0)</f>
        <v>10</v>
      </c>
      <c r="Q11" s="34">
        <f>VLOOKUP(A11,'SSP_March''19'!$A$3:$Q$1193,17,0)</f>
        <v>0</v>
      </c>
      <c r="R11" s="35">
        <f t="shared" si="2"/>
        <v>0</v>
      </c>
      <c r="S11" s="49">
        <f>ROUND(VLOOKUP(A11,'SSP_March''19'!$A$3:$T$1193,19,0),0)</f>
        <v>0</v>
      </c>
      <c r="T11" s="44">
        <f>VLOOKUP(A11,'SSP_March''19'!$A$3:$T$1193,20,0)</f>
        <v>0</v>
      </c>
      <c r="U11" s="34">
        <f>VLOOKUP(A11,'SSP_March''19'!$A$3:$X$1193,21,0)</f>
        <v>0</v>
      </c>
      <c r="V11" s="34">
        <f>VLOOKUP(A11,'SSP_March''19'!$A$3:$X$1193,22,0)</f>
        <v>0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34" t="s">
        <v>528</v>
      </c>
      <c r="B12" s="34" t="s">
        <v>529</v>
      </c>
      <c r="C12" s="34" t="s">
        <v>110</v>
      </c>
      <c r="D12" s="34" t="s">
        <v>89</v>
      </c>
      <c r="E12" s="34" t="s">
        <v>3</v>
      </c>
      <c r="F12" s="34" t="s">
        <v>530</v>
      </c>
      <c r="G12" s="54">
        <v>1684302800</v>
      </c>
      <c r="H12" s="54" t="s">
        <v>229</v>
      </c>
      <c r="I12" s="54" t="s">
        <v>3514</v>
      </c>
      <c r="J12" s="34" t="s">
        <v>3419</v>
      </c>
      <c r="K12" s="43">
        <f>VLOOKUP(A12,'SSP_March''19'!$A$3:$L$1193,11,0)</f>
        <v>252913</v>
      </c>
      <c r="L12" s="43">
        <f>VLOOKUP(A12,'SSP_March''19'!$A$3:$L$1193,12,0)</f>
        <v>43855</v>
      </c>
      <c r="M12" s="44">
        <f t="shared" si="0"/>
        <v>0.1733995484613286</v>
      </c>
      <c r="N12" s="49">
        <f>ROUND(VLOOKUP(A12,'SSP_March''19'!$A$3:$N$1193,14,0),0)</f>
        <v>135951</v>
      </c>
      <c r="O12" s="44">
        <f t="shared" si="1"/>
        <v>0.5375405771945293</v>
      </c>
      <c r="P12" s="45">
        <f>VLOOKUP(A12,'SSP_March''19'!$A$3:$Q$1193,16,0)</f>
        <v>10</v>
      </c>
      <c r="Q12" s="34">
        <f>VLOOKUP(A12,'SSP_March''19'!$A$3:$Q$1193,17,0)</f>
        <v>2</v>
      </c>
      <c r="R12" s="35">
        <f t="shared" si="2"/>
        <v>0.2</v>
      </c>
      <c r="S12" s="49">
        <f>ROUND(VLOOKUP(A12,'SSP_March''19'!$A$3:$T$1193,19,0),0)</f>
        <v>6</v>
      </c>
      <c r="T12" s="44">
        <f>VLOOKUP(A12,'SSP_March''19'!$A$3:$T$1193,20,0)</f>
        <v>0.6</v>
      </c>
      <c r="U12" s="34">
        <f>VLOOKUP(A12,'SSP_March''19'!$A$3:$X$1193,21,0)</f>
        <v>1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34" t="s">
        <v>542</v>
      </c>
      <c r="B13" s="34" t="s">
        <v>543</v>
      </c>
      <c r="C13" s="34" t="s">
        <v>110</v>
      </c>
      <c r="D13" s="34" t="s">
        <v>89</v>
      </c>
      <c r="E13" s="34" t="s">
        <v>3</v>
      </c>
      <c r="F13" s="34" t="s">
        <v>544</v>
      </c>
      <c r="G13" s="54">
        <v>1814917010</v>
      </c>
      <c r="H13" s="54" t="s">
        <v>229</v>
      </c>
      <c r="I13" s="54" t="s">
        <v>3514</v>
      </c>
      <c r="J13" s="34" t="s">
        <v>3419</v>
      </c>
      <c r="K13" s="43">
        <f>VLOOKUP(A13,'SSP_March''19'!$A$3:$L$1193,11,0)</f>
        <v>296685</v>
      </c>
      <c r="L13" s="43">
        <f>VLOOKUP(A13,'SSP_March''19'!$A$3:$L$1193,12,0)</f>
        <v>70970</v>
      </c>
      <c r="M13" s="44">
        <f t="shared" si="0"/>
        <v>0.23920993646460051</v>
      </c>
      <c r="N13" s="49">
        <f>ROUND(VLOOKUP(A13,'SSP_March''19'!$A$3:$N$1193,14,0),0)</f>
        <v>220007</v>
      </c>
      <c r="O13" s="44">
        <f t="shared" si="1"/>
        <v>0.74155080304026155</v>
      </c>
      <c r="P13" s="45">
        <f>VLOOKUP(A13,'SSP_March''19'!$A$3:$Q$1193,16,0)</f>
        <v>13</v>
      </c>
      <c r="Q13" s="34">
        <f>VLOOKUP(A13,'SSP_March''19'!$A$3:$Q$1193,17,0)</f>
        <v>4</v>
      </c>
      <c r="R13" s="35">
        <f t="shared" si="2"/>
        <v>0.30769230769230771</v>
      </c>
      <c r="S13" s="49">
        <f>ROUND(VLOOKUP(A13,'SSP_March''19'!$A$3:$T$1193,19,0),0)</f>
        <v>12</v>
      </c>
      <c r="T13" s="44">
        <f>VLOOKUP(A13,'SSP_March''19'!$A$3:$T$1193,20,0)</f>
        <v>0.92307692307692313</v>
      </c>
      <c r="U13" s="34">
        <f>VLOOKUP(A13,'SSP_March''19'!$A$3:$X$1193,21,0)</f>
        <v>0</v>
      </c>
      <c r="V13" s="34">
        <f>VLOOKUP(A13,'SSP_March''19'!$A$3:$X$1193,22,0)</f>
        <v>0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34" t="s">
        <v>556</v>
      </c>
      <c r="B14" s="34" t="s">
        <v>557</v>
      </c>
      <c r="C14" s="34" t="s">
        <v>110</v>
      </c>
      <c r="D14" s="34" t="s">
        <v>89</v>
      </c>
      <c r="E14" s="34" t="s">
        <v>3</v>
      </c>
      <c r="F14" s="34" t="s">
        <v>558</v>
      </c>
      <c r="G14" s="54">
        <v>1862186172</v>
      </c>
      <c r="H14" s="54" t="s">
        <v>229</v>
      </c>
      <c r="I14" s="54" t="s">
        <v>3518</v>
      </c>
      <c r="J14" s="34" t="s">
        <v>3419</v>
      </c>
      <c r="K14" s="43">
        <f>VLOOKUP(A14,'SSP_March''19'!$A$3:$L$1193,11,0)</f>
        <v>403555</v>
      </c>
      <c r="L14" s="43">
        <f>VLOOKUP(A14,'SSP_March''19'!$A$3:$L$1193,12,0)</f>
        <v>106308</v>
      </c>
      <c r="M14" s="44">
        <f t="shared" si="0"/>
        <v>0.26342877674666404</v>
      </c>
      <c r="N14" s="49">
        <f>ROUND(VLOOKUP(A14,'SSP_March''19'!$A$3:$N$1193,14,0),0)</f>
        <v>329555</v>
      </c>
      <c r="O14" s="44">
        <f t="shared" si="1"/>
        <v>0.81662970351005437</v>
      </c>
      <c r="P14" s="45">
        <f>VLOOKUP(A14,'SSP_March''19'!$A$3:$Q$1193,16,0)</f>
        <v>10</v>
      </c>
      <c r="Q14" s="34">
        <f>VLOOKUP(A14,'SSP_March''19'!$A$3:$Q$1193,17,0)</f>
        <v>2</v>
      </c>
      <c r="R14" s="35">
        <f t="shared" si="2"/>
        <v>0.2</v>
      </c>
      <c r="S14" s="49">
        <f>ROUND(VLOOKUP(A14,'SSP_March''19'!$A$3:$T$1193,19,0),0)</f>
        <v>6</v>
      </c>
      <c r="T14" s="44">
        <f>VLOOKUP(A14,'SSP_March''19'!$A$3:$T$1193,20,0)</f>
        <v>0.6</v>
      </c>
      <c r="U14" s="34">
        <f>VLOOKUP(A14,'SSP_March''19'!$A$3:$X$1193,21,0)</f>
        <v>2</v>
      </c>
      <c r="V14" s="34">
        <f>VLOOKUP(A14,'SSP_March''19'!$A$3:$X$1193,22,0)</f>
        <v>1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34" t="s">
        <v>559</v>
      </c>
      <c r="B15" s="34" t="s">
        <v>560</v>
      </c>
      <c r="C15" s="34" t="s">
        <v>110</v>
      </c>
      <c r="D15" s="34" t="s">
        <v>89</v>
      </c>
      <c r="E15" s="34" t="s">
        <v>3</v>
      </c>
      <c r="F15" s="34" t="s">
        <v>561</v>
      </c>
      <c r="G15" s="54">
        <v>1616113311</v>
      </c>
      <c r="H15" s="54" t="s">
        <v>229</v>
      </c>
      <c r="I15" s="54" t="s">
        <v>3514</v>
      </c>
      <c r="J15" s="34" t="s">
        <v>3421</v>
      </c>
      <c r="K15" s="43">
        <f>VLOOKUP(A15,'SSP_March''19'!$A$3:$L$1193,11,0)</f>
        <v>130000</v>
      </c>
      <c r="L15" s="43">
        <f>VLOOKUP(A15,'SSP_March''19'!$A$3:$L$1193,12,0)</f>
        <v>38934</v>
      </c>
      <c r="M15" s="44">
        <f t="shared" si="0"/>
        <v>0.29949230769230767</v>
      </c>
      <c r="N15" s="49">
        <f>ROUND(VLOOKUP(A15,'SSP_March''19'!$A$3:$N$1193,14,0),0)</f>
        <v>120695</v>
      </c>
      <c r="O15" s="44">
        <f t="shared" si="1"/>
        <v>0.92842307692307691</v>
      </c>
      <c r="P15" s="45">
        <f>VLOOKUP(A15,'SSP_March''19'!$A$3:$Q$1193,16,0)</f>
        <v>10</v>
      </c>
      <c r="Q15" s="34">
        <f>VLOOKUP(A15,'SSP_March''19'!$A$3:$Q$1193,17,0)</f>
        <v>3</v>
      </c>
      <c r="R15" s="35">
        <f t="shared" si="2"/>
        <v>0.3</v>
      </c>
      <c r="S15" s="49">
        <f>ROUND(VLOOKUP(A15,'SSP_March''19'!$A$3:$T$1193,19,0),0)</f>
        <v>9</v>
      </c>
      <c r="T15" s="44">
        <f>VLOOKUP(A15,'SSP_March''19'!$A$3:$T$1193,20,0)</f>
        <v>0.9</v>
      </c>
      <c r="U15" s="34">
        <f>VLOOKUP(A15,'SSP_March''19'!$A$3:$X$1193,21,0)</f>
        <v>0</v>
      </c>
      <c r="V15" s="34">
        <f>VLOOKUP(A15,'SSP_March''19'!$A$3:$X$1193,22,0)</f>
        <v>0</v>
      </c>
      <c r="W15" s="34">
        <f>VLOOKUP(A15,'SSP_March''19'!$A$3:$X$1193,23,0)</f>
        <v>0</v>
      </c>
      <c r="X15" s="34">
        <f>VLOOKUP(A15,'SSP_March''19'!$A$3:$X$1193,24,0)</f>
        <v>0</v>
      </c>
    </row>
    <row r="16" spans="1:24">
      <c r="A16" s="34" t="s">
        <v>565</v>
      </c>
      <c r="B16" s="34" t="s">
        <v>566</v>
      </c>
      <c r="C16" s="34" t="s">
        <v>110</v>
      </c>
      <c r="D16" s="34" t="s">
        <v>89</v>
      </c>
      <c r="E16" s="34" t="s">
        <v>3</v>
      </c>
      <c r="F16" s="34" t="s">
        <v>567</v>
      </c>
      <c r="G16" s="54">
        <v>1706021460</v>
      </c>
      <c r="H16" s="54" t="s">
        <v>229</v>
      </c>
      <c r="I16" s="54" t="s">
        <v>3514</v>
      </c>
      <c r="J16" s="34" t="s">
        <v>3419</v>
      </c>
      <c r="K16" s="43">
        <f>VLOOKUP(A16,'SSP_March''19'!$A$3:$L$1193,11,0)</f>
        <v>194585</v>
      </c>
      <c r="L16" s="43">
        <f>VLOOKUP(A16,'SSP_March''19'!$A$3:$L$1193,12,0)</f>
        <v>108449</v>
      </c>
      <c r="M16" s="44">
        <f t="shared" si="0"/>
        <v>0.55733484081506801</v>
      </c>
      <c r="N16" s="49">
        <f>ROUND(VLOOKUP(A16,'SSP_March''19'!$A$3:$N$1193,14,0),0)</f>
        <v>336192</v>
      </c>
      <c r="O16" s="44">
        <f t="shared" si="1"/>
        <v>1.7277385204409383</v>
      </c>
      <c r="P16" s="45">
        <f>VLOOKUP(A16,'SSP_March''19'!$A$3:$Q$1193,16,0)</f>
        <v>10</v>
      </c>
      <c r="Q16" s="34">
        <f>VLOOKUP(A16,'SSP_March''19'!$A$3:$Q$1193,17,0)</f>
        <v>0</v>
      </c>
      <c r="R16" s="35">
        <f t="shared" si="2"/>
        <v>0</v>
      </c>
      <c r="S16" s="49">
        <f>ROUND(VLOOKUP(A16,'SSP_March''19'!$A$3:$T$1193,19,0),0)</f>
        <v>0</v>
      </c>
      <c r="T16" s="44">
        <f>VLOOKUP(A16,'SSP_March''19'!$A$3:$T$1193,20,0)</f>
        <v>0</v>
      </c>
      <c r="U16" s="34">
        <f>VLOOKUP(A16,'SSP_March''19'!$A$3:$X$1193,21,0)</f>
        <v>4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34" t="s">
        <v>562</v>
      </c>
      <c r="B17" s="34" t="s">
        <v>563</v>
      </c>
      <c r="C17" s="34" t="s">
        <v>110</v>
      </c>
      <c r="D17" s="34" t="s">
        <v>89</v>
      </c>
      <c r="E17" s="34" t="s">
        <v>3</v>
      </c>
      <c r="F17" s="34" t="s">
        <v>564</v>
      </c>
      <c r="G17" s="54">
        <v>1704510092</v>
      </c>
      <c r="H17" s="54" t="s">
        <v>229</v>
      </c>
      <c r="I17" s="54" t="s">
        <v>3514</v>
      </c>
      <c r="J17" s="34" t="s">
        <v>3515</v>
      </c>
      <c r="K17" s="43">
        <f>VLOOKUP(A17,'SSP_March''19'!$A$3:$L$1193,11,0)</f>
        <v>130000</v>
      </c>
      <c r="L17" s="43">
        <f>VLOOKUP(A17,'SSP_March''19'!$A$3:$L$1193,12,0)</f>
        <v>15120</v>
      </c>
      <c r="M17" s="44">
        <f t="shared" si="0"/>
        <v>0.11630769230769231</v>
      </c>
      <c r="N17" s="49">
        <f>ROUND(VLOOKUP(A17,'SSP_March''19'!$A$3:$N$1193,14,0),0)</f>
        <v>46872</v>
      </c>
      <c r="O17" s="44">
        <f t="shared" si="1"/>
        <v>0.36055384615384617</v>
      </c>
      <c r="P17" s="45">
        <f>VLOOKUP(A17,'SSP_March''19'!$A$3:$Q$1193,16,0)</f>
        <v>10</v>
      </c>
      <c r="Q17" s="34">
        <f>VLOOKUP(A17,'SSP_March''19'!$A$3:$Q$1193,17,0)</f>
        <v>0</v>
      </c>
      <c r="R17" s="35">
        <f t="shared" si="2"/>
        <v>0</v>
      </c>
      <c r="S17" s="49">
        <f>ROUND(VLOOKUP(A17,'SSP_March''19'!$A$3:$T$1193,19,0),0)</f>
        <v>0</v>
      </c>
      <c r="T17" s="44">
        <f>VLOOKUP(A17,'SSP_March''19'!$A$3:$T$1193,20,0)</f>
        <v>0</v>
      </c>
      <c r="U17" s="34">
        <f>VLOOKUP(A17,'SSP_March''19'!$A$3:$X$1193,21,0)</f>
        <v>0</v>
      </c>
      <c r="V17" s="34">
        <f>VLOOKUP(A17,'SSP_March''19'!$A$3:$X$1193,22,0)</f>
        <v>0</v>
      </c>
      <c r="W17" s="34">
        <f>VLOOKUP(A17,'SSP_March''19'!$A$3:$X$1193,23,0)</f>
        <v>0</v>
      </c>
      <c r="X17" s="34">
        <f>VLOOKUP(A17,'SSP_March''19'!$A$3:$X$1193,24,0)</f>
        <v>0</v>
      </c>
    </row>
    <row r="18" spans="1:24">
      <c r="A18" s="34" t="s">
        <v>545</v>
      </c>
      <c r="B18" s="34" t="s">
        <v>546</v>
      </c>
      <c r="C18" s="34" t="s">
        <v>110</v>
      </c>
      <c r="D18" s="34" t="s">
        <v>89</v>
      </c>
      <c r="E18" s="34" t="s">
        <v>3</v>
      </c>
      <c r="F18" s="34" t="s">
        <v>547</v>
      </c>
      <c r="G18" s="54">
        <v>1878989270</v>
      </c>
      <c r="H18" s="54" t="s">
        <v>229</v>
      </c>
      <c r="I18" s="54" t="s">
        <v>3514</v>
      </c>
      <c r="J18" s="34" t="s">
        <v>3419</v>
      </c>
      <c r="K18" s="43">
        <f>VLOOKUP(A18,'SSP_March''19'!$A$3:$L$1193,11,0)</f>
        <v>189810</v>
      </c>
      <c r="L18" s="43">
        <f>VLOOKUP(A18,'SSP_March''19'!$A$3:$L$1193,12,0)</f>
        <v>44620</v>
      </c>
      <c r="M18" s="44">
        <f t="shared" si="0"/>
        <v>0.23507718244560349</v>
      </c>
      <c r="N18" s="49">
        <f>ROUND(VLOOKUP(A18,'SSP_March''19'!$A$3:$N$1193,14,0),0)</f>
        <v>138322</v>
      </c>
      <c r="O18" s="44">
        <f t="shared" si="1"/>
        <v>0.72873926558137081</v>
      </c>
      <c r="P18" s="45">
        <f>VLOOKUP(A18,'SSP_March''19'!$A$3:$Q$1193,16,0)</f>
        <v>10</v>
      </c>
      <c r="Q18" s="34">
        <f>VLOOKUP(A18,'SSP_March''19'!$A$3:$Q$1193,17,0)</f>
        <v>2</v>
      </c>
      <c r="R18" s="35">
        <f t="shared" si="2"/>
        <v>0.2</v>
      </c>
      <c r="S18" s="49">
        <f>ROUND(VLOOKUP(A18,'SSP_March''19'!$A$3:$T$1193,19,0),0)</f>
        <v>6</v>
      </c>
      <c r="T18" s="44">
        <f>VLOOKUP(A18,'SSP_March''19'!$A$3:$T$1193,20,0)</f>
        <v>0.6</v>
      </c>
      <c r="U18" s="34">
        <f>VLOOKUP(A18,'SSP_March''19'!$A$3:$X$1193,21,0)</f>
        <v>0</v>
      </c>
      <c r="V18" s="34">
        <f>VLOOKUP(A18,'SSP_March''19'!$A$3:$X$1193,22,0)</f>
        <v>0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34" t="s">
        <v>548</v>
      </c>
      <c r="B19" s="34" t="s">
        <v>549</v>
      </c>
      <c r="C19" s="34" t="s">
        <v>110</v>
      </c>
      <c r="D19" s="34" t="s">
        <v>89</v>
      </c>
      <c r="E19" s="34" t="s">
        <v>3</v>
      </c>
      <c r="F19" s="34" t="s">
        <v>3146</v>
      </c>
      <c r="G19" s="54">
        <v>1855753849</v>
      </c>
      <c r="H19" s="54" t="s">
        <v>229</v>
      </c>
      <c r="I19" s="54" t="s">
        <v>3514</v>
      </c>
      <c r="J19" s="34" t="s">
        <v>3419</v>
      </c>
      <c r="K19" s="43">
        <f>VLOOKUP(A19,'SSP_March''19'!$A$3:$L$1193,11,0)</f>
        <v>237748</v>
      </c>
      <c r="L19" s="43">
        <f>VLOOKUP(A19,'SSP_March''19'!$A$3:$L$1193,12,0)</f>
        <v>129154</v>
      </c>
      <c r="M19" s="44">
        <f t="shared" si="0"/>
        <v>0.54323905984487775</v>
      </c>
      <c r="N19" s="49">
        <f>ROUND(VLOOKUP(A19,'SSP_March''19'!$A$3:$N$1193,14,0),0)</f>
        <v>400377</v>
      </c>
      <c r="O19" s="44">
        <f t="shared" si="1"/>
        <v>1.6840394030654307</v>
      </c>
      <c r="P19" s="45">
        <f>VLOOKUP(A19,'SSP_March''19'!$A$3:$Q$1193,16,0)</f>
        <v>10</v>
      </c>
      <c r="Q19" s="34">
        <f>VLOOKUP(A19,'SSP_March''19'!$A$3:$Q$1193,17,0)</f>
        <v>3</v>
      </c>
      <c r="R19" s="35">
        <f t="shared" si="2"/>
        <v>0.3</v>
      </c>
      <c r="S19" s="49">
        <f>ROUND(VLOOKUP(A19,'SSP_March''19'!$A$3:$T$1193,19,0),0)</f>
        <v>9</v>
      </c>
      <c r="T19" s="44">
        <f>VLOOKUP(A19,'SSP_March''19'!$A$3:$T$1193,20,0)</f>
        <v>0.9</v>
      </c>
      <c r="U19" s="34">
        <f>VLOOKUP(A19,'SSP_March''19'!$A$3:$X$1193,21,0)</f>
        <v>2</v>
      </c>
      <c r="V19" s="34">
        <f>VLOOKUP(A19,'SSP_March''19'!$A$3:$X$1193,22,0)</f>
        <v>0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34" t="s">
        <v>553</v>
      </c>
      <c r="B20" s="34" t="s">
        <v>554</v>
      </c>
      <c r="C20" s="34" t="s">
        <v>110</v>
      </c>
      <c r="D20" s="34" t="s">
        <v>89</v>
      </c>
      <c r="E20" s="34" t="s">
        <v>3</v>
      </c>
      <c r="F20" s="34" t="s">
        <v>555</v>
      </c>
      <c r="G20" s="54">
        <v>1851072323</v>
      </c>
      <c r="H20" s="54" t="s">
        <v>229</v>
      </c>
      <c r="I20" s="54" t="s">
        <v>3514</v>
      </c>
      <c r="J20" s="34" t="s">
        <v>3419</v>
      </c>
      <c r="K20" s="43">
        <f>VLOOKUP(A20,'SSP_March''19'!$A$3:$L$1193,11,0)</f>
        <v>130000</v>
      </c>
      <c r="L20" s="43">
        <f>VLOOKUP(A20,'SSP_March''19'!$A$3:$L$1193,12,0)</f>
        <v>19860</v>
      </c>
      <c r="M20" s="44">
        <f t="shared" si="0"/>
        <v>0.15276923076923077</v>
      </c>
      <c r="N20" s="49">
        <f>ROUND(VLOOKUP(A20,'SSP_March''19'!$A$3:$N$1193,14,0),0)</f>
        <v>61566</v>
      </c>
      <c r="O20" s="44">
        <f t="shared" si="1"/>
        <v>0.47358461538461538</v>
      </c>
      <c r="P20" s="45">
        <f>VLOOKUP(A20,'SSP_March''19'!$A$3:$Q$1193,16,0)</f>
        <v>10</v>
      </c>
      <c r="Q20" s="34">
        <f>VLOOKUP(A20,'SSP_March''19'!$A$3:$Q$1193,17,0)</f>
        <v>0</v>
      </c>
      <c r="R20" s="35">
        <f t="shared" si="2"/>
        <v>0</v>
      </c>
      <c r="S20" s="49">
        <f>ROUND(VLOOKUP(A20,'SSP_March''19'!$A$3:$T$1193,19,0),0)</f>
        <v>0</v>
      </c>
      <c r="T20" s="44">
        <f>VLOOKUP(A20,'SSP_March''19'!$A$3:$T$1193,20,0)</f>
        <v>0</v>
      </c>
      <c r="U20" s="34">
        <f>VLOOKUP(A20,'SSP_March''19'!$A$3:$X$1193,21,0)</f>
        <v>0</v>
      </c>
      <c r="V20" s="34">
        <f>VLOOKUP(A20,'SSP_March''19'!$A$3:$X$1193,22,0)</f>
        <v>0</v>
      </c>
      <c r="W20" s="34">
        <f>VLOOKUP(A20,'SSP_March''19'!$A$3:$X$1193,23,0)</f>
        <v>0</v>
      </c>
      <c r="X20" s="34">
        <f>VLOOKUP(A20,'SSP_March''19'!$A$3:$X$1193,24,0)</f>
        <v>0</v>
      </c>
    </row>
    <row r="21" spans="1:24">
      <c r="A21" s="75" t="s">
        <v>3530</v>
      </c>
      <c r="B21" s="75" t="s">
        <v>3531</v>
      </c>
      <c r="C21" s="75" t="s">
        <v>110</v>
      </c>
      <c r="D21" s="75" t="s">
        <v>89</v>
      </c>
      <c r="E21" s="75" t="s">
        <v>3</v>
      </c>
      <c r="F21" s="75" t="s">
        <v>1113</v>
      </c>
      <c r="G21" s="67">
        <v>1786325788</v>
      </c>
      <c r="H21" s="54" t="s">
        <v>229</v>
      </c>
      <c r="I21" s="54" t="s">
        <v>3514</v>
      </c>
      <c r="J21" s="34" t="s">
        <v>3421</v>
      </c>
      <c r="K21" s="43">
        <f>VLOOKUP(A21,'SSP_March''19'!$A$3:$L$1193,11,0)</f>
        <v>130000</v>
      </c>
      <c r="L21" s="43">
        <f>VLOOKUP(A21,'SSP_March''19'!$A$3:$L$1193,12,0)</f>
        <v>46419</v>
      </c>
      <c r="M21" s="44">
        <f t="shared" si="0"/>
        <v>0.35706923076923075</v>
      </c>
      <c r="N21" s="49">
        <f>ROUND(VLOOKUP(A21,'SSP_March''19'!$A$3:$N$1193,14,0),0)</f>
        <v>143899</v>
      </c>
      <c r="O21" s="44">
        <f t="shared" si="1"/>
        <v>1.1069153846153845</v>
      </c>
      <c r="P21" s="45">
        <f>VLOOKUP(A21,'SSP_March''19'!$A$3:$Q$1193,16,0)</f>
        <v>10</v>
      </c>
      <c r="Q21" s="34">
        <f>VLOOKUP(A21,'SSP_March''19'!$A$3:$Q$1193,17,0)</f>
        <v>1</v>
      </c>
      <c r="R21" s="35">
        <f t="shared" si="2"/>
        <v>0.1</v>
      </c>
      <c r="S21" s="49">
        <f>ROUND(VLOOKUP(A21,'SSP_March''19'!$A$3:$T$1193,19,0),0)</f>
        <v>3</v>
      </c>
      <c r="T21" s="44">
        <f>VLOOKUP(A21,'SSP_March''19'!$A$3:$T$1193,20,0)</f>
        <v>0.3</v>
      </c>
      <c r="U21" s="34">
        <f>VLOOKUP(A21,'SSP_March''19'!$A$3:$X$1193,21,0)</f>
        <v>1</v>
      </c>
      <c r="V21" s="34">
        <f>VLOOKUP(A21,'SSP_March''19'!$A$3:$X$1193,22,0)</f>
        <v>0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34" t="s">
        <v>327</v>
      </c>
      <c r="B22" s="34" t="s">
        <v>328</v>
      </c>
      <c r="C22" s="34" t="s">
        <v>307</v>
      </c>
      <c r="D22" s="34" t="s">
        <v>111</v>
      </c>
      <c r="E22" s="34" t="s">
        <v>3</v>
      </c>
      <c r="F22" s="34" t="s">
        <v>329</v>
      </c>
      <c r="G22" s="54">
        <v>1779988887</v>
      </c>
      <c r="H22" s="54" t="s">
        <v>229</v>
      </c>
      <c r="I22" s="54" t="s">
        <v>3514</v>
      </c>
      <c r="J22" s="34" t="s">
        <v>3421</v>
      </c>
      <c r="K22" s="43">
        <f>VLOOKUP(A22,'SSP_March''19'!$A$3:$L$1193,11,0)</f>
        <v>130000</v>
      </c>
      <c r="L22" s="43">
        <f>VLOOKUP(A22,'SSP_March''19'!$A$3:$L$1193,12,0)</f>
        <v>12180</v>
      </c>
      <c r="M22" s="44">
        <f t="shared" si="0"/>
        <v>9.3692307692307686E-2</v>
      </c>
      <c r="N22" s="49">
        <f>ROUND(VLOOKUP(A22,'SSP_March''19'!$A$3:$N$1193,14,0),0)</f>
        <v>37758</v>
      </c>
      <c r="O22" s="44">
        <f t="shared" si="1"/>
        <v>0.29044615384615385</v>
      </c>
      <c r="P22" s="45">
        <f>VLOOKUP(A22,'SSP_March''19'!$A$3:$Q$1193,16,0)</f>
        <v>10</v>
      </c>
      <c r="Q22" s="34">
        <f>VLOOKUP(A22,'SSP_March''19'!$A$3:$Q$1193,17,0)</f>
        <v>1</v>
      </c>
      <c r="R22" s="35">
        <f t="shared" si="2"/>
        <v>0.1</v>
      </c>
      <c r="S22" s="49">
        <f>ROUND(VLOOKUP(A22,'SSP_March''19'!$A$3:$T$1193,19,0),0)</f>
        <v>3</v>
      </c>
      <c r="T22" s="44">
        <f>VLOOKUP(A22,'SSP_March''19'!$A$3:$T$1193,20,0)</f>
        <v>0.3</v>
      </c>
      <c r="U22" s="34">
        <f>VLOOKUP(A22,'SSP_March''19'!$A$3:$X$1193,21,0)</f>
        <v>0</v>
      </c>
      <c r="V22" s="34">
        <f>VLOOKUP(A22,'SSP_March''19'!$A$3:$X$1193,22,0)</f>
        <v>0</v>
      </c>
      <c r="W22" s="34">
        <f>VLOOKUP(A22,'SSP_March''19'!$A$3:$X$1193,23,0)</f>
        <v>0</v>
      </c>
      <c r="X22" s="34">
        <f>VLOOKUP(A22,'SSP_March''19'!$A$3:$X$1193,24,0)</f>
        <v>0</v>
      </c>
    </row>
    <row r="23" spans="1:24">
      <c r="A23" s="34" t="s">
        <v>333</v>
      </c>
      <c r="B23" s="34" t="s">
        <v>334</v>
      </c>
      <c r="C23" s="34" t="s">
        <v>307</v>
      </c>
      <c r="D23" s="34" t="s">
        <v>111</v>
      </c>
      <c r="E23" s="34" t="s">
        <v>3</v>
      </c>
      <c r="F23" s="34" t="s">
        <v>335</v>
      </c>
      <c r="G23" s="54">
        <v>1711226023</v>
      </c>
      <c r="H23" s="54" t="s">
        <v>229</v>
      </c>
      <c r="I23" s="54" t="s">
        <v>3514</v>
      </c>
      <c r="J23" s="34" t="s">
        <v>3421</v>
      </c>
      <c r="K23" s="43">
        <f>VLOOKUP(A23,'SSP_March''19'!$A$3:$L$1193,11,0)</f>
        <v>130000</v>
      </c>
      <c r="L23" s="43">
        <f>VLOOKUP(A23,'SSP_March''19'!$A$3:$L$1193,12,0)</f>
        <v>4950</v>
      </c>
      <c r="M23" s="44">
        <f t="shared" si="0"/>
        <v>3.8076923076923078E-2</v>
      </c>
      <c r="N23" s="49">
        <f>ROUND(VLOOKUP(A23,'SSP_March''19'!$A$3:$N$1193,14,0),0)</f>
        <v>15345</v>
      </c>
      <c r="O23" s="44">
        <f t="shared" si="1"/>
        <v>0.11803846153846154</v>
      </c>
      <c r="P23" s="45">
        <f>VLOOKUP(A23,'SSP_March''19'!$A$3:$Q$1193,16,0)</f>
        <v>10</v>
      </c>
      <c r="Q23" s="34">
        <f>VLOOKUP(A23,'SSP_March''19'!$A$3:$Q$1193,17,0)</f>
        <v>0</v>
      </c>
      <c r="R23" s="35">
        <f t="shared" si="2"/>
        <v>0</v>
      </c>
      <c r="S23" s="49">
        <f>ROUND(VLOOKUP(A23,'SSP_March''19'!$A$3:$T$1193,19,0),0)</f>
        <v>0</v>
      </c>
      <c r="T23" s="44">
        <f>VLOOKUP(A23,'SSP_March''19'!$A$3:$T$1193,20,0)</f>
        <v>0</v>
      </c>
      <c r="U23" s="34">
        <f>VLOOKUP(A23,'SSP_March''19'!$A$3:$X$1193,21,0)</f>
        <v>0</v>
      </c>
      <c r="V23" s="34">
        <f>VLOOKUP(A23,'SSP_March''19'!$A$3:$X$1193,22,0)</f>
        <v>0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34" t="s">
        <v>306</v>
      </c>
      <c r="B24" s="34" t="s">
        <v>297</v>
      </c>
      <c r="C24" s="34" t="s">
        <v>307</v>
      </c>
      <c r="D24" s="34" t="s">
        <v>111</v>
      </c>
      <c r="E24" s="34" t="s">
        <v>3</v>
      </c>
      <c r="F24" s="34" t="s">
        <v>308</v>
      </c>
      <c r="G24" s="54">
        <v>1865663344</v>
      </c>
      <c r="H24" s="54" t="s">
        <v>229</v>
      </c>
      <c r="I24" s="54" t="s">
        <v>3514</v>
      </c>
      <c r="J24" s="34" t="s">
        <v>3421</v>
      </c>
      <c r="K24" s="43">
        <f>VLOOKUP(A24,'SSP_March''19'!$A$3:$L$1193,11,0)</f>
        <v>130000</v>
      </c>
      <c r="L24" s="43">
        <f>VLOOKUP(A24,'SSP_March''19'!$A$3:$L$1193,12,0)</f>
        <v>4740</v>
      </c>
      <c r="M24" s="44">
        <f t="shared" si="0"/>
        <v>3.6461538461538462E-2</v>
      </c>
      <c r="N24" s="49">
        <f>ROUND(VLOOKUP(A24,'SSP_March''19'!$A$3:$N$1193,14,0),0)</f>
        <v>14694</v>
      </c>
      <c r="O24" s="44">
        <f t="shared" si="1"/>
        <v>0.11303076923076923</v>
      </c>
      <c r="P24" s="45">
        <f>VLOOKUP(A24,'SSP_March''19'!$A$3:$Q$1193,16,0)</f>
        <v>10</v>
      </c>
      <c r="Q24" s="34">
        <f>VLOOKUP(A24,'SSP_March''19'!$A$3:$Q$1193,17,0)</f>
        <v>0</v>
      </c>
      <c r="R24" s="35">
        <f t="shared" si="2"/>
        <v>0</v>
      </c>
      <c r="S24" s="49">
        <f>ROUND(VLOOKUP(A24,'SSP_March''19'!$A$3:$T$1193,19,0),0)</f>
        <v>0</v>
      </c>
      <c r="T24" s="44">
        <f>VLOOKUP(A24,'SSP_March''19'!$A$3:$T$1193,20,0)</f>
        <v>0</v>
      </c>
      <c r="U24" s="34">
        <f>VLOOKUP(A24,'SSP_March''19'!$A$3:$X$1193,21,0)</f>
        <v>0</v>
      </c>
      <c r="V24" s="34">
        <f>VLOOKUP(A24,'SSP_March''19'!$A$3:$X$1193,22,0)</f>
        <v>0</v>
      </c>
      <c r="W24" s="34">
        <f>VLOOKUP(A24,'SSP_March''19'!$A$3:$X$1193,23,0)</f>
        <v>0</v>
      </c>
      <c r="X24" s="34">
        <f>VLOOKUP(A24,'SSP_March''19'!$A$3:$X$1193,24,0)</f>
        <v>0</v>
      </c>
    </row>
    <row r="25" spans="1:24">
      <c r="A25" s="34" t="s">
        <v>330</v>
      </c>
      <c r="B25" s="34" t="s">
        <v>331</v>
      </c>
      <c r="C25" s="34" t="s">
        <v>307</v>
      </c>
      <c r="D25" s="34" t="s">
        <v>111</v>
      </c>
      <c r="E25" s="34" t="s">
        <v>3</v>
      </c>
      <c r="F25" s="34" t="s">
        <v>332</v>
      </c>
      <c r="G25" s="54">
        <v>1832357682</v>
      </c>
      <c r="H25" s="54" t="s">
        <v>229</v>
      </c>
      <c r="I25" s="54" t="s">
        <v>3514</v>
      </c>
      <c r="J25" s="34" t="s">
        <v>3515</v>
      </c>
      <c r="K25" s="43">
        <f>VLOOKUP(A25,'SSP_March''19'!$A$3:$L$1193,11,0)</f>
        <v>130000</v>
      </c>
      <c r="L25" s="43">
        <f>VLOOKUP(A25,'SSP_March''19'!$A$3:$L$1193,12,0)</f>
        <v>25360</v>
      </c>
      <c r="M25" s="44">
        <f t="shared" si="0"/>
        <v>0.19507692307692306</v>
      </c>
      <c r="N25" s="49">
        <f>ROUND(VLOOKUP(A25,'SSP_March''19'!$A$3:$N$1193,14,0),0)</f>
        <v>78616</v>
      </c>
      <c r="O25" s="44">
        <f t="shared" si="1"/>
        <v>0.60473846153846156</v>
      </c>
      <c r="P25" s="45">
        <f>VLOOKUP(A25,'SSP_March''19'!$A$3:$Q$1193,16,0)</f>
        <v>10</v>
      </c>
      <c r="Q25" s="34">
        <f>VLOOKUP(A25,'SSP_March''19'!$A$3:$Q$1193,17,0)</f>
        <v>2</v>
      </c>
      <c r="R25" s="35">
        <f t="shared" si="2"/>
        <v>0.2</v>
      </c>
      <c r="S25" s="49">
        <f>ROUND(VLOOKUP(A25,'SSP_March''19'!$A$3:$T$1193,19,0),0)</f>
        <v>6</v>
      </c>
      <c r="T25" s="44">
        <f>VLOOKUP(A25,'SSP_March''19'!$A$3:$T$1193,20,0)</f>
        <v>0.6</v>
      </c>
      <c r="U25" s="34">
        <f>VLOOKUP(A25,'SSP_March''19'!$A$3:$X$1193,21,0)</f>
        <v>0</v>
      </c>
      <c r="V25" s="34">
        <f>VLOOKUP(A25,'SSP_March''19'!$A$3:$X$1193,22,0)</f>
        <v>0</v>
      </c>
      <c r="W25" s="34">
        <f>VLOOKUP(A25,'SSP_March''19'!$A$3:$X$1193,23,0)</f>
        <v>1</v>
      </c>
      <c r="X25" s="34">
        <f>VLOOKUP(A25,'SSP_March''19'!$A$3:$X$1193,24,0)</f>
        <v>0</v>
      </c>
    </row>
    <row r="26" spans="1:24">
      <c r="A26" s="34" t="s">
        <v>324</v>
      </c>
      <c r="B26" s="34" t="s">
        <v>325</v>
      </c>
      <c r="C26" s="34" t="s">
        <v>307</v>
      </c>
      <c r="D26" s="34" t="s">
        <v>111</v>
      </c>
      <c r="E26" s="34" t="s">
        <v>3</v>
      </c>
      <c r="F26" s="34" t="s">
        <v>326</v>
      </c>
      <c r="G26" s="54">
        <v>1878822981</v>
      </c>
      <c r="H26" s="54" t="s">
        <v>229</v>
      </c>
      <c r="I26" s="54" t="s">
        <v>3514</v>
      </c>
      <c r="J26" s="34" t="s">
        <v>3421</v>
      </c>
      <c r="K26" s="43">
        <f>VLOOKUP(A26,'SSP_March''19'!$A$3:$L$1193,11,0)</f>
        <v>130000</v>
      </c>
      <c r="L26" s="43">
        <f>VLOOKUP(A26,'SSP_March''19'!$A$3:$L$1193,12,0)</f>
        <v>30249</v>
      </c>
      <c r="M26" s="44">
        <f t="shared" si="0"/>
        <v>0.23268461538461538</v>
      </c>
      <c r="N26" s="49">
        <f>ROUND(VLOOKUP(A26,'SSP_March''19'!$A$3:$N$1193,14,0),0)</f>
        <v>93772</v>
      </c>
      <c r="O26" s="44">
        <f t="shared" si="1"/>
        <v>0.72132307692307696</v>
      </c>
      <c r="P26" s="45">
        <f>VLOOKUP(A26,'SSP_March''19'!$A$3:$Q$1193,16,0)</f>
        <v>10</v>
      </c>
      <c r="Q26" s="34">
        <f>VLOOKUP(A26,'SSP_March''19'!$A$3:$Q$1193,17,0)</f>
        <v>1</v>
      </c>
      <c r="R26" s="35">
        <f t="shared" si="2"/>
        <v>0.1</v>
      </c>
      <c r="S26" s="49">
        <f>ROUND(VLOOKUP(A26,'SSP_March''19'!$A$3:$T$1193,19,0),0)</f>
        <v>3</v>
      </c>
      <c r="T26" s="44">
        <f>VLOOKUP(A26,'SSP_March''19'!$A$3:$T$1193,20,0)</f>
        <v>0.3</v>
      </c>
      <c r="U26" s="34">
        <f>VLOOKUP(A26,'SSP_March''19'!$A$3:$X$1193,21,0)</f>
        <v>1</v>
      </c>
      <c r="V26" s="34">
        <f>VLOOKUP(A26,'SSP_March''19'!$A$3:$X$1193,22,0)</f>
        <v>0</v>
      </c>
      <c r="W26" s="34">
        <f>VLOOKUP(A26,'SSP_March''19'!$A$3:$X$1193,23,0)</f>
        <v>0</v>
      </c>
      <c r="X26" s="34">
        <f>VLOOKUP(A26,'SSP_March''19'!$A$3:$X$1193,24,0)</f>
        <v>0</v>
      </c>
    </row>
    <row r="27" spans="1:24">
      <c r="A27" s="34" t="s">
        <v>309</v>
      </c>
      <c r="B27" s="34" t="s">
        <v>310</v>
      </c>
      <c r="C27" s="34" t="s">
        <v>307</v>
      </c>
      <c r="D27" s="34" t="s">
        <v>111</v>
      </c>
      <c r="E27" s="34" t="s">
        <v>3</v>
      </c>
      <c r="F27" s="34" t="s">
        <v>311</v>
      </c>
      <c r="G27" s="54">
        <v>1818273652</v>
      </c>
      <c r="H27" s="54" t="s">
        <v>229</v>
      </c>
      <c r="I27" s="54" t="s">
        <v>3514</v>
      </c>
      <c r="J27" s="34" t="s">
        <v>3419</v>
      </c>
      <c r="K27" s="43">
        <f>VLOOKUP(A27,'SSP_March''19'!$A$3:$L$1193,11,0)</f>
        <v>130000</v>
      </c>
      <c r="L27" s="43">
        <f>VLOOKUP(A27,'SSP_March''19'!$A$3:$L$1193,12,0)</f>
        <v>20450</v>
      </c>
      <c r="M27" s="44">
        <f t="shared" si="0"/>
        <v>0.15730769230769232</v>
      </c>
      <c r="N27" s="49">
        <f>ROUND(VLOOKUP(A27,'SSP_March''19'!$A$3:$N$1193,14,0),0)</f>
        <v>63395</v>
      </c>
      <c r="O27" s="44">
        <f t="shared" si="1"/>
        <v>0.48765384615384616</v>
      </c>
      <c r="P27" s="45">
        <f>VLOOKUP(A27,'SSP_March''19'!$A$3:$Q$1193,16,0)</f>
        <v>10</v>
      </c>
      <c r="Q27" s="34">
        <f>VLOOKUP(A27,'SSP_March''19'!$A$3:$Q$1193,17,0)</f>
        <v>0</v>
      </c>
      <c r="R27" s="35">
        <f t="shared" si="2"/>
        <v>0</v>
      </c>
      <c r="S27" s="49">
        <f>ROUND(VLOOKUP(A27,'SSP_March''19'!$A$3:$T$1193,19,0),0)</f>
        <v>0</v>
      </c>
      <c r="T27" s="44">
        <f>VLOOKUP(A27,'SSP_March''19'!$A$3:$T$1193,20,0)</f>
        <v>0</v>
      </c>
      <c r="U27" s="34">
        <f>VLOOKUP(A27,'SSP_March''19'!$A$3:$X$1193,21,0)</f>
        <v>0</v>
      </c>
      <c r="V27" s="34">
        <f>VLOOKUP(A27,'SSP_March''19'!$A$3:$X$1193,22,0)</f>
        <v>0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34" t="s">
        <v>312</v>
      </c>
      <c r="B28" s="34" t="s">
        <v>313</v>
      </c>
      <c r="C28" s="34" t="s">
        <v>191</v>
      </c>
      <c r="D28" s="34" t="s">
        <v>111</v>
      </c>
      <c r="E28" s="34" t="s">
        <v>3</v>
      </c>
      <c r="F28" s="34" t="s">
        <v>314</v>
      </c>
      <c r="G28" s="54">
        <v>1879669807</v>
      </c>
      <c r="H28" s="54" t="s">
        <v>229</v>
      </c>
      <c r="I28" s="54" t="s">
        <v>3514</v>
      </c>
      <c r="J28" s="34" t="s">
        <v>3419</v>
      </c>
      <c r="K28" s="43">
        <f>VLOOKUP(A28,'SSP_March''19'!$A$3:$L$1193,11,0)</f>
        <v>218338</v>
      </c>
      <c r="L28" s="43">
        <f>VLOOKUP(A28,'SSP_March''19'!$A$3:$L$1193,12,0)</f>
        <v>75919</v>
      </c>
      <c r="M28" s="44">
        <f t="shared" si="0"/>
        <v>0.34771317864961665</v>
      </c>
      <c r="N28" s="49">
        <f>ROUND(VLOOKUP(A28,'SSP_March''19'!$A$3:$N$1193,14,0),0)</f>
        <v>235349</v>
      </c>
      <c r="O28" s="44">
        <f t="shared" si="1"/>
        <v>1.0779113118192893</v>
      </c>
      <c r="P28" s="45">
        <f>VLOOKUP(A28,'SSP_March''19'!$A$3:$Q$1193,16,0)</f>
        <v>10</v>
      </c>
      <c r="Q28" s="34">
        <f>VLOOKUP(A28,'SSP_March''19'!$A$3:$Q$1193,17,0)</f>
        <v>4</v>
      </c>
      <c r="R28" s="35">
        <f t="shared" si="2"/>
        <v>0.4</v>
      </c>
      <c r="S28" s="49">
        <f>ROUND(VLOOKUP(A28,'SSP_March''19'!$A$3:$T$1193,19,0),0)</f>
        <v>12</v>
      </c>
      <c r="T28" s="44">
        <f>VLOOKUP(A28,'SSP_March''19'!$A$3:$T$1193,20,0)</f>
        <v>1.2</v>
      </c>
      <c r="U28" s="34">
        <f>VLOOKUP(A28,'SSP_March''19'!$A$3:$X$1193,21,0)</f>
        <v>1</v>
      </c>
      <c r="V28" s="34">
        <f>VLOOKUP(A28,'SSP_March''19'!$A$3:$X$1193,22,0)</f>
        <v>1</v>
      </c>
      <c r="W28" s="34">
        <f>VLOOKUP(A28,'SSP_March''19'!$A$3:$X$1193,23,0)</f>
        <v>0</v>
      </c>
      <c r="X28" s="34">
        <f>VLOOKUP(A28,'SSP_March''19'!$A$3:$X$1193,24,0)</f>
        <v>0</v>
      </c>
    </row>
    <row r="29" spans="1:24">
      <c r="A29" s="34" t="s">
        <v>318</v>
      </c>
      <c r="B29" s="34" t="s">
        <v>319</v>
      </c>
      <c r="C29" s="34" t="s">
        <v>191</v>
      </c>
      <c r="D29" s="34" t="s">
        <v>111</v>
      </c>
      <c r="E29" s="34" t="s">
        <v>3</v>
      </c>
      <c r="F29" s="34" t="s">
        <v>320</v>
      </c>
      <c r="G29" s="54">
        <v>1710936191</v>
      </c>
      <c r="H29" s="54" t="s">
        <v>229</v>
      </c>
      <c r="I29" s="54" t="s">
        <v>3514</v>
      </c>
      <c r="J29" s="34" t="s">
        <v>3421</v>
      </c>
      <c r="K29" s="43">
        <f>VLOOKUP(A29,'SSP_March''19'!$A$3:$L$1193,11,0)</f>
        <v>130000</v>
      </c>
      <c r="L29" s="43">
        <f>VLOOKUP(A29,'SSP_March''19'!$A$3:$L$1193,12,0)</f>
        <v>4999</v>
      </c>
      <c r="M29" s="44">
        <f t="shared" si="0"/>
        <v>3.8453846153846151E-2</v>
      </c>
      <c r="N29" s="49">
        <f>ROUND(VLOOKUP(A29,'SSP_March''19'!$A$3:$N$1193,14,0),0)</f>
        <v>15497</v>
      </c>
      <c r="O29" s="44">
        <f t="shared" si="1"/>
        <v>0.11920769230769231</v>
      </c>
      <c r="P29" s="45">
        <f>VLOOKUP(A29,'SSP_March''19'!$A$3:$Q$1193,16,0)</f>
        <v>10</v>
      </c>
      <c r="Q29" s="34">
        <f>VLOOKUP(A29,'SSP_March''19'!$A$3:$Q$1193,17,0)</f>
        <v>0</v>
      </c>
      <c r="R29" s="35">
        <f t="shared" si="2"/>
        <v>0</v>
      </c>
      <c r="S29" s="49">
        <f>ROUND(VLOOKUP(A29,'SSP_March''19'!$A$3:$T$1193,19,0),0)</f>
        <v>0</v>
      </c>
      <c r="T29" s="44">
        <f>VLOOKUP(A29,'SSP_March''19'!$A$3:$T$1193,20,0)</f>
        <v>0</v>
      </c>
      <c r="U29" s="34">
        <f>VLOOKUP(A29,'SSP_March''19'!$A$3:$X$1193,21,0)</f>
        <v>0</v>
      </c>
      <c r="V29" s="34">
        <f>VLOOKUP(A29,'SSP_March''19'!$A$3:$X$1193,22,0)</f>
        <v>0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34" t="s">
        <v>303</v>
      </c>
      <c r="B30" s="34" t="s">
        <v>304</v>
      </c>
      <c r="C30" s="34" t="s">
        <v>191</v>
      </c>
      <c r="D30" s="34" t="s">
        <v>111</v>
      </c>
      <c r="E30" s="34" t="s">
        <v>3</v>
      </c>
      <c r="F30" s="34" t="s">
        <v>305</v>
      </c>
      <c r="G30" s="54">
        <v>1840284454</v>
      </c>
      <c r="H30" s="54" t="s">
        <v>229</v>
      </c>
      <c r="I30" s="54" t="s">
        <v>3514</v>
      </c>
      <c r="J30" s="34" t="s">
        <v>3421</v>
      </c>
      <c r="K30" s="43">
        <f>VLOOKUP(A30,'SSP_March''19'!$A$3:$L$1193,11,0)</f>
        <v>130000</v>
      </c>
      <c r="L30" s="43">
        <f>VLOOKUP(A30,'SSP_March''19'!$A$3:$L$1193,12,0)</f>
        <v>33990</v>
      </c>
      <c r="M30" s="44">
        <f t="shared" si="0"/>
        <v>0.26146153846153847</v>
      </c>
      <c r="N30" s="49">
        <f>ROUND(VLOOKUP(A30,'SSP_March''19'!$A$3:$N$1193,14,0),0)</f>
        <v>105369</v>
      </c>
      <c r="O30" s="44">
        <f t="shared" si="1"/>
        <v>0.81053076923076928</v>
      </c>
      <c r="P30" s="45">
        <f>VLOOKUP(A30,'SSP_March''19'!$A$3:$Q$1193,16,0)</f>
        <v>10</v>
      </c>
      <c r="Q30" s="34">
        <f>VLOOKUP(A30,'SSP_March''19'!$A$3:$Q$1193,17,0)</f>
        <v>2</v>
      </c>
      <c r="R30" s="35">
        <f t="shared" si="2"/>
        <v>0.2</v>
      </c>
      <c r="S30" s="49">
        <f>ROUND(VLOOKUP(A30,'SSP_March''19'!$A$3:$T$1193,19,0),0)</f>
        <v>6</v>
      </c>
      <c r="T30" s="44">
        <f>VLOOKUP(A30,'SSP_March''19'!$A$3:$T$1193,20,0)</f>
        <v>0.6</v>
      </c>
      <c r="U30" s="34">
        <f>VLOOKUP(A30,'SSP_March''19'!$A$3:$X$1193,21,0)</f>
        <v>0</v>
      </c>
      <c r="V30" s="34">
        <f>VLOOKUP(A30,'SSP_March''19'!$A$3:$X$1193,22,0)</f>
        <v>2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34" t="s">
        <v>321</v>
      </c>
      <c r="B31" s="34" t="s">
        <v>322</v>
      </c>
      <c r="C31" s="34" t="s">
        <v>191</v>
      </c>
      <c r="D31" s="34" t="s">
        <v>111</v>
      </c>
      <c r="E31" s="34" t="s">
        <v>3</v>
      </c>
      <c r="F31" s="34" t="s">
        <v>323</v>
      </c>
      <c r="G31" s="54">
        <v>1812791896</v>
      </c>
      <c r="H31" s="54" t="s">
        <v>229</v>
      </c>
      <c r="I31" s="54" t="s">
        <v>3514</v>
      </c>
      <c r="J31" s="34" t="s">
        <v>3421</v>
      </c>
      <c r="K31" s="43">
        <f>VLOOKUP(A31,'SSP_March''19'!$A$3:$L$1193,11,0)</f>
        <v>130000</v>
      </c>
      <c r="L31" s="43">
        <f>VLOOKUP(A31,'SSP_March''19'!$A$3:$L$1193,12,0)</f>
        <v>15580</v>
      </c>
      <c r="M31" s="44">
        <f t="shared" si="0"/>
        <v>0.11984615384615385</v>
      </c>
      <c r="N31" s="49">
        <f>ROUND(VLOOKUP(A31,'SSP_March''19'!$A$3:$N$1193,14,0),0)</f>
        <v>48298</v>
      </c>
      <c r="O31" s="44">
        <f t="shared" si="1"/>
        <v>0.3715230769230769</v>
      </c>
      <c r="P31" s="45">
        <f>VLOOKUP(A31,'SSP_March''19'!$A$3:$Q$1193,16,0)</f>
        <v>12</v>
      </c>
      <c r="Q31" s="34">
        <f>VLOOKUP(A31,'SSP_March''19'!$A$3:$Q$1193,17,0)</f>
        <v>2</v>
      </c>
      <c r="R31" s="35">
        <f t="shared" si="2"/>
        <v>0.16666666666666666</v>
      </c>
      <c r="S31" s="49">
        <f>ROUND(VLOOKUP(A31,'SSP_March''19'!$A$3:$T$1193,19,0),0)</f>
        <v>6</v>
      </c>
      <c r="T31" s="44">
        <f>VLOOKUP(A31,'SSP_March''19'!$A$3:$T$1193,20,0)</f>
        <v>0.5</v>
      </c>
      <c r="U31" s="34">
        <f>VLOOKUP(A31,'SSP_March''19'!$A$3:$X$1193,21,0)</f>
        <v>0</v>
      </c>
      <c r="V31" s="34">
        <f>VLOOKUP(A31,'SSP_March''19'!$A$3:$X$1193,22,0)</f>
        <v>0</v>
      </c>
      <c r="W31" s="34">
        <f>VLOOKUP(A31,'SSP_March''19'!$A$3:$X$1193,23,0)</f>
        <v>1</v>
      </c>
      <c r="X31" s="34">
        <f>VLOOKUP(A31,'SSP_March''19'!$A$3:$X$1193,24,0)</f>
        <v>0</v>
      </c>
    </row>
    <row r="32" spans="1:24">
      <c r="A32" s="34" t="s">
        <v>315</v>
      </c>
      <c r="B32" s="34" t="s">
        <v>316</v>
      </c>
      <c r="C32" s="34" t="s">
        <v>191</v>
      </c>
      <c r="D32" s="34" t="s">
        <v>111</v>
      </c>
      <c r="E32" s="34" t="s">
        <v>3</v>
      </c>
      <c r="F32" s="34" t="s">
        <v>317</v>
      </c>
      <c r="G32" s="54">
        <v>1812097525</v>
      </c>
      <c r="H32" s="54" t="s">
        <v>229</v>
      </c>
      <c r="I32" s="54" t="s">
        <v>3514</v>
      </c>
      <c r="J32" s="34" t="s">
        <v>3421</v>
      </c>
      <c r="K32" s="43">
        <f>VLOOKUP(A32,'SSP_March''19'!$A$3:$L$1193,11,0)</f>
        <v>130000</v>
      </c>
      <c r="L32" s="43">
        <f>VLOOKUP(A32,'SSP_March''19'!$A$3:$L$1193,12,0)</f>
        <v>19510</v>
      </c>
      <c r="M32" s="44">
        <f t="shared" si="0"/>
        <v>0.15007692307692308</v>
      </c>
      <c r="N32" s="49">
        <f>ROUND(VLOOKUP(A32,'SSP_March''19'!$A$3:$N$1193,14,0),0)</f>
        <v>60481</v>
      </c>
      <c r="O32" s="44">
        <f t="shared" si="1"/>
        <v>0.46523846153846155</v>
      </c>
      <c r="P32" s="45">
        <f>VLOOKUP(A32,'SSP_March''19'!$A$3:$Q$1193,16,0)</f>
        <v>10</v>
      </c>
      <c r="Q32" s="34">
        <f>VLOOKUP(A32,'SSP_March''19'!$A$3:$Q$1193,17,0)</f>
        <v>0</v>
      </c>
      <c r="R32" s="35">
        <f t="shared" si="2"/>
        <v>0</v>
      </c>
      <c r="S32" s="49">
        <f>ROUND(VLOOKUP(A32,'SSP_March''19'!$A$3:$T$1193,19,0),0)</f>
        <v>0</v>
      </c>
      <c r="T32" s="44">
        <f>VLOOKUP(A32,'SSP_March''19'!$A$3:$T$1193,20,0)</f>
        <v>0</v>
      </c>
      <c r="U32" s="34">
        <f>VLOOKUP(A32,'SSP_March''19'!$A$3:$X$1193,21,0)</f>
        <v>0</v>
      </c>
      <c r="V32" s="34">
        <f>VLOOKUP(A32,'SSP_March''19'!$A$3:$X$1193,22,0)</f>
        <v>0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34" t="s">
        <v>3357</v>
      </c>
      <c r="B33" s="34" t="s">
        <v>3358</v>
      </c>
      <c r="C33" s="34" t="s">
        <v>191</v>
      </c>
      <c r="D33" s="34" t="s">
        <v>111</v>
      </c>
      <c r="E33" s="34" t="s">
        <v>3</v>
      </c>
      <c r="F33" s="34" t="s">
        <v>3359</v>
      </c>
      <c r="G33" s="54">
        <v>1818887623</v>
      </c>
      <c r="H33" s="54" t="s">
        <v>229</v>
      </c>
      <c r="I33" s="54" t="s">
        <v>3514</v>
      </c>
      <c r="J33" s="34" t="s">
        <v>3421</v>
      </c>
      <c r="K33" s="43">
        <f>VLOOKUP(A33,'SSP_March''19'!$A$3:$L$1193,11,0)</f>
        <v>130000</v>
      </c>
      <c r="L33" s="43">
        <f>VLOOKUP(A33,'SSP_March''19'!$A$3:$L$1193,12,0)</f>
        <v>7480</v>
      </c>
      <c r="M33" s="44">
        <f t="shared" si="0"/>
        <v>5.7538461538461538E-2</v>
      </c>
      <c r="N33" s="49">
        <f>ROUND(VLOOKUP(A33,'SSP_March''19'!$A$3:$N$1193,14,0),0)</f>
        <v>23188</v>
      </c>
      <c r="O33" s="44">
        <f t="shared" si="1"/>
        <v>0.17836923076923078</v>
      </c>
      <c r="P33" s="45">
        <f>VLOOKUP(A33,'SSP_March''19'!$A$3:$Q$1193,16,0)</f>
        <v>10</v>
      </c>
      <c r="Q33" s="34">
        <f>VLOOKUP(A33,'SSP_March''19'!$A$3:$Q$1193,17,0)</f>
        <v>0</v>
      </c>
      <c r="R33" s="35">
        <f t="shared" si="2"/>
        <v>0</v>
      </c>
      <c r="S33" s="49">
        <f>ROUND(VLOOKUP(A33,'SSP_March''19'!$A$3:$T$1193,19,0),0)</f>
        <v>0</v>
      </c>
      <c r="T33" s="44">
        <f>VLOOKUP(A33,'SSP_March''19'!$A$3:$T$1193,20,0)</f>
        <v>0</v>
      </c>
      <c r="U33" s="34">
        <f>VLOOKUP(A33,'SSP_March''19'!$A$3:$X$1193,21,0)</f>
        <v>0</v>
      </c>
      <c r="V33" s="34">
        <f>VLOOKUP(A33,'SSP_March''19'!$A$3:$X$1193,22,0)</f>
        <v>0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34" t="s">
        <v>301</v>
      </c>
      <c r="B34" s="34" t="s">
        <v>82</v>
      </c>
      <c r="C34" s="34" t="s">
        <v>191</v>
      </c>
      <c r="D34" s="34" t="s">
        <v>111</v>
      </c>
      <c r="E34" s="34" t="s">
        <v>3</v>
      </c>
      <c r="F34" s="34" t="s">
        <v>302</v>
      </c>
      <c r="G34" s="54">
        <v>1883669933</v>
      </c>
      <c r="H34" s="54" t="s">
        <v>229</v>
      </c>
      <c r="I34" s="54" t="s">
        <v>3514</v>
      </c>
      <c r="J34" s="34" t="s">
        <v>3421</v>
      </c>
      <c r="K34" s="43">
        <f>VLOOKUP(A34,'SSP_March''19'!$A$3:$L$1193,11,0)</f>
        <v>130000</v>
      </c>
      <c r="L34" s="43">
        <f>VLOOKUP(A34,'SSP_March''19'!$A$3:$L$1193,12,0)</f>
        <v>53510</v>
      </c>
      <c r="M34" s="44">
        <f t="shared" si="0"/>
        <v>0.41161538461538461</v>
      </c>
      <c r="N34" s="49">
        <f>ROUND(VLOOKUP(A34,'SSP_March''19'!$A$3:$N$1193,14,0),0)</f>
        <v>165881</v>
      </c>
      <c r="O34" s="44">
        <f t="shared" si="1"/>
        <v>1.2760076923076924</v>
      </c>
      <c r="P34" s="45">
        <f>VLOOKUP(A34,'SSP_March''19'!$A$3:$Q$1193,16,0)</f>
        <v>10</v>
      </c>
      <c r="Q34" s="34">
        <f>VLOOKUP(A34,'SSP_March''19'!$A$3:$Q$1193,17,0)</f>
        <v>4</v>
      </c>
      <c r="R34" s="35">
        <f t="shared" si="2"/>
        <v>0.4</v>
      </c>
      <c r="S34" s="49">
        <f>ROUND(VLOOKUP(A34,'SSP_March''19'!$A$3:$T$1193,19,0),0)</f>
        <v>12</v>
      </c>
      <c r="T34" s="44">
        <f>VLOOKUP(A34,'SSP_March''19'!$A$3:$T$1193,20,0)</f>
        <v>1.2</v>
      </c>
      <c r="U34" s="34">
        <f>VLOOKUP(A34,'SSP_March''19'!$A$3:$X$1193,21,0)</f>
        <v>0</v>
      </c>
      <c r="V34" s="34">
        <f>VLOOKUP(A34,'SSP_March''19'!$A$3:$X$1193,22,0)</f>
        <v>2</v>
      </c>
      <c r="W34" s="34">
        <f>VLOOKUP(A34,'SSP_March''19'!$A$3:$X$1193,23,0)</f>
        <v>1</v>
      </c>
      <c r="X34" s="34">
        <f>VLOOKUP(A34,'SSP_March''19'!$A$3:$X$1193,24,0)</f>
        <v>0</v>
      </c>
    </row>
    <row r="35" spans="1:24">
      <c r="A35" s="34" t="s">
        <v>298</v>
      </c>
      <c r="B35" s="34" t="s">
        <v>299</v>
      </c>
      <c r="C35" s="34" t="s">
        <v>191</v>
      </c>
      <c r="D35" s="34" t="s">
        <v>111</v>
      </c>
      <c r="E35" s="34" t="s">
        <v>3</v>
      </c>
      <c r="F35" s="34" t="s">
        <v>300</v>
      </c>
      <c r="G35" s="54">
        <v>1534219798</v>
      </c>
      <c r="H35" s="54" t="s">
        <v>229</v>
      </c>
      <c r="I35" s="54" t="s">
        <v>3514</v>
      </c>
      <c r="J35" s="34" t="s">
        <v>3421</v>
      </c>
      <c r="K35" s="43">
        <f>VLOOKUP(A35,'SSP_March''19'!$A$3:$L$1193,11,0)</f>
        <v>130000</v>
      </c>
      <c r="L35" s="43">
        <f>VLOOKUP(A35,'SSP_March''19'!$A$3:$L$1193,12,0)</f>
        <v>7439</v>
      </c>
      <c r="M35" s="44">
        <f t="shared" ref="M35:M66" si="3">L35/K35</f>
        <v>5.7223076923076925E-2</v>
      </c>
      <c r="N35" s="49">
        <f>ROUND(VLOOKUP(A35,'SSP_March''19'!$A$3:$N$1193,14,0),0)</f>
        <v>23061</v>
      </c>
      <c r="O35" s="44">
        <f t="shared" ref="O35:O66" si="4">N35/K35</f>
        <v>0.17739230769230768</v>
      </c>
      <c r="P35" s="45">
        <f>VLOOKUP(A35,'SSP_March''19'!$A$3:$Q$1193,16,0)</f>
        <v>10</v>
      </c>
      <c r="Q35" s="34">
        <f>VLOOKUP(A35,'SSP_March''19'!$A$3:$Q$1193,17,0)</f>
        <v>0</v>
      </c>
      <c r="R35" s="35">
        <f t="shared" ref="R35:R66" si="5">Q35/P35</f>
        <v>0</v>
      </c>
      <c r="S35" s="49">
        <f>ROUND(VLOOKUP(A35,'SSP_March''19'!$A$3:$T$1193,19,0),0)</f>
        <v>0</v>
      </c>
      <c r="T35" s="44">
        <f>VLOOKUP(A35,'SSP_March''19'!$A$3:$T$1193,20,0)</f>
        <v>0</v>
      </c>
      <c r="U35" s="34">
        <f>VLOOKUP(A35,'SSP_March''19'!$A$3:$X$1193,21,0)</f>
        <v>0</v>
      </c>
      <c r="V35" s="34">
        <f>VLOOKUP(A35,'SSP_March''19'!$A$3:$X$1193,22,0)</f>
        <v>0</v>
      </c>
      <c r="W35" s="34">
        <f>VLOOKUP(A35,'SSP_March''19'!$A$3:$X$1193,23,0)</f>
        <v>0</v>
      </c>
      <c r="X35" s="34">
        <f>VLOOKUP(A35,'SSP_March''19'!$A$3:$X$1193,24,0)</f>
        <v>0</v>
      </c>
    </row>
    <row r="36" spans="1:24">
      <c r="A36" s="34" t="s">
        <v>3360</v>
      </c>
      <c r="B36" s="34" t="s">
        <v>3361</v>
      </c>
      <c r="C36" s="34" t="s">
        <v>191</v>
      </c>
      <c r="D36" s="34" t="s">
        <v>111</v>
      </c>
      <c r="E36" s="34" t="s">
        <v>3</v>
      </c>
      <c r="F36" s="34" t="s">
        <v>3362</v>
      </c>
      <c r="G36" s="54">
        <v>1876023888</v>
      </c>
      <c r="H36" s="54" t="s">
        <v>229</v>
      </c>
      <c r="I36" s="54" t="s">
        <v>3514</v>
      </c>
      <c r="J36" s="34" t="s">
        <v>3419</v>
      </c>
      <c r="K36" s="43">
        <f>VLOOKUP(A36,'SSP_March''19'!$A$3:$L$1193,11,0)</f>
        <v>130000</v>
      </c>
      <c r="L36" s="43">
        <f>VLOOKUP(A36,'SSP_March''19'!$A$3:$L$1193,12,0)</f>
        <v>48040</v>
      </c>
      <c r="M36" s="44">
        <f t="shared" si="3"/>
        <v>0.36953846153846154</v>
      </c>
      <c r="N36" s="49">
        <f>ROUND(VLOOKUP(A36,'SSP_March''19'!$A$3:$N$1193,14,0),0)</f>
        <v>148924</v>
      </c>
      <c r="O36" s="44">
        <f t="shared" si="4"/>
        <v>1.1455692307692307</v>
      </c>
      <c r="P36" s="45">
        <f>VLOOKUP(A36,'SSP_March''19'!$A$3:$Q$1193,16,0)</f>
        <v>10</v>
      </c>
      <c r="Q36" s="34">
        <f>VLOOKUP(A36,'SSP_March''19'!$A$3:$Q$1193,17,0)</f>
        <v>0</v>
      </c>
      <c r="R36" s="35">
        <f t="shared" si="5"/>
        <v>0</v>
      </c>
      <c r="S36" s="49">
        <f>ROUND(VLOOKUP(A36,'SSP_March''19'!$A$3:$T$1193,19,0),0)</f>
        <v>0</v>
      </c>
      <c r="T36" s="44">
        <f>VLOOKUP(A36,'SSP_March''19'!$A$3:$T$1193,20,0)</f>
        <v>0</v>
      </c>
      <c r="U36" s="34">
        <f>VLOOKUP(A36,'SSP_March''19'!$A$3:$X$1193,21,0)</f>
        <v>0</v>
      </c>
      <c r="V36" s="34">
        <f>VLOOKUP(A36,'SSP_March''19'!$A$3:$X$1193,22,0)</f>
        <v>0</v>
      </c>
      <c r="W36" s="34">
        <f>VLOOKUP(A36,'SSP_March''19'!$A$3:$X$1193,23,0)</f>
        <v>0</v>
      </c>
      <c r="X36" s="34">
        <f>VLOOKUP(A36,'SSP_March''19'!$A$3:$X$1193,24,0)</f>
        <v>0</v>
      </c>
    </row>
    <row r="37" spans="1:24">
      <c r="A37" s="34" t="s">
        <v>3089</v>
      </c>
      <c r="B37" s="34" t="s">
        <v>3090</v>
      </c>
      <c r="C37" s="34" t="s">
        <v>191</v>
      </c>
      <c r="D37" s="34" t="s">
        <v>111</v>
      </c>
      <c r="E37" s="34" t="s">
        <v>3</v>
      </c>
      <c r="F37" s="34" t="s">
        <v>3091</v>
      </c>
      <c r="G37" s="54">
        <v>1830777777</v>
      </c>
      <c r="H37" s="54" t="s">
        <v>229</v>
      </c>
      <c r="I37" s="54" t="s">
        <v>3514</v>
      </c>
      <c r="J37" s="34" t="s">
        <v>3515</v>
      </c>
      <c r="K37" s="43">
        <f>VLOOKUP(A37,'SSP_March''19'!$A$3:$L$1193,11,0)</f>
        <v>226579</v>
      </c>
      <c r="L37" s="43">
        <f>VLOOKUP(A37,'SSP_March''19'!$A$3:$L$1193,12,0)</f>
        <v>66710</v>
      </c>
      <c r="M37" s="44">
        <f t="shared" si="3"/>
        <v>0.29442269583677216</v>
      </c>
      <c r="N37" s="49">
        <f>ROUND(VLOOKUP(A37,'SSP_March''19'!$A$3:$N$1193,14,0),0)</f>
        <v>206801</v>
      </c>
      <c r="O37" s="44">
        <f t="shared" si="4"/>
        <v>0.91271035709399373</v>
      </c>
      <c r="P37" s="45">
        <f>VLOOKUP(A37,'SSP_March''19'!$A$3:$Q$1193,16,0)</f>
        <v>13</v>
      </c>
      <c r="Q37" s="34">
        <f>VLOOKUP(A37,'SSP_March''19'!$A$3:$Q$1193,17,0)</f>
        <v>1</v>
      </c>
      <c r="R37" s="35">
        <f t="shared" si="5"/>
        <v>7.6923076923076927E-2</v>
      </c>
      <c r="S37" s="49">
        <f>ROUND(VLOOKUP(A37,'SSP_March''19'!$A$3:$T$1193,19,0),0)</f>
        <v>3</v>
      </c>
      <c r="T37" s="44">
        <f>VLOOKUP(A37,'SSP_March''19'!$A$3:$T$1193,20,0)</f>
        <v>0.23076923076923078</v>
      </c>
      <c r="U37" s="34">
        <f>VLOOKUP(A37,'SSP_March''19'!$A$3:$X$1193,21,0)</f>
        <v>1</v>
      </c>
      <c r="V37" s="34">
        <f>VLOOKUP(A37,'SSP_March''19'!$A$3:$X$1193,22,0)</f>
        <v>0</v>
      </c>
      <c r="W37" s="34">
        <f>VLOOKUP(A37,'SSP_March''19'!$A$3:$X$1193,23,0)</f>
        <v>0</v>
      </c>
      <c r="X37" s="34">
        <f>VLOOKUP(A37,'SSP_March''19'!$A$3:$X$1193,24,0)</f>
        <v>0</v>
      </c>
    </row>
    <row r="38" spans="1:24">
      <c r="A38" s="34" t="s">
        <v>457</v>
      </c>
      <c r="B38" s="34" t="s">
        <v>458</v>
      </c>
      <c r="C38" s="34" t="s">
        <v>106</v>
      </c>
      <c r="D38" s="34" t="s">
        <v>107</v>
      </c>
      <c r="E38" s="34" t="s">
        <v>3</v>
      </c>
      <c r="F38" s="34" t="s">
        <v>459</v>
      </c>
      <c r="G38" s="54">
        <v>1834470418</v>
      </c>
      <c r="H38" s="54" t="s">
        <v>229</v>
      </c>
      <c r="I38" s="54" t="s">
        <v>3518</v>
      </c>
      <c r="J38" s="34" t="s">
        <v>3419</v>
      </c>
      <c r="K38" s="43">
        <f>VLOOKUP(A38,'SSP_March''19'!$A$3:$L$1193,11,0)</f>
        <v>488001</v>
      </c>
      <c r="L38" s="43">
        <f>VLOOKUP(A38,'SSP_March''19'!$A$3:$L$1193,12,0)</f>
        <v>105460</v>
      </c>
      <c r="M38" s="44">
        <f t="shared" si="3"/>
        <v>0.21610611453665055</v>
      </c>
      <c r="N38" s="49">
        <f>ROUND(VLOOKUP(A38,'SSP_March''19'!$A$3:$N$1193,14,0),0)</f>
        <v>326926</v>
      </c>
      <c r="O38" s="44">
        <f t="shared" si="4"/>
        <v>0.66992895506361672</v>
      </c>
      <c r="P38" s="45">
        <f>VLOOKUP(A38,'SSP_March''19'!$A$3:$Q$1193,16,0)</f>
        <v>22</v>
      </c>
      <c r="Q38" s="34">
        <f>VLOOKUP(A38,'SSP_March''19'!$A$3:$Q$1193,17,0)</f>
        <v>1</v>
      </c>
      <c r="R38" s="35">
        <f t="shared" si="5"/>
        <v>4.5454545454545456E-2</v>
      </c>
      <c r="S38" s="49">
        <f>ROUND(VLOOKUP(A38,'SSP_March''19'!$A$3:$T$1193,19,0),0)</f>
        <v>3</v>
      </c>
      <c r="T38" s="44">
        <f>VLOOKUP(A38,'SSP_March''19'!$A$3:$T$1193,20,0)</f>
        <v>0.13636363636363635</v>
      </c>
      <c r="U38" s="34">
        <f>VLOOKUP(A38,'SSP_March''19'!$A$3:$X$1193,21,0)</f>
        <v>1</v>
      </c>
      <c r="V38" s="34">
        <f>VLOOKUP(A38,'SSP_March''19'!$A$3:$X$1193,22,0)</f>
        <v>0</v>
      </c>
      <c r="W38" s="34">
        <f>VLOOKUP(A38,'SSP_March''19'!$A$3:$X$1193,23,0)</f>
        <v>0</v>
      </c>
      <c r="X38" s="34">
        <f>VLOOKUP(A38,'SSP_March''19'!$A$3:$X$1193,24,0)</f>
        <v>0</v>
      </c>
    </row>
    <row r="39" spans="1:24">
      <c r="A39" s="34" t="s">
        <v>478</v>
      </c>
      <c r="B39" s="34" t="s">
        <v>479</v>
      </c>
      <c r="C39" s="34" t="s">
        <v>106</v>
      </c>
      <c r="D39" s="34" t="s">
        <v>107</v>
      </c>
      <c r="E39" s="34" t="s">
        <v>3</v>
      </c>
      <c r="F39" s="34" t="s">
        <v>480</v>
      </c>
      <c r="G39" s="54">
        <v>1832062761</v>
      </c>
      <c r="H39" s="54" t="s">
        <v>229</v>
      </c>
      <c r="I39" s="54" t="s">
        <v>3514</v>
      </c>
      <c r="J39" s="34" t="s">
        <v>3419</v>
      </c>
      <c r="K39" s="43">
        <f>VLOOKUP(A39,'SSP_March''19'!$A$3:$L$1193,11,0)</f>
        <v>130000</v>
      </c>
      <c r="L39" s="43">
        <f>VLOOKUP(A39,'SSP_March''19'!$A$3:$L$1193,12,0)</f>
        <v>61434</v>
      </c>
      <c r="M39" s="44">
        <f t="shared" si="3"/>
        <v>0.4725692307692308</v>
      </c>
      <c r="N39" s="49">
        <f>ROUND(VLOOKUP(A39,'SSP_March''19'!$A$3:$N$1193,14,0),0)</f>
        <v>190445</v>
      </c>
      <c r="O39" s="44">
        <f t="shared" si="4"/>
        <v>1.4649615384615384</v>
      </c>
      <c r="P39" s="45">
        <f>VLOOKUP(A39,'SSP_March''19'!$A$3:$Q$1193,16,0)</f>
        <v>10</v>
      </c>
      <c r="Q39" s="34">
        <f>VLOOKUP(A39,'SSP_March''19'!$A$3:$Q$1193,17,0)</f>
        <v>3</v>
      </c>
      <c r="R39" s="35">
        <f t="shared" si="5"/>
        <v>0.3</v>
      </c>
      <c r="S39" s="49">
        <f>ROUND(VLOOKUP(A39,'SSP_March''19'!$A$3:$T$1193,19,0),0)</f>
        <v>9</v>
      </c>
      <c r="T39" s="44">
        <f>VLOOKUP(A39,'SSP_March''19'!$A$3:$T$1193,20,0)</f>
        <v>0.9</v>
      </c>
      <c r="U39" s="34">
        <f>VLOOKUP(A39,'SSP_March''19'!$A$3:$X$1193,21,0)</f>
        <v>0</v>
      </c>
      <c r="V39" s="34">
        <f>VLOOKUP(A39,'SSP_March''19'!$A$3:$X$1193,22,0)</f>
        <v>0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34" t="s">
        <v>508</v>
      </c>
      <c r="B40" s="34" t="s">
        <v>509</v>
      </c>
      <c r="C40" s="34" t="s">
        <v>106</v>
      </c>
      <c r="D40" s="34" t="s">
        <v>107</v>
      </c>
      <c r="E40" s="34" t="s">
        <v>3</v>
      </c>
      <c r="F40" s="34" t="s">
        <v>510</v>
      </c>
      <c r="G40" s="54">
        <v>1867354531</v>
      </c>
      <c r="H40" s="54" t="s">
        <v>229</v>
      </c>
      <c r="I40" s="54" t="s">
        <v>3518</v>
      </c>
      <c r="J40" s="34" t="s">
        <v>3419</v>
      </c>
      <c r="K40" s="43">
        <f>VLOOKUP(A40,'SSP_March''19'!$A$3:$L$1193,11,0)</f>
        <v>323207</v>
      </c>
      <c r="L40" s="43">
        <f>VLOOKUP(A40,'SSP_March''19'!$A$3:$L$1193,12,0)</f>
        <v>77758</v>
      </c>
      <c r="M40" s="44">
        <f t="shared" si="3"/>
        <v>0.24058266064782013</v>
      </c>
      <c r="N40" s="49">
        <f>ROUND(VLOOKUP(A40,'SSP_March''19'!$A$3:$N$1193,14,0),0)</f>
        <v>241050</v>
      </c>
      <c r="O40" s="44">
        <f t="shared" si="4"/>
        <v>0.74580686680672137</v>
      </c>
      <c r="P40" s="45">
        <f>VLOOKUP(A40,'SSP_March''19'!$A$3:$Q$1193,16,0)</f>
        <v>12</v>
      </c>
      <c r="Q40" s="34">
        <f>VLOOKUP(A40,'SSP_March''19'!$A$3:$Q$1193,17,0)</f>
        <v>2</v>
      </c>
      <c r="R40" s="35">
        <f t="shared" si="5"/>
        <v>0.16666666666666666</v>
      </c>
      <c r="S40" s="49">
        <f>ROUND(VLOOKUP(A40,'SSP_March''19'!$A$3:$T$1193,19,0),0)</f>
        <v>6</v>
      </c>
      <c r="T40" s="44">
        <f>VLOOKUP(A40,'SSP_March''19'!$A$3:$T$1193,20,0)</f>
        <v>0.5</v>
      </c>
      <c r="U40" s="34">
        <f>VLOOKUP(A40,'SSP_March''19'!$A$3:$X$1193,21,0)</f>
        <v>0</v>
      </c>
      <c r="V40" s="34">
        <f>VLOOKUP(A40,'SSP_March''19'!$A$3:$X$1193,22,0)</f>
        <v>0</v>
      </c>
      <c r="W40" s="34">
        <f>VLOOKUP(A40,'SSP_March''19'!$A$3:$X$1193,23,0)</f>
        <v>0</v>
      </c>
      <c r="X40" s="34">
        <f>VLOOKUP(A40,'SSP_March''19'!$A$3:$X$1193,24,0)</f>
        <v>0</v>
      </c>
    </row>
    <row r="41" spans="1:24">
      <c r="A41" s="34" t="s">
        <v>499</v>
      </c>
      <c r="B41" s="34" t="s">
        <v>500</v>
      </c>
      <c r="C41" s="34" t="s">
        <v>106</v>
      </c>
      <c r="D41" s="34" t="s">
        <v>107</v>
      </c>
      <c r="E41" s="34" t="s">
        <v>3</v>
      </c>
      <c r="F41" s="34" t="s">
        <v>501</v>
      </c>
      <c r="G41" s="54">
        <v>1836251819</v>
      </c>
      <c r="H41" s="54" t="s">
        <v>229</v>
      </c>
      <c r="I41" s="54" t="s">
        <v>3522</v>
      </c>
      <c r="J41" s="34" t="s">
        <v>3419</v>
      </c>
      <c r="K41" s="43">
        <f>VLOOKUP(A41,'SSP_March''19'!$A$3:$L$1193,11,0)</f>
        <v>820126</v>
      </c>
      <c r="L41" s="43">
        <f>VLOOKUP(A41,'SSP_March''19'!$A$3:$L$1193,12,0)</f>
        <v>204558</v>
      </c>
      <c r="M41" s="44">
        <f t="shared" si="3"/>
        <v>0.24942264969041342</v>
      </c>
      <c r="N41" s="49">
        <f>ROUND(VLOOKUP(A41,'SSP_March''19'!$A$3:$N$1193,14,0),0)</f>
        <v>634130</v>
      </c>
      <c r="O41" s="44">
        <f t="shared" si="4"/>
        <v>0.77321045790524867</v>
      </c>
      <c r="P41" s="45">
        <f>VLOOKUP(A41,'SSP_March''19'!$A$3:$Q$1193,16,0)</f>
        <v>32</v>
      </c>
      <c r="Q41" s="34">
        <f>VLOOKUP(A41,'SSP_March''19'!$A$3:$Q$1193,17,0)</f>
        <v>3</v>
      </c>
      <c r="R41" s="35">
        <f t="shared" si="5"/>
        <v>9.375E-2</v>
      </c>
      <c r="S41" s="49">
        <f>ROUND(VLOOKUP(A41,'SSP_March''19'!$A$3:$T$1193,19,0),0)</f>
        <v>9</v>
      </c>
      <c r="T41" s="44">
        <f>VLOOKUP(A41,'SSP_March''19'!$A$3:$T$1193,20,0)</f>
        <v>0.28125</v>
      </c>
      <c r="U41" s="34">
        <f>VLOOKUP(A41,'SSP_March''19'!$A$3:$X$1193,21,0)</f>
        <v>4</v>
      </c>
      <c r="V41" s="34">
        <f>VLOOKUP(A41,'SSP_March''19'!$A$3:$X$1193,22,0)</f>
        <v>0</v>
      </c>
      <c r="W41" s="34">
        <f>VLOOKUP(A41,'SSP_March''19'!$A$3:$X$1193,23,0)</f>
        <v>0</v>
      </c>
      <c r="X41" s="34">
        <f>VLOOKUP(A41,'SSP_March''19'!$A$3:$X$1193,24,0)</f>
        <v>0</v>
      </c>
    </row>
    <row r="42" spans="1:24">
      <c r="A42" s="34" t="s">
        <v>493</v>
      </c>
      <c r="B42" s="34" t="s">
        <v>494</v>
      </c>
      <c r="C42" s="34" t="s">
        <v>106</v>
      </c>
      <c r="D42" s="34" t="s">
        <v>107</v>
      </c>
      <c r="E42" s="34" t="s">
        <v>3</v>
      </c>
      <c r="F42" s="34" t="s">
        <v>495</v>
      </c>
      <c r="G42" s="54">
        <v>1867109291</v>
      </c>
      <c r="H42" s="54" t="s">
        <v>229</v>
      </c>
      <c r="I42" s="54" t="s">
        <v>3518</v>
      </c>
      <c r="J42" s="34" t="s">
        <v>3421</v>
      </c>
      <c r="K42" s="43">
        <f>VLOOKUP(A42,'SSP_March''19'!$A$3:$L$1193,11,0)</f>
        <v>347281</v>
      </c>
      <c r="L42" s="43">
        <f>VLOOKUP(A42,'SSP_March''19'!$A$3:$L$1193,12,0)</f>
        <v>118774</v>
      </c>
      <c r="M42" s="44">
        <f t="shared" si="3"/>
        <v>0.34201122433994374</v>
      </c>
      <c r="N42" s="49">
        <f>ROUND(VLOOKUP(A42,'SSP_March''19'!$A$3:$N$1193,14,0),0)</f>
        <v>368199</v>
      </c>
      <c r="O42" s="44">
        <f t="shared" si="4"/>
        <v>1.0602336436488031</v>
      </c>
      <c r="P42" s="45">
        <f>VLOOKUP(A42,'SSP_March''19'!$A$3:$Q$1193,16,0)</f>
        <v>12</v>
      </c>
      <c r="Q42" s="34">
        <f>VLOOKUP(A42,'SSP_March''19'!$A$3:$Q$1193,17,0)</f>
        <v>4</v>
      </c>
      <c r="R42" s="35">
        <f t="shared" si="5"/>
        <v>0.33333333333333331</v>
      </c>
      <c r="S42" s="49">
        <f>ROUND(VLOOKUP(A42,'SSP_March''19'!$A$3:$T$1193,19,0),0)</f>
        <v>12</v>
      </c>
      <c r="T42" s="44">
        <f>VLOOKUP(A42,'SSP_March''19'!$A$3:$T$1193,20,0)</f>
        <v>1</v>
      </c>
      <c r="U42" s="34">
        <f>VLOOKUP(A42,'SSP_March''19'!$A$3:$X$1193,21,0)</f>
        <v>0</v>
      </c>
      <c r="V42" s="34">
        <f>VLOOKUP(A42,'SSP_March''19'!$A$3:$X$1193,22,0)</f>
        <v>1</v>
      </c>
      <c r="W42" s="34">
        <f>VLOOKUP(A42,'SSP_March''19'!$A$3:$X$1193,23,0)</f>
        <v>0</v>
      </c>
      <c r="X42" s="34">
        <f>VLOOKUP(A42,'SSP_March''19'!$A$3:$X$1193,24,0)</f>
        <v>1</v>
      </c>
    </row>
    <row r="43" spans="1:24">
      <c r="A43" s="34" t="s">
        <v>490</v>
      </c>
      <c r="B43" s="34" t="s">
        <v>491</v>
      </c>
      <c r="C43" s="34" t="s">
        <v>106</v>
      </c>
      <c r="D43" s="34" t="s">
        <v>107</v>
      </c>
      <c r="E43" s="34" t="s">
        <v>3</v>
      </c>
      <c r="F43" s="34" t="s">
        <v>492</v>
      </c>
      <c r="G43" s="54">
        <v>1819920403</v>
      </c>
      <c r="H43" s="54" t="s">
        <v>229</v>
      </c>
      <c r="I43" s="54" t="s">
        <v>3514</v>
      </c>
      <c r="J43" s="34" t="s">
        <v>3421</v>
      </c>
      <c r="K43" s="43">
        <f>VLOOKUP(A43,'SSP_March''19'!$A$3:$L$1193,11,0)</f>
        <v>130000</v>
      </c>
      <c r="L43" s="43">
        <f>VLOOKUP(A43,'SSP_March''19'!$A$3:$L$1193,12,0)</f>
        <v>9880</v>
      </c>
      <c r="M43" s="44">
        <f t="shared" si="3"/>
        <v>7.5999999999999998E-2</v>
      </c>
      <c r="N43" s="49">
        <f>ROUND(VLOOKUP(A43,'SSP_March''19'!$A$3:$N$1193,14,0),0)</f>
        <v>30628</v>
      </c>
      <c r="O43" s="44">
        <f t="shared" si="4"/>
        <v>0.2356</v>
      </c>
      <c r="P43" s="45">
        <f>VLOOKUP(A43,'SSP_March''19'!$A$3:$Q$1193,16,0)</f>
        <v>10</v>
      </c>
      <c r="Q43" s="34">
        <f>VLOOKUP(A43,'SSP_March''19'!$A$3:$Q$1193,17,0)</f>
        <v>1</v>
      </c>
      <c r="R43" s="35">
        <f t="shared" si="5"/>
        <v>0.1</v>
      </c>
      <c r="S43" s="49">
        <f>ROUND(VLOOKUP(A43,'SSP_March''19'!$A$3:$T$1193,19,0),0)</f>
        <v>3</v>
      </c>
      <c r="T43" s="44">
        <f>VLOOKUP(A43,'SSP_March''19'!$A$3:$T$1193,20,0)</f>
        <v>0.3</v>
      </c>
      <c r="U43" s="34">
        <f>VLOOKUP(A43,'SSP_March''19'!$A$3:$X$1193,21,0)</f>
        <v>0</v>
      </c>
      <c r="V43" s="34">
        <f>VLOOKUP(A43,'SSP_March''19'!$A$3:$X$1193,22,0)</f>
        <v>0</v>
      </c>
      <c r="W43" s="34">
        <f>VLOOKUP(A43,'SSP_March''19'!$A$3:$X$1193,23,0)</f>
        <v>0</v>
      </c>
      <c r="X43" s="34">
        <f>VLOOKUP(A43,'SSP_March''19'!$A$3:$X$1193,24,0)</f>
        <v>0</v>
      </c>
    </row>
    <row r="44" spans="1:24">
      <c r="A44" s="34" t="s">
        <v>454</v>
      </c>
      <c r="B44" s="34" t="s">
        <v>455</v>
      </c>
      <c r="C44" s="34" t="s">
        <v>106</v>
      </c>
      <c r="D44" s="34" t="s">
        <v>107</v>
      </c>
      <c r="E44" s="34" t="s">
        <v>3</v>
      </c>
      <c r="F44" s="34" t="s">
        <v>456</v>
      </c>
      <c r="G44" s="54">
        <v>1813487512</v>
      </c>
      <c r="H44" s="54" t="s">
        <v>229</v>
      </c>
      <c r="I44" s="54" t="s">
        <v>3514</v>
      </c>
      <c r="J44" s="34" t="s">
        <v>3421</v>
      </c>
      <c r="K44" s="43">
        <f>VLOOKUP(A44,'SSP_March''19'!$A$3:$L$1193,11,0)</f>
        <v>199950</v>
      </c>
      <c r="L44" s="43">
        <f>VLOOKUP(A44,'SSP_March''19'!$A$3:$L$1193,12,0)</f>
        <v>92610</v>
      </c>
      <c r="M44" s="44">
        <f t="shared" si="3"/>
        <v>0.46316579144786196</v>
      </c>
      <c r="N44" s="49">
        <f>ROUND(VLOOKUP(A44,'SSP_March''19'!$A$3:$N$1193,14,0),0)</f>
        <v>287091</v>
      </c>
      <c r="O44" s="44">
        <f t="shared" si="4"/>
        <v>1.435813953488372</v>
      </c>
      <c r="P44" s="45">
        <f>VLOOKUP(A44,'SSP_March''19'!$A$3:$Q$1193,16,0)</f>
        <v>10</v>
      </c>
      <c r="Q44" s="34">
        <f>VLOOKUP(A44,'SSP_March''19'!$A$3:$Q$1193,17,0)</f>
        <v>1</v>
      </c>
      <c r="R44" s="35">
        <f t="shared" si="5"/>
        <v>0.1</v>
      </c>
      <c r="S44" s="49">
        <f>ROUND(VLOOKUP(A44,'SSP_March''19'!$A$3:$T$1193,19,0),0)</f>
        <v>3</v>
      </c>
      <c r="T44" s="44">
        <f>VLOOKUP(A44,'SSP_March''19'!$A$3:$T$1193,20,0)</f>
        <v>0.3</v>
      </c>
      <c r="U44" s="34">
        <f>VLOOKUP(A44,'SSP_March''19'!$A$3:$X$1193,21,0)</f>
        <v>4</v>
      </c>
      <c r="V44" s="34">
        <f>VLOOKUP(A44,'SSP_March''19'!$A$3:$X$1193,22,0)</f>
        <v>0</v>
      </c>
      <c r="W44" s="34">
        <f>VLOOKUP(A44,'SSP_March''19'!$A$3:$X$1193,23,0)</f>
        <v>0</v>
      </c>
      <c r="X44" s="34">
        <f>VLOOKUP(A44,'SSP_March''19'!$A$3:$X$1193,24,0)</f>
        <v>0</v>
      </c>
    </row>
    <row r="45" spans="1:24">
      <c r="A45" s="34" t="s">
        <v>3095</v>
      </c>
      <c r="B45" s="34" t="s">
        <v>3096</v>
      </c>
      <c r="C45" s="34" t="s">
        <v>106</v>
      </c>
      <c r="D45" s="34" t="s">
        <v>107</v>
      </c>
      <c r="E45" s="34" t="s">
        <v>3</v>
      </c>
      <c r="F45" s="34" t="s">
        <v>3097</v>
      </c>
      <c r="G45" s="54">
        <v>1836251819</v>
      </c>
      <c r="H45" s="54" t="s">
        <v>229</v>
      </c>
      <c r="I45" s="54" t="s">
        <v>3514</v>
      </c>
      <c r="J45" s="34" t="s">
        <v>3421</v>
      </c>
      <c r="K45" s="43">
        <f>VLOOKUP(A45,'SSP_March''19'!$A$3:$L$1193,11,0)</f>
        <v>130000</v>
      </c>
      <c r="L45" s="43">
        <f>VLOOKUP(A45,'SSP_March''19'!$A$3:$L$1193,12,0)</f>
        <v>19695</v>
      </c>
      <c r="M45" s="44">
        <f t="shared" si="3"/>
        <v>0.1515</v>
      </c>
      <c r="N45" s="49">
        <f>ROUND(VLOOKUP(A45,'SSP_March''19'!$A$3:$N$1193,14,0),0)</f>
        <v>61055</v>
      </c>
      <c r="O45" s="44">
        <f t="shared" si="4"/>
        <v>0.46965384615384614</v>
      </c>
      <c r="P45" s="45">
        <f>VLOOKUP(A45,'SSP_March''19'!$A$3:$Q$1193,16,0)</f>
        <v>10</v>
      </c>
      <c r="Q45" s="34">
        <f>VLOOKUP(A45,'SSP_March''19'!$A$3:$Q$1193,17,0)</f>
        <v>1</v>
      </c>
      <c r="R45" s="35">
        <f t="shared" si="5"/>
        <v>0.1</v>
      </c>
      <c r="S45" s="49">
        <f>ROUND(VLOOKUP(A45,'SSP_March''19'!$A$3:$T$1193,19,0),0)</f>
        <v>3</v>
      </c>
      <c r="T45" s="44">
        <f>VLOOKUP(A45,'SSP_March''19'!$A$3:$T$1193,20,0)</f>
        <v>0.3</v>
      </c>
      <c r="U45" s="34">
        <f>VLOOKUP(A45,'SSP_March''19'!$A$3:$X$1193,21,0)</f>
        <v>0</v>
      </c>
      <c r="V45" s="34">
        <f>VLOOKUP(A45,'SSP_March''19'!$A$3:$X$1193,22,0)</f>
        <v>0</v>
      </c>
      <c r="W45" s="34">
        <f>VLOOKUP(A45,'SSP_March''19'!$A$3:$X$1193,23,0)</f>
        <v>0</v>
      </c>
      <c r="X45" s="34">
        <f>VLOOKUP(A45,'SSP_March''19'!$A$3:$X$1193,24,0)</f>
        <v>0</v>
      </c>
    </row>
    <row r="46" spans="1:24">
      <c r="A46" s="34" t="s">
        <v>487</v>
      </c>
      <c r="B46" s="34" t="s">
        <v>488</v>
      </c>
      <c r="C46" s="34" t="s">
        <v>106</v>
      </c>
      <c r="D46" s="34" t="s">
        <v>107</v>
      </c>
      <c r="E46" s="34" t="s">
        <v>3</v>
      </c>
      <c r="F46" s="34" t="s">
        <v>489</v>
      </c>
      <c r="G46" s="54">
        <v>1812792787</v>
      </c>
      <c r="H46" s="54" t="s">
        <v>229</v>
      </c>
      <c r="I46" s="54" t="s">
        <v>3514</v>
      </c>
      <c r="J46" s="34" t="s">
        <v>3421</v>
      </c>
      <c r="K46" s="43">
        <f>VLOOKUP(A46,'SSP_March''19'!$A$3:$L$1193,11,0)</f>
        <v>130000</v>
      </c>
      <c r="L46" s="43">
        <f>VLOOKUP(A46,'SSP_March''19'!$A$3:$L$1193,12,0)</f>
        <v>46860</v>
      </c>
      <c r="M46" s="44">
        <f t="shared" si="3"/>
        <v>0.36046153846153844</v>
      </c>
      <c r="N46" s="49">
        <f>ROUND(VLOOKUP(A46,'SSP_March''19'!$A$3:$N$1193,14,0),0)</f>
        <v>145266</v>
      </c>
      <c r="O46" s="44">
        <f t="shared" si="4"/>
        <v>1.1174307692307692</v>
      </c>
      <c r="P46" s="45">
        <f>VLOOKUP(A46,'SSP_March''19'!$A$3:$Q$1193,16,0)</f>
        <v>10</v>
      </c>
      <c r="Q46" s="34">
        <f>VLOOKUP(A46,'SSP_March''19'!$A$3:$Q$1193,17,0)</f>
        <v>1</v>
      </c>
      <c r="R46" s="35">
        <f t="shared" si="5"/>
        <v>0.1</v>
      </c>
      <c r="S46" s="49">
        <f>ROUND(VLOOKUP(A46,'SSP_March''19'!$A$3:$T$1193,19,0),0)</f>
        <v>3</v>
      </c>
      <c r="T46" s="44">
        <f>VLOOKUP(A46,'SSP_March''19'!$A$3:$T$1193,20,0)</f>
        <v>0.3</v>
      </c>
      <c r="U46" s="34">
        <f>VLOOKUP(A46,'SSP_March''19'!$A$3:$X$1193,21,0)</f>
        <v>0</v>
      </c>
      <c r="V46" s="34">
        <f>VLOOKUP(A46,'SSP_March''19'!$A$3:$X$1193,22,0)</f>
        <v>0</v>
      </c>
      <c r="W46" s="34">
        <f>VLOOKUP(A46,'SSP_March''19'!$A$3:$X$1193,23,0)</f>
        <v>0</v>
      </c>
      <c r="X46" s="34">
        <f>VLOOKUP(A46,'SSP_March''19'!$A$3:$X$1193,24,0)</f>
        <v>0</v>
      </c>
    </row>
    <row r="47" spans="1:24">
      <c r="A47" s="75" t="s">
        <v>3532</v>
      </c>
      <c r="B47" s="75" t="s">
        <v>3533</v>
      </c>
      <c r="C47" s="75" t="s">
        <v>106</v>
      </c>
      <c r="D47" s="75" t="s">
        <v>107</v>
      </c>
      <c r="E47" s="75" t="s">
        <v>3</v>
      </c>
      <c r="F47" s="75" t="s">
        <v>235</v>
      </c>
      <c r="G47" s="67">
        <v>1812548881</v>
      </c>
      <c r="H47" s="54" t="s">
        <v>229</v>
      </c>
      <c r="I47" s="54" t="s">
        <v>3514</v>
      </c>
      <c r="J47" s="34" t="s">
        <v>3419</v>
      </c>
      <c r="K47" s="43">
        <f>VLOOKUP(A47,'SSP_March''19'!$A$3:$L$1193,11,0)</f>
        <v>130000</v>
      </c>
      <c r="L47" s="43">
        <f>VLOOKUP(A47,'SSP_March''19'!$A$3:$L$1193,12,0)</f>
        <v>22160</v>
      </c>
      <c r="M47" s="44">
        <f t="shared" si="3"/>
        <v>0.17046153846153847</v>
      </c>
      <c r="N47" s="49">
        <f>ROUND(VLOOKUP(A47,'SSP_March''19'!$A$3:$N$1193,14,0),0)</f>
        <v>68696</v>
      </c>
      <c r="O47" s="44">
        <f t="shared" si="4"/>
        <v>0.52843076923076926</v>
      </c>
      <c r="P47" s="45">
        <f>VLOOKUP(A47,'SSP_March''19'!$A$3:$Q$1193,16,0)</f>
        <v>10</v>
      </c>
      <c r="Q47" s="34">
        <f>VLOOKUP(A47,'SSP_March''19'!$A$3:$Q$1193,17,0)</f>
        <v>1</v>
      </c>
      <c r="R47" s="35">
        <f t="shared" si="5"/>
        <v>0.1</v>
      </c>
      <c r="S47" s="49">
        <f>ROUND(VLOOKUP(A47,'SSP_March''19'!$A$3:$T$1193,19,0),0)</f>
        <v>3</v>
      </c>
      <c r="T47" s="44">
        <f>VLOOKUP(A47,'SSP_March''19'!$A$3:$T$1193,20,0)</f>
        <v>0.3</v>
      </c>
      <c r="U47" s="34">
        <f>VLOOKUP(A47,'SSP_March''19'!$A$3:$X$1193,21,0)</f>
        <v>0</v>
      </c>
      <c r="V47" s="34">
        <f>VLOOKUP(A47,'SSP_March''19'!$A$3:$X$1193,22,0)</f>
        <v>0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34" t="s">
        <v>469</v>
      </c>
      <c r="B48" s="34" t="s">
        <v>470</v>
      </c>
      <c r="C48" s="34" t="s">
        <v>106</v>
      </c>
      <c r="D48" s="34" t="s">
        <v>107</v>
      </c>
      <c r="E48" s="34" t="s">
        <v>3</v>
      </c>
      <c r="F48" s="34" t="s">
        <v>471</v>
      </c>
      <c r="G48" s="54">
        <v>1833421192</v>
      </c>
      <c r="H48" s="54" t="s">
        <v>229</v>
      </c>
      <c r="I48" s="54" t="s">
        <v>3514</v>
      </c>
      <c r="J48" s="34" t="s">
        <v>3421</v>
      </c>
      <c r="K48" s="43">
        <f>VLOOKUP(A48,'SSP_March''19'!$A$3:$L$1193,11,0)</f>
        <v>130000</v>
      </c>
      <c r="L48" s="43">
        <f>VLOOKUP(A48,'SSP_March''19'!$A$3:$L$1193,12,0)</f>
        <v>0</v>
      </c>
      <c r="M48" s="44">
        <f t="shared" si="3"/>
        <v>0</v>
      </c>
      <c r="N48" s="49">
        <f>ROUND(VLOOKUP(A48,'SSP_March''19'!$A$3:$N$1193,14,0),0)</f>
        <v>0</v>
      </c>
      <c r="O48" s="44">
        <f t="shared" si="4"/>
        <v>0</v>
      </c>
      <c r="P48" s="45">
        <f>VLOOKUP(A48,'SSP_March''19'!$A$3:$Q$1193,16,0)</f>
        <v>10</v>
      </c>
      <c r="Q48" s="34">
        <f>VLOOKUP(A48,'SSP_March''19'!$A$3:$Q$1193,17,0)</f>
        <v>0</v>
      </c>
      <c r="R48" s="35">
        <f t="shared" si="5"/>
        <v>0</v>
      </c>
      <c r="S48" s="49">
        <f>ROUND(VLOOKUP(A48,'SSP_March''19'!$A$3:$T$1193,19,0),0)</f>
        <v>0</v>
      </c>
      <c r="T48" s="44">
        <f>VLOOKUP(A48,'SSP_March''19'!$A$3:$T$1193,20,0)</f>
        <v>0</v>
      </c>
      <c r="U48" s="34">
        <f>VLOOKUP(A48,'SSP_March''19'!$A$3:$X$1193,21,0)</f>
        <v>0</v>
      </c>
      <c r="V48" s="34">
        <f>VLOOKUP(A48,'SSP_March''19'!$A$3:$X$1193,22,0)</f>
        <v>0</v>
      </c>
      <c r="W48" s="34">
        <f>VLOOKUP(A48,'SSP_March''19'!$A$3:$X$1193,23,0)</f>
        <v>0</v>
      </c>
      <c r="X48" s="34">
        <f>VLOOKUP(A48,'SSP_March''19'!$A$3:$X$1193,24,0)</f>
        <v>0</v>
      </c>
    </row>
    <row r="49" spans="1:24">
      <c r="A49" s="34" t="s">
        <v>502</v>
      </c>
      <c r="B49" s="34" t="s">
        <v>503</v>
      </c>
      <c r="C49" s="34" t="s">
        <v>106</v>
      </c>
      <c r="D49" s="34" t="s">
        <v>107</v>
      </c>
      <c r="E49" s="34" t="s">
        <v>3</v>
      </c>
      <c r="F49" s="34" t="s">
        <v>504</v>
      </c>
      <c r="G49" s="54">
        <v>1835365151</v>
      </c>
      <c r="H49" s="54" t="s">
        <v>229</v>
      </c>
      <c r="I49" s="54" t="s">
        <v>3514</v>
      </c>
      <c r="J49" s="34" t="s">
        <v>3421</v>
      </c>
      <c r="K49" s="43">
        <f>VLOOKUP(A49,'SSP_March''19'!$A$3:$L$1193,11,0)</f>
        <v>130000</v>
      </c>
      <c r="L49" s="43">
        <f>VLOOKUP(A49,'SSP_March''19'!$A$3:$L$1193,12,0)</f>
        <v>33340</v>
      </c>
      <c r="M49" s="44">
        <f t="shared" si="3"/>
        <v>0.25646153846153846</v>
      </c>
      <c r="N49" s="49">
        <f>ROUND(VLOOKUP(A49,'SSP_March''19'!$A$3:$N$1193,14,0),0)</f>
        <v>103354</v>
      </c>
      <c r="O49" s="44">
        <f t="shared" si="4"/>
        <v>0.79503076923076921</v>
      </c>
      <c r="P49" s="45">
        <f>VLOOKUP(A49,'SSP_March''19'!$A$3:$Q$1193,16,0)</f>
        <v>10</v>
      </c>
      <c r="Q49" s="34">
        <f>VLOOKUP(A49,'SSP_March''19'!$A$3:$Q$1193,17,0)</f>
        <v>3</v>
      </c>
      <c r="R49" s="35">
        <f t="shared" si="5"/>
        <v>0.3</v>
      </c>
      <c r="S49" s="49">
        <f>ROUND(VLOOKUP(A49,'SSP_March''19'!$A$3:$T$1193,19,0),0)</f>
        <v>9</v>
      </c>
      <c r="T49" s="44">
        <f>VLOOKUP(A49,'SSP_March''19'!$A$3:$T$1193,20,0)</f>
        <v>0.9</v>
      </c>
      <c r="U49" s="34">
        <f>VLOOKUP(A49,'SSP_March''19'!$A$3:$X$1193,21,0)</f>
        <v>0</v>
      </c>
      <c r="V49" s="34">
        <f>VLOOKUP(A49,'SSP_March''19'!$A$3:$X$1193,22,0)</f>
        <v>0</v>
      </c>
      <c r="W49" s="34">
        <f>VLOOKUP(A49,'SSP_March''19'!$A$3:$X$1193,23,0)</f>
        <v>1</v>
      </c>
      <c r="X49" s="34">
        <f>VLOOKUP(A49,'SSP_March''19'!$A$3:$X$1193,24,0)</f>
        <v>0</v>
      </c>
    </row>
    <row r="50" spans="1:24">
      <c r="A50" s="34" t="s">
        <v>460</v>
      </c>
      <c r="B50" s="34" t="s">
        <v>461</v>
      </c>
      <c r="C50" s="34" t="s">
        <v>106</v>
      </c>
      <c r="D50" s="34" t="s">
        <v>107</v>
      </c>
      <c r="E50" s="34" t="s">
        <v>3</v>
      </c>
      <c r="F50" s="34" t="s">
        <v>462</v>
      </c>
      <c r="G50" s="54">
        <v>1839700300</v>
      </c>
      <c r="H50" s="54" t="s">
        <v>229</v>
      </c>
      <c r="I50" s="54" t="s">
        <v>3514</v>
      </c>
      <c r="J50" s="34" t="s">
        <v>3421</v>
      </c>
      <c r="K50" s="43">
        <f>VLOOKUP(A50,'SSP_March''19'!$A$3:$L$1193,11,0)</f>
        <v>130000</v>
      </c>
      <c r="L50" s="43">
        <f>VLOOKUP(A50,'SSP_March''19'!$A$3:$L$1193,12,0)</f>
        <v>21870</v>
      </c>
      <c r="M50" s="44">
        <f t="shared" si="3"/>
        <v>0.16823076923076924</v>
      </c>
      <c r="N50" s="49">
        <f>ROUND(VLOOKUP(A50,'SSP_March''19'!$A$3:$N$1193,14,0),0)</f>
        <v>67797</v>
      </c>
      <c r="O50" s="44">
        <f t="shared" si="4"/>
        <v>0.5215153846153846</v>
      </c>
      <c r="P50" s="45">
        <f>VLOOKUP(A50,'SSP_March''19'!$A$3:$Q$1193,16,0)</f>
        <v>10</v>
      </c>
      <c r="Q50" s="34">
        <f>VLOOKUP(A50,'SSP_March''19'!$A$3:$Q$1193,17,0)</f>
        <v>2</v>
      </c>
      <c r="R50" s="35">
        <f t="shared" si="5"/>
        <v>0.2</v>
      </c>
      <c r="S50" s="49">
        <f>ROUND(VLOOKUP(A50,'SSP_March''19'!$A$3:$T$1193,19,0),0)</f>
        <v>6</v>
      </c>
      <c r="T50" s="44">
        <f>VLOOKUP(A50,'SSP_March''19'!$A$3:$T$1193,20,0)</f>
        <v>0.6</v>
      </c>
      <c r="U50" s="34">
        <f>VLOOKUP(A50,'SSP_March''19'!$A$3:$X$1193,21,0)</f>
        <v>0</v>
      </c>
      <c r="V50" s="34">
        <f>VLOOKUP(A50,'SSP_March''19'!$A$3:$X$1193,22,0)</f>
        <v>0</v>
      </c>
      <c r="W50" s="34">
        <f>VLOOKUP(A50,'SSP_March''19'!$A$3:$X$1193,23,0)</f>
        <v>1</v>
      </c>
      <c r="X50" s="34">
        <f>VLOOKUP(A50,'SSP_March''19'!$A$3:$X$1193,24,0)</f>
        <v>1</v>
      </c>
    </row>
    <row r="51" spans="1:24">
      <c r="A51" s="34" t="s">
        <v>466</v>
      </c>
      <c r="B51" s="34" t="s">
        <v>467</v>
      </c>
      <c r="C51" s="34" t="s">
        <v>106</v>
      </c>
      <c r="D51" s="34" t="s">
        <v>107</v>
      </c>
      <c r="E51" s="34" t="s">
        <v>3</v>
      </c>
      <c r="F51" s="34" t="s">
        <v>468</v>
      </c>
      <c r="G51" s="54">
        <v>1711748178</v>
      </c>
      <c r="H51" s="54" t="s">
        <v>229</v>
      </c>
      <c r="I51" s="54" t="s">
        <v>3514</v>
      </c>
      <c r="J51" s="34" t="s">
        <v>3421</v>
      </c>
      <c r="K51" s="43">
        <f>VLOOKUP(A51,'SSP_March''19'!$A$3:$L$1193,11,0)</f>
        <v>130000</v>
      </c>
      <c r="L51" s="43">
        <f>VLOOKUP(A51,'SSP_March''19'!$A$3:$L$1193,12,0)</f>
        <v>29500</v>
      </c>
      <c r="M51" s="44">
        <f t="shared" si="3"/>
        <v>0.22692307692307692</v>
      </c>
      <c r="N51" s="49">
        <f>ROUND(VLOOKUP(A51,'SSP_March''19'!$A$3:$N$1193,14,0),0)</f>
        <v>91450</v>
      </c>
      <c r="O51" s="44">
        <f t="shared" si="4"/>
        <v>0.70346153846153847</v>
      </c>
      <c r="P51" s="45">
        <f>VLOOKUP(A51,'SSP_March''19'!$A$3:$Q$1193,16,0)</f>
        <v>10</v>
      </c>
      <c r="Q51" s="34">
        <f>VLOOKUP(A51,'SSP_March''19'!$A$3:$Q$1193,17,0)</f>
        <v>1</v>
      </c>
      <c r="R51" s="35">
        <f t="shared" si="5"/>
        <v>0.1</v>
      </c>
      <c r="S51" s="49">
        <f>ROUND(VLOOKUP(A51,'SSP_March''19'!$A$3:$T$1193,19,0),0)</f>
        <v>3</v>
      </c>
      <c r="T51" s="44">
        <f>VLOOKUP(A51,'SSP_March''19'!$A$3:$T$1193,20,0)</f>
        <v>0.3</v>
      </c>
      <c r="U51" s="34">
        <f>VLOOKUP(A51,'SSP_March''19'!$A$3:$X$1193,21,0)</f>
        <v>0</v>
      </c>
      <c r="V51" s="34">
        <f>VLOOKUP(A51,'SSP_March''19'!$A$3:$X$1193,22,0)</f>
        <v>0</v>
      </c>
      <c r="W51" s="34">
        <f>VLOOKUP(A51,'SSP_March''19'!$A$3:$X$1193,23,0)</f>
        <v>0</v>
      </c>
      <c r="X51" s="34">
        <f>VLOOKUP(A51,'SSP_March''19'!$A$3:$X$1193,24,0)</f>
        <v>0</v>
      </c>
    </row>
    <row r="52" spans="1:24">
      <c r="A52" s="34" t="s">
        <v>496</v>
      </c>
      <c r="B52" s="34" t="s">
        <v>497</v>
      </c>
      <c r="C52" s="34" t="s">
        <v>106</v>
      </c>
      <c r="D52" s="34" t="s">
        <v>107</v>
      </c>
      <c r="E52" s="34" t="s">
        <v>3</v>
      </c>
      <c r="F52" s="34" t="s">
        <v>498</v>
      </c>
      <c r="G52" s="54">
        <v>1818865559</v>
      </c>
      <c r="H52" s="54" t="s">
        <v>229</v>
      </c>
      <c r="I52" s="54" t="s">
        <v>3514</v>
      </c>
      <c r="J52" s="34" t="s">
        <v>3421</v>
      </c>
      <c r="K52" s="43">
        <f>VLOOKUP(A52,'SSP_March''19'!$A$3:$L$1193,11,0)</f>
        <v>130000</v>
      </c>
      <c r="L52" s="43">
        <f>VLOOKUP(A52,'SSP_March''19'!$A$3:$L$1193,12,0)</f>
        <v>43135</v>
      </c>
      <c r="M52" s="44">
        <f t="shared" si="3"/>
        <v>0.3318076923076923</v>
      </c>
      <c r="N52" s="49">
        <f>ROUND(VLOOKUP(A52,'SSP_March''19'!$A$3:$N$1193,14,0),0)</f>
        <v>133719</v>
      </c>
      <c r="O52" s="44">
        <f t="shared" si="4"/>
        <v>1.0286076923076923</v>
      </c>
      <c r="P52" s="45">
        <f>VLOOKUP(A52,'SSP_March''19'!$A$3:$Q$1193,16,0)</f>
        <v>10</v>
      </c>
      <c r="Q52" s="34">
        <f>VLOOKUP(A52,'SSP_March''19'!$A$3:$Q$1193,17,0)</f>
        <v>3</v>
      </c>
      <c r="R52" s="35">
        <f t="shared" si="5"/>
        <v>0.3</v>
      </c>
      <c r="S52" s="49">
        <f>ROUND(VLOOKUP(A52,'SSP_March''19'!$A$3:$T$1193,19,0),0)</f>
        <v>9</v>
      </c>
      <c r="T52" s="44">
        <f>VLOOKUP(A52,'SSP_March''19'!$A$3:$T$1193,20,0)</f>
        <v>0.9</v>
      </c>
      <c r="U52" s="34">
        <f>VLOOKUP(A52,'SSP_March''19'!$A$3:$X$1193,21,0)</f>
        <v>0</v>
      </c>
      <c r="V52" s="34">
        <f>VLOOKUP(A52,'SSP_March''19'!$A$3:$X$1193,22,0)</f>
        <v>0</v>
      </c>
      <c r="W52" s="34">
        <f>VLOOKUP(A52,'SSP_March''19'!$A$3:$X$1193,23,0)</f>
        <v>0</v>
      </c>
      <c r="X52" s="34">
        <f>VLOOKUP(A52,'SSP_March''19'!$A$3:$X$1193,24,0)</f>
        <v>0</v>
      </c>
    </row>
    <row r="53" spans="1:24">
      <c r="A53" s="34" t="s">
        <v>484</v>
      </c>
      <c r="B53" s="34" t="s">
        <v>485</v>
      </c>
      <c r="C53" s="34" t="s">
        <v>106</v>
      </c>
      <c r="D53" s="34" t="s">
        <v>107</v>
      </c>
      <c r="E53" s="34" t="s">
        <v>3</v>
      </c>
      <c r="F53" s="34" t="s">
        <v>486</v>
      </c>
      <c r="G53" s="54">
        <v>1856504000</v>
      </c>
      <c r="H53" s="54" t="s">
        <v>229</v>
      </c>
      <c r="I53" s="54" t="s">
        <v>3522</v>
      </c>
      <c r="J53" s="34" t="s">
        <v>3419</v>
      </c>
      <c r="K53" s="43">
        <f>VLOOKUP(A53,'SSP_March''19'!$A$3:$L$1193,11,0)</f>
        <v>681080</v>
      </c>
      <c r="L53" s="43">
        <f>VLOOKUP(A53,'SSP_March''19'!$A$3:$L$1193,12,0)</f>
        <v>258385</v>
      </c>
      <c r="M53" s="44">
        <f t="shared" si="3"/>
        <v>0.37937540377048218</v>
      </c>
      <c r="N53" s="49">
        <f>ROUND(VLOOKUP(A53,'SSP_March''19'!$A$3:$N$1193,14,0),0)</f>
        <v>800994</v>
      </c>
      <c r="O53" s="44">
        <f t="shared" si="4"/>
        <v>1.1760644858166442</v>
      </c>
      <c r="P53" s="45">
        <f>VLOOKUP(A53,'SSP_March''19'!$A$3:$Q$1193,16,0)</f>
        <v>16</v>
      </c>
      <c r="Q53" s="34">
        <f>VLOOKUP(A53,'SSP_March''19'!$A$3:$Q$1193,17,0)</f>
        <v>9</v>
      </c>
      <c r="R53" s="35">
        <f t="shared" si="5"/>
        <v>0.5625</v>
      </c>
      <c r="S53" s="49">
        <f>ROUND(VLOOKUP(A53,'SSP_March''19'!$A$3:$T$1193,19,0),0)</f>
        <v>28</v>
      </c>
      <c r="T53" s="44">
        <f>VLOOKUP(A53,'SSP_March''19'!$A$3:$T$1193,20,0)</f>
        <v>1.75</v>
      </c>
      <c r="U53" s="34">
        <f>VLOOKUP(A53,'SSP_March''19'!$A$3:$X$1193,21,0)</f>
        <v>0</v>
      </c>
      <c r="V53" s="34">
        <f>VLOOKUP(A53,'SSP_March''19'!$A$3:$X$1193,22,0)</f>
        <v>1</v>
      </c>
      <c r="W53" s="34">
        <f>VLOOKUP(A53,'SSP_March''19'!$A$3:$X$1193,23,0)</f>
        <v>0</v>
      </c>
      <c r="X53" s="34">
        <f>VLOOKUP(A53,'SSP_March''19'!$A$3:$X$1193,24,0)</f>
        <v>0</v>
      </c>
    </row>
    <row r="54" spans="1:24">
      <c r="A54" s="34" t="s">
        <v>472</v>
      </c>
      <c r="B54" s="34" t="s">
        <v>473</v>
      </c>
      <c r="C54" s="34" t="s">
        <v>106</v>
      </c>
      <c r="D54" s="34" t="s">
        <v>107</v>
      </c>
      <c r="E54" s="34" t="s">
        <v>3</v>
      </c>
      <c r="F54" s="34" t="s">
        <v>474</v>
      </c>
      <c r="G54" s="54">
        <v>1819942848</v>
      </c>
      <c r="H54" s="54" t="s">
        <v>229</v>
      </c>
      <c r="I54" s="54" t="s">
        <v>3522</v>
      </c>
      <c r="J54" s="34" t="s">
        <v>3419</v>
      </c>
      <c r="K54" s="43">
        <f>VLOOKUP(A54,'SSP_March''19'!$A$3:$L$1193,11,0)</f>
        <v>968241</v>
      </c>
      <c r="L54" s="43">
        <f>VLOOKUP(A54,'SSP_March''19'!$A$3:$L$1193,12,0)</f>
        <v>387080</v>
      </c>
      <c r="M54" s="44">
        <f t="shared" si="3"/>
        <v>0.39977650192462416</v>
      </c>
      <c r="N54" s="49">
        <f>ROUND(VLOOKUP(A54,'SSP_March''19'!$A$3:$N$1193,14,0),0)</f>
        <v>1199948</v>
      </c>
      <c r="O54" s="44">
        <f t="shared" si="4"/>
        <v>1.2393071559663349</v>
      </c>
      <c r="P54" s="45">
        <f>VLOOKUP(A54,'SSP_March''19'!$A$3:$Q$1193,16,0)</f>
        <v>31</v>
      </c>
      <c r="Q54" s="34">
        <f>VLOOKUP(A54,'SSP_March''19'!$A$3:$Q$1193,17,0)</f>
        <v>13</v>
      </c>
      <c r="R54" s="35">
        <f t="shared" si="5"/>
        <v>0.41935483870967744</v>
      </c>
      <c r="S54" s="49">
        <f>ROUND(VLOOKUP(A54,'SSP_March''19'!$A$3:$T$1193,19,0),0)</f>
        <v>40</v>
      </c>
      <c r="T54" s="44">
        <f>VLOOKUP(A54,'SSP_March''19'!$A$3:$T$1193,20,0)</f>
        <v>1.2903225806451613</v>
      </c>
      <c r="U54" s="34">
        <f>VLOOKUP(A54,'SSP_March''19'!$A$3:$X$1193,21,0)</f>
        <v>3</v>
      </c>
      <c r="V54" s="34">
        <f>VLOOKUP(A54,'SSP_March''19'!$A$3:$X$1193,22,0)</f>
        <v>1</v>
      </c>
      <c r="W54" s="34">
        <f>VLOOKUP(A54,'SSP_March''19'!$A$3:$X$1193,23,0)</f>
        <v>0</v>
      </c>
      <c r="X54" s="34">
        <f>VLOOKUP(A54,'SSP_March''19'!$A$3:$X$1193,24,0)</f>
        <v>0</v>
      </c>
    </row>
    <row r="55" spans="1:24">
      <c r="A55" s="34" t="s">
        <v>505</v>
      </c>
      <c r="B55" s="34" t="s">
        <v>506</v>
      </c>
      <c r="C55" s="34" t="s">
        <v>106</v>
      </c>
      <c r="D55" s="34" t="s">
        <v>107</v>
      </c>
      <c r="E55" s="34" t="s">
        <v>3</v>
      </c>
      <c r="F55" s="34" t="s">
        <v>507</v>
      </c>
      <c r="G55" s="54">
        <v>1839871536</v>
      </c>
      <c r="H55" s="54" t="s">
        <v>229</v>
      </c>
      <c r="I55" s="54" t="s">
        <v>3514</v>
      </c>
      <c r="J55" s="34" t="s">
        <v>3421</v>
      </c>
      <c r="K55" s="43">
        <f>VLOOKUP(A55,'SSP_March''19'!$A$3:$L$1193,11,0)</f>
        <v>213612</v>
      </c>
      <c r="L55" s="43">
        <f>VLOOKUP(A55,'SSP_March''19'!$A$3:$L$1193,12,0)</f>
        <v>57030</v>
      </c>
      <c r="M55" s="44">
        <f t="shared" si="3"/>
        <v>0.26697938318072018</v>
      </c>
      <c r="N55" s="49">
        <f>ROUND(VLOOKUP(A55,'SSP_March''19'!$A$3:$N$1193,14,0),0)</f>
        <v>176793</v>
      </c>
      <c r="O55" s="44">
        <f t="shared" si="4"/>
        <v>0.82763608786023257</v>
      </c>
      <c r="P55" s="45">
        <f>VLOOKUP(A55,'SSP_March''19'!$A$3:$Q$1193,16,0)</f>
        <v>10</v>
      </c>
      <c r="Q55" s="34">
        <f>VLOOKUP(A55,'SSP_March''19'!$A$3:$Q$1193,17,0)</f>
        <v>1</v>
      </c>
      <c r="R55" s="35">
        <f t="shared" si="5"/>
        <v>0.1</v>
      </c>
      <c r="S55" s="49">
        <f>ROUND(VLOOKUP(A55,'SSP_March''19'!$A$3:$T$1193,19,0),0)</f>
        <v>3</v>
      </c>
      <c r="T55" s="44">
        <f>VLOOKUP(A55,'SSP_March''19'!$A$3:$T$1193,20,0)</f>
        <v>0.3</v>
      </c>
      <c r="U55" s="34">
        <f>VLOOKUP(A55,'SSP_March''19'!$A$3:$X$1193,21,0)</f>
        <v>0</v>
      </c>
      <c r="V55" s="34">
        <f>VLOOKUP(A55,'SSP_March''19'!$A$3:$X$1193,22,0)</f>
        <v>0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34" t="s">
        <v>463</v>
      </c>
      <c r="B56" s="34" t="s">
        <v>464</v>
      </c>
      <c r="C56" s="34" t="s">
        <v>106</v>
      </c>
      <c r="D56" s="34" t="s">
        <v>107</v>
      </c>
      <c r="E56" s="34" t="s">
        <v>3</v>
      </c>
      <c r="F56" s="34" t="s">
        <v>465</v>
      </c>
      <c r="G56" s="54">
        <v>1819381226</v>
      </c>
      <c r="H56" s="54" t="s">
        <v>229</v>
      </c>
      <c r="I56" s="54" t="s">
        <v>3514</v>
      </c>
      <c r="J56" s="34" t="s">
        <v>3421</v>
      </c>
      <c r="K56" s="43">
        <f>VLOOKUP(A56,'SSP_March''19'!$A$3:$L$1193,11,0)</f>
        <v>253572</v>
      </c>
      <c r="L56" s="43">
        <f>VLOOKUP(A56,'SSP_March''19'!$A$3:$L$1193,12,0)</f>
        <v>37880</v>
      </c>
      <c r="M56" s="44">
        <f t="shared" si="3"/>
        <v>0.14938557884939976</v>
      </c>
      <c r="N56" s="49">
        <f>ROUND(VLOOKUP(A56,'SSP_March''19'!$A$3:$N$1193,14,0),0)</f>
        <v>117428</v>
      </c>
      <c r="O56" s="44">
        <f t="shared" si="4"/>
        <v>0.46309529443313929</v>
      </c>
      <c r="P56" s="45">
        <f>VLOOKUP(A56,'SSP_March''19'!$A$3:$Q$1193,16,0)</f>
        <v>16</v>
      </c>
      <c r="Q56" s="34">
        <f>VLOOKUP(A56,'SSP_March''19'!$A$3:$Q$1193,17,0)</f>
        <v>1</v>
      </c>
      <c r="R56" s="35">
        <f t="shared" si="5"/>
        <v>6.25E-2</v>
      </c>
      <c r="S56" s="49">
        <f>ROUND(VLOOKUP(A56,'SSP_March''19'!$A$3:$T$1193,19,0),0)</f>
        <v>3</v>
      </c>
      <c r="T56" s="44">
        <f>VLOOKUP(A56,'SSP_March''19'!$A$3:$T$1193,20,0)</f>
        <v>0.1875</v>
      </c>
      <c r="U56" s="34">
        <f>VLOOKUP(A56,'SSP_March''19'!$A$3:$X$1193,21,0)</f>
        <v>0</v>
      </c>
      <c r="V56" s="34">
        <f>VLOOKUP(A56,'SSP_March''19'!$A$3:$X$1193,22,0)</f>
        <v>0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34" t="s">
        <v>481</v>
      </c>
      <c r="B57" s="34" t="s">
        <v>482</v>
      </c>
      <c r="C57" s="34" t="s">
        <v>106</v>
      </c>
      <c r="D57" s="34" t="s">
        <v>107</v>
      </c>
      <c r="E57" s="34" t="s">
        <v>3</v>
      </c>
      <c r="F57" s="34" t="s">
        <v>483</v>
      </c>
      <c r="G57" s="54">
        <v>1818437986</v>
      </c>
      <c r="H57" s="54" t="s">
        <v>229</v>
      </c>
      <c r="I57" s="54" t="s">
        <v>3514</v>
      </c>
      <c r="J57" s="34" t="s">
        <v>3419</v>
      </c>
      <c r="K57" s="43">
        <f>VLOOKUP(A57,'SSP_March''19'!$A$3:$L$1193,11,0)</f>
        <v>130000</v>
      </c>
      <c r="L57" s="43">
        <f>VLOOKUP(A57,'SSP_March''19'!$A$3:$L$1193,12,0)</f>
        <v>21710</v>
      </c>
      <c r="M57" s="44">
        <f t="shared" si="3"/>
        <v>0.16700000000000001</v>
      </c>
      <c r="N57" s="49">
        <f>ROUND(VLOOKUP(A57,'SSP_March''19'!$A$3:$N$1193,14,0),0)</f>
        <v>67301</v>
      </c>
      <c r="O57" s="44">
        <f t="shared" si="4"/>
        <v>0.51770000000000005</v>
      </c>
      <c r="P57" s="45">
        <f>VLOOKUP(A57,'SSP_March''19'!$A$3:$Q$1193,16,0)</f>
        <v>10</v>
      </c>
      <c r="Q57" s="34">
        <f>VLOOKUP(A57,'SSP_March''19'!$A$3:$Q$1193,17,0)</f>
        <v>1</v>
      </c>
      <c r="R57" s="35">
        <f t="shared" si="5"/>
        <v>0.1</v>
      </c>
      <c r="S57" s="49">
        <f>ROUND(VLOOKUP(A57,'SSP_March''19'!$A$3:$T$1193,19,0),0)</f>
        <v>3</v>
      </c>
      <c r="T57" s="44">
        <f>VLOOKUP(A57,'SSP_March''19'!$A$3:$T$1193,20,0)</f>
        <v>0.3</v>
      </c>
      <c r="U57" s="34">
        <f>VLOOKUP(A57,'SSP_March''19'!$A$3:$X$1193,21,0)</f>
        <v>0</v>
      </c>
      <c r="V57" s="34">
        <f>VLOOKUP(A57,'SSP_March''19'!$A$3:$X$1193,22,0)</f>
        <v>1</v>
      </c>
      <c r="W57" s="34">
        <f>VLOOKUP(A57,'SSP_March''19'!$A$3:$X$1193,23,0)</f>
        <v>0</v>
      </c>
      <c r="X57" s="34">
        <f>VLOOKUP(A57,'SSP_March''19'!$A$3:$X$1193,24,0)</f>
        <v>0</v>
      </c>
    </row>
    <row r="58" spans="1:24">
      <c r="A58" s="34" t="s">
        <v>3092</v>
      </c>
      <c r="B58" s="34" t="s">
        <v>3093</v>
      </c>
      <c r="C58" s="34" t="s">
        <v>198</v>
      </c>
      <c r="D58" s="34" t="s">
        <v>107</v>
      </c>
      <c r="E58" s="34" t="s">
        <v>3</v>
      </c>
      <c r="F58" s="34" t="s">
        <v>3094</v>
      </c>
      <c r="G58" s="54">
        <v>1814819545</v>
      </c>
      <c r="H58" s="54" t="s">
        <v>229</v>
      </c>
      <c r="I58" s="54" t="s">
        <v>3514</v>
      </c>
      <c r="J58" s="34" t="s">
        <v>3421</v>
      </c>
      <c r="K58" s="43">
        <f>VLOOKUP(A58,'SSP_March''19'!$A$3:$L$1193,11,0)</f>
        <v>130000</v>
      </c>
      <c r="L58" s="43">
        <f>VLOOKUP(A58,'SSP_March''19'!$A$3:$L$1193,12,0)</f>
        <v>15980</v>
      </c>
      <c r="M58" s="44">
        <f t="shared" si="3"/>
        <v>0.12292307692307693</v>
      </c>
      <c r="N58" s="49">
        <f>ROUND(VLOOKUP(A58,'SSP_March''19'!$A$3:$N$1193,14,0),0)</f>
        <v>49538</v>
      </c>
      <c r="O58" s="44">
        <f t="shared" si="4"/>
        <v>0.38106153846153845</v>
      </c>
      <c r="P58" s="45">
        <f>VLOOKUP(A58,'SSP_March''19'!$A$3:$Q$1193,16,0)</f>
        <v>10</v>
      </c>
      <c r="Q58" s="34">
        <f>VLOOKUP(A58,'SSP_March''19'!$A$3:$Q$1193,17,0)</f>
        <v>2</v>
      </c>
      <c r="R58" s="35">
        <f t="shared" si="5"/>
        <v>0.2</v>
      </c>
      <c r="S58" s="49">
        <f>ROUND(VLOOKUP(A58,'SSP_March''19'!$A$3:$T$1193,19,0),0)</f>
        <v>6</v>
      </c>
      <c r="T58" s="44">
        <f>VLOOKUP(A58,'SSP_March''19'!$A$3:$T$1193,20,0)</f>
        <v>0.6</v>
      </c>
      <c r="U58" s="34">
        <f>VLOOKUP(A58,'SSP_March''19'!$A$3:$X$1193,21,0)</f>
        <v>0</v>
      </c>
      <c r="V58" s="34">
        <f>VLOOKUP(A58,'SSP_March''19'!$A$3:$X$1193,22,0)</f>
        <v>0</v>
      </c>
      <c r="W58" s="34">
        <f>VLOOKUP(A58,'SSP_March''19'!$A$3:$X$1193,23,0)</f>
        <v>0</v>
      </c>
      <c r="X58" s="34">
        <f>VLOOKUP(A58,'SSP_March''19'!$A$3:$X$1193,24,0)</f>
        <v>0</v>
      </c>
    </row>
    <row r="59" spans="1:24">
      <c r="A59" s="34" t="s">
        <v>515</v>
      </c>
      <c r="B59" s="34" t="s">
        <v>516</v>
      </c>
      <c r="C59" s="34" t="s">
        <v>198</v>
      </c>
      <c r="D59" s="34" t="s">
        <v>107</v>
      </c>
      <c r="E59" s="34" t="s">
        <v>3</v>
      </c>
      <c r="F59" s="34" t="s">
        <v>517</v>
      </c>
      <c r="G59" s="54">
        <v>1819634151</v>
      </c>
      <c r="H59" s="54" t="s">
        <v>229</v>
      </c>
      <c r="I59" s="54" t="s">
        <v>3514</v>
      </c>
      <c r="J59" s="34" t="s">
        <v>3419</v>
      </c>
      <c r="K59" s="43">
        <f>VLOOKUP(A59,'SSP_March''19'!$A$3:$L$1193,11,0)</f>
        <v>130000</v>
      </c>
      <c r="L59" s="43">
        <f>VLOOKUP(A59,'SSP_March''19'!$A$3:$L$1193,12,0)</f>
        <v>44839</v>
      </c>
      <c r="M59" s="44">
        <f t="shared" si="3"/>
        <v>0.34491538461538462</v>
      </c>
      <c r="N59" s="49">
        <f>ROUND(VLOOKUP(A59,'SSP_March''19'!$A$3:$N$1193,14,0),0)</f>
        <v>139001</v>
      </c>
      <c r="O59" s="44">
        <f t="shared" si="4"/>
        <v>1.0692384615384616</v>
      </c>
      <c r="P59" s="45">
        <f>VLOOKUP(A59,'SSP_March''19'!$A$3:$Q$1193,16,0)</f>
        <v>10</v>
      </c>
      <c r="Q59" s="34">
        <f>VLOOKUP(A59,'SSP_March''19'!$A$3:$Q$1193,17,0)</f>
        <v>3</v>
      </c>
      <c r="R59" s="35">
        <f t="shared" si="5"/>
        <v>0.3</v>
      </c>
      <c r="S59" s="49">
        <f>ROUND(VLOOKUP(A59,'SSP_March''19'!$A$3:$T$1193,19,0),0)</f>
        <v>9</v>
      </c>
      <c r="T59" s="44">
        <f>VLOOKUP(A59,'SSP_March''19'!$A$3:$T$1193,20,0)</f>
        <v>0.9</v>
      </c>
      <c r="U59" s="34">
        <f>VLOOKUP(A59,'SSP_March''19'!$A$3:$X$1193,21,0)</f>
        <v>0</v>
      </c>
      <c r="V59" s="34">
        <f>VLOOKUP(A59,'SSP_March''19'!$A$3:$X$1193,22,0)</f>
        <v>1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34" t="s">
        <v>512</v>
      </c>
      <c r="B60" s="34" t="s">
        <v>513</v>
      </c>
      <c r="C60" s="34" t="s">
        <v>198</v>
      </c>
      <c r="D60" s="34" t="s">
        <v>107</v>
      </c>
      <c r="E60" s="34" t="s">
        <v>3</v>
      </c>
      <c r="F60" s="34" t="s">
        <v>514</v>
      </c>
      <c r="G60" s="54">
        <v>1845241708</v>
      </c>
      <c r="H60" s="54" t="s">
        <v>229</v>
      </c>
      <c r="I60" s="54" t="s">
        <v>3514</v>
      </c>
      <c r="J60" s="34" t="s">
        <v>3419</v>
      </c>
      <c r="K60" s="43">
        <f>VLOOKUP(A60,'SSP_March''19'!$A$3:$L$1193,11,0)</f>
        <v>130000</v>
      </c>
      <c r="L60" s="43">
        <f>VLOOKUP(A60,'SSP_March''19'!$A$3:$L$1193,12,0)</f>
        <v>44770</v>
      </c>
      <c r="M60" s="44">
        <f t="shared" si="3"/>
        <v>0.3443846153846154</v>
      </c>
      <c r="N60" s="49">
        <f>ROUND(VLOOKUP(A60,'SSP_March''19'!$A$3:$N$1193,14,0),0)</f>
        <v>138787</v>
      </c>
      <c r="O60" s="44">
        <f t="shared" si="4"/>
        <v>1.0675923076923077</v>
      </c>
      <c r="P60" s="45">
        <f>VLOOKUP(A60,'SSP_March''19'!$A$3:$Q$1193,16,0)</f>
        <v>10</v>
      </c>
      <c r="Q60" s="34">
        <f>VLOOKUP(A60,'SSP_March''19'!$A$3:$Q$1193,17,0)</f>
        <v>3</v>
      </c>
      <c r="R60" s="35">
        <f t="shared" si="5"/>
        <v>0.3</v>
      </c>
      <c r="S60" s="49">
        <f>ROUND(VLOOKUP(A60,'SSP_March''19'!$A$3:$T$1193,19,0),0)</f>
        <v>9</v>
      </c>
      <c r="T60" s="44">
        <f>VLOOKUP(A60,'SSP_March''19'!$A$3:$T$1193,20,0)</f>
        <v>0.9</v>
      </c>
      <c r="U60" s="34">
        <f>VLOOKUP(A60,'SSP_March''19'!$A$3:$X$1193,21,0)</f>
        <v>0</v>
      </c>
      <c r="V60" s="34">
        <f>VLOOKUP(A60,'SSP_March''19'!$A$3:$X$1193,22,0)</f>
        <v>0</v>
      </c>
      <c r="W60" s="34">
        <f>VLOOKUP(A60,'SSP_March''19'!$A$3:$X$1193,23,0)</f>
        <v>0</v>
      </c>
      <c r="X60" s="34">
        <f>VLOOKUP(A60,'SSP_March''19'!$A$3:$X$1193,24,0)</f>
        <v>1</v>
      </c>
    </row>
    <row r="61" spans="1:24">
      <c r="A61" s="75" t="s">
        <v>3534</v>
      </c>
      <c r="B61" s="75" t="s">
        <v>3535</v>
      </c>
      <c r="C61" s="75" t="s">
        <v>198</v>
      </c>
      <c r="D61" s="75" t="s">
        <v>107</v>
      </c>
      <c r="E61" s="75" t="s">
        <v>3</v>
      </c>
      <c r="F61" s="75" t="s">
        <v>1207</v>
      </c>
      <c r="G61" s="67">
        <v>1846109501</v>
      </c>
      <c r="H61" s="54" t="s">
        <v>229</v>
      </c>
      <c r="I61" s="54" t="s">
        <v>3518</v>
      </c>
      <c r="J61" s="34" t="s">
        <v>3419</v>
      </c>
      <c r="K61" s="43">
        <f>VLOOKUP(A61,'SSP_March''19'!$A$3:$L$1193,11,0)</f>
        <v>300000</v>
      </c>
      <c r="L61" s="43">
        <f>VLOOKUP(A61,'SSP_March''19'!$A$3:$L$1193,12,0)</f>
        <v>46060</v>
      </c>
      <c r="M61" s="44">
        <f t="shared" si="3"/>
        <v>0.15353333333333333</v>
      </c>
      <c r="N61" s="49">
        <f>ROUND(VLOOKUP(A61,'SSP_March''19'!$A$3:$N$1193,14,0),0)</f>
        <v>142786</v>
      </c>
      <c r="O61" s="44">
        <f t="shared" si="4"/>
        <v>0.47595333333333334</v>
      </c>
      <c r="P61" s="45">
        <f>VLOOKUP(A61,'SSP_March''19'!$A$3:$Q$1193,16,0)</f>
        <v>20</v>
      </c>
      <c r="Q61" s="34">
        <f>VLOOKUP(A61,'SSP_March''19'!$A$3:$Q$1193,17,0)</f>
        <v>5</v>
      </c>
      <c r="R61" s="35">
        <f t="shared" si="5"/>
        <v>0.25</v>
      </c>
      <c r="S61" s="49">
        <f>ROUND(VLOOKUP(A61,'SSP_March''19'!$A$3:$T$1193,19,0),0)</f>
        <v>16</v>
      </c>
      <c r="T61" s="44">
        <f>VLOOKUP(A61,'SSP_March''19'!$A$3:$T$1193,20,0)</f>
        <v>0.8</v>
      </c>
      <c r="U61" s="34">
        <f>VLOOKUP(A61,'SSP_March''19'!$A$3:$X$1193,21,0)</f>
        <v>0</v>
      </c>
      <c r="V61" s="34">
        <f>VLOOKUP(A61,'SSP_March''19'!$A$3:$X$1193,22,0)</f>
        <v>0</v>
      </c>
      <c r="W61" s="34">
        <f>VLOOKUP(A61,'SSP_March''19'!$A$3:$X$1193,23,0)</f>
        <v>0</v>
      </c>
      <c r="X61" s="34">
        <f>VLOOKUP(A61,'SSP_March''19'!$A$3:$X$1193,24,0)</f>
        <v>2</v>
      </c>
    </row>
    <row r="62" spans="1:24">
      <c r="A62" s="34" t="s">
        <v>3226</v>
      </c>
      <c r="B62" s="34" t="s">
        <v>3227</v>
      </c>
      <c r="C62" s="34" t="s">
        <v>198</v>
      </c>
      <c r="D62" s="34" t="s">
        <v>107</v>
      </c>
      <c r="E62" s="34" t="s">
        <v>3</v>
      </c>
      <c r="F62" s="34" t="s">
        <v>3228</v>
      </c>
      <c r="G62" s="54">
        <v>1819300120</v>
      </c>
      <c r="H62" s="54" t="s">
        <v>229</v>
      </c>
      <c r="I62" s="54" t="s">
        <v>3514</v>
      </c>
      <c r="J62" s="34" t="s">
        <v>3420</v>
      </c>
      <c r="K62" s="43">
        <f>VLOOKUP(A62,'SSP_March''19'!$A$3:$L$1193,11,0)</f>
        <v>173890</v>
      </c>
      <c r="L62" s="43">
        <f>VLOOKUP(A62,'SSP_March''19'!$A$3:$L$1193,12,0)</f>
        <v>40857</v>
      </c>
      <c r="M62" s="44">
        <f t="shared" si="3"/>
        <v>0.23495888205187188</v>
      </c>
      <c r="N62" s="49">
        <f>ROUND(VLOOKUP(A62,'SSP_March''19'!$A$3:$N$1193,14,0),0)</f>
        <v>126657</v>
      </c>
      <c r="O62" s="44">
        <f t="shared" si="4"/>
        <v>0.72837425958939561</v>
      </c>
      <c r="P62" s="45">
        <f>VLOOKUP(A62,'SSP_March''19'!$A$3:$Q$1193,16,0)</f>
        <v>12</v>
      </c>
      <c r="Q62" s="34">
        <f>VLOOKUP(A62,'SSP_March''19'!$A$3:$Q$1193,17,0)</f>
        <v>2</v>
      </c>
      <c r="R62" s="35">
        <f t="shared" si="5"/>
        <v>0.16666666666666666</v>
      </c>
      <c r="S62" s="49">
        <f>ROUND(VLOOKUP(A62,'SSP_March''19'!$A$3:$T$1193,19,0),0)</f>
        <v>6</v>
      </c>
      <c r="T62" s="44">
        <f>VLOOKUP(A62,'SSP_March''19'!$A$3:$T$1193,20,0)</f>
        <v>0.5</v>
      </c>
      <c r="U62" s="34">
        <f>VLOOKUP(A62,'SSP_March''19'!$A$3:$X$1193,21,0)</f>
        <v>0</v>
      </c>
      <c r="V62" s="34">
        <f>VLOOKUP(A62,'SSP_March''19'!$A$3:$X$1193,22,0)</f>
        <v>1</v>
      </c>
      <c r="W62" s="34">
        <f>VLOOKUP(A62,'SSP_March''19'!$A$3:$X$1193,23,0)</f>
        <v>0</v>
      </c>
      <c r="X62" s="34">
        <f>VLOOKUP(A62,'SSP_March''19'!$A$3:$X$1193,24,0)</f>
        <v>0</v>
      </c>
    </row>
    <row r="63" spans="1:24">
      <c r="A63" s="34" t="s">
        <v>452</v>
      </c>
      <c r="B63" s="34" t="s">
        <v>269</v>
      </c>
      <c r="C63" s="34" t="s">
        <v>198</v>
      </c>
      <c r="D63" s="34" t="s">
        <v>107</v>
      </c>
      <c r="E63" s="34" t="s">
        <v>3</v>
      </c>
      <c r="F63" s="34" t="s">
        <v>453</v>
      </c>
      <c r="G63" s="54">
        <v>1818873253</v>
      </c>
      <c r="H63" s="54" t="s">
        <v>229</v>
      </c>
      <c r="I63" s="54" t="s">
        <v>3514</v>
      </c>
      <c r="J63" s="34" t="s">
        <v>3515</v>
      </c>
      <c r="K63" s="43">
        <f>VLOOKUP(A63,'SSP_March''19'!$A$3:$L$1193,11,0)</f>
        <v>208579</v>
      </c>
      <c r="L63" s="43">
        <f>VLOOKUP(A63,'SSP_March''19'!$A$3:$L$1193,12,0)</f>
        <v>74630</v>
      </c>
      <c r="M63" s="44">
        <f t="shared" si="3"/>
        <v>0.35780207978751455</v>
      </c>
      <c r="N63" s="49">
        <f>ROUND(VLOOKUP(A63,'SSP_March''19'!$A$3:$N$1193,14,0),0)</f>
        <v>231353</v>
      </c>
      <c r="O63" s="44">
        <f t="shared" si="4"/>
        <v>1.1091864473412951</v>
      </c>
      <c r="P63" s="45">
        <f>VLOOKUP(A63,'SSP_March''19'!$A$3:$Q$1193,16,0)</f>
        <v>15</v>
      </c>
      <c r="Q63" s="34">
        <f>VLOOKUP(A63,'SSP_March''19'!$A$3:$Q$1193,17,0)</f>
        <v>5</v>
      </c>
      <c r="R63" s="35">
        <f t="shared" si="5"/>
        <v>0.33333333333333331</v>
      </c>
      <c r="S63" s="49">
        <f>ROUND(VLOOKUP(A63,'SSP_March''19'!$A$3:$T$1193,19,0),0)</f>
        <v>16</v>
      </c>
      <c r="T63" s="44">
        <f>VLOOKUP(A63,'SSP_March''19'!$A$3:$T$1193,20,0)</f>
        <v>1.0666666666666667</v>
      </c>
      <c r="U63" s="34">
        <f>VLOOKUP(A63,'SSP_March''19'!$A$3:$X$1193,21,0)</f>
        <v>0</v>
      </c>
      <c r="V63" s="34">
        <f>VLOOKUP(A63,'SSP_March''19'!$A$3:$X$1193,22,0)</f>
        <v>0</v>
      </c>
      <c r="W63" s="34">
        <f>VLOOKUP(A63,'SSP_March''19'!$A$3:$X$1193,23,0)</f>
        <v>0</v>
      </c>
      <c r="X63" s="34">
        <f>VLOOKUP(A63,'SSP_March''19'!$A$3:$X$1193,24,0)</f>
        <v>0</v>
      </c>
    </row>
    <row r="64" spans="1:24">
      <c r="A64" s="34" t="s">
        <v>3098</v>
      </c>
      <c r="B64" s="34" t="s">
        <v>3099</v>
      </c>
      <c r="C64" s="34" t="s">
        <v>198</v>
      </c>
      <c r="D64" s="34" t="s">
        <v>107</v>
      </c>
      <c r="E64" s="34" t="s">
        <v>3</v>
      </c>
      <c r="F64" s="34" t="s">
        <v>3100</v>
      </c>
      <c r="G64" s="54">
        <v>1818365786</v>
      </c>
      <c r="H64" s="54" t="s">
        <v>229</v>
      </c>
      <c r="I64" s="54" t="s">
        <v>3514</v>
      </c>
      <c r="J64" s="34" t="s">
        <v>3421</v>
      </c>
      <c r="K64" s="43">
        <f>VLOOKUP(A64,'SSP_March''19'!$A$3:$L$1193,11,0)</f>
        <v>130000</v>
      </c>
      <c r="L64" s="43">
        <f>VLOOKUP(A64,'SSP_March''19'!$A$3:$L$1193,12,0)</f>
        <v>21460</v>
      </c>
      <c r="M64" s="44">
        <f t="shared" si="3"/>
        <v>0.16507692307692307</v>
      </c>
      <c r="N64" s="49">
        <f>ROUND(VLOOKUP(A64,'SSP_March''19'!$A$3:$N$1193,14,0),0)</f>
        <v>66526</v>
      </c>
      <c r="O64" s="44">
        <f t="shared" si="4"/>
        <v>0.51173846153846159</v>
      </c>
      <c r="P64" s="45">
        <f>VLOOKUP(A64,'SSP_March''19'!$A$3:$Q$1193,16,0)</f>
        <v>10</v>
      </c>
      <c r="Q64" s="34">
        <f>VLOOKUP(A64,'SSP_March''19'!$A$3:$Q$1193,17,0)</f>
        <v>0</v>
      </c>
      <c r="R64" s="35">
        <f t="shared" si="5"/>
        <v>0</v>
      </c>
      <c r="S64" s="49">
        <f>ROUND(VLOOKUP(A64,'SSP_March''19'!$A$3:$T$1193,19,0),0)</f>
        <v>0</v>
      </c>
      <c r="T64" s="44">
        <f>VLOOKUP(A64,'SSP_March''19'!$A$3:$T$1193,20,0)</f>
        <v>0</v>
      </c>
      <c r="U64" s="34">
        <f>VLOOKUP(A64,'SSP_March''19'!$A$3:$X$1193,21,0)</f>
        <v>1</v>
      </c>
      <c r="V64" s="34">
        <f>VLOOKUP(A64,'SSP_March''19'!$A$3:$X$1193,22,0)</f>
        <v>0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34" t="s">
        <v>475</v>
      </c>
      <c r="B65" s="34" t="s">
        <v>476</v>
      </c>
      <c r="C65" s="34" t="s">
        <v>198</v>
      </c>
      <c r="D65" s="34" t="s">
        <v>107</v>
      </c>
      <c r="E65" s="34" t="s">
        <v>3</v>
      </c>
      <c r="F65" s="34" t="s">
        <v>477</v>
      </c>
      <c r="G65" s="54">
        <v>1741109764</v>
      </c>
      <c r="H65" s="54" t="s">
        <v>229</v>
      </c>
      <c r="I65" s="54" t="s">
        <v>3514</v>
      </c>
      <c r="J65" s="34" t="s">
        <v>3421</v>
      </c>
      <c r="K65" s="43">
        <f>VLOOKUP(A65,'SSP_March''19'!$A$3:$L$1193,11,0)</f>
        <v>130000</v>
      </c>
      <c r="L65" s="43">
        <f>VLOOKUP(A65,'SSP_March''19'!$A$3:$L$1193,12,0)</f>
        <v>32430</v>
      </c>
      <c r="M65" s="44">
        <f t="shared" si="3"/>
        <v>0.24946153846153846</v>
      </c>
      <c r="N65" s="49">
        <f>ROUND(VLOOKUP(A65,'SSP_March''19'!$A$3:$N$1193,14,0),0)</f>
        <v>100533</v>
      </c>
      <c r="O65" s="44">
        <f t="shared" si="4"/>
        <v>0.77333076923076927</v>
      </c>
      <c r="P65" s="45">
        <f>VLOOKUP(A65,'SSP_March''19'!$A$3:$Q$1193,16,0)</f>
        <v>10</v>
      </c>
      <c r="Q65" s="34">
        <f>VLOOKUP(A65,'SSP_March''19'!$A$3:$Q$1193,17,0)</f>
        <v>0</v>
      </c>
      <c r="R65" s="35">
        <f t="shared" si="5"/>
        <v>0</v>
      </c>
      <c r="S65" s="49">
        <f>ROUND(VLOOKUP(A65,'SSP_March''19'!$A$3:$T$1193,19,0),0)</f>
        <v>0</v>
      </c>
      <c r="T65" s="44">
        <f>VLOOKUP(A65,'SSP_March''19'!$A$3:$T$1193,20,0)</f>
        <v>0</v>
      </c>
      <c r="U65" s="34">
        <f>VLOOKUP(A65,'SSP_March''19'!$A$3:$X$1193,21,0)</f>
        <v>1</v>
      </c>
      <c r="V65" s="34">
        <f>VLOOKUP(A65,'SSP_March''19'!$A$3:$X$1193,22,0)</f>
        <v>0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34" t="s">
        <v>518</v>
      </c>
      <c r="B66" s="34" t="s">
        <v>519</v>
      </c>
      <c r="C66" s="34" t="s">
        <v>198</v>
      </c>
      <c r="D66" s="34" t="s">
        <v>107</v>
      </c>
      <c r="E66" s="34" t="s">
        <v>3</v>
      </c>
      <c r="F66" s="34" t="s">
        <v>520</v>
      </c>
      <c r="G66" s="54">
        <v>1712602200</v>
      </c>
      <c r="H66" s="54" t="s">
        <v>229</v>
      </c>
      <c r="I66" s="54" t="s">
        <v>3514</v>
      </c>
      <c r="J66" s="34" t="s">
        <v>3419</v>
      </c>
      <c r="K66" s="43">
        <f>VLOOKUP(A66,'SSP_March''19'!$A$3:$L$1193,11,0)</f>
        <v>180129</v>
      </c>
      <c r="L66" s="43">
        <f>VLOOKUP(A66,'SSP_March''19'!$A$3:$L$1193,12,0)</f>
        <v>61900</v>
      </c>
      <c r="M66" s="44">
        <f t="shared" si="3"/>
        <v>0.3436426116838488</v>
      </c>
      <c r="N66" s="49">
        <f>ROUND(VLOOKUP(A66,'SSP_March''19'!$A$3:$N$1193,14,0),0)</f>
        <v>191890</v>
      </c>
      <c r="O66" s="44">
        <f t="shared" si="4"/>
        <v>1.0652920962199313</v>
      </c>
      <c r="P66" s="45">
        <f>VLOOKUP(A66,'SSP_March''19'!$A$3:$Q$1193,16,0)</f>
        <v>10</v>
      </c>
      <c r="Q66" s="34">
        <f>VLOOKUP(A66,'SSP_March''19'!$A$3:$Q$1193,17,0)</f>
        <v>5</v>
      </c>
      <c r="R66" s="35">
        <f t="shared" si="5"/>
        <v>0.5</v>
      </c>
      <c r="S66" s="49">
        <f>ROUND(VLOOKUP(A66,'SSP_March''19'!$A$3:$T$1193,19,0),0)</f>
        <v>16</v>
      </c>
      <c r="T66" s="44">
        <f>VLOOKUP(A66,'SSP_March''19'!$A$3:$T$1193,20,0)</f>
        <v>1.6</v>
      </c>
      <c r="U66" s="34">
        <f>VLOOKUP(A66,'SSP_March''19'!$A$3:$X$1193,21,0)</f>
        <v>0</v>
      </c>
      <c r="V66" s="34">
        <f>VLOOKUP(A66,'SSP_March''19'!$A$3:$X$1193,22,0)</f>
        <v>1</v>
      </c>
      <c r="W66" s="34">
        <f>VLOOKUP(A66,'SSP_March''19'!$A$3:$X$1193,23,0)</f>
        <v>0</v>
      </c>
      <c r="X66" s="34">
        <f>VLOOKUP(A66,'SSP_March''19'!$A$3:$X$1193,24,0)</f>
        <v>1</v>
      </c>
    </row>
    <row r="67" spans="1:24">
      <c r="A67" s="75" t="s">
        <v>3536</v>
      </c>
      <c r="B67" s="75" t="s">
        <v>3537</v>
      </c>
      <c r="C67" s="75" t="s">
        <v>198</v>
      </c>
      <c r="D67" s="75" t="s">
        <v>107</v>
      </c>
      <c r="E67" s="75" t="s">
        <v>3</v>
      </c>
      <c r="F67" s="75" t="s">
        <v>3538</v>
      </c>
      <c r="G67" s="67">
        <v>1813257845</v>
      </c>
      <c r="H67" s="54" t="s">
        <v>229</v>
      </c>
      <c r="I67" s="54" t="s">
        <v>3514</v>
      </c>
      <c r="J67" s="34" t="s">
        <v>3421</v>
      </c>
      <c r="K67" s="43">
        <f>VLOOKUP(A67,'SSP_March''19'!$A$3:$L$1193,11,0)</f>
        <v>130000</v>
      </c>
      <c r="L67" s="43">
        <f>VLOOKUP(A67,'SSP_March''19'!$A$3:$L$1193,12,0)</f>
        <v>7575</v>
      </c>
      <c r="M67" s="44">
        <f t="shared" ref="M67:M98" si="6">L67/K67</f>
        <v>5.8269230769230768E-2</v>
      </c>
      <c r="N67" s="49">
        <f>ROUND(VLOOKUP(A67,'SSP_March''19'!$A$3:$N$1193,14,0),0)</f>
        <v>23483</v>
      </c>
      <c r="O67" s="44">
        <f t="shared" ref="O67:O98" si="7">N67/K67</f>
        <v>0.18063846153846153</v>
      </c>
      <c r="P67" s="45">
        <f>VLOOKUP(A67,'SSP_March''19'!$A$3:$Q$1193,16,0)</f>
        <v>10</v>
      </c>
      <c r="Q67" s="34">
        <f>VLOOKUP(A67,'SSP_March''19'!$A$3:$Q$1193,17,0)</f>
        <v>1</v>
      </c>
      <c r="R67" s="35">
        <f t="shared" ref="R67:R98" si="8">Q67/P67</f>
        <v>0.1</v>
      </c>
      <c r="S67" s="49">
        <f>ROUND(VLOOKUP(A67,'SSP_March''19'!$A$3:$T$1193,19,0),0)</f>
        <v>3</v>
      </c>
      <c r="T67" s="44">
        <f>VLOOKUP(A67,'SSP_March''19'!$A$3:$T$1193,20,0)</f>
        <v>0.3</v>
      </c>
      <c r="U67" s="34">
        <f>VLOOKUP(A67,'SSP_March''19'!$A$3:$X$1193,21,0)</f>
        <v>0</v>
      </c>
      <c r="V67" s="34">
        <f>VLOOKUP(A67,'SSP_March''19'!$A$3:$X$1193,22,0)</f>
        <v>0</v>
      </c>
      <c r="W67" s="34">
        <f>VLOOKUP(A67,'SSP_March''19'!$A$3:$X$1193,23,0)</f>
        <v>0</v>
      </c>
      <c r="X67" s="34">
        <f>VLOOKUP(A67,'SSP_March''19'!$A$3:$X$1193,24,0)</f>
        <v>0</v>
      </c>
    </row>
    <row r="68" spans="1:24">
      <c r="A68" s="34" t="s">
        <v>2906</v>
      </c>
      <c r="B68" s="34" t="s">
        <v>2907</v>
      </c>
      <c r="C68" s="34" t="s">
        <v>198</v>
      </c>
      <c r="D68" s="34" t="s">
        <v>107</v>
      </c>
      <c r="E68" s="34" t="s">
        <v>3</v>
      </c>
      <c r="F68" s="34" t="s">
        <v>511</v>
      </c>
      <c r="G68" s="54">
        <v>1862100002</v>
      </c>
      <c r="H68" s="54" t="s">
        <v>229</v>
      </c>
      <c r="I68" s="54" t="s">
        <v>3522</v>
      </c>
      <c r="J68" s="34" t="s">
        <v>3419</v>
      </c>
      <c r="K68" s="43">
        <f>VLOOKUP(A68,'SSP_March''19'!$A$3:$L$1193,11,0)</f>
        <v>584466</v>
      </c>
      <c r="L68" s="43">
        <f>VLOOKUP(A68,'SSP_March''19'!$A$3:$L$1193,12,0)</f>
        <v>160005</v>
      </c>
      <c r="M68" s="44">
        <f t="shared" si="6"/>
        <v>0.27376271673630287</v>
      </c>
      <c r="N68" s="49">
        <f>ROUND(VLOOKUP(A68,'SSP_March''19'!$A$3:$N$1193,14,0),0)</f>
        <v>496016</v>
      </c>
      <c r="O68" s="44">
        <f t="shared" si="7"/>
        <v>0.84866527736429498</v>
      </c>
      <c r="P68" s="45">
        <f>VLOOKUP(A68,'SSP_March''19'!$A$3:$Q$1193,16,0)</f>
        <v>38</v>
      </c>
      <c r="Q68" s="34">
        <f>VLOOKUP(A68,'SSP_March''19'!$A$3:$Q$1193,17,0)</f>
        <v>11</v>
      </c>
      <c r="R68" s="35">
        <f t="shared" si="8"/>
        <v>0.28947368421052633</v>
      </c>
      <c r="S68" s="49">
        <f>ROUND(VLOOKUP(A68,'SSP_March''19'!$A$3:$T$1193,19,0),0)</f>
        <v>34</v>
      </c>
      <c r="T68" s="44">
        <f>VLOOKUP(A68,'SSP_March''19'!$A$3:$T$1193,20,0)</f>
        <v>0.89473684210526316</v>
      </c>
      <c r="U68" s="34">
        <f>VLOOKUP(A68,'SSP_March''19'!$A$3:$X$1193,21,0)</f>
        <v>0</v>
      </c>
      <c r="V68" s="34">
        <f>VLOOKUP(A68,'SSP_March''19'!$A$3:$X$1193,22,0)</f>
        <v>0</v>
      </c>
      <c r="W68" s="34">
        <f>VLOOKUP(A68,'SSP_March''19'!$A$3:$X$1193,23,0)</f>
        <v>0</v>
      </c>
      <c r="X68" s="34">
        <f>VLOOKUP(A68,'SSP_March''19'!$A$3:$X$1193,24,0)</f>
        <v>2</v>
      </c>
    </row>
    <row r="69" spans="1:24">
      <c r="A69" s="34" t="s">
        <v>339</v>
      </c>
      <c r="B69" s="34" t="s">
        <v>340</v>
      </c>
      <c r="C69" s="34" t="s">
        <v>341</v>
      </c>
      <c r="D69" s="34" t="s">
        <v>55</v>
      </c>
      <c r="E69" s="34" t="s">
        <v>3</v>
      </c>
      <c r="F69" s="34" t="s">
        <v>342</v>
      </c>
      <c r="G69" s="54">
        <v>1821020033</v>
      </c>
      <c r="H69" s="54" t="s">
        <v>229</v>
      </c>
      <c r="I69" s="54" t="s">
        <v>3514</v>
      </c>
      <c r="J69" s="34" t="s">
        <v>3515</v>
      </c>
      <c r="K69" s="43">
        <f>VLOOKUP(A69,'SSP_March''19'!$A$3:$L$1193,11,0)</f>
        <v>169686</v>
      </c>
      <c r="L69" s="43">
        <f>VLOOKUP(A69,'SSP_March''19'!$A$3:$L$1193,12,0)</f>
        <v>27145</v>
      </c>
      <c r="M69" s="44">
        <f t="shared" si="6"/>
        <v>0.15997194818665064</v>
      </c>
      <c r="N69" s="49">
        <f>ROUND(VLOOKUP(A69,'SSP_March''19'!$A$3:$N$1193,14,0),0)</f>
        <v>84150</v>
      </c>
      <c r="O69" s="44">
        <f t="shared" si="7"/>
        <v>0.49591598599766629</v>
      </c>
      <c r="P69" s="45">
        <f>VLOOKUP(A69,'SSP_March''19'!$A$3:$Q$1193,16,0)</f>
        <v>10</v>
      </c>
      <c r="Q69" s="34">
        <f>VLOOKUP(A69,'SSP_March''19'!$A$3:$Q$1193,17,0)</f>
        <v>2</v>
      </c>
      <c r="R69" s="35">
        <f t="shared" si="8"/>
        <v>0.2</v>
      </c>
      <c r="S69" s="49">
        <f>ROUND(VLOOKUP(A69,'SSP_March''19'!$A$3:$T$1193,19,0),0)</f>
        <v>6</v>
      </c>
      <c r="T69" s="44">
        <f>VLOOKUP(A69,'SSP_March''19'!$A$3:$T$1193,20,0)</f>
        <v>0.6</v>
      </c>
      <c r="U69" s="34">
        <f>VLOOKUP(A69,'SSP_March''19'!$A$3:$X$1193,21,0)</f>
        <v>2</v>
      </c>
      <c r="V69" s="34">
        <f>VLOOKUP(A69,'SSP_March''19'!$A$3:$X$1193,22,0)</f>
        <v>0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34" t="s">
        <v>405</v>
      </c>
      <c r="B70" s="34" t="s">
        <v>406</v>
      </c>
      <c r="C70" s="34" t="s">
        <v>341</v>
      </c>
      <c r="D70" s="34" t="s">
        <v>55</v>
      </c>
      <c r="E70" s="34" t="s">
        <v>3</v>
      </c>
      <c r="F70" s="34" t="s">
        <v>407</v>
      </c>
      <c r="G70" s="54">
        <v>1830259222</v>
      </c>
      <c r="H70" s="54" t="s">
        <v>229</v>
      </c>
      <c r="I70" s="54" t="s">
        <v>3514</v>
      </c>
      <c r="J70" s="34" t="s">
        <v>3419</v>
      </c>
      <c r="K70" s="43">
        <f>VLOOKUP(A70,'SSP_March''19'!$A$3:$L$1193,11,0)</f>
        <v>130000</v>
      </c>
      <c r="L70" s="43">
        <f>VLOOKUP(A70,'SSP_March''19'!$A$3:$L$1193,12,0)</f>
        <v>11280</v>
      </c>
      <c r="M70" s="44">
        <f t="shared" si="6"/>
        <v>8.6769230769230765E-2</v>
      </c>
      <c r="N70" s="49">
        <f>ROUND(VLOOKUP(A70,'SSP_March''19'!$A$3:$N$1193,14,0),0)</f>
        <v>34968</v>
      </c>
      <c r="O70" s="44">
        <f t="shared" si="7"/>
        <v>0.26898461538461538</v>
      </c>
      <c r="P70" s="45">
        <f>VLOOKUP(A70,'SSP_March''19'!$A$3:$Q$1193,16,0)</f>
        <v>10</v>
      </c>
      <c r="Q70" s="34">
        <f>VLOOKUP(A70,'SSP_March''19'!$A$3:$Q$1193,17,0)</f>
        <v>1</v>
      </c>
      <c r="R70" s="35">
        <f t="shared" si="8"/>
        <v>0.1</v>
      </c>
      <c r="S70" s="49">
        <f>ROUND(VLOOKUP(A70,'SSP_March''19'!$A$3:$T$1193,19,0),0)</f>
        <v>3</v>
      </c>
      <c r="T70" s="44">
        <f>VLOOKUP(A70,'SSP_March''19'!$A$3:$T$1193,20,0)</f>
        <v>0.3</v>
      </c>
      <c r="U70" s="34">
        <f>VLOOKUP(A70,'SSP_March''19'!$A$3:$X$1193,21,0)</f>
        <v>0</v>
      </c>
      <c r="V70" s="34">
        <f>VLOOKUP(A70,'SSP_March''19'!$A$3:$X$1193,22,0)</f>
        <v>0</v>
      </c>
      <c r="W70" s="34">
        <f>VLOOKUP(A70,'SSP_March''19'!$A$3:$X$1193,23,0)</f>
        <v>0</v>
      </c>
      <c r="X70" s="34">
        <f>VLOOKUP(A70,'SSP_March''19'!$A$3:$X$1193,24,0)</f>
        <v>0</v>
      </c>
    </row>
    <row r="71" spans="1:24">
      <c r="A71" s="34" t="s">
        <v>394</v>
      </c>
      <c r="B71" s="34" t="s">
        <v>395</v>
      </c>
      <c r="C71" s="34" t="s">
        <v>341</v>
      </c>
      <c r="D71" s="34" t="s">
        <v>55</v>
      </c>
      <c r="E71" s="34" t="s">
        <v>3</v>
      </c>
      <c r="F71" s="34" t="s">
        <v>255</v>
      </c>
      <c r="G71" s="54">
        <v>1879656462</v>
      </c>
      <c r="H71" s="54" t="s">
        <v>229</v>
      </c>
      <c r="I71" s="54" t="s">
        <v>3514</v>
      </c>
      <c r="J71" s="34" t="s">
        <v>3419</v>
      </c>
      <c r="K71" s="43">
        <f>VLOOKUP(A71,'SSP_March''19'!$A$3:$L$1193,11,0)</f>
        <v>241196</v>
      </c>
      <c r="L71" s="43">
        <f>VLOOKUP(A71,'SSP_March''19'!$A$3:$L$1193,12,0)</f>
        <v>55830</v>
      </c>
      <c r="M71" s="44">
        <f t="shared" si="6"/>
        <v>0.2314715003565565</v>
      </c>
      <c r="N71" s="49">
        <f>ROUND(VLOOKUP(A71,'SSP_March''19'!$A$3:$N$1193,14,0),0)</f>
        <v>173073</v>
      </c>
      <c r="O71" s="44">
        <f t="shared" si="7"/>
        <v>0.7175616511053251</v>
      </c>
      <c r="P71" s="45">
        <f>VLOOKUP(A71,'SSP_March''19'!$A$3:$Q$1193,16,0)</f>
        <v>10</v>
      </c>
      <c r="Q71" s="34">
        <f>VLOOKUP(A71,'SSP_March''19'!$A$3:$Q$1193,17,0)</f>
        <v>1</v>
      </c>
      <c r="R71" s="35">
        <f t="shared" si="8"/>
        <v>0.1</v>
      </c>
      <c r="S71" s="49">
        <f>ROUND(VLOOKUP(A71,'SSP_March''19'!$A$3:$T$1193,19,0),0)</f>
        <v>3</v>
      </c>
      <c r="T71" s="44">
        <f>VLOOKUP(A71,'SSP_March''19'!$A$3:$T$1193,20,0)</f>
        <v>0.3</v>
      </c>
      <c r="U71" s="34">
        <f>VLOOKUP(A71,'SSP_March''19'!$A$3:$X$1193,21,0)</f>
        <v>0</v>
      </c>
      <c r="V71" s="34">
        <f>VLOOKUP(A71,'SSP_March''19'!$A$3:$X$1193,22,0)</f>
        <v>0</v>
      </c>
      <c r="W71" s="34">
        <f>VLOOKUP(A71,'SSP_March''19'!$A$3:$X$1193,23,0)</f>
        <v>0</v>
      </c>
      <c r="X71" s="34">
        <f>VLOOKUP(A71,'SSP_March''19'!$A$3:$X$1193,24,0)</f>
        <v>0</v>
      </c>
    </row>
    <row r="72" spans="1:24">
      <c r="A72" s="34" t="s">
        <v>343</v>
      </c>
      <c r="B72" s="34" t="s">
        <v>344</v>
      </c>
      <c r="C72" s="34" t="s">
        <v>341</v>
      </c>
      <c r="D72" s="34" t="s">
        <v>55</v>
      </c>
      <c r="E72" s="34" t="s">
        <v>3</v>
      </c>
      <c r="F72" s="34" t="s">
        <v>238</v>
      </c>
      <c r="G72" s="54">
        <v>1829969559</v>
      </c>
      <c r="H72" s="54" t="s">
        <v>229</v>
      </c>
      <c r="I72" s="54" t="s">
        <v>3514</v>
      </c>
      <c r="J72" s="34" t="s">
        <v>3419</v>
      </c>
      <c r="K72" s="43">
        <f>VLOOKUP(A72,'SSP_March''19'!$A$3:$L$1193,11,0)</f>
        <v>130000</v>
      </c>
      <c r="L72" s="43">
        <f>VLOOKUP(A72,'SSP_March''19'!$A$3:$L$1193,12,0)</f>
        <v>14220</v>
      </c>
      <c r="M72" s="44">
        <f t="shared" si="6"/>
        <v>0.10938461538461539</v>
      </c>
      <c r="N72" s="49">
        <f>ROUND(VLOOKUP(A72,'SSP_March''19'!$A$3:$N$1193,14,0),0)</f>
        <v>44082</v>
      </c>
      <c r="O72" s="44">
        <f t="shared" si="7"/>
        <v>0.33909230769230769</v>
      </c>
      <c r="P72" s="45">
        <f>VLOOKUP(A72,'SSP_March''19'!$A$3:$Q$1193,16,0)</f>
        <v>10</v>
      </c>
      <c r="Q72" s="34">
        <f>VLOOKUP(A72,'SSP_March''19'!$A$3:$Q$1193,17,0)</f>
        <v>0</v>
      </c>
      <c r="R72" s="35">
        <f t="shared" si="8"/>
        <v>0</v>
      </c>
      <c r="S72" s="49">
        <f>ROUND(VLOOKUP(A72,'SSP_March''19'!$A$3:$T$1193,19,0),0)</f>
        <v>0</v>
      </c>
      <c r="T72" s="44">
        <f>VLOOKUP(A72,'SSP_March''19'!$A$3:$T$1193,20,0)</f>
        <v>0</v>
      </c>
      <c r="U72" s="34">
        <f>VLOOKUP(A72,'SSP_March''19'!$A$3:$X$1193,21,0)</f>
        <v>0</v>
      </c>
      <c r="V72" s="34">
        <f>VLOOKUP(A72,'SSP_March''19'!$A$3:$X$1193,22,0)</f>
        <v>0</v>
      </c>
      <c r="W72" s="34">
        <f>VLOOKUP(A72,'SSP_March''19'!$A$3:$X$1193,23,0)</f>
        <v>0</v>
      </c>
      <c r="X72" s="34">
        <f>VLOOKUP(A72,'SSP_March''19'!$A$3:$X$1193,24,0)</f>
        <v>0</v>
      </c>
    </row>
    <row r="73" spans="1:24">
      <c r="A73" s="34" t="s">
        <v>376</v>
      </c>
      <c r="B73" s="34" t="s">
        <v>377</v>
      </c>
      <c r="C73" s="34" t="s">
        <v>341</v>
      </c>
      <c r="D73" s="34" t="s">
        <v>55</v>
      </c>
      <c r="E73" s="34" t="s">
        <v>3</v>
      </c>
      <c r="F73" s="34" t="s">
        <v>378</v>
      </c>
      <c r="G73" s="54">
        <v>1812376152</v>
      </c>
      <c r="H73" s="54" t="s">
        <v>229</v>
      </c>
      <c r="I73" s="54" t="s">
        <v>3514</v>
      </c>
      <c r="J73" s="34" t="s">
        <v>3515</v>
      </c>
      <c r="K73" s="43">
        <f>VLOOKUP(A73,'SSP_March''19'!$A$3:$L$1193,11,0)</f>
        <v>130000</v>
      </c>
      <c r="L73" s="43">
        <f>VLOOKUP(A73,'SSP_March''19'!$A$3:$L$1193,12,0)</f>
        <v>4990</v>
      </c>
      <c r="M73" s="44">
        <f t="shared" si="6"/>
        <v>3.8384615384615385E-2</v>
      </c>
      <c r="N73" s="49">
        <f>ROUND(VLOOKUP(A73,'SSP_March''19'!$A$3:$N$1193,14,0),0)</f>
        <v>15469</v>
      </c>
      <c r="O73" s="44">
        <f t="shared" si="7"/>
        <v>0.11899230769230769</v>
      </c>
      <c r="P73" s="45">
        <f>VLOOKUP(A73,'SSP_March''19'!$A$3:$Q$1193,16,0)</f>
        <v>10</v>
      </c>
      <c r="Q73" s="34">
        <f>VLOOKUP(A73,'SSP_March''19'!$A$3:$Q$1193,17,0)</f>
        <v>0</v>
      </c>
      <c r="R73" s="35">
        <f t="shared" si="8"/>
        <v>0</v>
      </c>
      <c r="S73" s="49">
        <f>ROUND(VLOOKUP(A73,'SSP_March''19'!$A$3:$T$1193,19,0),0)</f>
        <v>0</v>
      </c>
      <c r="T73" s="44">
        <f>VLOOKUP(A73,'SSP_March''19'!$A$3:$T$1193,20,0)</f>
        <v>0</v>
      </c>
      <c r="U73" s="34">
        <f>VLOOKUP(A73,'SSP_March''19'!$A$3:$X$1193,21,0)</f>
        <v>0</v>
      </c>
      <c r="V73" s="34">
        <f>VLOOKUP(A73,'SSP_March''19'!$A$3:$X$1193,22,0)</f>
        <v>0</v>
      </c>
      <c r="W73" s="34">
        <f>VLOOKUP(A73,'SSP_March''19'!$A$3:$X$1193,23,0)</f>
        <v>0</v>
      </c>
      <c r="X73" s="34">
        <f>VLOOKUP(A73,'SSP_March''19'!$A$3:$X$1193,24,0)</f>
        <v>0</v>
      </c>
    </row>
    <row r="74" spans="1:24">
      <c r="A74" s="34" t="s">
        <v>358</v>
      </c>
      <c r="B74" s="34" t="s">
        <v>359</v>
      </c>
      <c r="C74" s="34" t="s">
        <v>341</v>
      </c>
      <c r="D74" s="34" t="s">
        <v>55</v>
      </c>
      <c r="E74" s="34" t="s">
        <v>3</v>
      </c>
      <c r="F74" s="34" t="s">
        <v>360</v>
      </c>
      <c r="G74" s="54">
        <v>1858566655</v>
      </c>
      <c r="H74" s="54" t="s">
        <v>229</v>
      </c>
      <c r="I74" s="54" t="s">
        <v>3514</v>
      </c>
      <c r="J74" s="34" t="s">
        <v>3421</v>
      </c>
      <c r="K74" s="43">
        <f>VLOOKUP(A74,'SSP_March''19'!$A$3:$L$1193,11,0)</f>
        <v>130000</v>
      </c>
      <c r="L74" s="43">
        <f>VLOOKUP(A74,'SSP_March''19'!$A$3:$L$1193,12,0)</f>
        <v>11780</v>
      </c>
      <c r="M74" s="44">
        <f t="shared" si="6"/>
        <v>9.0615384615384612E-2</v>
      </c>
      <c r="N74" s="49">
        <f>ROUND(VLOOKUP(A74,'SSP_March''19'!$A$3:$N$1193,14,0),0)</f>
        <v>36518</v>
      </c>
      <c r="O74" s="44">
        <f t="shared" si="7"/>
        <v>0.2809076923076923</v>
      </c>
      <c r="P74" s="45">
        <f>VLOOKUP(A74,'SSP_March''19'!$A$3:$Q$1193,16,0)</f>
        <v>10</v>
      </c>
      <c r="Q74" s="34">
        <f>VLOOKUP(A74,'SSP_March''19'!$A$3:$Q$1193,17,0)</f>
        <v>0</v>
      </c>
      <c r="R74" s="35">
        <f t="shared" si="8"/>
        <v>0</v>
      </c>
      <c r="S74" s="49">
        <f>ROUND(VLOOKUP(A74,'SSP_March''19'!$A$3:$T$1193,19,0),0)</f>
        <v>0</v>
      </c>
      <c r="T74" s="44">
        <f>VLOOKUP(A74,'SSP_March''19'!$A$3:$T$1193,20,0)</f>
        <v>0</v>
      </c>
      <c r="U74" s="34">
        <f>VLOOKUP(A74,'SSP_March''19'!$A$3:$X$1193,21,0)</f>
        <v>1</v>
      </c>
      <c r="V74" s="34">
        <f>VLOOKUP(A74,'SSP_March''19'!$A$3:$X$1193,22,0)</f>
        <v>0</v>
      </c>
      <c r="W74" s="34">
        <f>VLOOKUP(A74,'SSP_March''19'!$A$3:$X$1193,23,0)</f>
        <v>0</v>
      </c>
      <c r="X74" s="34">
        <f>VLOOKUP(A74,'SSP_March''19'!$A$3:$X$1193,24,0)</f>
        <v>0</v>
      </c>
    </row>
    <row r="75" spans="1:24">
      <c r="A75" s="34" t="s">
        <v>352</v>
      </c>
      <c r="B75" s="34" t="s">
        <v>353</v>
      </c>
      <c r="C75" s="34" t="s">
        <v>119</v>
      </c>
      <c r="D75" s="34" t="s">
        <v>55</v>
      </c>
      <c r="E75" s="34" t="s">
        <v>3</v>
      </c>
      <c r="F75" s="34" t="s">
        <v>354</v>
      </c>
      <c r="G75" s="54">
        <v>1819963925</v>
      </c>
      <c r="H75" s="54" t="s">
        <v>229</v>
      </c>
      <c r="I75" s="54" t="s">
        <v>3514</v>
      </c>
      <c r="J75" s="34" t="s">
        <v>3515</v>
      </c>
      <c r="K75" s="43">
        <f>VLOOKUP(A75,'SSP_March''19'!$A$3:$L$1193,11,0)</f>
        <v>130000</v>
      </c>
      <c r="L75" s="43">
        <f>VLOOKUP(A75,'SSP_March''19'!$A$3:$L$1193,12,0)</f>
        <v>0</v>
      </c>
      <c r="M75" s="44">
        <f t="shared" si="6"/>
        <v>0</v>
      </c>
      <c r="N75" s="49">
        <f>ROUND(VLOOKUP(A75,'SSP_March''19'!$A$3:$N$1193,14,0),0)</f>
        <v>0</v>
      </c>
      <c r="O75" s="44">
        <f t="shared" si="7"/>
        <v>0</v>
      </c>
      <c r="P75" s="45">
        <f>VLOOKUP(A75,'SSP_March''19'!$A$3:$Q$1193,16,0)</f>
        <v>10</v>
      </c>
      <c r="Q75" s="34">
        <f>VLOOKUP(A75,'SSP_March''19'!$A$3:$Q$1193,17,0)</f>
        <v>0</v>
      </c>
      <c r="R75" s="35">
        <f t="shared" si="8"/>
        <v>0</v>
      </c>
      <c r="S75" s="49">
        <f>ROUND(VLOOKUP(A75,'SSP_March''19'!$A$3:$T$1193,19,0),0)</f>
        <v>0</v>
      </c>
      <c r="T75" s="44">
        <f>VLOOKUP(A75,'SSP_March''19'!$A$3:$T$1193,20,0)</f>
        <v>0</v>
      </c>
      <c r="U75" s="34">
        <f>VLOOKUP(A75,'SSP_March''19'!$A$3:$X$1193,21,0)</f>
        <v>0</v>
      </c>
      <c r="V75" s="34">
        <f>VLOOKUP(A75,'SSP_March''19'!$A$3:$X$1193,22,0)</f>
        <v>0</v>
      </c>
      <c r="W75" s="34">
        <f>VLOOKUP(A75,'SSP_March''19'!$A$3:$X$1193,23,0)</f>
        <v>0</v>
      </c>
      <c r="X75" s="34">
        <f>VLOOKUP(A75,'SSP_March''19'!$A$3:$X$1193,24,0)</f>
        <v>0</v>
      </c>
    </row>
    <row r="76" spans="1:24">
      <c r="A76" s="75" t="s">
        <v>3539</v>
      </c>
      <c r="B76" s="75" t="s">
        <v>3540</v>
      </c>
      <c r="C76" s="75" t="s">
        <v>119</v>
      </c>
      <c r="D76" s="75" t="s">
        <v>55</v>
      </c>
      <c r="E76" s="75" t="s">
        <v>3</v>
      </c>
      <c r="F76" s="75" t="s">
        <v>3541</v>
      </c>
      <c r="G76" s="67">
        <v>1830328232</v>
      </c>
      <c r="H76" s="54" t="s">
        <v>229</v>
      </c>
      <c r="I76" s="54" t="s">
        <v>3514</v>
      </c>
      <c r="J76" s="34" t="s">
        <v>3421</v>
      </c>
      <c r="K76" s="43">
        <f>VLOOKUP(A76,'SSP_March''19'!$A$3:$L$1193,11,0)</f>
        <v>130000</v>
      </c>
      <c r="L76" s="43">
        <f>VLOOKUP(A76,'SSP_March''19'!$A$3:$L$1193,12,0)</f>
        <v>6680</v>
      </c>
      <c r="M76" s="44">
        <f t="shared" si="6"/>
        <v>5.1384615384615383E-2</v>
      </c>
      <c r="N76" s="49">
        <f>ROUND(VLOOKUP(A76,'SSP_March''19'!$A$3:$N$1193,14,0),0)</f>
        <v>20708</v>
      </c>
      <c r="O76" s="44">
        <f t="shared" si="7"/>
        <v>0.15929230769230771</v>
      </c>
      <c r="P76" s="45">
        <f>VLOOKUP(A76,'SSP_March''19'!$A$3:$Q$1193,16,0)</f>
        <v>10</v>
      </c>
      <c r="Q76" s="34">
        <f>VLOOKUP(A76,'SSP_March''19'!$A$3:$Q$1193,17,0)</f>
        <v>0</v>
      </c>
      <c r="R76" s="35">
        <f t="shared" si="8"/>
        <v>0</v>
      </c>
      <c r="S76" s="49">
        <f>ROUND(VLOOKUP(A76,'SSP_March''19'!$A$3:$T$1193,19,0),0)</f>
        <v>0</v>
      </c>
      <c r="T76" s="44">
        <f>VLOOKUP(A76,'SSP_March''19'!$A$3:$T$1193,20,0)</f>
        <v>0</v>
      </c>
      <c r="U76" s="34">
        <f>VLOOKUP(A76,'SSP_March''19'!$A$3:$X$1193,21,0)</f>
        <v>0</v>
      </c>
      <c r="V76" s="34">
        <f>VLOOKUP(A76,'SSP_March''19'!$A$3:$X$1193,22,0)</f>
        <v>0</v>
      </c>
      <c r="W76" s="34">
        <f>VLOOKUP(A76,'SSP_March''19'!$A$3:$X$1193,23,0)</f>
        <v>0</v>
      </c>
      <c r="X76" s="34">
        <f>VLOOKUP(A76,'SSP_March''19'!$A$3:$X$1193,24,0)</f>
        <v>0</v>
      </c>
    </row>
    <row r="77" spans="1:24">
      <c r="A77" s="34" t="s">
        <v>396</v>
      </c>
      <c r="B77" s="34" t="s">
        <v>397</v>
      </c>
      <c r="C77" s="34" t="s">
        <v>119</v>
      </c>
      <c r="D77" s="34" t="s">
        <v>55</v>
      </c>
      <c r="E77" s="34" t="s">
        <v>3</v>
      </c>
      <c r="F77" s="34" t="s">
        <v>398</v>
      </c>
      <c r="G77" s="54">
        <v>1825443388</v>
      </c>
      <c r="H77" s="54" t="s">
        <v>229</v>
      </c>
      <c r="I77" s="54" t="s">
        <v>3514</v>
      </c>
      <c r="J77" s="34" t="s">
        <v>3421</v>
      </c>
      <c r="K77" s="43">
        <f>VLOOKUP(A77,'SSP_March''19'!$A$3:$L$1193,11,0)</f>
        <v>130000</v>
      </c>
      <c r="L77" s="43">
        <f>VLOOKUP(A77,'SSP_March''19'!$A$3:$L$1193,12,0)</f>
        <v>7990</v>
      </c>
      <c r="M77" s="44">
        <f t="shared" si="6"/>
        <v>6.1461538461538463E-2</v>
      </c>
      <c r="N77" s="49">
        <f>ROUND(VLOOKUP(A77,'SSP_March''19'!$A$3:$N$1193,14,0),0)</f>
        <v>24769</v>
      </c>
      <c r="O77" s="44">
        <f t="shared" si="7"/>
        <v>0.19053076923076923</v>
      </c>
      <c r="P77" s="45">
        <f>VLOOKUP(A77,'SSP_March''19'!$A$3:$Q$1193,16,0)</f>
        <v>10</v>
      </c>
      <c r="Q77" s="34">
        <f>VLOOKUP(A77,'SSP_March''19'!$A$3:$Q$1193,17,0)</f>
        <v>1</v>
      </c>
      <c r="R77" s="35">
        <f t="shared" si="8"/>
        <v>0.1</v>
      </c>
      <c r="S77" s="49">
        <f>ROUND(VLOOKUP(A77,'SSP_March''19'!$A$3:$T$1193,19,0),0)</f>
        <v>3</v>
      </c>
      <c r="T77" s="44">
        <f>VLOOKUP(A77,'SSP_March''19'!$A$3:$T$1193,20,0)</f>
        <v>0.3</v>
      </c>
      <c r="U77" s="34">
        <f>VLOOKUP(A77,'SSP_March''19'!$A$3:$X$1193,21,0)</f>
        <v>0</v>
      </c>
      <c r="V77" s="34">
        <f>VLOOKUP(A77,'SSP_March''19'!$A$3:$X$1193,22,0)</f>
        <v>0</v>
      </c>
      <c r="W77" s="34">
        <f>VLOOKUP(A77,'SSP_March''19'!$A$3:$X$1193,23,0)</f>
        <v>0</v>
      </c>
      <c r="X77" s="34">
        <f>VLOOKUP(A77,'SSP_March''19'!$A$3:$X$1193,24,0)</f>
        <v>0</v>
      </c>
    </row>
    <row r="78" spans="1:24">
      <c r="A78" s="34" t="s">
        <v>391</v>
      </c>
      <c r="B78" s="34" t="s">
        <v>392</v>
      </c>
      <c r="C78" s="34" t="s">
        <v>119</v>
      </c>
      <c r="D78" s="34" t="s">
        <v>55</v>
      </c>
      <c r="E78" s="34" t="s">
        <v>3</v>
      </c>
      <c r="F78" s="34" t="s">
        <v>393</v>
      </c>
      <c r="G78" s="54">
        <v>1817531980</v>
      </c>
      <c r="H78" s="54" t="s">
        <v>229</v>
      </c>
      <c r="I78" s="54" t="s">
        <v>3514</v>
      </c>
      <c r="J78" s="34" t="s">
        <v>3421</v>
      </c>
      <c r="K78" s="43">
        <f>VLOOKUP(A78,'SSP_March''19'!$A$3:$L$1193,11,0)</f>
        <v>130000</v>
      </c>
      <c r="L78" s="43">
        <f>VLOOKUP(A78,'SSP_March''19'!$A$3:$L$1193,12,0)</f>
        <v>14220</v>
      </c>
      <c r="M78" s="44">
        <f t="shared" si="6"/>
        <v>0.10938461538461539</v>
      </c>
      <c r="N78" s="49">
        <f>ROUND(VLOOKUP(A78,'SSP_March''19'!$A$3:$N$1193,14,0),0)</f>
        <v>44082</v>
      </c>
      <c r="O78" s="44">
        <f t="shared" si="7"/>
        <v>0.33909230769230769</v>
      </c>
      <c r="P78" s="45">
        <f>VLOOKUP(A78,'SSP_March''19'!$A$3:$Q$1193,16,0)</f>
        <v>10</v>
      </c>
      <c r="Q78" s="34">
        <f>VLOOKUP(A78,'SSP_March''19'!$A$3:$Q$1193,17,0)</f>
        <v>0</v>
      </c>
      <c r="R78" s="35">
        <f t="shared" si="8"/>
        <v>0</v>
      </c>
      <c r="S78" s="49">
        <f>ROUND(VLOOKUP(A78,'SSP_March''19'!$A$3:$T$1193,19,0),0)</f>
        <v>0</v>
      </c>
      <c r="T78" s="44">
        <f>VLOOKUP(A78,'SSP_March''19'!$A$3:$T$1193,20,0)</f>
        <v>0</v>
      </c>
      <c r="U78" s="34">
        <f>VLOOKUP(A78,'SSP_March''19'!$A$3:$X$1193,21,0)</f>
        <v>0</v>
      </c>
      <c r="V78" s="34">
        <f>VLOOKUP(A78,'SSP_March''19'!$A$3:$X$1193,22,0)</f>
        <v>0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34" t="s">
        <v>336</v>
      </c>
      <c r="B79" s="34" t="s">
        <v>337</v>
      </c>
      <c r="C79" s="34" t="s">
        <v>119</v>
      </c>
      <c r="D79" s="34" t="s">
        <v>55</v>
      </c>
      <c r="E79" s="34" t="s">
        <v>3</v>
      </c>
      <c r="F79" s="34" t="s">
        <v>338</v>
      </c>
      <c r="G79" s="54">
        <v>1821818181</v>
      </c>
      <c r="H79" s="54" t="s">
        <v>229</v>
      </c>
      <c r="I79" s="54" t="s">
        <v>3514</v>
      </c>
      <c r="J79" s="34" t="s">
        <v>3419</v>
      </c>
      <c r="K79" s="43">
        <f>VLOOKUP(A79,'SSP_March''19'!$A$3:$L$1193,11,0)</f>
        <v>130000</v>
      </c>
      <c r="L79" s="43">
        <f>VLOOKUP(A79,'SSP_March''19'!$A$3:$L$1193,12,0)</f>
        <v>28040</v>
      </c>
      <c r="M79" s="44">
        <f t="shared" si="6"/>
        <v>0.21569230769230768</v>
      </c>
      <c r="N79" s="49">
        <f>ROUND(VLOOKUP(A79,'SSP_March''19'!$A$3:$N$1193,14,0),0)</f>
        <v>86924</v>
      </c>
      <c r="O79" s="44">
        <f t="shared" si="7"/>
        <v>0.66864615384615389</v>
      </c>
      <c r="P79" s="45">
        <f>VLOOKUP(A79,'SSP_March''19'!$A$3:$Q$1193,16,0)</f>
        <v>10</v>
      </c>
      <c r="Q79" s="34">
        <f>VLOOKUP(A79,'SSP_March''19'!$A$3:$Q$1193,17,0)</f>
        <v>1</v>
      </c>
      <c r="R79" s="35">
        <f t="shared" si="8"/>
        <v>0.1</v>
      </c>
      <c r="S79" s="49">
        <f>ROUND(VLOOKUP(A79,'SSP_March''19'!$A$3:$T$1193,19,0),0)</f>
        <v>3</v>
      </c>
      <c r="T79" s="44">
        <f>VLOOKUP(A79,'SSP_March''19'!$A$3:$T$1193,20,0)</f>
        <v>0.3</v>
      </c>
      <c r="U79" s="34">
        <f>VLOOKUP(A79,'SSP_March''19'!$A$3:$X$1193,21,0)</f>
        <v>1</v>
      </c>
      <c r="V79" s="34">
        <f>VLOOKUP(A79,'SSP_March''19'!$A$3:$X$1193,22,0)</f>
        <v>0</v>
      </c>
      <c r="W79" s="34">
        <f>VLOOKUP(A79,'SSP_March''19'!$A$3:$X$1193,23,0)</f>
        <v>1</v>
      </c>
      <c r="X79" s="34">
        <f>VLOOKUP(A79,'SSP_March''19'!$A$3:$X$1193,24,0)</f>
        <v>0</v>
      </c>
    </row>
    <row r="80" spans="1:24">
      <c r="A80" s="34" t="s">
        <v>2993</v>
      </c>
      <c r="B80" s="34" t="s">
        <v>557</v>
      </c>
      <c r="C80" s="34" t="s">
        <v>119</v>
      </c>
      <c r="D80" s="34" t="s">
        <v>55</v>
      </c>
      <c r="E80" s="34" t="s">
        <v>3</v>
      </c>
      <c r="F80" s="34" t="s">
        <v>2994</v>
      </c>
      <c r="G80" s="54">
        <v>1829608540</v>
      </c>
      <c r="H80" s="54" t="s">
        <v>229</v>
      </c>
      <c r="I80" s="54" t="s">
        <v>3514</v>
      </c>
      <c r="J80" s="34" t="s">
        <v>3515</v>
      </c>
      <c r="K80" s="43">
        <f>VLOOKUP(A80,'SSP_March''19'!$A$3:$L$1193,11,0)</f>
        <v>130000</v>
      </c>
      <c r="L80" s="43">
        <f>VLOOKUP(A80,'SSP_March''19'!$A$3:$L$1193,12,0)</f>
        <v>6180</v>
      </c>
      <c r="M80" s="44">
        <f t="shared" si="6"/>
        <v>4.7538461538461536E-2</v>
      </c>
      <c r="N80" s="49">
        <f>ROUND(VLOOKUP(A80,'SSP_March''19'!$A$3:$N$1193,14,0),0)</f>
        <v>19158</v>
      </c>
      <c r="O80" s="44">
        <f t="shared" si="7"/>
        <v>0.14736923076923078</v>
      </c>
      <c r="P80" s="45">
        <f>VLOOKUP(A80,'SSP_March''19'!$A$3:$Q$1193,16,0)</f>
        <v>10</v>
      </c>
      <c r="Q80" s="34">
        <f>VLOOKUP(A80,'SSP_March''19'!$A$3:$Q$1193,17,0)</f>
        <v>0</v>
      </c>
      <c r="R80" s="35">
        <f t="shared" si="8"/>
        <v>0</v>
      </c>
      <c r="S80" s="49">
        <f>ROUND(VLOOKUP(A80,'SSP_March''19'!$A$3:$T$1193,19,0),0)</f>
        <v>0</v>
      </c>
      <c r="T80" s="44">
        <f>VLOOKUP(A80,'SSP_March''19'!$A$3:$T$1193,20,0)</f>
        <v>0</v>
      </c>
      <c r="U80" s="34">
        <f>VLOOKUP(A80,'SSP_March''19'!$A$3:$X$1193,21,0)</f>
        <v>0</v>
      </c>
      <c r="V80" s="34">
        <f>VLOOKUP(A80,'SSP_March''19'!$A$3:$X$1193,22,0)</f>
        <v>0</v>
      </c>
      <c r="W80" s="34">
        <f>VLOOKUP(A80,'SSP_March''19'!$A$3:$X$1193,23,0)</f>
        <v>0</v>
      </c>
      <c r="X80" s="34">
        <f>VLOOKUP(A80,'SSP_March''19'!$A$3:$X$1193,24,0)</f>
        <v>0</v>
      </c>
    </row>
    <row r="81" spans="1:24">
      <c r="A81" s="34" t="s">
        <v>385</v>
      </c>
      <c r="B81" s="34" t="s">
        <v>386</v>
      </c>
      <c r="C81" s="34" t="s">
        <v>119</v>
      </c>
      <c r="D81" s="34" t="s">
        <v>55</v>
      </c>
      <c r="E81" s="34" t="s">
        <v>3</v>
      </c>
      <c r="F81" s="34" t="s">
        <v>387</v>
      </c>
      <c r="G81" s="54">
        <v>1814079039</v>
      </c>
      <c r="H81" s="54" t="s">
        <v>229</v>
      </c>
      <c r="I81" s="54" t="s">
        <v>3514</v>
      </c>
      <c r="J81" s="34" t="s">
        <v>3421</v>
      </c>
      <c r="K81" s="43">
        <f>VLOOKUP(A81,'SSP_March''19'!$A$3:$L$1193,11,0)</f>
        <v>130000</v>
      </c>
      <c r="L81" s="43">
        <f>VLOOKUP(A81,'SSP_March''19'!$A$3:$L$1193,12,0)</f>
        <v>0</v>
      </c>
      <c r="M81" s="44">
        <f t="shared" si="6"/>
        <v>0</v>
      </c>
      <c r="N81" s="49">
        <f>ROUND(VLOOKUP(A81,'SSP_March''19'!$A$3:$N$1193,14,0),0)</f>
        <v>0</v>
      </c>
      <c r="O81" s="44">
        <f t="shared" si="7"/>
        <v>0</v>
      </c>
      <c r="P81" s="45">
        <f>VLOOKUP(A81,'SSP_March''19'!$A$3:$Q$1193,16,0)</f>
        <v>10</v>
      </c>
      <c r="Q81" s="34">
        <f>VLOOKUP(A81,'SSP_March''19'!$A$3:$Q$1193,17,0)</f>
        <v>0</v>
      </c>
      <c r="R81" s="35">
        <f t="shared" si="8"/>
        <v>0</v>
      </c>
      <c r="S81" s="49">
        <f>ROUND(VLOOKUP(A81,'SSP_March''19'!$A$3:$T$1193,19,0),0)</f>
        <v>0</v>
      </c>
      <c r="T81" s="44">
        <f>VLOOKUP(A81,'SSP_March''19'!$A$3:$T$1193,20,0)</f>
        <v>0</v>
      </c>
      <c r="U81" s="34">
        <f>VLOOKUP(A81,'SSP_March''19'!$A$3:$X$1193,21,0)</f>
        <v>0</v>
      </c>
      <c r="V81" s="34">
        <f>VLOOKUP(A81,'SSP_March''19'!$A$3:$X$1193,22,0)</f>
        <v>0</v>
      </c>
      <c r="W81" s="34">
        <f>VLOOKUP(A81,'SSP_March''19'!$A$3:$X$1193,23,0)</f>
        <v>0</v>
      </c>
      <c r="X81" s="34">
        <f>VLOOKUP(A81,'SSP_March''19'!$A$3:$X$1193,24,0)</f>
        <v>0</v>
      </c>
    </row>
    <row r="82" spans="1:24">
      <c r="A82" s="34" t="s">
        <v>361</v>
      </c>
      <c r="B82" s="34" t="s">
        <v>362</v>
      </c>
      <c r="C82" s="34" t="s">
        <v>119</v>
      </c>
      <c r="D82" s="34" t="s">
        <v>55</v>
      </c>
      <c r="E82" s="34" t="s">
        <v>3</v>
      </c>
      <c r="F82" s="34" t="s">
        <v>363</v>
      </c>
      <c r="G82" s="54">
        <v>1819360553</v>
      </c>
      <c r="H82" s="54" t="s">
        <v>229</v>
      </c>
      <c r="I82" s="54" t="s">
        <v>3514</v>
      </c>
      <c r="J82" s="34" t="s">
        <v>3419</v>
      </c>
      <c r="K82" s="43">
        <f>VLOOKUP(A82,'SSP_March''19'!$A$3:$L$1193,11,0)</f>
        <v>130000</v>
      </c>
      <c r="L82" s="43">
        <f>VLOOKUP(A82,'SSP_March''19'!$A$3:$L$1193,12,0)</f>
        <v>10680</v>
      </c>
      <c r="M82" s="44">
        <f t="shared" si="6"/>
        <v>8.2153846153846161E-2</v>
      </c>
      <c r="N82" s="49">
        <f>ROUND(VLOOKUP(A82,'SSP_March''19'!$A$3:$N$1193,14,0),0)</f>
        <v>33108</v>
      </c>
      <c r="O82" s="44">
        <f t="shared" si="7"/>
        <v>0.25467692307692308</v>
      </c>
      <c r="P82" s="45">
        <f>VLOOKUP(A82,'SSP_March''19'!$A$3:$Q$1193,16,0)</f>
        <v>10</v>
      </c>
      <c r="Q82" s="34">
        <f>VLOOKUP(A82,'SSP_March''19'!$A$3:$Q$1193,17,0)</f>
        <v>1</v>
      </c>
      <c r="R82" s="35">
        <f t="shared" si="8"/>
        <v>0.1</v>
      </c>
      <c r="S82" s="49">
        <f>ROUND(VLOOKUP(A82,'SSP_March''19'!$A$3:$T$1193,19,0),0)</f>
        <v>3</v>
      </c>
      <c r="T82" s="44">
        <f>VLOOKUP(A82,'SSP_March''19'!$A$3:$T$1193,20,0)</f>
        <v>0.3</v>
      </c>
      <c r="U82" s="34">
        <f>VLOOKUP(A82,'SSP_March''19'!$A$3:$X$1193,21,0)</f>
        <v>0</v>
      </c>
      <c r="V82" s="34">
        <f>VLOOKUP(A82,'SSP_March''19'!$A$3:$X$1193,22,0)</f>
        <v>0</v>
      </c>
      <c r="W82" s="34">
        <f>VLOOKUP(A82,'SSP_March''19'!$A$3:$X$1193,23,0)</f>
        <v>1</v>
      </c>
      <c r="X82" s="34">
        <f>VLOOKUP(A82,'SSP_March''19'!$A$3:$X$1193,24,0)</f>
        <v>0</v>
      </c>
    </row>
    <row r="83" spans="1:24">
      <c r="A83" s="34" t="s">
        <v>367</v>
      </c>
      <c r="B83" s="34" t="s">
        <v>368</v>
      </c>
      <c r="C83" s="34" t="s">
        <v>119</v>
      </c>
      <c r="D83" s="34" t="s">
        <v>55</v>
      </c>
      <c r="E83" s="34" t="s">
        <v>3</v>
      </c>
      <c r="F83" s="34" t="s">
        <v>369</v>
      </c>
      <c r="G83" s="54">
        <v>1815191919</v>
      </c>
      <c r="H83" s="54" t="s">
        <v>229</v>
      </c>
      <c r="I83" s="54" t="s">
        <v>3522</v>
      </c>
      <c r="J83" s="34" t="s">
        <v>3419</v>
      </c>
      <c r="K83" s="43">
        <f>VLOOKUP(A83,'SSP_March''19'!$A$3:$L$1193,11,0)</f>
        <v>553309</v>
      </c>
      <c r="L83" s="43">
        <f>VLOOKUP(A83,'SSP_March''19'!$A$3:$L$1193,12,0)</f>
        <v>116573</v>
      </c>
      <c r="M83" s="44">
        <f t="shared" si="6"/>
        <v>0.21068336137673524</v>
      </c>
      <c r="N83" s="49">
        <f>ROUND(VLOOKUP(A83,'SSP_March''19'!$A$3:$N$1193,14,0),0)</f>
        <v>361376</v>
      </c>
      <c r="O83" s="44">
        <f t="shared" si="7"/>
        <v>0.65311787807536115</v>
      </c>
      <c r="P83" s="45">
        <f>VLOOKUP(A83,'SSP_March''19'!$A$3:$Q$1193,16,0)</f>
        <v>22</v>
      </c>
      <c r="Q83" s="34">
        <f>VLOOKUP(A83,'SSP_March''19'!$A$3:$Q$1193,17,0)</f>
        <v>3</v>
      </c>
      <c r="R83" s="35">
        <f t="shared" si="8"/>
        <v>0.13636363636363635</v>
      </c>
      <c r="S83" s="49">
        <f>ROUND(VLOOKUP(A83,'SSP_March''19'!$A$3:$T$1193,19,0),0)</f>
        <v>9</v>
      </c>
      <c r="T83" s="44">
        <f>VLOOKUP(A83,'SSP_March''19'!$A$3:$T$1193,20,0)</f>
        <v>0.40909090909090912</v>
      </c>
      <c r="U83" s="34">
        <f>VLOOKUP(A83,'SSP_March''19'!$A$3:$X$1193,21,0)</f>
        <v>2</v>
      </c>
      <c r="V83" s="34">
        <f>VLOOKUP(A83,'SSP_March''19'!$A$3:$X$1193,22,0)</f>
        <v>0</v>
      </c>
      <c r="W83" s="34">
        <f>VLOOKUP(A83,'SSP_March''19'!$A$3:$X$1193,23,0)</f>
        <v>0</v>
      </c>
      <c r="X83" s="34">
        <f>VLOOKUP(A83,'SSP_March''19'!$A$3:$X$1193,24,0)</f>
        <v>0</v>
      </c>
    </row>
    <row r="84" spans="1:24">
      <c r="A84" s="75" t="s">
        <v>3542</v>
      </c>
      <c r="B84" s="75" t="s">
        <v>3543</v>
      </c>
      <c r="C84" s="75" t="s">
        <v>119</v>
      </c>
      <c r="D84" s="75" t="s">
        <v>55</v>
      </c>
      <c r="E84" s="75" t="s">
        <v>3</v>
      </c>
      <c r="F84" s="75" t="s">
        <v>3544</v>
      </c>
      <c r="G84" s="67">
        <v>1818510330</v>
      </c>
      <c r="H84" s="54" t="s">
        <v>229</v>
      </c>
      <c r="I84" s="54" t="s">
        <v>3514</v>
      </c>
      <c r="J84" s="34" t="s">
        <v>3515</v>
      </c>
      <c r="K84" s="43">
        <f>VLOOKUP(A84,'SSP_March''19'!$A$3:$L$1193,11,0)</f>
        <v>130000</v>
      </c>
      <c r="L84" s="43">
        <f>VLOOKUP(A84,'SSP_March''19'!$A$3:$L$1193,12,0)</f>
        <v>16960</v>
      </c>
      <c r="M84" s="44">
        <f t="shared" si="6"/>
        <v>0.13046153846153846</v>
      </c>
      <c r="N84" s="49">
        <f>ROUND(VLOOKUP(A84,'SSP_March''19'!$A$3:$N$1193,14,0),0)</f>
        <v>52576</v>
      </c>
      <c r="O84" s="44">
        <f t="shared" si="7"/>
        <v>0.4044307692307692</v>
      </c>
      <c r="P84" s="45">
        <f>VLOOKUP(A84,'SSP_March''19'!$A$3:$Q$1193,16,0)</f>
        <v>10</v>
      </c>
      <c r="Q84" s="34">
        <f>VLOOKUP(A84,'SSP_March''19'!$A$3:$Q$1193,17,0)</f>
        <v>0</v>
      </c>
      <c r="R84" s="35">
        <f t="shared" si="8"/>
        <v>0</v>
      </c>
      <c r="S84" s="49">
        <f>ROUND(VLOOKUP(A84,'SSP_March''19'!$A$3:$T$1193,19,0),0)</f>
        <v>0</v>
      </c>
      <c r="T84" s="44">
        <f>VLOOKUP(A84,'SSP_March''19'!$A$3:$T$1193,20,0)</f>
        <v>0</v>
      </c>
      <c r="U84" s="34">
        <f>VLOOKUP(A84,'SSP_March''19'!$A$3:$X$1193,21,0)</f>
        <v>1</v>
      </c>
      <c r="V84" s="34">
        <f>VLOOKUP(A84,'SSP_March''19'!$A$3:$X$1193,22,0)</f>
        <v>0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34" t="s">
        <v>349</v>
      </c>
      <c r="B85" s="34" t="s">
        <v>350</v>
      </c>
      <c r="C85" s="34" t="s">
        <v>347</v>
      </c>
      <c r="D85" s="34" t="s">
        <v>55</v>
      </c>
      <c r="E85" s="34" t="s">
        <v>3</v>
      </c>
      <c r="F85" s="34" t="s">
        <v>351</v>
      </c>
      <c r="G85" s="54">
        <v>1851815097</v>
      </c>
      <c r="H85" s="54" t="s">
        <v>229</v>
      </c>
      <c r="I85" s="54" t="s">
        <v>3514</v>
      </c>
      <c r="J85" s="34" t="s">
        <v>3419</v>
      </c>
      <c r="K85" s="43">
        <f>VLOOKUP(A85,'SSP_March''19'!$A$3:$L$1193,11,0)</f>
        <v>130000</v>
      </c>
      <c r="L85" s="43">
        <f>VLOOKUP(A85,'SSP_March''19'!$A$3:$L$1193,12,0)</f>
        <v>11670</v>
      </c>
      <c r="M85" s="44">
        <f t="shared" si="6"/>
        <v>8.9769230769230768E-2</v>
      </c>
      <c r="N85" s="49">
        <f>ROUND(VLOOKUP(A85,'SSP_March''19'!$A$3:$N$1193,14,0),0)</f>
        <v>36177</v>
      </c>
      <c r="O85" s="44">
        <f t="shared" si="7"/>
        <v>0.27828461538461541</v>
      </c>
      <c r="P85" s="45">
        <f>VLOOKUP(A85,'SSP_March''19'!$A$3:$Q$1193,16,0)</f>
        <v>10</v>
      </c>
      <c r="Q85" s="34">
        <f>VLOOKUP(A85,'SSP_March''19'!$A$3:$Q$1193,17,0)</f>
        <v>0</v>
      </c>
      <c r="R85" s="35">
        <f t="shared" si="8"/>
        <v>0</v>
      </c>
      <c r="S85" s="49">
        <f>ROUND(VLOOKUP(A85,'SSP_March''19'!$A$3:$T$1193,19,0),0)</f>
        <v>0</v>
      </c>
      <c r="T85" s="44">
        <f>VLOOKUP(A85,'SSP_March''19'!$A$3:$T$1193,20,0)</f>
        <v>0</v>
      </c>
      <c r="U85" s="34">
        <f>VLOOKUP(A85,'SSP_March''19'!$A$3:$X$1193,21,0)</f>
        <v>0</v>
      </c>
      <c r="V85" s="34">
        <f>VLOOKUP(A85,'SSP_March''19'!$A$3:$X$1193,22,0)</f>
        <v>0</v>
      </c>
      <c r="W85" s="34">
        <f>VLOOKUP(A85,'SSP_March''19'!$A$3:$X$1193,23,0)</f>
        <v>0</v>
      </c>
      <c r="X85" s="34">
        <f>VLOOKUP(A85,'SSP_March''19'!$A$3:$X$1193,24,0)</f>
        <v>0</v>
      </c>
    </row>
    <row r="86" spans="1:24">
      <c r="A86" s="34" t="s">
        <v>345</v>
      </c>
      <c r="B86" s="34" t="s">
        <v>346</v>
      </c>
      <c r="C86" s="34" t="s">
        <v>347</v>
      </c>
      <c r="D86" s="34" t="s">
        <v>55</v>
      </c>
      <c r="E86" s="34" t="s">
        <v>3</v>
      </c>
      <c r="F86" s="34" t="s">
        <v>348</v>
      </c>
      <c r="G86" s="54">
        <v>1845675111</v>
      </c>
      <c r="H86" s="54" t="s">
        <v>229</v>
      </c>
      <c r="I86" s="54" t="s">
        <v>3514</v>
      </c>
      <c r="J86" s="34" t="s">
        <v>3421</v>
      </c>
      <c r="K86" s="43">
        <f>VLOOKUP(A86,'SSP_March''19'!$A$3:$L$1193,11,0)</f>
        <v>130000</v>
      </c>
      <c r="L86" s="43">
        <f>VLOOKUP(A86,'SSP_March''19'!$A$3:$L$1193,12,0)</f>
        <v>0</v>
      </c>
      <c r="M86" s="44">
        <f t="shared" si="6"/>
        <v>0</v>
      </c>
      <c r="N86" s="49">
        <f>ROUND(VLOOKUP(A86,'SSP_March''19'!$A$3:$N$1193,14,0),0)</f>
        <v>0</v>
      </c>
      <c r="O86" s="44">
        <f t="shared" si="7"/>
        <v>0</v>
      </c>
      <c r="P86" s="45">
        <f>VLOOKUP(A86,'SSP_March''19'!$A$3:$Q$1193,16,0)</f>
        <v>10</v>
      </c>
      <c r="Q86" s="34">
        <f>VLOOKUP(A86,'SSP_March''19'!$A$3:$Q$1193,17,0)</f>
        <v>0</v>
      </c>
      <c r="R86" s="35">
        <f t="shared" si="8"/>
        <v>0</v>
      </c>
      <c r="S86" s="49">
        <f>ROUND(VLOOKUP(A86,'SSP_March''19'!$A$3:$T$1193,19,0),0)</f>
        <v>0</v>
      </c>
      <c r="T86" s="44">
        <f>VLOOKUP(A86,'SSP_March''19'!$A$3:$T$1193,20,0)</f>
        <v>0</v>
      </c>
      <c r="U86" s="34">
        <f>VLOOKUP(A86,'SSP_March''19'!$A$3:$X$1193,21,0)</f>
        <v>0</v>
      </c>
      <c r="V86" s="34">
        <f>VLOOKUP(A86,'SSP_March''19'!$A$3:$X$1193,22,0)</f>
        <v>0</v>
      </c>
      <c r="W86" s="34">
        <f>VLOOKUP(A86,'SSP_March''19'!$A$3:$X$1193,23,0)</f>
        <v>0</v>
      </c>
      <c r="X86" s="34">
        <f>VLOOKUP(A86,'SSP_March''19'!$A$3:$X$1193,24,0)</f>
        <v>0</v>
      </c>
    </row>
    <row r="87" spans="1:24">
      <c r="A87" s="34" t="s">
        <v>408</v>
      </c>
      <c r="B87" s="34" t="s">
        <v>409</v>
      </c>
      <c r="C87" s="34" t="s">
        <v>347</v>
      </c>
      <c r="D87" s="34" t="s">
        <v>55</v>
      </c>
      <c r="E87" s="34" t="s">
        <v>3</v>
      </c>
      <c r="F87" s="34" t="s">
        <v>410</v>
      </c>
      <c r="G87" s="54">
        <v>1832303775</v>
      </c>
      <c r="H87" s="54" t="s">
        <v>229</v>
      </c>
      <c r="I87" s="54" t="s">
        <v>3514</v>
      </c>
      <c r="J87" s="34" t="s">
        <v>3421</v>
      </c>
      <c r="K87" s="43">
        <f>VLOOKUP(A87,'SSP_March''19'!$A$3:$L$1193,11,0)</f>
        <v>130000</v>
      </c>
      <c r="L87" s="43">
        <f>VLOOKUP(A87,'SSP_March''19'!$A$3:$L$1193,12,0)</f>
        <v>10180</v>
      </c>
      <c r="M87" s="44">
        <f t="shared" si="6"/>
        <v>7.8307692307692314E-2</v>
      </c>
      <c r="N87" s="49">
        <f>ROUND(VLOOKUP(A87,'SSP_March''19'!$A$3:$N$1193,14,0),0)</f>
        <v>31558</v>
      </c>
      <c r="O87" s="44">
        <f t="shared" si="7"/>
        <v>0.24275384615384615</v>
      </c>
      <c r="P87" s="45">
        <f>VLOOKUP(A87,'SSP_March''19'!$A$3:$Q$1193,16,0)</f>
        <v>10</v>
      </c>
      <c r="Q87" s="34">
        <f>VLOOKUP(A87,'SSP_March''19'!$A$3:$Q$1193,17,0)</f>
        <v>0</v>
      </c>
      <c r="R87" s="35">
        <f t="shared" si="8"/>
        <v>0</v>
      </c>
      <c r="S87" s="49">
        <f>ROUND(VLOOKUP(A87,'SSP_March''19'!$A$3:$T$1193,19,0),0)</f>
        <v>0</v>
      </c>
      <c r="T87" s="44">
        <f>VLOOKUP(A87,'SSP_March''19'!$A$3:$T$1193,20,0)</f>
        <v>0</v>
      </c>
      <c r="U87" s="34">
        <f>VLOOKUP(A87,'SSP_March''19'!$A$3:$X$1193,21,0)</f>
        <v>0</v>
      </c>
      <c r="V87" s="34">
        <f>VLOOKUP(A87,'SSP_March''19'!$A$3:$X$1193,22,0)</f>
        <v>0</v>
      </c>
      <c r="W87" s="34">
        <f>VLOOKUP(A87,'SSP_March''19'!$A$3:$X$1193,23,0)</f>
        <v>0</v>
      </c>
      <c r="X87" s="34">
        <f>VLOOKUP(A87,'SSP_March''19'!$A$3:$X$1193,24,0)</f>
        <v>0</v>
      </c>
    </row>
    <row r="88" spans="1:24">
      <c r="A88" s="34" t="s">
        <v>388</v>
      </c>
      <c r="B88" s="34" t="s">
        <v>389</v>
      </c>
      <c r="C88" s="34" t="s">
        <v>347</v>
      </c>
      <c r="D88" s="34" t="s">
        <v>55</v>
      </c>
      <c r="E88" s="34" t="s">
        <v>3</v>
      </c>
      <c r="F88" s="34" t="s">
        <v>390</v>
      </c>
      <c r="G88" s="54">
        <v>1719897384</v>
      </c>
      <c r="H88" s="54" t="s">
        <v>229</v>
      </c>
      <c r="I88" s="54" t="s">
        <v>3514</v>
      </c>
      <c r="J88" s="34" t="s">
        <v>3421</v>
      </c>
      <c r="K88" s="43">
        <f>VLOOKUP(A88,'SSP_March''19'!$A$3:$L$1193,11,0)</f>
        <v>130000</v>
      </c>
      <c r="L88" s="43">
        <f>VLOOKUP(A88,'SSP_March''19'!$A$3:$L$1193,12,0)</f>
        <v>10280</v>
      </c>
      <c r="M88" s="44">
        <f t="shared" si="6"/>
        <v>7.9076923076923072E-2</v>
      </c>
      <c r="N88" s="49">
        <f>ROUND(VLOOKUP(A88,'SSP_March''19'!$A$3:$N$1193,14,0),0)</f>
        <v>31868</v>
      </c>
      <c r="O88" s="44">
        <f t="shared" si="7"/>
        <v>0.24513846153846153</v>
      </c>
      <c r="P88" s="45">
        <f>VLOOKUP(A88,'SSP_March''19'!$A$3:$Q$1193,16,0)</f>
        <v>10</v>
      </c>
      <c r="Q88" s="34">
        <f>VLOOKUP(A88,'SSP_March''19'!$A$3:$Q$1193,17,0)</f>
        <v>0</v>
      </c>
      <c r="R88" s="35">
        <f t="shared" si="8"/>
        <v>0</v>
      </c>
      <c r="S88" s="49">
        <f>ROUND(VLOOKUP(A88,'SSP_March''19'!$A$3:$T$1193,19,0),0)</f>
        <v>0</v>
      </c>
      <c r="T88" s="44">
        <f>VLOOKUP(A88,'SSP_March''19'!$A$3:$T$1193,20,0)</f>
        <v>0</v>
      </c>
      <c r="U88" s="34">
        <f>VLOOKUP(A88,'SSP_March''19'!$A$3:$X$1193,21,0)</f>
        <v>0</v>
      </c>
      <c r="V88" s="34">
        <f>VLOOKUP(A88,'SSP_March''19'!$A$3:$X$1193,22,0)</f>
        <v>0</v>
      </c>
      <c r="W88" s="34">
        <f>VLOOKUP(A88,'SSP_March''19'!$A$3:$X$1193,23,0)</f>
        <v>0</v>
      </c>
      <c r="X88" s="34">
        <f>VLOOKUP(A88,'SSP_March''19'!$A$3:$X$1193,24,0)</f>
        <v>0</v>
      </c>
    </row>
    <row r="89" spans="1:24">
      <c r="A89" s="34" t="s">
        <v>382</v>
      </c>
      <c r="B89" s="34" t="s">
        <v>383</v>
      </c>
      <c r="C89" s="34" t="s">
        <v>347</v>
      </c>
      <c r="D89" s="34" t="s">
        <v>55</v>
      </c>
      <c r="E89" s="34" t="s">
        <v>3</v>
      </c>
      <c r="F89" s="34" t="s">
        <v>384</v>
      </c>
      <c r="G89" s="54">
        <v>1703121213</v>
      </c>
      <c r="H89" s="54" t="s">
        <v>229</v>
      </c>
      <c r="I89" s="54" t="s">
        <v>3514</v>
      </c>
      <c r="J89" s="34" t="s">
        <v>3419</v>
      </c>
      <c r="K89" s="43">
        <f>VLOOKUP(A89,'SSP_March''19'!$A$3:$L$1193,11,0)</f>
        <v>130000</v>
      </c>
      <c r="L89" s="43">
        <f>VLOOKUP(A89,'SSP_March''19'!$A$3:$L$1193,12,0)</f>
        <v>4590</v>
      </c>
      <c r="M89" s="44">
        <f t="shared" si="6"/>
        <v>3.5307692307692311E-2</v>
      </c>
      <c r="N89" s="49">
        <f>ROUND(VLOOKUP(A89,'SSP_March''19'!$A$3:$N$1193,14,0),0)</f>
        <v>14229</v>
      </c>
      <c r="O89" s="44">
        <f t="shared" si="7"/>
        <v>0.10945384615384615</v>
      </c>
      <c r="P89" s="45">
        <f>VLOOKUP(A89,'SSP_March''19'!$A$3:$Q$1193,16,0)</f>
        <v>10</v>
      </c>
      <c r="Q89" s="34">
        <f>VLOOKUP(A89,'SSP_March''19'!$A$3:$Q$1193,17,0)</f>
        <v>0</v>
      </c>
      <c r="R89" s="35">
        <f t="shared" si="8"/>
        <v>0</v>
      </c>
      <c r="S89" s="49">
        <f>ROUND(VLOOKUP(A89,'SSP_March''19'!$A$3:$T$1193,19,0),0)</f>
        <v>0</v>
      </c>
      <c r="T89" s="44">
        <f>VLOOKUP(A89,'SSP_March''19'!$A$3:$T$1193,20,0)</f>
        <v>0</v>
      </c>
      <c r="U89" s="34">
        <f>VLOOKUP(A89,'SSP_March''19'!$A$3:$X$1193,21,0)</f>
        <v>0</v>
      </c>
      <c r="V89" s="34">
        <f>VLOOKUP(A89,'SSP_March''19'!$A$3:$X$1193,22,0)</f>
        <v>0</v>
      </c>
      <c r="W89" s="34">
        <f>VLOOKUP(A89,'SSP_March''19'!$A$3:$X$1193,23,0)</f>
        <v>0</v>
      </c>
      <c r="X89" s="34">
        <f>VLOOKUP(A89,'SSP_March''19'!$A$3:$X$1193,24,0)</f>
        <v>0</v>
      </c>
    </row>
    <row r="90" spans="1:24">
      <c r="A90" s="34" t="s">
        <v>364</v>
      </c>
      <c r="B90" s="34" t="s">
        <v>365</v>
      </c>
      <c r="C90" s="34" t="s">
        <v>347</v>
      </c>
      <c r="D90" s="34" t="s">
        <v>55</v>
      </c>
      <c r="E90" s="34" t="s">
        <v>3</v>
      </c>
      <c r="F90" s="34" t="s">
        <v>366</v>
      </c>
      <c r="G90" s="54">
        <v>1882211178</v>
      </c>
      <c r="H90" s="54" t="s">
        <v>229</v>
      </c>
      <c r="I90" s="54" t="s">
        <v>3514</v>
      </c>
      <c r="J90" s="34" t="s">
        <v>3515</v>
      </c>
      <c r="K90" s="43">
        <f>VLOOKUP(A90,'SSP_March''19'!$A$3:$L$1193,11,0)</f>
        <v>130000</v>
      </c>
      <c r="L90" s="43">
        <f>VLOOKUP(A90,'SSP_March''19'!$A$3:$L$1193,12,0)</f>
        <v>0</v>
      </c>
      <c r="M90" s="44">
        <f t="shared" si="6"/>
        <v>0</v>
      </c>
      <c r="N90" s="49">
        <f>ROUND(VLOOKUP(A90,'SSP_March''19'!$A$3:$N$1193,14,0),0)</f>
        <v>0</v>
      </c>
      <c r="O90" s="44">
        <f t="shared" si="7"/>
        <v>0</v>
      </c>
      <c r="P90" s="45">
        <f>VLOOKUP(A90,'SSP_March''19'!$A$3:$Q$1193,16,0)</f>
        <v>10</v>
      </c>
      <c r="Q90" s="34">
        <f>VLOOKUP(A90,'SSP_March''19'!$A$3:$Q$1193,17,0)</f>
        <v>0</v>
      </c>
      <c r="R90" s="35">
        <f t="shared" si="8"/>
        <v>0</v>
      </c>
      <c r="S90" s="49">
        <f>ROUND(VLOOKUP(A90,'SSP_March''19'!$A$3:$T$1193,19,0),0)</f>
        <v>0</v>
      </c>
      <c r="T90" s="44">
        <f>VLOOKUP(A90,'SSP_March''19'!$A$3:$T$1193,20,0)</f>
        <v>0</v>
      </c>
      <c r="U90" s="34">
        <f>VLOOKUP(A90,'SSP_March''19'!$A$3:$X$1193,21,0)</f>
        <v>0</v>
      </c>
      <c r="V90" s="34">
        <f>VLOOKUP(A90,'SSP_March''19'!$A$3:$X$1193,22,0)</f>
        <v>0</v>
      </c>
      <c r="W90" s="34">
        <f>VLOOKUP(A90,'SSP_March''19'!$A$3:$X$1193,23,0)</f>
        <v>0</v>
      </c>
      <c r="X90" s="34">
        <f>VLOOKUP(A90,'SSP_March''19'!$A$3:$X$1193,24,0)</f>
        <v>0</v>
      </c>
    </row>
    <row r="91" spans="1:24">
      <c r="A91" s="34" t="s">
        <v>355</v>
      </c>
      <c r="B91" s="34" t="s">
        <v>356</v>
      </c>
      <c r="C91" s="34" t="s">
        <v>347</v>
      </c>
      <c r="D91" s="34" t="s">
        <v>55</v>
      </c>
      <c r="E91" s="34" t="s">
        <v>3</v>
      </c>
      <c r="F91" s="34" t="s">
        <v>357</v>
      </c>
      <c r="G91" s="54">
        <v>1820505878</v>
      </c>
      <c r="H91" s="54" t="s">
        <v>229</v>
      </c>
      <c r="I91" s="54" t="s">
        <v>3514</v>
      </c>
      <c r="J91" s="34" t="s">
        <v>3421</v>
      </c>
      <c r="K91" s="43">
        <f>VLOOKUP(A91,'SSP_March''19'!$A$3:$L$1193,11,0)</f>
        <v>130000</v>
      </c>
      <c r="L91" s="43">
        <f>VLOOKUP(A91,'SSP_March''19'!$A$3:$L$1193,12,0)</f>
        <v>10180</v>
      </c>
      <c r="M91" s="44">
        <f t="shared" si="6"/>
        <v>7.8307692307692314E-2</v>
      </c>
      <c r="N91" s="49">
        <f>ROUND(VLOOKUP(A91,'SSP_March''19'!$A$3:$N$1193,14,0),0)</f>
        <v>31558</v>
      </c>
      <c r="O91" s="44">
        <f t="shared" si="7"/>
        <v>0.24275384615384615</v>
      </c>
      <c r="P91" s="45">
        <f>VLOOKUP(A91,'SSP_March''19'!$A$3:$Q$1193,16,0)</f>
        <v>10</v>
      </c>
      <c r="Q91" s="34">
        <f>VLOOKUP(A91,'SSP_March''19'!$A$3:$Q$1193,17,0)</f>
        <v>0</v>
      </c>
      <c r="R91" s="35">
        <f t="shared" si="8"/>
        <v>0</v>
      </c>
      <c r="S91" s="49">
        <f>ROUND(VLOOKUP(A91,'SSP_March''19'!$A$3:$T$1193,19,0),0)</f>
        <v>0</v>
      </c>
      <c r="T91" s="44">
        <f>VLOOKUP(A91,'SSP_March''19'!$A$3:$T$1193,20,0)</f>
        <v>0</v>
      </c>
      <c r="U91" s="34">
        <f>VLOOKUP(A91,'SSP_March''19'!$A$3:$X$1193,21,0)</f>
        <v>0</v>
      </c>
      <c r="V91" s="34">
        <f>VLOOKUP(A91,'SSP_March''19'!$A$3:$X$1193,22,0)</f>
        <v>0</v>
      </c>
      <c r="W91" s="34">
        <f>VLOOKUP(A91,'SSP_March''19'!$A$3:$X$1193,23,0)</f>
        <v>0</v>
      </c>
      <c r="X91" s="34">
        <f>VLOOKUP(A91,'SSP_March''19'!$A$3:$X$1193,24,0)</f>
        <v>0</v>
      </c>
    </row>
    <row r="92" spans="1:24">
      <c r="A92" s="34" t="s">
        <v>379</v>
      </c>
      <c r="B92" s="34" t="s">
        <v>380</v>
      </c>
      <c r="C92" s="34" t="s">
        <v>347</v>
      </c>
      <c r="D92" s="34" t="s">
        <v>55</v>
      </c>
      <c r="E92" s="34" t="s">
        <v>3</v>
      </c>
      <c r="F92" s="34" t="s">
        <v>381</v>
      </c>
      <c r="G92" s="54">
        <v>1824998339</v>
      </c>
      <c r="H92" s="54" t="s">
        <v>229</v>
      </c>
      <c r="I92" s="54" t="s">
        <v>3514</v>
      </c>
      <c r="J92" s="34" t="s">
        <v>3421</v>
      </c>
      <c r="K92" s="43">
        <f>VLOOKUP(A92,'SSP_March''19'!$A$3:$L$1193,11,0)</f>
        <v>130000</v>
      </c>
      <c r="L92" s="43">
        <f>VLOOKUP(A92,'SSP_March''19'!$A$3:$L$1193,12,0)</f>
        <v>3090</v>
      </c>
      <c r="M92" s="44">
        <f t="shared" si="6"/>
        <v>2.3769230769230768E-2</v>
      </c>
      <c r="N92" s="49">
        <f>ROUND(VLOOKUP(A92,'SSP_March''19'!$A$3:$N$1193,14,0),0)</f>
        <v>9579</v>
      </c>
      <c r="O92" s="44">
        <f t="shared" si="7"/>
        <v>7.368461538461539E-2</v>
      </c>
      <c r="P92" s="45">
        <f>VLOOKUP(A92,'SSP_March''19'!$A$3:$Q$1193,16,0)</f>
        <v>10</v>
      </c>
      <c r="Q92" s="34">
        <f>VLOOKUP(A92,'SSP_March''19'!$A$3:$Q$1193,17,0)</f>
        <v>0</v>
      </c>
      <c r="R92" s="35">
        <f t="shared" si="8"/>
        <v>0</v>
      </c>
      <c r="S92" s="49">
        <f>ROUND(VLOOKUP(A92,'SSP_March''19'!$A$3:$T$1193,19,0),0)</f>
        <v>0</v>
      </c>
      <c r="T92" s="44">
        <f>VLOOKUP(A92,'SSP_March''19'!$A$3:$T$1193,20,0)</f>
        <v>0</v>
      </c>
      <c r="U92" s="34">
        <f>VLOOKUP(A92,'SSP_March''19'!$A$3:$X$1193,21,0)</f>
        <v>0</v>
      </c>
      <c r="V92" s="34">
        <f>VLOOKUP(A92,'SSP_March''19'!$A$3:$X$1193,22,0)</f>
        <v>0</v>
      </c>
      <c r="W92" s="34">
        <f>VLOOKUP(A92,'SSP_March''19'!$A$3:$X$1193,23,0)</f>
        <v>0</v>
      </c>
      <c r="X92" s="34">
        <f>VLOOKUP(A92,'SSP_March''19'!$A$3:$X$1193,24,0)</f>
        <v>0</v>
      </c>
    </row>
    <row r="93" spans="1:24">
      <c r="A93" s="34" t="s">
        <v>373</v>
      </c>
      <c r="B93" s="34" t="s">
        <v>374</v>
      </c>
      <c r="C93" s="34" t="s">
        <v>347</v>
      </c>
      <c r="D93" s="34" t="s">
        <v>55</v>
      </c>
      <c r="E93" s="34" t="s">
        <v>3</v>
      </c>
      <c r="F93" s="34" t="s">
        <v>375</v>
      </c>
      <c r="G93" s="54">
        <v>1816130400</v>
      </c>
      <c r="H93" s="54" t="s">
        <v>229</v>
      </c>
      <c r="I93" s="54" t="s">
        <v>3514</v>
      </c>
      <c r="J93" s="34" t="s">
        <v>3419</v>
      </c>
      <c r="K93" s="43">
        <f>VLOOKUP(A93,'SSP_March''19'!$A$3:$L$1193,11,0)</f>
        <v>130000</v>
      </c>
      <c r="L93" s="43">
        <f>VLOOKUP(A93,'SSP_March''19'!$A$3:$L$1193,12,0)</f>
        <v>15880</v>
      </c>
      <c r="M93" s="44">
        <f t="shared" si="6"/>
        <v>0.12215384615384615</v>
      </c>
      <c r="N93" s="49">
        <f>ROUND(VLOOKUP(A93,'SSP_March''19'!$A$3:$N$1193,14,0),0)</f>
        <v>49228</v>
      </c>
      <c r="O93" s="44">
        <f t="shared" si="7"/>
        <v>0.37867692307692308</v>
      </c>
      <c r="P93" s="45">
        <f>VLOOKUP(A93,'SSP_March''19'!$A$3:$Q$1193,16,0)</f>
        <v>10</v>
      </c>
      <c r="Q93" s="34">
        <f>VLOOKUP(A93,'SSP_March''19'!$A$3:$Q$1193,17,0)</f>
        <v>1</v>
      </c>
      <c r="R93" s="35">
        <f t="shared" si="8"/>
        <v>0.1</v>
      </c>
      <c r="S93" s="49">
        <f>ROUND(VLOOKUP(A93,'SSP_March''19'!$A$3:$T$1193,19,0),0)</f>
        <v>3</v>
      </c>
      <c r="T93" s="44">
        <f>VLOOKUP(A93,'SSP_March''19'!$A$3:$T$1193,20,0)</f>
        <v>0.3</v>
      </c>
      <c r="U93" s="34">
        <f>VLOOKUP(A93,'SSP_March''19'!$A$3:$X$1193,21,0)</f>
        <v>0</v>
      </c>
      <c r="V93" s="34">
        <f>VLOOKUP(A93,'SSP_March''19'!$A$3:$X$1193,22,0)</f>
        <v>0</v>
      </c>
      <c r="W93" s="34">
        <f>VLOOKUP(A93,'SSP_March''19'!$A$3:$X$1193,23,0)</f>
        <v>0</v>
      </c>
      <c r="X93" s="34">
        <f>VLOOKUP(A93,'SSP_March''19'!$A$3:$X$1193,24,0)</f>
        <v>0</v>
      </c>
    </row>
    <row r="94" spans="1:24">
      <c r="A94" s="34" t="s">
        <v>370</v>
      </c>
      <c r="B94" s="34" t="s">
        <v>371</v>
      </c>
      <c r="C94" s="34" t="s">
        <v>347</v>
      </c>
      <c r="D94" s="34" t="s">
        <v>55</v>
      </c>
      <c r="E94" s="34" t="s">
        <v>3</v>
      </c>
      <c r="F94" s="34" t="s">
        <v>372</v>
      </c>
      <c r="G94" s="54">
        <v>1815670183</v>
      </c>
      <c r="H94" s="54" t="s">
        <v>229</v>
      </c>
      <c r="I94" s="54" t="s">
        <v>3514</v>
      </c>
      <c r="J94" s="34" t="s">
        <v>3421</v>
      </c>
      <c r="K94" s="43">
        <f>VLOOKUP(A94,'SSP_March''19'!$A$3:$L$1193,11,0)</f>
        <v>130000</v>
      </c>
      <c r="L94" s="43">
        <f>VLOOKUP(A94,'SSP_March''19'!$A$3:$L$1193,12,0)</f>
        <v>0</v>
      </c>
      <c r="M94" s="44">
        <f t="shared" si="6"/>
        <v>0</v>
      </c>
      <c r="N94" s="49">
        <f>ROUND(VLOOKUP(A94,'SSP_March''19'!$A$3:$N$1193,14,0),0)</f>
        <v>0</v>
      </c>
      <c r="O94" s="44">
        <f t="shared" si="7"/>
        <v>0</v>
      </c>
      <c r="P94" s="45">
        <f>VLOOKUP(A94,'SSP_March''19'!$A$3:$Q$1193,16,0)</f>
        <v>10</v>
      </c>
      <c r="Q94" s="34">
        <f>VLOOKUP(A94,'SSP_March''19'!$A$3:$Q$1193,17,0)</f>
        <v>0</v>
      </c>
      <c r="R94" s="35">
        <f t="shared" si="8"/>
        <v>0</v>
      </c>
      <c r="S94" s="49">
        <f>ROUND(VLOOKUP(A94,'SSP_March''19'!$A$3:$T$1193,19,0),0)</f>
        <v>0</v>
      </c>
      <c r="T94" s="44">
        <f>VLOOKUP(A94,'SSP_March''19'!$A$3:$T$1193,20,0)</f>
        <v>0</v>
      </c>
      <c r="U94" s="34">
        <f>VLOOKUP(A94,'SSP_March''19'!$A$3:$X$1193,21,0)</f>
        <v>0</v>
      </c>
      <c r="V94" s="34">
        <f>VLOOKUP(A94,'SSP_March''19'!$A$3:$X$1193,22,0)</f>
        <v>0</v>
      </c>
      <c r="W94" s="34">
        <f>VLOOKUP(A94,'SSP_March''19'!$A$3:$X$1193,23,0)</f>
        <v>0</v>
      </c>
      <c r="X94" s="34">
        <f>VLOOKUP(A94,'SSP_March''19'!$A$3:$X$1193,24,0)</f>
        <v>0</v>
      </c>
    </row>
    <row r="95" spans="1:24">
      <c r="A95" s="34" t="s">
        <v>399</v>
      </c>
      <c r="B95" s="34" t="s">
        <v>400</v>
      </c>
      <c r="C95" s="34" t="s">
        <v>347</v>
      </c>
      <c r="D95" s="34" t="s">
        <v>55</v>
      </c>
      <c r="E95" s="34" t="s">
        <v>3</v>
      </c>
      <c r="F95" s="34" t="s">
        <v>401</v>
      </c>
      <c r="G95" s="54">
        <v>1856283029</v>
      </c>
      <c r="H95" s="54" t="s">
        <v>229</v>
      </c>
      <c r="I95" s="54" t="s">
        <v>3514</v>
      </c>
      <c r="J95" s="34" t="s">
        <v>3515</v>
      </c>
      <c r="K95" s="43">
        <f>VLOOKUP(A95,'SSP_March''19'!$A$3:$L$1193,11,0)</f>
        <v>130000</v>
      </c>
      <c r="L95" s="43">
        <f>VLOOKUP(A95,'SSP_March''19'!$A$3:$L$1193,12,0)</f>
        <v>4950</v>
      </c>
      <c r="M95" s="44">
        <f t="shared" si="6"/>
        <v>3.8076923076923078E-2</v>
      </c>
      <c r="N95" s="49">
        <f>ROUND(VLOOKUP(A95,'SSP_March''19'!$A$3:$N$1193,14,0),0)</f>
        <v>15345</v>
      </c>
      <c r="O95" s="44">
        <f t="shared" si="7"/>
        <v>0.11803846153846154</v>
      </c>
      <c r="P95" s="45">
        <f>VLOOKUP(A95,'SSP_March''19'!$A$3:$Q$1193,16,0)</f>
        <v>10</v>
      </c>
      <c r="Q95" s="34">
        <f>VLOOKUP(A95,'SSP_March''19'!$A$3:$Q$1193,17,0)</f>
        <v>0</v>
      </c>
      <c r="R95" s="35">
        <f t="shared" si="8"/>
        <v>0</v>
      </c>
      <c r="S95" s="49">
        <f>ROUND(VLOOKUP(A95,'SSP_March''19'!$A$3:$T$1193,19,0),0)</f>
        <v>0</v>
      </c>
      <c r="T95" s="44">
        <f>VLOOKUP(A95,'SSP_March''19'!$A$3:$T$1193,20,0)</f>
        <v>0</v>
      </c>
      <c r="U95" s="34">
        <f>VLOOKUP(A95,'SSP_March''19'!$A$3:$X$1193,21,0)</f>
        <v>0</v>
      </c>
      <c r="V95" s="34">
        <f>VLOOKUP(A95,'SSP_March''19'!$A$3:$X$1193,22,0)</f>
        <v>0</v>
      </c>
      <c r="W95" s="34">
        <f>VLOOKUP(A95,'SSP_March''19'!$A$3:$X$1193,23,0)</f>
        <v>0</v>
      </c>
      <c r="X95" s="34">
        <f>VLOOKUP(A95,'SSP_March''19'!$A$3:$X$1193,24,0)</f>
        <v>0</v>
      </c>
    </row>
    <row r="96" spans="1:24">
      <c r="A96" s="34" t="s">
        <v>402</v>
      </c>
      <c r="B96" s="34" t="s">
        <v>403</v>
      </c>
      <c r="C96" s="34" t="s">
        <v>347</v>
      </c>
      <c r="D96" s="34" t="s">
        <v>55</v>
      </c>
      <c r="E96" s="34" t="s">
        <v>3</v>
      </c>
      <c r="F96" s="34" t="s">
        <v>404</v>
      </c>
      <c r="G96" s="54">
        <v>1868232555</v>
      </c>
      <c r="H96" s="54" t="s">
        <v>229</v>
      </c>
      <c r="I96" s="54" t="s">
        <v>3514</v>
      </c>
      <c r="J96" s="34" t="s">
        <v>3421</v>
      </c>
      <c r="K96" s="43">
        <f>VLOOKUP(A96,'SSP_March''19'!$A$3:$L$1193,11,0)</f>
        <v>130000</v>
      </c>
      <c r="L96" s="43">
        <f>VLOOKUP(A96,'SSP_March''19'!$A$3:$L$1193,12,0)</f>
        <v>40330</v>
      </c>
      <c r="M96" s="44">
        <f t="shared" si="6"/>
        <v>0.31023076923076925</v>
      </c>
      <c r="N96" s="49">
        <f>ROUND(VLOOKUP(A96,'SSP_March''19'!$A$3:$N$1193,14,0),0)</f>
        <v>125023</v>
      </c>
      <c r="O96" s="44">
        <f t="shared" si="7"/>
        <v>0.96171538461538464</v>
      </c>
      <c r="P96" s="45">
        <f>VLOOKUP(A96,'SSP_March''19'!$A$3:$Q$1193,16,0)</f>
        <v>10</v>
      </c>
      <c r="Q96" s="34">
        <f>VLOOKUP(A96,'SSP_March''19'!$A$3:$Q$1193,17,0)</f>
        <v>2</v>
      </c>
      <c r="R96" s="35">
        <f t="shared" si="8"/>
        <v>0.2</v>
      </c>
      <c r="S96" s="49">
        <f>ROUND(VLOOKUP(A96,'SSP_March''19'!$A$3:$T$1193,19,0),0)</f>
        <v>6</v>
      </c>
      <c r="T96" s="44">
        <f>VLOOKUP(A96,'SSP_March''19'!$A$3:$T$1193,20,0)</f>
        <v>0.6</v>
      </c>
      <c r="U96" s="34">
        <f>VLOOKUP(A96,'SSP_March''19'!$A$3:$X$1193,21,0)</f>
        <v>0</v>
      </c>
      <c r="V96" s="34">
        <f>VLOOKUP(A96,'SSP_March''19'!$A$3:$X$1193,22,0)</f>
        <v>0</v>
      </c>
      <c r="W96" s="34">
        <f>VLOOKUP(A96,'SSP_March''19'!$A$3:$X$1193,23,0)</f>
        <v>0</v>
      </c>
      <c r="X96" s="34">
        <f>VLOOKUP(A96,'SSP_March''19'!$A$3:$X$1193,24,0)</f>
        <v>0</v>
      </c>
    </row>
    <row r="97" spans="1:24">
      <c r="A97" s="34" t="s">
        <v>420</v>
      </c>
      <c r="B97" s="34" t="s">
        <v>421</v>
      </c>
      <c r="C97" s="34" t="s">
        <v>422</v>
      </c>
      <c r="D97" s="34" t="s">
        <v>75</v>
      </c>
      <c r="E97" s="34" t="s">
        <v>3</v>
      </c>
      <c r="F97" s="34" t="s">
        <v>423</v>
      </c>
      <c r="G97" s="54">
        <v>1843051484</v>
      </c>
      <c r="H97" s="54" t="s">
        <v>229</v>
      </c>
      <c r="I97" s="54" t="s">
        <v>3522</v>
      </c>
      <c r="J97" s="34" t="s">
        <v>3419</v>
      </c>
      <c r="K97" s="43">
        <f>VLOOKUP(A97,'SSP_March''19'!$A$3:$L$1193,11,0)</f>
        <v>654461</v>
      </c>
      <c r="L97" s="43">
        <f>VLOOKUP(A97,'SSP_March''19'!$A$3:$L$1193,12,0)</f>
        <v>206280</v>
      </c>
      <c r="M97" s="44">
        <f t="shared" si="6"/>
        <v>0.31519066835151371</v>
      </c>
      <c r="N97" s="49">
        <f>ROUND(VLOOKUP(A97,'SSP_March''19'!$A$3:$N$1193,14,0),0)</f>
        <v>639468</v>
      </c>
      <c r="O97" s="44">
        <f t="shared" si="7"/>
        <v>0.97709107188969246</v>
      </c>
      <c r="P97" s="45">
        <f>VLOOKUP(A97,'SSP_March''19'!$A$3:$Q$1193,16,0)</f>
        <v>33</v>
      </c>
      <c r="Q97" s="34">
        <f>VLOOKUP(A97,'SSP_March''19'!$A$3:$Q$1193,17,0)</f>
        <v>11</v>
      </c>
      <c r="R97" s="35">
        <f t="shared" si="8"/>
        <v>0.33333333333333331</v>
      </c>
      <c r="S97" s="49">
        <f>ROUND(VLOOKUP(A97,'SSP_March''19'!$A$3:$T$1193,19,0),0)</f>
        <v>34</v>
      </c>
      <c r="T97" s="44">
        <f>VLOOKUP(A97,'SSP_March''19'!$A$3:$T$1193,20,0)</f>
        <v>1.0303030303030303</v>
      </c>
      <c r="U97" s="34">
        <f>VLOOKUP(A97,'SSP_March''19'!$A$3:$X$1193,21,0)</f>
        <v>7</v>
      </c>
      <c r="V97" s="34">
        <f>VLOOKUP(A97,'SSP_March''19'!$A$3:$X$1193,22,0)</f>
        <v>3</v>
      </c>
      <c r="W97" s="34">
        <f>VLOOKUP(A97,'SSP_March''19'!$A$3:$X$1193,23,0)</f>
        <v>1</v>
      </c>
      <c r="X97" s="34">
        <f>VLOOKUP(A97,'SSP_March''19'!$A$3:$X$1193,24,0)</f>
        <v>0</v>
      </c>
    </row>
    <row r="98" spans="1:24">
      <c r="A98" s="34" t="s">
        <v>426</v>
      </c>
      <c r="B98" s="34" t="s">
        <v>427</v>
      </c>
      <c r="C98" s="34" t="s">
        <v>422</v>
      </c>
      <c r="D98" s="34" t="s">
        <v>75</v>
      </c>
      <c r="E98" s="34" t="s">
        <v>3</v>
      </c>
      <c r="F98" s="34" t="s">
        <v>428</v>
      </c>
      <c r="G98" s="54">
        <v>1815599339</v>
      </c>
      <c r="H98" s="54" t="s">
        <v>229</v>
      </c>
      <c r="I98" s="54" t="s">
        <v>3514</v>
      </c>
      <c r="J98" s="34" t="s">
        <v>3419</v>
      </c>
      <c r="K98" s="43">
        <f>VLOOKUP(A98,'SSP_March''19'!$A$3:$L$1193,11,0)</f>
        <v>260770</v>
      </c>
      <c r="L98" s="43">
        <f>VLOOKUP(A98,'SSP_March''19'!$A$3:$L$1193,12,0)</f>
        <v>88729</v>
      </c>
      <c r="M98" s="44">
        <f t="shared" si="6"/>
        <v>0.34025769835487213</v>
      </c>
      <c r="N98" s="49">
        <f>ROUND(VLOOKUP(A98,'SSP_March''19'!$A$3:$N$1193,14,0),0)</f>
        <v>275060</v>
      </c>
      <c r="O98" s="44">
        <f t="shared" si="7"/>
        <v>1.0547992483797983</v>
      </c>
      <c r="P98" s="45">
        <f>VLOOKUP(A98,'SSP_March''19'!$A$3:$Q$1193,16,0)</f>
        <v>10</v>
      </c>
      <c r="Q98" s="34">
        <f>VLOOKUP(A98,'SSP_March''19'!$A$3:$Q$1193,17,0)</f>
        <v>4</v>
      </c>
      <c r="R98" s="35">
        <f t="shared" si="8"/>
        <v>0.4</v>
      </c>
      <c r="S98" s="49">
        <f>ROUND(VLOOKUP(A98,'SSP_March''19'!$A$3:$T$1193,19,0),0)</f>
        <v>12</v>
      </c>
      <c r="T98" s="44">
        <f>VLOOKUP(A98,'SSP_March''19'!$A$3:$T$1193,20,0)</f>
        <v>1.2</v>
      </c>
      <c r="U98" s="34">
        <f>VLOOKUP(A98,'SSP_March''19'!$A$3:$X$1193,21,0)</f>
        <v>3</v>
      </c>
      <c r="V98" s="34">
        <f>VLOOKUP(A98,'SSP_March''19'!$A$3:$X$1193,22,0)</f>
        <v>1</v>
      </c>
      <c r="W98" s="34">
        <f>VLOOKUP(A98,'SSP_March''19'!$A$3:$X$1193,23,0)</f>
        <v>0</v>
      </c>
      <c r="X98" s="34">
        <f>VLOOKUP(A98,'SSP_March''19'!$A$3:$X$1193,24,0)</f>
        <v>1</v>
      </c>
    </row>
    <row r="99" spans="1:24">
      <c r="A99" s="34" t="s">
        <v>417</v>
      </c>
      <c r="B99" s="34" t="s">
        <v>418</v>
      </c>
      <c r="C99" s="34" t="s">
        <v>120</v>
      </c>
      <c r="D99" s="34" t="s">
        <v>75</v>
      </c>
      <c r="E99" s="34" t="s">
        <v>3</v>
      </c>
      <c r="F99" s="34" t="s">
        <v>419</v>
      </c>
      <c r="G99" s="54">
        <v>1827864657</v>
      </c>
      <c r="H99" s="54" t="s">
        <v>229</v>
      </c>
      <c r="I99" s="54" t="s">
        <v>3514</v>
      </c>
      <c r="J99" s="34" t="s">
        <v>3421</v>
      </c>
      <c r="K99" s="43">
        <f>VLOOKUP(A99,'SSP_March''19'!$A$3:$L$1193,11,0)</f>
        <v>130000</v>
      </c>
      <c r="L99" s="43">
        <f>VLOOKUP(A99,'SSP_March''19'!$A$3:$L$1193,12,0)</f>
        <v>19510</v>
      </c>
      <c r="M99" s="44">
        <f t="shared" ref="M99:M130" si="9">L99/K99</f>
        <v>0.15007692307692308</v>
      </c>
      <c r="N99" s="49">
        <f>ROUND(VLOOKUP(A99,'SSP_March''19'!$A$3:$N$1193,14,0),0)</f>
        <v>60481</v>
      </c>
      <c r="O99" s="44">
        <f t="shared" ref="O99:O130" si="10">N99/K99</f>
        <v>0.46523846153846155</v>
      </c>
      <c r="P99" s="45">
        <f>VLOOKUP(A99,'SSP_March''19'!$A$3:$Q$1193,16,0)</f>
        <v>10</v>
      </c>
      <c r="Q99" s="34">
        <f>VLOOKUP(A99,'SSP_March''19'!$A$3:$Q$1193,17,0)</f>
        <v>1</v>
      </c>
      <c r="R99" s="35">
        <f t="shared" ref="R99:R130" si="11">Q99/P99</f>
        <v>0.1</v>
      </c>
      <c r="S99" s="49">
        <f>ROUND(VLOOKUP(A99,'SSP_March''19'!$A$3:$T$1193,19,0),0)</f>
        <v>3</v>
      </c>
      <c r="T99" s="44">
        <f>VLOOKUP(A99,'SSP_March''19'!$A$3:$T$1193,20,0)</f>
        <v>0.3</v>
      </c>
      <c r="U99" s="34">
        <f>VLOOKUP(A99,'SSP_March''19'!$A$3:$X$1193,21,0)</f>
        <v>0</v>
      </c>
      <c r="V99" s="34">
        <f>VLOOKUP(A99,'SSP_March''19'!$A$3:$X$1193,22,0)</f>
        <v>1</v>
      </c>
      <c r="W99" s="34">
        <f>VLOOKUP(A99,'SSP_March''19'!$A$3:$X$1193,23,0)</f>
        <v>0</v>
      </c>
      <c r="X99" s="34">
        <f>VLOOKUP(A99,'SSP_March''19'!$A$3:$X$1193,24,0)</f>
        <v>0</v>
      </c>
    </row>
    <row r="100" spans="1:24">
      <c r="A100" s="34" t="s">
        <v>411</v>
      </c>
      <c r="B100" s="34" t="s">
        <v>412</v>
      </c>
      <c r="C100" s="34" t="s">
        <v>120</v>
      </c>
      <c r="D100" s="34" t="s">
        <v>75</v>
      </c>
      <c r="E100" s="34" t="s">
        <v>3</v>
      </c>
      <c r="F100" s="34" t="s">
        <v>413</v>
      </c>
      <c r="G100" s="54">
        <v>1879066964</v>
      </c>
      <c r="H100" s="54" t="s">
        <v>229</v>
      </c>
      <c r="I100" s="54" t="s">
        <v>3514</v>
      </c>
      <c r="J100" s="34" t="s">
        <v>3421</v>
      </c>
      <c r="K100" s="43">
        <f>VLOOKUP(A100,'SSP_March''19'!$A$3:$L$1193,11,0)</f>
        <v>130000</v>
      </c>
      <c r="L100" s="43">
        <f>VLOOKUP(A100,'SSP_March''19'!$A$3:$L$1193,12,0)</f>
        <v>29740</v>
      </c>
      <c r="M100" s="44">
        <f t="shared" si="9"/>
        <v>0.22876923076923078</v>
      </c>
      <c r="N100" s="49">
        <f>ROUND(VLOOKUP(A100,'SSP_March''19'!$A$3:$N$1193,14,0),0)</f>
        <v>92194</v>
      </c>
      <c r="O100" s="44">
        <f t="shared" si="10"/>
        <v>0.70918461538461541</v>
      </c>
      <c r="P100" s="45">
        <f>VLOOKUP(A100,'SSP_March''19'!$A$3:$Q$1193,16,0)</f>
        <v>10</v>
      </c>
      <c r="Q100" s="34">
        <f>VLOOKUP(A100,'SSP_March''19'!$A$3:$Q$1193,17,0)</f>
        <v>0</v>
      </c>
      <c r="R100" s="35">
        <f t="shared" si="11"/>
        <v>0</v>
      </c>
      <c r="S100" s="49">
        <f>ROUND(VLOOKUP(A100,'SSP_March''19'!$A$3:$T$1193,19,0),0)</f>
        <v>0</v>
      </c>
      <c r="T100" s="44">
        <f>VLOOKUP(A100,'SSP_March''19'!$A$3:$T$1193,20,0)</f>
        <v>0</v>
      </c>
      <c r="U100" s="34">
        <f>VLOOKUP(A100,'SSP_March''19'!$A$3:$X$1193,21,0)</f>
        <v>2</v>
      </c>
      <c r="V100" s="34">
        <f>VLOOKUP(A100,'SSP_March''19'!$A$3:$X$1193,22,0)</f>
        <v>0</v>
      </c>
      <c r="W100" s="34">
        <f>VLOOKUP(A100,'SSP_March''19'!$A$3:$X$1193,23,0)</f>
        <v>0</v>
      </c>
      <c r="X100" s="34">
        <f>VLOOKUP(A100,'SSP_March''19'!$A$3:$X$1193,24,0)</f>
        <v>0</v>
      </c>
    </row>
    <row r="101" spans="1:24">
      <c r="A101" s="34" t="s">
        <v>414</v>
      </c>
      <c r="B101" s="34" t="s">
        <v>415</v>
      </c>
      <c r="C101" s="34" t="s">
        <v>120</v>
      </c>
      <c r="D101" s="34" t="s">
        <v>75</v>
      </c>
      <c r="E101" s="34" t="s">
        <v>3</v>
      </c>
      <c r="F101" s="34" t="s">
        <v>416</v>
      </c>
      <c r="G101" s="54">
        <v>1871662711</v>
      </c>
      <c r="H101" s="54" t="s">
        <v>229</v>
      </c>
      <c r="I101" s="54" t="s">
        <v>3514</v>
      </c>
      <c r="J101" s="34" t="s">
        <v>3419</v>
      </c>
      <c r="K101" s="43">
        <f>VLOOKUP(A101,'SSP_March''19'!$A$3:$L$1193,11,0)</f>
        <v>170170</v>
      </c>
      <c r="L101" s="43">
        <f>VLOOKUP(A101,'SSP_March''19'!$A$3:$L$1193,12,0)</f>
        <v>13980</v>
      </c>
      <c r="M101" s="44">
        <f t="shared" si="9"/>
        <v>8.2153140976670383E-2</v>
      </c>
      <c r="N101" s="49">
        <f>ROUND(VLOOKUP(A101,'SSP_March''19'!$A$3:$N$1193,14,0),0)</f>
        <v>43338</v>
      </c>
      <c r="O101" s="44">
        <f t="shared" si="10"/>
        <v>0.25467473702767818</v>
      </c>
      <c r="P101" s="45">
        <f>VLOOKUP(A101,'SSP_March''19'!$A$3:$Q$1193,16,0)</f>
        <v>10</v>
      </c>
      <c r="Q101" s="34">
        <f>VLOOKUP(A101,'SSP_March''19'!$A$3:$Q$1193,17,0)</f>
        <v>1</v>
      </c>
      <c r="R101" s="35">
        <f t="shared" si="11"/>
        <v>0.1</v>
      </c>
      <c r="S101" s="49">
        <f>ROUND(VLOOKUP(A101,'SSP_March''19'!$A$3:$T$1193,19,0),0)</f>
        <v>3</v>
      </c>
      <c r="T101" s="44">
        <f>VLOOKUP(A101,'SSP_March''19'!$A$3:$T$1193,20,0)</f>
        <v>0.3</v>
      </c>
      <c r="U101" s="34">
        <f>VLOOKUP(A101,'SSP_March''19'!$A$3:$X$1193,21,0)</f>
        <v>0</v>
      </c>
      <c r="V101" s="34">
        <f>VLOOKUP(A101,'SSP_March''19'!$A$3:$X$1193,22,0)</f>
        <v>0</v>
      </c>
      <c r="W101" s="34">
        <f>VLOOKUP(A101,'SSP_March''19'!$A$3:$X$1193,23,0)</f>
        <v>0</v>
      </c>
      <c r="X101" s="34">
        <f>VLOOKUP(A101,'SSP_March''19'!$A$3:$X$1193,24,0)</f>
        <v>0</v>
      </c>
    </row>
    <row r="102" spans="1:24">
      <c r="A102" s="34" t="s">
        <v>429</v>
      </c>
      <c r="B102" s="34" t="s">
        <v>430</v>
      </c>
      <c r="C102" s="34" t="s">
        <v>120</v>
      </c>
      <c r="D102" s="34" t="s">
        <v>75</v>
      </c>
      <c r="E102" s="34" t="s">
        <v>3</v>
      </c>
      <c r="F102" s="34" t="s">
        <v>431</v>
      </c>
      <c r="G102" s="54">
        <v>1852627282</v>
      </c>
      <c r="H102" s="54" t="s">
        <v>229</v>
      </c>
      <c r="I102" s="54" t="s">
        <v>3514</v>
      </c>
      <c r="J102" s="34" t="s">
        <v>3419</v>
      </c>
      <c r="K102" s="43">
        <f>VLOOKUP(A102,'SSP_March''19'!$A$3:$L$1193,11,0)</f>
        <v>130000</v>
      </c>
      <c r="L102" s="43">
        <f>VLOOKUP(A102,'SSP_March''19'!$A$3:$L$1193,12,0)</f>
        <v>30385</v>
      </c>
      <c r="M102" s="44">
        <f t="shared" si="9"/>
        <v>0.23373076923076924</v>
      </c>
      <c r="N102" s="49">
        <f>ROUND(VLOOKUP(A102,'SSP_March''19'!$A$3:$N$1193,14,0),0)</f>
        <v>94194</v>
      </c>
      <c r="O102" s="44">
        <f t="shared" si="10"/>
        <v>0.72456923076923074</v>
      </c>
      <c r="P102" s="45">
        <f>VLOOKUP(A102,'SSP_March''19'!$A$3:$Q$1193,16,0)</f>
        <v>10</v>
      </c>
      <c r="Q102" s="34">
        <f>VLOOKUP(A102,'SSP_March''19'!$A$3:$Q$1193,17,0)</f>
        <v>2</v>
      </c>
      <c r="R102" s="35">
        <f t="shared" si="11"/>
        <v>0.2</v>
      </c>
      <c r="S102" s="49">
        <f>ROUND(VLOOKUP(A102,'SSP_March''19'!$A$3:$T$1193,19,0),0)</f>
        <v>6</v>
      </c>
      <c r="T102" s="44">
        <f>VLOOKUP(A102,'SSP_March''19'!$A$3:$T$1193,20,0)</f>
        <v>0.6</v>
      </c>
      <c r="U102" s="34">
        <f>VLOOKUP(A102,'SSP_March''19'!$A$3:$X$1193,21,0)</f>
        <v>0</v>
      </c>
      <c r="V102" s="34">
        <f>VLOOKUP(A102,'SSP_March''19'!$A$3:$X$1193,22,0)</f>
        <v>0</v>
      </c>
      <c r="W102" s="34">
        <f>VLOOKUP(A102,'SSP_March''19'!$A$3:$X$1193,23,0)</f>
        <v>0</v>
      </c>
      <c r="X102" s="34">
        <f>VLOOKUP(A102,'SSP_March''19'!$A$3:$X$1193,24,0)</f>
        <v>0</v>
      </c>
    </row>
    <row r="103" spans="1:24">
      <c r="A103" s="34" t="s">
        <v>424</v>
      </c>
      <c r="B103" s="34" t="s">
        <v>192</v>
      </c>
      <c r="C103" s="34" t="s">
        <v>120</v>
      </c>
      <c r="D103" s="34" t="s">
        <v>75</v>
      </c>
      <c r="E103" s="34" t="s">
        <v>3</v>
      </c>
      <c r="F103" s="34" t="s">
        <v>425</v>
      </c>
      <c r="G103" s="54">
        <v>1711701242</v>
      </c>
      <c r="H103" s="54" t="s">
        <v>229</v>
      </c>
      <c r="I103" s="54" t="s">
        <v>3514</v>
      </c>
      <c r="J103" s="34" t="s">
        <v>3419</v>
      </c>
      <c r="K103" s="43">
        <f>VLOOKUP(A103,'SSP_March''19'!$A$3:$L$1193,11,0)</f>
        <v>180488</v>
      </c>
      <c r="L103" s="43">
        <f>VLOOKUP(A103,'SSP_March''19'!$A$3:$L$1193,12,0)</f>
        <v>61999</v>
      </c>
      <c r="M103" s="44">
        <f t="shared" si="9"/>
        <v>0.34350760161340366</v>
      </c>
      <c r="N103" s="49">
        <f>ROUND(VLOOKUP(A103,'SSP_March''19'!$A$3:$N$1193,14,0),0)</f>
        <v>192197</v>
      </c>
      <c r="O103" s="44">
        <f t="shared" si="10"/>
        <v>1.0648741190550064</v>
      </c>
      <c r="P103" s="45">
        <f>VLOOKUP(A103,'SSP_March''19'!$A$3:$Q$1193,16,0)</f>
        <v>10</v>
      </c>
      <c r="Q103" s="34">
        <f>VLOOKUP(A103,'SSP_March''19'!$A$3:$Q$1193,17,0)</f>
        <v>3</v>
      </c>
      <c r="R103" s="35">
        <f t="shared" si="11"/>
        <v>0.3</v>
      </c>
      <c r="S103" s="49">
        <f>ROUND(VLOOKUP(A103,'SSP_March''19'!$A$3:$T$1193,19,0),0)</f>
        <v>9</v>
      </c>
      <c r="T103" s="44">
        <f>VLOOKUP(A103,'SSP_March''19'!$A$3:$T$1193,20,0)</f>
        <v>0.9</v>
      </c>
      <c r="U103" s="34">
        <f>VLOOKUP(A103,'SSP_March''19'!$A$3:$X$1193,21,0)</f>
        <v>0</v>
      </c>
      <c r="V103" s="34">
        <f>VLOOKUP(A103,'SSP_March''19'!$A$3:$X$1193,22,0)</f>
        <v>1</v>
      </c>
      <c r="W103" s="34">
        <f>VLOOKUP(A103,'SSP_March''19'!$A$3:$X$1193,23,0)</f>
        <v>0</v>
      </c>
      <c r="X103" s="34">
        <f>VLOOKUP(A103,'SSP_March''19'!$A$3:$X$1193,24,0)</f>
        <v>0</v>
      </c>
    </row>
    <row r="104" spans="1:24">
      <c r="A104" s="34" t="s">
        <v>2995</v>
      </c>
      <c r="B104" s="34" t="s">
        <v>2996</v>
      </c>
      <c r="C104" s="34" t="s">
        <v>435</v>
      </c>
      <c r="D104" s="34" t="s">
        <v>436</v>
      </c>
      <c r="E104" s="34" t="s">
        <v>3</v>
      </c>
      <c r="F104" s="34" t="s">
        <v>2997</v>
      </c>
      <c r="G104" s="54">
        <v>1558450307</v>
      </c>
      <c r="H104" s="54" t="s">
        <v>229</v>
      </c>
      <c r="I104" s="54" t="s">
        <v>3514</v>
      </c>
      <c r="J104" s="34" t="s">
        <v>3421</v>
      </c>
      <c r="K104" s="43">
        <f>VLOOKUP(A104,'SSP_March''19'!$A$3:$L$1193,11,0)</f>
        <v>227468</v>
      </c>
      <c r="L104" s="43">
        <f>VLOOKUP(A104,'SSP_March''19'!$A$3:$L$1193,12,0)</f>
        <v>92799</v>
      </c>
      <c r="M104" s="44">
        <f t="shared" si="9"/>
        <v>0.40796507640635166</v>
      </c>
      <c r="N104" s="49">
        <f>ROUND(VLOOKUP(A104,'SSP_March''19'!$A$3:$N$1193,14,0),0)</f>
        <v>287677</v>
      </c>
      <c r="O104" s="44">
        <f t="shared" si="10"/>
        <v>1.2646921764819667</v>
      </c>
      <c r="P104" s="45">
        <f>VLOOKUP(A104,'SSP_March''19'!$A$3:$Q$1193,16,0)</f>
        <v>14</v>
      </c>
      <c r="Q104" s="34">
        <f>VLOOKUP(A104,'SSP_March''19'!$A$3:$Q$1193,17,0)</f>
        <v>4</v>
      </c>
      <c r="R104" s="35">
        <f t="shared" si="11"/>
        <v>0.2857142857142857</v>
      </c>
      <c r="S104" s="49">
        <f>ROUND(VLOOKUP(A104,'SSP_March''19'!$A$3:$T$1193,19,0),0)</f>
        <v>12</v>
      </c>
      <c r="T104" s="44">
        <f>VLOOKUP(A104,'SSP_March''19'!$A$3:$T$1193,20,0)</f>
        <v>0.8571428571428571</v>
      </c>
      <c r="U104" s="34">
        <f>VLOOKUP(A104,'SSP_March''19'!$A$3:$X$1193,21,0)</f>
        <v>0</v>
      </c>
      <c r="V104" s="34">
        <f>VLOOKUP(A104,'SSP_March''19'!$A$3:$X$1193,22,0)</f>
        <v>1</v>
      </c>
      <c r="W104" s="34">
        <f>VLOOKUP(A104,'SSP_March''19'!$A$3:$X$1193,23,0)</f>
        <v>1</v>
      </c>
      <c r="X104" s="34">
        <f>VLOOKUP(A104,'SSP_March''19'!$A$3:$X$1193,24,0)</f>
        <v>1</v>
      </c>
    </row>
    <row r="105" spans="1:24">
      <c r="A105" s="34" t="s">
        <v>433</v>
      </c>
      <c r="B105" s="34" t="s">
        <v>434</v>
      </c>
      <c r="C105" s="34" t="s">
        <v>435</v>
      </c>
      <c r="D105" s="34" t="s">
        <v>436</v>
      </c>
      <c r="E105" s="34" t="s">
        <v>3</v>
      </c>
      <c r="F105" s="34" t="s">
        <v>437</v>
      </c>
      <c r="G105" s="54">
        <v>1716392300</v>
      </c>
      <c r="H105" s="54" t="s">
        <v>229</v>
      </c>
      <c r="I105" s="54" t="s">
        <v>3514</v>
      </c>
      <c r="J105" s="34" t="s">
        <v>3421</v>
      </c>
      <c r="K105" s="43">
        <f>VLOOKUP(A105,'SSP_March''19'!$A$3:$L$1193,11,0)</f>
        <v>130000</v>
      </c>
      <c r="L105" s="43">
        <f>VLOOKUP(A105,'SSP_March''19'!$A$3:$L$1193,12,0)</f>
        <v>41529</v>
      </c>
      <c r="M105" s="44">
        <f t="shared" si="9"/>
        <v>0.31945384615384614</v>
      </c>
      <c r="N105" s="49">
        <f>ROUND(VLOOKUP(A105,'SSP_March''19'!$A$3:$N$1193,14,0),0)</f>
        <v>128740</v>
      </c>
      <c r="O105" s="44">
        <f t="shared" si="10"/>
        <v>0.99030769230769233</v>
      </c>
      <c r="P105" s="45">
        <f>VLOOKUP(A105,'SSP_March''19'!$A$3:$Q$1193,16,0)</f>
        <v>10</v>
      </c>
      <c r="Q105" s="34">
        <f>VLOOKUP(A105,'SSP_March''19'!$A$3:$Q$1193,17,0)</f>
        <v>2</v>
      </c>
      <c r="R105" s="35">
        <f t="shared" si="11"/>
        <v>0.2</v>
      </c>
      <c r="S105" s="49">
        <f>ROUND(VLOOKUP(A105,'SSP_March''19'!$A$3:$T$1193,19,0),0)</f>
        <v>6</v>
      </c>
      <c r="T105" s="44">
        <f>VLOOKUP(A105,'SSP_March''19'!$A$3:$T$1193,20,0)</f>
        <v>0.6</v>
      </c>
      <c r="U105" s="34">
        <f>VLOOKUP(A105,'SSP_March''19'!$A$3:$X$1193,21,0)</f>
        <v>0</v>
      </c>
      <c r="V105" s="34">
        <f>VLOOKUP(A105,'SSP_March''19'!$A$3:$X$1193,22,0)</f>
        <v>1</v>
      </c>
      <c r="W105" s="34">
        <f>VLOOKUP(A105,'SSP_March''19'!$A$3:$X$1193,23,0)</f>
        <v>0</v>
      </c>
      <c r="X105" s="34">
        <f>VLOOKUP(A105,'SSP_March''19'!$A$3:$X$1193,24,0)</f>
        <v>0</v>
      </c>
    </row>
    <row r="106" spans="1:24">
      <c r="A106" s="34" t="s">
        <v>438</v>
      </c>
      <c r="B106" s="34" t="s">
        <v>439</v>
      </c>
      <c r="C106" s="34" t="s">
        <v>435</v>
      </c>
      <c r="D106" s="34" t="s">
        <v>436</v>
      </c>
      <c r="E106" s="34" t="s">
        <v>3</v>
      </c>
      <c r="F106" s="34" t="s">
        <v>440</v>
      </c>
      <c r="G106" s="54">
        <v>1558883507</v>
      </c>
      <c r="H106" s="54" t="s">
        <v>229</v>
      </c>
      <c r="I106" s="54" t="s">
        <v>3514</v>
      </c>
      <c r="J106" s="34" t="s">
        <v>3419</v>
      </c>
      <c r="K106" s="43">
        <f>VLOOKUP(A106,'SSP_March''19'!$A$3:$L$1193,11,0)</f>
        <v>130000</v>
      </c>
      <c r="L106" s="43">
        <f>VLOOKUP(A106,'SSP_March''19'!$A$3:$L$1193,12,0)</f>
        <v>14970</v>
      </c>
      <c r="M106" s="44">
        <f t="shared" si="9"/>
        <v>0.11515384615384615</v>
      </c>
      <c r="N106" s="49">
        <f>ROUND(VLOOKUP(A106,'SSP_March''19'!$A$3:$N$1193,14,0),0)</f>
        <v>46407</v>
      </c>
      <c r="O106" s="44">
        <f t="shared" si="10"/>
        <v>0.35697692307692308</v>
      </c>
      <c r="P106" s="45">
        <f>VLOOKUP(A106,'SSP_March''19'!$A$3:$Q$1193,16,0)</f>
        <v>10</v>
      </c>
      <c r="Q106" s="34">
        <f>VLOOKUP(A106,'SSP_March''19'!$A$3:$Q$1193,17,0)</f>
        <v>0</v>
      </c>
      <c r="R106" s="35">
        <f t="shared" si="11"/>
        <v>0</v>
      </c>
      <c r="S106" s="49">
        <f>ROUND(VLOOKUP(A106,'SSP_March''19'!$A$3:$T$1193,19,0),0)</f>
        <v>0</v>
      </c>
      <c r="T106" s="44">
        <f>VLOOKUP(A106,'SSP_March''19'!$A$3:$T$1193,20,0)</f>
        <v>0</v>
      </c>
      <c r="U106" s="34">
        <f>VLOOKUP(A106,'SSP_March''19'!$A$3:$X$1193,21,0)</f>
        <v>1</v>
      </c>
      <c r="V106" s="34">
        <f>VLOOKUP(A106,'SSP_March''19'!$A$3:$X$1193,22,0)</f>
        <v>0</v>
      </c>
      <c r="W106" s="34">
        <f>VLOOKUP(A106,'SSP_March''19'!$A$3:$X$1193,23,0)</f>
        <v>0</v>
      </c>
      <c r="X106" s="34">
        <f>VLOOKUP(A106,'SSP_March''19'!$A$3:$X$1193,24,0)</f>
        <v>0</v>
      </c>
    </row>
    <row r="107" spans="1:24">
      <c r="A107" s="34" t="s">
        <v>448</v>
      </c>
      <c r="B107" s="34" t="s">
        <v>449</v>
      </c>
      <c r="C107" s="34" t="s">
        <v>450</v>
      </c>
      <c r="D107" s="34" t="s">
        <v>436</v>
      </c>
      <c r="E107" s="34" t="s">
        <v>3</v>
      </c>
      <c r="F107" s="34" t="s">
        <v>451</v>
      </c>
      <c r="G107" s="54">
        <v>1814346592</v>
      </c>
      <c r="H107" s="54" t="s">
        <v>229</v>
      </c>
      <c r="I107" s="54" t="s">
        <v>3514</v>
      </c>
      <c r="J107" s="34" t="s">
        <v>3419</v>
      </c>
      <c r="K107" s="43">
        <f>VLOOKUP(A107,'SSP_March''19'!$A$3:$L$1193,11,0)</f>
        <v>130000</v>
      </c>
      <c r="L107" s="43">
        <f>VLOOKUP(A107,'SSP_March''19'!$A$3:$L$1193,12,0)</f>
        <v>30209</v>
      </c>
      <c r="M107" s="44">
        <f t="shared" si="9"/>
        <v>0.23237692307692306</v>
      </c>
      <c r="N107" s="49">
        <f>ROUND(VLOOKUP(A107,'SSP_March''19'!$A$3:$N$1193,14,0),0)</f>
        <v>93648</v>
      </c>
      <c r="O107" s="44">
        <f t="shared" si="10"/>
        <v>0.72036923076923076</v>
      </c>
      <c r="P107" s="45">
        <f>VLOOKUP(A107,'SSP_March''19'!$A$3:$Q$1193,16,0)</f>
        <v>10</v>
      </c>
      <c r="Q107" s="34">
        <f>VLOOKUP(A107,'SSP_March''19'!$A$3:$Q$1193,17,0)</f>
        <v>1</v>
      </c>
      <c r="R107" s="35">
        <f t="shared" si="11"/>
        <v>0.1</v>
      </c>
      <c r="S107" s="49">
        <f>ROUND(VLOOKUP(A107,'SSP_March''19'!$A$3:$T$1193,19,0),0)</f>
        <v>3</v>
      </c>
      <c r="T107" s="44">
        <f>VLOOKUP(A107,'SSP_March''19'!$A$3:$T$1193,20,0)</f>
        <v>0.3</v>
      </c>
      <c r="U107" s="34">
        <f>VLOOKUP(A107,'SSP_March''19'!$A$3:$X$1193,21,0)</f>
        <v>1</v>
      </c>
      <c r="V107" s="34">
        <f>VLOOKUP(A107,'SSP_March''19'!$A$3:$X$1193,22,0)</f>
        <v>0</v>
      </c>
      <c r="W107" s="34">
        <f>VLOOKUP(A107,'SSP_March''19'!$A$3:$X$1193,23,0)</f>
        <v>0</v>
      </c>
      <c r="X107" s="34">
        <f>VLOOKUP(A107,'SSP_March''19'!$A$3:$X$1193,24,0)</f>
        <v>0</v>
      </c>
    </row>
    <row r="108" spans="1:24">
      <c r="A108" s="34" t="s">
        <v>441</v>
      </c>
      <c r="B108" s="34" t="s">
        <v>442</v>
      </c>
      <c r="C108" s="34" t="s">
        <v>443</v>
      </c>
      <c r="D108" s="34" t="s">
        <v>436</v>
      </c>
      <c r="E108" s="34" t="s">
        <v>3</v>
      </c>
      <c r="F108" s="34" t="s">
        <v>444</v>
      </c>
      <c r="G108" s="54">
        <v>1864644014</v>
      </c>
      <c r="H108" s="54" t="s">
        <v>229</v>
      </c>
      <c r="I108" s="54" t="s">
        <v>3518</v>
      </c>
      <c r="J108" s="34" t="s">
        <v>3419</v>
      </c>
      <c r="K108" s="43">
        <f>VLOOKUP(A108,'SSP_March''19'!$A$3:$L$1193,11,0)</f>
        <v>439034</v>
      </c>
      <c r="L108" s="43">
        <f>VLOOKUP(A108,'SSP_March''19'!$A$3:$L$1193,12,0)</f>
        <v>165224</v>
      </c>
      <c r="M108" s="44">
        <f t="shared" si="9"/>
        <v>0.37633531799359504</v>
      </c>
      <c r="N108" s="49">
        <f>ROUND(VLOOKUP(A108,'SSP_March''19'!$A$3:$N$1193,14,0),0)</f>
        <v>512194</v>
      </c>
      <c r="O108" s="44">
        <f t="shared" si="10"/>
        <v>1.1666385746889762</v>
      </c>
      <c r="P108" s="45">
        <f>VLOOKUP(A108,'SSP_March''19'!$A$3:$Q$1193,16,0)</f>
        <v>18</v>
      </c>
      <c r="Q108" s="34">
        <f>VLOOKUP(A108,'SSP_March''19'!$A$3:$Q$1193,17,0)</f>
        <v>6</v>
      </c>
      <c r="R108" s="35">
        <f t="shared" si="11"/>
        <v>0.33333333333333331</v>
      </c>
      <c r="S108" s="49">
        <f>ROUND(VLOOKUP(A108,'SSP_March''19'!$A$3:$T$1193,19,0),0)</f>
        <v>19</v>
      </c>
      <c r="T108" s="44">
        <f>VLOOKUP(A108,'SSP_March''19'!$A$3:$T$1193,20,0)</f>
        <v>1.0555555555555556</v>
      </c>
      <c r="U108" s="34">
        <f>VLOOKUP(A108,'SSP_March''19'!$A$3:$X$1193,21,0)</f>
        <v>3</v>
      </c>
      <c r="V108" s="34">
        <f>VLOOKUP(A108,'SSP_March''19'!$A$3:$X$1193,22,0)</f>
        <v>0</v>
      </c>
      <c r="W108" s="34">
        <f>VLOOKUP(A108,'SSP_March''19'!$A$3:$X$1193,23,0)</f>
        <v>0</v>
      </c>
      <c r="X108" s="34">
        <f>VLOOKUP(A108,'SSP_March''19'!$A$3:$X$1193,24,0)</f>
        <v>1</v>
      </c>
    </row>
    <row r="109" spans="1:24">
      <c r="A109" s="34" t="s">
        <v>445</v>
      </c>
      <c r="B109" s="34" t="s">
        <v>446</v>
      </c>
      <c r="C109" s="34" t="s">
        <v>443</v>
      </c>
      <c r="D109" s="34" t="s">
        <v>436</v>
      </c>
      <c r="E109" s="34" t="s">
        <v>3</v>
      </c>
      <c r="F109" s="34" t="s">
        <v>447</v>
      </c>
      <c r="G109" s="54">
        <v>1815355241</v>
      </c>
      <c r="H109" s="54" t="s">
        <v>229</v>
      </c>
      <c r="I109" s="54" t="s">
        <v>3514</v>
      </c>
      <c r="J109" s="34" t="s">
        <v>3419</v>
      </c>
      <c r="K109" s="43">
        <f>VLOOKUP(A109,'SSP_March''19'!$A$3:$L$1193,11,0)</f>
        <v>167897</v>
      </c>
      <c r="L109" s="43">
        <f>VLOOKUP(A109,'SSP_March''19'!$A$3:$L$1193,12,0)</f>
        <v>39530</v>
      </c>
      <c r="M109" s="44">
        <f t="shared" si="9"/>
        <v>0.23544196739667772</v>
      </c>
      <c r="N109" s="49">
        <f>ROUND(VLOOKUP(A109,'SSP_March''19'!$A$3:$N$1193,14,0),0)</f>
        <v>122543</v>
      </c>
      <c r="O109" s="44">
        <f t="shared" si="10"/>
        <v>0.72987009892970089</v>
      </c>
      <c r="P109" s="45">
        <f>VLOOKUP(A109,'SSP_March''19'!$A$3:$Q$1193,16,0)</f>
        <v>10</v>
      </c>
      <c r="Q109" s="34">
        <f>VLOOKUP(A109,'SSP_March''19'!$A$3:$Q$1193,17,0)</f>
        <v>1</v>
      </c>
      <c r="R109" s="35">
        <f t="shared" si="11"/>
        <v>0.1</v>
      </c>
      <c r="S109" s="49">
        <f>ROUND(VLOOKUP(A109,'SSP_March''19'!$A$3:$T$1193,19,0),0)</f>
        <v>3</v>
      </c>
      <c r="T109" s="44">
        <f>VLOOKUP(A109,'SSP_March''19'!$A$3:$T$1193,20,0)</f>
        <v>0.3</v>
      </c>
      <c r="U109" s="34">
        <f>VLOOKUP(A109,'SSP_March''19'!$A$3:$X$1193,21,0)</f>
        <v>0</v>
      </c>
      <c r="V109" s="34">
        <f>VLOOKUP(A109,'SSP_March''19'!$A$3:$X$1193,22,0)</f>
        <v>0</v>
      </c>
      <c r="W109" s="34">
        <f>VLOOKUP(A109,'SSP_March''19'!$A$3:$X$1193,23,0)</f>
        <v>0</v>
      </c>
      <c r="X109" s="34">
        <f>VLOOKUP(A109,'SSP_March''19'!$A$3:$X$1193,24,0)</f>
        <v>0</v>
      </c>
    </row>
    <row r="110" spans="1:24">
      <c r="A110" s="34" t="s">
        <v>3102</v>
      </c>
      <c r="B110" s="34" t="s">
        <v>3103</v>
      </c>
      <c r="C110" s="34" t="s">
        <v>68</v>
      </c>
      <c r="D110" s="34" t="s">
        <v>69</v>
      </c>
      <c r="E110" s="34" t="s">
        <v>3</v>
      </c>
      <c r="F110" s="34" t="s">
        <v>3104</v>
      </c>
      <c r="G110" s="54">
        <v>1739327418</v>
      </c>
      <c r="H110" s="54" t="s">
        <v>229</v>
      </c>
      <c r="I110" s="54" t="s">
        <v>3514</v>
      </c>
      <c r="J110" s="34" t="s">
        <v>3421</v>
      </c>
      <c r="K110" s="43">
        <f>VLOOKUP(A110,'SSP_March''19'!$A$3:$L$1193,11,0)</f>
        <v>130000</v>
      </c>
      <c r="L110" s="43">
        <f>VLOOKUP(A110,'SSP_March''19'!$A$3:$L$1193,12,0)</f>
        <v>18660</v>
      </c>
      <c r="M110" s="44">
        <f t="shared" si="9"/>
        <v>0.14353846153846153</v>
      </c>
      <c r="N110" s="49">
        <f>ROUND(VLOOKUP(A110,'SSP_March''19'!$A$3:$N$1193,14,0),0)</f>
        <v>57846</v>
      </c>
      <c r="O110" s="44">
        <f t="shared" si="10"/>
        <v>0.44496923076923078</v>
      </c>
      <c r="P110" s="45">
        <f>VLOOKUP(A110,'SSP_March''19'!$A$3:$Q$1193,16,0)</f>
        <v>10</v>
      </c>
      <c r="Q110" s="34">
        <f>VLOOKUP(A110,'SSP_March''19'!$A$3:$Q$1193,17,0)</f>
        <v>0</v>
      </c>
      <c r="R110" s="35">
        <f t="shared" si="11"/>
        <v>0</v>
      </c>
      <c r="S110" s="49">
        <f>ROUND(VLOOKUP(A110,'SSP_March''19'!$A$3:$T$1193,19,0),0)</f>
        <v>0</v>
      </c>
      <c r="T110" s="44">
        <f>VLOOKUP(A110,'SSP_March''19'!$A$3:$T$1193,20,0)</f>
        <v>0</v>
      </c>
      <c r="U110" s="34">
        <f>VLOOKUP(A110,'SSP_March''19'!$A$3:$X$1193,21,0)</f>
        <v>0</v>
      </c>
      <c r="V110" s="34">
        <f>VLOOKUP(A110,'SSP_March''19'!$A$3:$X$1193,22,0)</f>
        <v>0</v>
      </c>
      <c r="W110" s="34">
        <f>VLOOKUP(A110,'SSP_March''19'!$A$3:$X$1193,23,0)</f>
        <v>0</v>
      </c>
      <c r="X110" s="34">
        <f>VLOOKUP(A110,'SSP_March''19'!$A$3:$X$1193,24,0)</f>
        <v>0</v>
      </c>
    </row>
    <row r="111" spans="1:24">
      <c r="A111" s="34" t="s">
        <v>589</v>
      </c>
      <c r="B111" s="34" t="s">
        <v>590</v>
      </c>
      <c r="C111" s="34" t="s">
        <v>68</v>
      </c>
      <c r="D111" s="34" t="s">
        <v>69</v>
      </c>
      <c r="E111" s="34" t="s">
        <v>3</v>
      </c>
      <c r="F111" s="34" t="s">
        <v>591</v>
      </c>
      <c r="G111" s="54">
        <v>1716142664</v>
      </c>
      <c r="H111" s="54" t="s">
        <v>229</v>
      </c>
      <c r="I111" s="54" t="s">
        <v>3514</v>
      </c>
      <c r="J111" s="34" t="s">
        <v>3421</v>
      </c>
      <c r="K111" s="43">
        <f>VLOOKUP(A111,'SSP_March''19'!$A$3:$L$1193,11,0)</f>
        <v>140479</v>
      </c>
      <c r="L111" s="43">
        <f>VLOOKUP(A111,'SSP_March''19'!$A$3:$L$1193,12,0)</f>
        <v>51790</v>
      </c>
      <c r="M111" s="44">
        <f t="shared" si="9"/>
        <v>0.3686672029271279</v>
      </c>
      <c r="N111" s="49">
        <f>ROUND(VLOOKUP(A111,'SSP_March''19'!$A$3:$N$1193,14,0),0)</f>
        <v>160549</v>
      </c>
      <c r="O111" s="44">
        <f t="shared" si="10"/>
        <v>1.1428683290740964</v>
      </c>
      <c r="P111" s="45">
        <f>VLOOKUP(A111,'SSP_March''19'!$A$3:$Q$1193,16,0)</f>
        <v>10</v>
      </c>
      <c r="Q111" s="34">
        <f>VLOOKUP(A111,'SSP_March''19'!$A$3:$Q$1193,17,0)</f>
        <v>1</v>
      </c>
      <c r="R111" s="35">
        <f t="shared" si="11"/>
        <v>0.1</v>
      </c>
      <c r="S111" s="49">
        <f>ROUND(VLOOKUP(A111,'SSP_March''19'!$A$3:$T$1193,19,0),0)</f>
        <v>3</v>
      </c>
      <c r="T111" s="44">
        <f>VLOOKUP(A111,'SSP_March''19'!$A$3:$T$1193,20,0)</f>
        <v>0.3</v>
      </c>
      <c r="U111" s="34">
        <f>VLOOKUP(A111,'SSP_March''19'!$A$3:$X$1193,21,0)</f>
        <v>1</v>
      </c>
      <c r="V111" s="34">
        <f>VLOOKUP(A111,'SSP_March''19'!$A$3:$X$1193,22,0)</f>
        <v>0</v>
      </c>
      <c r="W111" s="34">
        <f>VLOOKUP(A111,'SSP_March''19'!$A$3:$X$1193,23,0)</f>
        <v>0</v>
      </c>
      <c r="X111" s="34">
        <f>VLOOKUP(A111,'SSP_March''19'!$A$3:$X$1193,24,0)</f>
        <v>0</v>
      </c>
    </row>
    <row r="112" spans="1:24">
      <c r="A112" s="75" t="s">
        <v>3545</v>
      </c>
      <c r="B112" s="75" t="s">
        <v>3320</v>
      </c>
      <c r="C112" s="75" t="s">
        <v>68</v>
      </c>
      <c r="D112" s="75" t="s">
        <v>69</v>
      </c>
      <c r="E112" s="75" t="s">
        <v>3</v>
      </c>
      <c r="F112" s="75" t="s">
        <v>3546</v>
      </c>
      <c r="G112" s="67">
        <v>1711953792</v>
      </c>
      <c r="H112" s="54" t="s">
        <v>229</v>
      </c>
      <c r="I112" s="54" t="s">
        <v>3514</v>
      </c>
      <c r="J112" s="34" t="s">
        <v>3419</v>
      </c>
      <c r="K112" s="43">
        <f>VLOOKUP(A112,'SSP_March''19'!$A$3:$L$1193,11,0)</f>
        <v>150000</v>
      </c>
      <c r="L112" s="43">
        <f>VLOOKUP(A112,'SSP_March''19'!$A$3:$L$1193,12,0)</f>
        <v>114350</v>
      </c>
      <c r="M112" s="44">
        <f t="shared" si="9"/>
        <v>0.76233333333333331</v>
      </c>
      <c r="N112" s="49">
        <f>ROUND(VLOOKUP(A112,'SSP_March''19'!$A$3:$N$1193,14,0),0)</f>
        <v>354485</v>
      </c>
      <c r="O112" s="44">
        <f t="shared" si="10"/>
        <v>2.3632333333333335</v>
      </c>
      <c r="P112" s="45">
        <f>VLOOKUP(A112,'SSP_March''19'!$A$3:$Q$1193,16,0)</f>
        <v>10</v>
      </c>
      <c r="Q112" s="34">
        <f>VLOOKUP(A112,'SSP_March''19'!$A$3:$Q$1193,17,0)</f>
        <v>7</v>
      </c>
      <c r="R112" s="35">
        <f t="shared" si="11"/>
        <v>0.7</v>
      </c>
      <c r="S112" s="49">
        <f>ROUND(VLOOKUP(A112,'SSP_March''19'!$A$3:$T$1193,19,0),0)</f>
        <v>22</v>
      </c>
      <c r="T112" s="44">
        <f>VLOOKUP(A112,'SSP_March''19'!$A$3:$T$1193,20,0)</f>
        <v>2.2000000000000002</v>
      </c>
      <c r="U112" s="34">
        <f>VLOOKUP(A112,'SSP_March''19'!$A$3:$X$1193,21,0)</f>
        <v>0</v>
      </c>
      <c r="V112" s="34">
        <f>VLOOKUP(A112,'SSP_March''19'!$A$3:$X$1193,22,0)</f>
        <v>0</v>
      </c>
      <c r="W112" s="34">
        <f>VLOOKUP(A112,'SSP_March''19'!$A$3:$X$1193,23,0)</f>
        <v>1</v>
      </c>
      <c r="X112" s="34">
        <f>VLOOKUP(A112,'SSP_March''19'!$A$3:$X$1193,24,0)</f>
        <v>1</v>
      </c>
    </row>
    <row r="113" spans="1:24">
      <c r="A113" s="34" t="s">
        <v>600</v>
      </c>
      <c r="B113" s="34" t="s">
        <v>601</v>
      </c>
      <c r="C113" s="34" t="s">
        <v>68</v>
      </c>
      <c r="D113" s="34" t="s">
        <v>69</v>
      </c>
      <c r="E113" s="34" t="s">
        <v>3</v>
      </c>
      <c r="F113" s="34" t="s">
        <v>602</v>
      </c>
      <c r="G113" s="54">
        <v>1824411700</v>
      </c>
      <c r="H113" s="54" t="s">
        <v>229</v>
      </c>
      <c r="I113" s="54" t="s">
        <v>3514</v>
      </c>
      <c r="J113" s="34" t="s">
        <v>3419</v>
      </c>
      <c r="K113" s="43">
        <f>VLOOKUP(A113,'SSP_March''19'!$A$3:$L$1193,11,0)</f>
        <v>150000</v>
      </c>
      <c r="L113" s="43">
        <f>VLOOKUP(A113,'SSP_March''19'!$A$3:$L$1193,12,0)</f>
        <v>35080</v>
      </c>
      <c r="M113" s="44">
        <f t="shared" si="9"/>
        <v>0.23386666666666667</v>
      </c>
      <c r="N113" s="49">
        <f>ROUND(VLOOKUP(A113,'SSP_March''19'!$A$3:$N$1193,14,0),0)</f>
        <v>108748</v>
      </c>
      <c r="O113" s="44">
        <f t="shared" si="10"/>
        <v>0.72498666666666667</v>
      </c>
      <c r="P113" s="45">
        <f>VLOOKUP(A113,'SSP_March''19'!$A$3:$Q$1193,16,0)</f>
        <v>10</v>
      </c>
      <c r="Q113" s="34">
        <f>VLOOKUP(A113,'SSP_March''19'!$A$3:$Q$1193,17,0)</f>
        <v>0</v>
      </c>
      <c r="R113" s="35">
        <f t="shared" si="11"/>
        <v>0</v>
      </c>
      <c r="S113" s="49">
        <f>ROUND(VLOOKUP(A113,'SSP_March''19'!$A$3:$T$1193,19,0),0)</f>
        <v>0</v>
      </c>
      <c r="T113" s="44">
        <f>VLOOKUP(A113,'SSP_March''19'!$A$3:$T$1193,20,0)</f>
        <v>0</v>
      </c>
      <c r="U113" s="34">
        <f>VLOOKUP(A113,'SSP_March''19'!$A$3:$X$1193,21,0)</f>
        <v>0</v>
      </c>
      <c r="V113" s="34">
        <f>VLOOKUP(A113,'SSP_March''19'!$A$3:$X$1193,22,0)</f>
        <v>0</v>
      </c>
      <c r="W113" s="34">
        <f>VLOOKUP(A113,'SSP_March''19'!$A$3:$X$1193,23,0)</f>
        <v>0</v>
      </c>
      <c r="X113" s="34">
        <f>VLOOKUP(A113,'SSP_March''19'!$A$3:$X$1193,24,0)</f>
        <v>0</v>
      </c>
    </row>
    <row r="114" spans="1:24">
      <c r="A114" s="34" t="s">
        <v>620</v>
      </c>
      <c r="B114" s="34" t="s">
        <v>621</v>
      </c>
      <c r="C114" s="34" t="s">
        <v>68</v>
      </c>
      <c r="D114" s="34" t="s">
        <v>69</v>
      </c>
      <c r="E114" s="34" t="s">
        <v>3</v>
      </c>
      <c r="F114" s="34" t="s">
        <v>622</v>
      </c>
      <c r="G114" s="54">
        <v>1813606950</v>
      </c>
      <c r="H114" s="54" t="s">
        <v>229</v>
      </c>
      <c r="I114" s="54" t="s">
        <v>3514</v>
      </c>
      <c r="J114" s="34" t="s">
        <v>3419</v>
      </c>
      <c r="K114" s="43">
        <f>VLOOKUP(A114,'SSP_March''19'!$A$3:$L$1193,11,0)</f>
        <v>130000</v>
      </c>
      <c r="L114" s="43">
        <f>VLOOKUP(A114,'SSP_March''19'!$A$3:$L$1193,12,0)</f>
        <v>16710</v>
      </c>
      <c r="M114" s="44">
        <f t="shared" si="9"/>
        <v>0.12853846153846155</v>
      </c>
      <c r="N114" s="49">
        <f>ROUND(VLOOKUP(A114,'SSP_March''19'!$A$3:$N$1193,14,0),0)</f>
        <v>51801</v>
      </c>
      <c r="O114" s="44">
        <f t="shared" si="10"/>
        <v>0.39846923076923074</v>
      </c>
      <c r="P114" s="45">
        <f>VLOOKUP(A114,'SSP_March''19'!$A$3:$Q$1193,16,0)</f>
        <v>10</v>
      </c>
      <c r="Q114" s="34">
        <f>VLOOKUP(A114,'SSP_March''19'!$A$3:$Q$1193,17,0)</f>
        <v>0</v>
      </c>
      <c r="R114" s="35">
        <f t="shared" si="11"/>
        <v>0</v>
      </c>
      <c r="S114" s="49">
        <f>ROUND(VLOOKUP(A114,'SSP_March''19'!$A$3:$T$1193,19,0),0)</f>
        <v>0</v>
      </c>
      <c r="T114" s="44">
        <f>VLOOKUP(A114,'SSP_March''19'!$A$3:$T$1193,20,0)</f>
        <v>0</v>
      </c>
      <c r="U114" s="34">
        <f>VLOOKUP(A114,'SSP_March''19'!$A$3:$X$1193,21,0)</f>
        <v>0</v>
      </c>
      <c r="V114" s="34">
        <f>VLOOKUP(A114,'SSP_March''19'!$A$3:$X$1193,22,0)</f>
        <v>0</v>
      </c>
      <c r="W114" s="34">
        <f>VLOOKUP(A114,'SSP_March''19'!$A$3:$X$1193,23,0)</f>
        <v>0</v>
      </c>
      <c r="X114" s="34">
        <f>VLOOKUP(A114,'SSP_March''19'!$A$3:$X$1193,24,0)</f>
        <v>0</v>
      </c>
    </row>
    <row r="115" spans="1:24">
      <c r="A115" s="34" t="s">
        <v>628</v>
      </c>
      <c r="B115" s="34" t="s">
        <v>629</v>
      </c>
      <c r="C115" s="34" t="s">
        <v>68</v>
      </c>
      <c r="D115" s="34" t="s">
        <v>69</v>
      </c>
      <c r="E115" s="34" t="s">
        <v>3</v>
      </c>
      <c r="F115" s="34" t="s">
        <v>630</v>
      </c>
      <c r="G115" s="54">
        <v>1854182502</v>
      </c>
      <c r="H115" s="54" t="s">
        <v>229</v>
      </c>
      <c r="I115" s="54" t="s">
        <v>3514</v>
      </c>
      <c r="J115" s="34" t="s">
        <v>3421</v>
      </c>
      <c r="K115" s="43">
        <f>VLOOKUP(A115,'SSP_March''19'!$A$3:$L$1193,11,0)</f>
        <v>160000</v>
      </c>
      <c r="L115" s="43">
        <f>VLOOKUP(A115,'SSP_March''19'!$A$3:$L$1193,12,0)</f>
        <v>43970</v>
      </c>
      <c r="M115" s="44">
        <f t="shared" si="9"/>
        <v>0.27481250000000002</v>
      </c>
      <c r="N115" s="49">
        <f>ROUND(VLOOKUP(A115,'SSP_March''19'!$A$3:$N$1193,14,0),0)</f>
        <v>136307</v>
      </c>
      <c r="O115" s="44">
        <f t="shared" si="10"/>
        <v>0.85191874999999995</v>
      </c>
      <c r="P115" s="45">
        <f>VLOOKUP(A115,'SSP_March''19'!$A$3:$Q$1193,16,0)</f>
        <v>10</v>
      </c>
      <c r="Q115" s="34">
        <f>VLOOKUP(A115,'SSP_March''19'!$A$3:$Q$1193,17,0)</f>
        <v>1</v>
      </c>
      <c r="R115" s="35">
        <f t="shared" si="11"/>
        <v>0.1</v>
      </c>
      <c r="S115" s="49">
        <f>ROUND(VLOOKUP(A115,'SSP_March''19'!$A$3:$T$1193,19,0),0)</f>
        <v>3</v>
      </c>
      <c r="T115" s="44">
        <f>VLOOKUP(A115,'SSP_March''19'!$A$3:$T$1193,20,0)</f>
        <v>0.3</v>
      </c>
      <c r="U115" s="34">
        <f>VLOOKUP(A115,'SSP_March''19'!$A$3:$X$1193,21,0)</f>
        <v>1</v>
      </c>
      <c r="V115" s="34">
        <f>VLOOKUP(A115,'SSP_March''19'!$A$3:$X$1193,22,0)</f>
        <v>0</v>
      </c>
      <c r="W115" s="34">
        <f>VLOOKUP(A115,'SSP_March''19'!$A$3:$X$1193,23,0)</f>
        <v>0</v>
      </c>
      <c r="X115" s="34">
        <f>VLOOKUP(A115,'SSP_March''19'!$A$3:$X$1193,24,0)</f>
        <v>1</v>
      </c>
    </row>
    <row r="116" spans="1:24">
      <c r="A116" s="34" t="s">
        <v>626</v>
      </c>
      <c r="B116" s="34" t="s">
        <v>557</v>
      </c>
      <c r="C116" s="34" t="s">
        <v>68</v>
      </c>
      <c r="D116" s="34" t="s">
        <v>69</v>
      </c>
      <c r="E116" s="34" t="s">
        <v>3</v>
      </c>
      <c r="F116" s="34" t="s">
        <v>627</v>
      </c>
      <c r="G116" s="54">
        <v>1840203060</v>
      </c>
      <c r="H116" s="54" t="s">
        <v>229</v>
      </c>
      <c r="I116" s="54" t="s">
        <v>3514</v>
      </c>
      <c r="J116" s="34" t="s">
        <v>3419</v>
      </c>
      <c r="K116" s="43">
        <f>VLOOKUP(A116,'SSP_March''19'!$A$3:$L$1193,11,0)</f>
        <v>150000</v>
      </c>
      <c r="L116" s="43">
        <f>VLOOKUP(A116,'SSP_March''19'!$A$3:$L$1193,12,0)</f>
        <v>32450</v>
      </c>
      <c r="M116" s="44">
        <f t="shared" si="9"/>
        <v>0.21633333333333332</v>
      </c>
      <c r="N116" s="49">
        <f>ROUND(VLOOKUP(A116,'SSP_March''19'!$A$3:$N$1193,14,0),0)</f>
        <v>100595</v>
      </c>
      <c r="O116" s="44">
        <f t="shared" si="10"/>
        <v>0.6706333333333333</v>
      </c>
      <c r="P116" s="45">
        <f>VLOOKUP(A116,'SSP_March''19'!$A$3:$Q$1193,16,0)</f>
        <v>10</v>
      </c>
      <c r="Q116" s="34">
        <f>VLOOKUP(A116,'SSP_March''19'!$A$3:$Q$1193,17,0)</f>
        <v>1</v>
      </c>
      <c r="R116" s="35">
        <f t="shared" si="11"/>
        <v>0.1</v>
      </c>
      <c r="S116" s="49">
        <f>ROUND(VLOOKUP(A116,'SSP_March''19'!$A$3:$T$1193,19,0),0)</f>
        <v>3</v>
      </c>
      <c r="T116" s="44">
        <f>VLOOKUP(A116,'SSP_March''19'!$A$3:$T$1193,20,0)</f>
        <v>0.3</v>
      </c>
      <c r="U116" s="34">
        <f>VLOOKUP(A116,'SSP_March''19'!$A$3:$X$1193,21,0)</f>
        <v>0</v>
      </c>
      <c r="V116" s="34">
        <f>VLOOKUP(A116,'SSP_March''19'!$A$3:$X$1193,22,0)</f>
        <v>0</v>
      </c>
      <c r="W116" s="34">
        <f>VLOOKUP(A116,'SSP_March''19'!$A$3:$X$1193,23,0)</f>
        <v>0</v>
      </c>
      <c r="X116" s="34">
        <f>VLOOKUP(A116,'SSP_March''19'!$A$3:$X$1193,24,0)</f>
        <v>0</v>
      </c>
    </row>
    <row r="117" spans="1:24">
      <c r="A117" s="34" t="s">
        <v>572</v>
      </c>
      <c r="B117" s="34" t="s">
        <v>85</v>
      </c>
      <c r="C117" s="34" t="s">
        <v>68</v>
      </c>
      <c r="D117" s="34" t="s">
        <v>69</v>
      </c>
      <c r="E117" s="34" t="s">
        <v>3</v>
      </c>
      <c r="F117" s="34" t="s">
        <v>573</v>
      </c>
      <c r="G117" s="54">
        <v>1869572020</v>
      </c>
      <c r="H117" s="54" t="s">
        <v>229</v>
      </c>
      <c r="I117" s="54" t="s">
        <v>3514</v>
      </c>
      <c r="J117" s="34" t="s">
        <v>3421</v>
      </c>
      <c r="K117" s="43">
        <f>VLOOKUP(A117,'SSP_March''19'!$A$3:$L$1193,11,0)</f>
        <v>130000</v>
      </c>
      <c r="L117" s="43">
        <f>VLOOKUP(A117,'SSP_March''19'!$A$3:$L$1193,12,0)</f>
        <v>24210</v>
      </c>
      <c r="M117" s="44">
        <f t="shared" si="9"/>
        <v>0.18623076923076923</v>
      </c>
      <c r="N117" s="49">
        <f>ROUND(VLOOKUP(A117,'SSP_March''19'!$A$3:$N$1193,14,0),0)</f>
        <v>75051</v>
      </c>
      <c r="O117" s="44">
        <f t="shared" si="10"/>
        <v>0.57731538461538456</v>
      </c>
      <c r="P117" s="45">
        <f>VLOOKUP(A117,'SSP_March''19'!$A$3:$Q$1193,16,0)</f>
        <v>10</v>
      </c>
      <c r="Q117" s="34">
        <f>VLOOKUP(A117,'SSP_March''19'!$A$3:$Q$1193,17,0)</f>
        <v>1</v>
      </c>
      <c r="R117" s="35">
        <f t="shared" si="11"/>
        <v>0.1</v>
      </c>
      <c r="S117" s="49">
        <f>ROUND(VLOOKUP(A117,'SSP_March''19'!$A$3:$T$1193,19,0),0)</f>
        <v>3</v>
      </c>
      <c r="T117" s="44">
        <f>VLOOKUP(A117,'SSP_March''19'!$A$3:$T$1193,20,0)</f>
        <v>0.3</v>
      </c>
      <c r="U117" s="34">
        <f>VLOOKUP(A117,'SSP_March''19'!$A$3:$X$1193,21,0)</f>
        <v>1</v>
      </c>
      <c r="V117" s="34">
        <f>VLOOKUP(A117,'SSP_March''19'!$A$3:$X$1193,22,0)</f>
        <v>0</v>
      </c>
      <c r="W117" s="34">
        <f>VLOOKUP(A117,'SSP_March''19'!$A$3:$X$1193,23,0)</f>
        <v>1</v>
      </c>
      <c r="X117" s="34">
        <f>VLOOKUP(A117,'SSP_March''19'!$A$3:$X$1193,24,0)</f>
        <v>0</v>
      </c>
    </row>
    <row r="118" spans="1:24">
      <c r="A118" s="34" t="s">
        <v>631</v>
      </c>
      <c r="B118" s="34" t="s">
        <v>59</v>
      </c>
      <c r="C118" s="34" t="s">
        <v>68</v>
      </c>
      <c r="D118" s="34" t="s">
        <v>69</v>
      </c>
      <c r="E118" s="34" t="s">
        <v>3</v>
      </c>
      <c r="F118" s="34" t="s">
        <v>632</v>
      </c>
      <c r="G118" s="54">
        <v>1816108031</v>
      </c>
      <c r="H118" s="54" t="s">
        <v>229</v>
      </c>
      <c r="I118" s="54" t="s">
        <v>3514</v>
      </c>
      <c r="J118" s="34" t="s">
        <v>3419</v>
      </c>
      <c r="K118" s="43">
        <f>VLOOKUP(A118,'SSP_March''19'!$A$3:$L$1193,11,0)</f>
        <v>200000</v>
      </c>
      <c r="L118" s="43">
        <f>VLOOKUP(A118,'SSP_March''19'!$A$3:$L$1193,12,0)</f>
        <v>87600</v>
      </c>
      <c r="M118" s="44">
        <f t="shared" si="9"/>
        <v>0.438</v>
      </c>
      <c r="N118" s="49">
        <f>ROUND(VLOOKUP(A118,'SSP_March''19'!$A$3:$N$1193,14,0),0)</f>
        <v>271560</v>
      </c>
      <c r="O118" s="44">
        <f t="shared" si="10"/>
        <v>1.3577999999999999</v>
      </c>
      <c r="P118" s="45">
        <f>VLOOKUP(A118,'SSP_March''19'!$A$3:$Q$1193,16,0)</f>
        <v>10</v>
      </c>
      <c r="Q118" s="34">
        <f>VLOOKUP(A118,'SSP_March''19'!$A$3:$Q$1193,17,0)</f>
        <v>4</v>
      </c>
      <c r="R118" s="35">
        <f t="shared" si="11"/>
        <v>0.4</v>
      </c>
      <c r="S118" s="49">
        <f>ROUND(VLOOKUP(A118,'SSP_March''19'!$A$3:$T$1193,19,0),0)</f>
        <v>12</v>
      </c>
      <c r="T118" s="44">
        <f>VLOOKUP(A118,'SSP_March''19'!$A$3:$T$1193,20,0)</f>
        <v>1.2</v>
      </c>
      <c r="U118" s="34">
        <f>VLOOKUP(A118,'SSP_March''19'!$A$3:$X$1193,21,0)</f>
        <v>0</v>
      </c>
      <c r="V118" s="34">
        <f>VLOOKUP(A118,'SSP_March''19'!$A$3:$X$1193,22,0)</f>
        <v>1</v>
      </c>
      <c r="W118" s="34">
        <f>VLOOKUP(A118,'SSP_March''19'!$A$3:$X$1193,23,0)</f>
        <v>1</v>
      </c>
      <c r="X118" s="34">
        <f>VLOOKUP(A118,'SSP_March''19'!$A$3:$X$1193,24,0)</f>
        <v>1</v>
      </c>
    </row>
    <row r="119" spans="1:24">
      <c r="A119" s="34" t="s">
        <v>648</v>
      </c>
      <c r="B119" s="34" t="s">
        <v>649</v>
      </c>
      <c r="C119" s="34" t="s">
        <v>68</v>
      </c>
      <c r="D119" s="34" t="s">
        <v>69</v>
      </c>
      <c r="E119" s="34" t="s">
        <v>3</v>
      </c>
      <c r="F119" s="34" t="s">
        <v>650</v>
      </c>
      <c r="G119" s="54">
        <v>1823814813</v>
      </c>
      <c r="H119" s="54" t="s">
        <v>229</v>
      </c>
      <c r="I119" s="54" t="s">
        <v>3514</v>
      </c>
      <c r="J119" s="34" t="s">
        <v>3419</v>
      </c>
      <c r="K119" s="43">
        <f>VLOOKUP(A119,'SSP_March''19'!$A$3:$L$1193,11,0)</f>
        <v>150000</v>
      </c>
      <c r="L119" s="43">
        <f>VLOOKUP(A119,'SSP_March''19'!$A$3:$L$1193,12,0)</f>
        <v>23950</v>
      </c>
      <c r="M119" s="44">
        <f t="shared" si="9"/>
        <v>0.15966666666666668</v>
      </c>
      <c r="N119" s="49">
        <f>ROUND(VLOOKUP(A119,'SSP_March''19'!$A$3:$N$1193,14,0),0)</f>
        <v>74245</v>
      </c>
      <c r="O119" s="44">
        <f t="shared" si="10"/>
        <v>0.49496666666666667</v>
      </c>
      <c r="P119" s="45">
        <f>VLOOKUP(A119,'SSP_March''19'!$A$3:$Q$1193,16,0)</f>
        <v>10</v>
      </c>
      <c r="Q119" s="34">
        <f>VLOOKUP(A119,'SSP_March''19'!$A$3:$Q$1193,17,0)</f>
        <v>0</v>
      </c>
      <c r="R119" s="35">
        <f t="shared" si="11"/>
        <v>0</v>
      </c>
      <c r="S119" s="49">
        <f>ROUND(VLOOKUP(A119,'SSP_March''19'!$A$3:$T$1193,19,0),0)</f>
        <v>0</v>
      </c>
      <c r="T119" s="44">
        <f>VLOOKUP(A119,'SSP_March''19'!$A$3:$T$1193,20,0)</f>
        <v>0</v>
      </c>
      <c r="U119" s="34">
        <f>VLOOKUP(A119,'SSP_March''19'!$A$3:$X$1193,21,0)</f>
        <v>2</v>
      </c>
      <c r="V119" s="34">
        <f>VLOOKUP(A119,'SSP_March''19'!$A$3:$X$1193,22,0)</f>
        <v>0</v>
      </c>
      <c r="W119" s="34">
        <f>VLOOKUP(A119,'SSP_March''19'!$A$3:$X$1193,23,0)</f>
        <v>0</v>
      </c>
      <c r="X119" s="34">
        <f>VLOOKUP(A119,'SSP_March''19'!$A$3:$X$1193,24,0)</f>
        <v>0</v>
      </c>
    </row>
    <row r="120" spans="1:24">
      <c r="A120" s="34" t="s">
        <v>615</v>
      </c>
      <c r="B120" s="34" t="s">
        <v>616</v>
      </c>
      <c r="C120" s="34" t="s">
        <v>68</v>
      </c>
      <c r="D120" s="34" t="s">
        <v>69</v>
      </c>
      <c r="E120" s="34" t="s">
        <v>3</v>
      </c>
      <c r="F120" s="34" t="s">
        <v>617</v>
      </c>
      <c r="G120" s="54">
        <v>1828134423</v>
      </c>
      <c r="H120" s="54" t="s">
        <v>229</v>
      </c>
      <c r="I120" s="54" t="s">
        <v>3514</v>
      </c>
      <c r="J120" s="34" t="s">
        <v>3419</v>
      </c>
      <c r="K120" s="43">
        <f>VLOOKUP(A120,'SSP_March''19'!$A$3:$L$1193,11,0)</f>
        <v>200000</v>
      </c>
      <c r="L120" s="43">
        <f>VLOOKUP(A120,'SSP_March''19'!$A$3:$L$1193,12,0)</f>
        <v>27760</v>
      </c>
      <c r="M120" s="44">
        <f t="shared" si="9"/>
        <v>0.13880000000000001</v>
      </c>
      <c r="N120" s="49">
        <f>ROUND(VLOOKUP(A120,'SSP_March''19'!$A$3:$N$1193,14,0),0)</f>
        <v>86056</v>
      </c>
      <c r="O120" s="44">
        <f t="shared" si="10"/>
        <v>0.43028</v>
      </c>
      <c r="P120" s="45">
        <f>VLOOKUP(A120,'SSP_March''19'!$A$3:$Q$1193,16,0)</f>
        <v>10</v>
      </c>
      <c r="Q120" s="34">
        <f>VLOOKUP(A120,'SSP_March''19'!$A$3:$Q$1193,17,0)</f>
        <v>1</v>
      </c>
      <c r="R120" s="35">
        <f t="shared" si="11"/>
        <v>0.1</v>
      </c>
      <c r="S120" s="49">
        <f>ROUND(VLOOKUP(A120,'SSP_March''19'!$A$3:$T$1193,19,0),0)</f>
        <v>3</v>
      </c>
      <c r="T120" s="44">
        <f>VLOOKUP(A120,'SSP_March''19'!$A$3:$T$1193,20,0)</f>
        <v>0.3</v>
      </c>
      <c r="U120" s="34">
        <f>VLOOKUP(A120,'SSP_March''19'!$A$3:$X$1193,21,0)</f>
        <v>0</v>
      </c>
      <c r="V120" s="34">
        <f>VLOOKUP(A120,'SSP_March''19'!$A$3:$X$1193,22,0)</f>
        <v>0</v>
      </c>
      <c r="W120" s="34">
        <f>VLOOKUP(A120,'SSP_March''19'!$A$3:$X$1193,23,0)</f>
        <v>0</v>
      </c>
      <c r="X120" s="34">
        <f>VLOOKUP(A120,'SSP_March''19'!$A$3:$X$1193,24,0)</f>
        <v>0</v>
      </c>
    </row>
    <row r="121" spans="1:24">
      <c r="A121" s="34" t="s">
        <v>623</v>
      </c>
      <c r="B121" s="34" t="s">
        <v>624</v>
      </c>
      <c r="C121" s="34" t="s">
        <v>135</v>
      </c>
      <c r="D121" s="34" t="s">
        <v>69</v>
      </c>
      <c r="E121" s="34" t="s">
        <v>3</v>
      </c>
      <c r="F121" s="34" t="s">
        <v>625</v>
      </c>
      <c r="G121" s="54">
        <v>1916852688</v>
      </c>
      <c r="H121" s="54" t="s">
        <v>229</v>
      </c>
      <c r="I121" s="54" t="s">
        <v>3514</v>
      </c>
      <c r="J121" s="34" t="s">
        <v>3419</v>
      </c>
      <c r="K121" s="43">
        <f>VLOOKUP(A121,'SSP_March''19'!$A$3:$L$1193,11,0)</f>
        <v>245000</v>
      </c>
      <c r="L121" s="43">
        <f>VLOOKUP(A121,'SSP_March''19'!$A$3:$L$1193,12,0)</f>
        <v>66720</v>
      </c>
      <c r="M121" s="44">
        <f t="shared" si="9"/>
        <v>0.27232653061224488</v>
      </c>
      <c r="N121" s="49">
        <f>ROUND(VLOOKUP(A121,'SSP_March''19'!$A$3:$N$1193,14,0),0)</f>
        <v>206832</v>
      </c>
      <c r="O121" s="44">
        <f t="shared" si="10"/>
        <v>0.84421224489795921</v>
      </c>
      <c r="P121" s="45">
        <f>VLOOKUP(A121,'SSP_March''19'!$A$3:$Q$1193,16,0)</f>
        <v>10</v>
      </c>
      <c r="Q121" s="34">
        <f>VLOOKUP(A121,'SSP_March''19'!$A$3:$Q$1193,17,0)</f>
        <v>2</v>
      </c>
      <c r="R121" s="35">
        <f t="shared" si="11"/>
        <v>0.2</v>
      </c>
      <c r="S121" s="49">
        <f>ROUND(VLOOKUP(A121,'SSP_March''19'!$A$3:$T$1193,19,0),0)</f>
        <v>6</v>
      </c>
      <c r="T121" s="44">
        <f>VLOOKUP(A121,'SSP_March''19'!$A$3:$T$1193,20,0)</f>
        <v>0.6</v>
      </c>
      <c r="U121" s="34">
        <f>VLOOKUP(A121,'SSP_March''19'!$A$3:$X$1193,21,0)</f>
        <v>0</v>
      </c>
      <c r="V121" s="34">
        <f>VLOOKUP(A121,'SSP_March''19'!$A$3:$X$1193,22,0)</f>
        <v>0</v>
      </c>
      <c r="W121" s="34">
        <f>VLOOKUP(A121,'SSP_March''19'!$A$3:$X$1193,23,0)</f>
        <v>0</v>
      </c>
      <c r="X121" s="34">
        <f>VLOOKUP(A121,'SSP_March''19'!$A$3:$X$1193,24,0)</f>
        <v>0</v>
      </c>
    </row>
    <row r="122" spans="1:24">
      <c r="A122" s="34" t="s">
        <v>577</v>
      </c>
      <c r="B122" s="34" t="s">
        <v>578</v>
      </c>
      <c r="C122" s="34" t="s">
        <v>135</v>
      </c>
      <c r="D122" s="34" t="s">
        <v>69</v>
      </c>
      <c r="E122" s="34" t="s">
        <v>3</v>
      </c>
      <c r="F122" s="34" t="s">
        <v>579</v>
      </c>
      <c r="G122" s="54">
        <v>1740919666</v>
      </c>
      <c r="H122" s="54" t="s">
        <v>229</v>
      </c>
      <c r="I122" s="54" t="s">
        <v>3518</v>
      </c>
      <c r="J122" s="34" t="s">
        <v>3419</v>
      </c>
      <c r="K122" s="43">
        <f>VLOOKUP(A122,'SSP_March''19'!$A$3:$L$1193,11,0)</f>
        <v>351000</v>
      </c>
      <c r="L122" s="43">
        <f>VLOOKUP(A122,'SSP_March''19'!$A$3:$L$1193,12,0)</f>
        <v>91650</v>
      </c>
      <c r="M122" s="44">
        <f t="shared" si="9"/>
        <v>0.26111111111111113</v>
      </c>
      <c r="N122" s="49">
        <f>ROUND(VLOOKUP(A122,'SSP_March''19'!$A$3:$N$1193,14,0),0)</f>
        <v>284115</v>
      </c>
      <c r="O122" s="44">
        <f t="shared" si="10"/>
        <v>0.80944444444444441</v>
      </c>
      <c r="P122" s="45">
        <f>VLOOKUP(A122,'SSP_March''19'!$A$3:$Q$1193,16,0)</f>
        <v>15</v>
      </c>
      <c r="Q122" s="34">
        <f>VLOOKUP(A122,'SSP_March''19'!$A$3:$Q$1193,17,0)</f>
        <v>4</v>
      </c>
      <c r="R122" s="35">
        <f t="shared" si="11"/>
        <v>0.26666666666666666</v>
      </c>
      <c r="S122" s="49">
        <f>ROUND(VLOOKUP(A122,'SSP_March''19'!$A$3:$T$1193,19,0),0)</f>
        <v>12</v>
      </c>
      <c r="T122" s="44">
        <f>VLOOKUP(A122,'SSP_March''19'!$A$3:$T$1193,20,0)</f>
        <v>0.8</v>
      </c>
      <c r="U122" s="34">
        <f>VLOOKUP(A122,'SSP_March''19'!$A$3:$X$1193,21,0)</f>
        <v>0</v>
      </c>
      <c r="V122" s="34">
        <f>VLOOKUP(A122,'SSP_March''19'!$A$3:$X$1193,22,0)</f>
        <v>1</v>
      </c>
      <c r="W122" s="34">
        <f>VLOOKUP(A122,'SSP_March''19'!$A$3:$X$1193,23,0)</f>
        <v>0</v>
      </c>
      <c r="X122" s="34">
        <f>VLOOKUP(A122,'SSP_March''19'!$A$3:$X$1193,24,0)</f>
        <v>1</v>
      </c>
    </row>
    <row r="123" spans="1:24">
      <c r="A123" s="34" t="s">
        <v>639</v>
      </c>
      <c r="B123" s="34" t="s">
        <v>640</v>
      </c>
      <c r="C123" s="34" t="s">
        <v>135</v>
      </c>
      <c r="D123" s="34" t="s">
        <v>69</v>
      </c>
      <c r="E123" s="34" t="s">
        <v>3</v>
      </c>
      <c r="F123" s="34" t="s">
        <v>641</v>
      </c>
      <c r="G123" s="54">
        <v>1716597183</v>
      </c>
      <c r="H123" s="54" t="s">
        <v>229</v>
      </c>
      <c r="I123" s="54" t="s">
        <v>3514</v>
      </c>
      <c r="J123" s="34" t="s">
        <v>3419</v>
      </c>
      <c r="K123" s="43">
        <f>VLOOKUP(A123,'SSP_March''19'!$A$3:$L$1193,11,0)</f>
        <v>160000</v>
      </c>
      <c r="L123" s="43">
        <f>VLOOKUP(A123,'SSP_March''19'!$A$3:$L$1193,12,0)</f>
        <v>42270</v>
      </c>
      <c r="M123" s="44">
        <f t="shared" si="9"/>
        <v>0.26418750000000002</v>
      </c>
      <c r="N123" s="49">
        <f>ROUND(VLOOKUP(A123,'SSP_March''19'!$A$3:$N$1193,14,0),0)</f>
        <v>131037</v>
      </c>
      <c r="O123" s="44">
        <f t="shared" si="10"/>
        <v>0.81898124999999999</v>
      </c>
      <c r="P123" s="45">
        <f>VLOOKUP(A123,'SSP_March''19'!$A$3:$Q$1193,16,0)</f>
        <v>10</v>
      </c>
      <c r="Q123" s="34">
        <f>VLOOKUP(A123,'SSP_March''19'!$A$3:$Q$1193,17,0)</f>
        <v>2</v>
      </c>
      <c r="R123" s="35">
        <f t="shared" si="11"/>
        <v>0.2</v>
      </c>
      <c r="S123" s="49">
        <f>ROUND(VLOOKUP(A123,'SSP_March''19'!$A$3:$T$1193,19,0),0)</f>
        <v>6</v>
      </c>
      <c r="T123" s="44">
        <f>VLOOKUP(A123,'SSP_March''19'!$A$3:$T$1193,20,0)</f>
        <v>0.6</v>
      </c>
      <c r="U123" s="34">
        <f>VLOOKUP(A123,'SSP_March''19'!$A$3:$X$1193,21,0)</f>
        <v>1</v>
      </c>
      <c r="V123" s="34">
        <f>VLOOKUP(A123,'SSP_March''19'!$A$3:$X$1193,22,0)</f>
        <v>0</v>
      </c>
      <c r="W123" s="34">
        <f>VLOOKUP(A123,'SSP_March''19'!$A$3:$X$1193,23,0)</f>
        <v>0</v>
      </c>
      <c r="X123" s="34">
        <f>VLOOKUP(A123,'SSP_March''19'!$A$3:$X$1193,24,0)</f>
        <v>0</v>
      </c>
    </row>
    <row r="124" spans="1:24">
      <c r="A124" s="34" t="s">
        <v>597</v>
      </c>
      <c r="B124" s="34" t="s">
        <v>598</v>
      </c>
      <c r="C124" s="34" t="s">
        <v>135</v>
      </c>
      <c r="D124" s="34" t="s">
        <v>69</v>
      </c>
      <c r="E124" s="34" t="s">
        <v>3</v>
      </c>
      <c r="F124" s="34" t="s">
        <v>599</v>
      </c>
      <c r="G124" s="54">
        <v>1838595326</v>
      </c>
      <c r="H124" s="54" t="s">
        <v>229</v>
      </c>
      <c r="I124" s="54" t="s">
        <v>3514</v>
      </c>
      <c r="J124" s="34" t="s">
        <v>3515</v>
      </c>
      <c r="K124" s="43">
        <f>VLOOKUP(A124,'SSP_March''19'!$A$3:$L$1193,11,0)</f>
        <v>130000</v>
      </c>
      <c r="L124" s="43">
        <f>VLOOKUP(A124,'SSP_March''19'!$A$3:$L$1193,12,0)</f>
        <v>27210</v>
      </c>
      <c r="M124" s="44">
        <f t="shared" si="9"/>
        <v>0.20930769230769231</v>
      </c>
      <c r="N124" s="49">
        <f>ROUND(VLOOKUP(A124,'SSP_March''19'!$A$3:$N$1193,14,0),0)</f>
        <v>84351</v>
      </c>
      <c r="O124" s="44">
        <f t="shared" si="10"/>
        <v>0.64885384615384611</v>
      </c>
      <c r="P124" s="45">
        <f>VLOOKUP(A124,'SSP_March''19'!$A$3:$Q$1193,16,0)</f>
        <v>10</v>
      </c>
      <c r="Q124" s="34">
        <f>VLOOKUP(A124,'SSP_March''19'!$A$3:$Q$1193,17,0)</f>
        <v>3</v>
      </c>
      <c r="R124" s="35">
        <f t="shared" si="11"/>
        <v>0.3</v>
      </c>
      <c r="S124" s="49">
        <f>ROUND(VLOOKUP(A124,'SSP_March''19'!$A$3:$T$1193,19,0),0)</f>
        <v>9</v>
      </c>
      <c r="T124" s="44">
        <f>VLOOKUP(A124,'SSP_March''19'!$A$3:$T$1193,20,0)</f>
        <v>0.9</v>
      </c>
      <c r="U124" s="34">
        <f>VLOOKUP(A124,'SSP_March''19'!$A$3:$X$1193,21,0)</f>
        <v>0</v>
      </c>
      <c r="V124" s="34">
        <f>VLOOKUP(A124,'SSP_March''19'!$A$3:$X$1193,22,0)</f>
        <v>1</v>
      </c>
      <c r="W124" s="34">
        <f>VLOOKUP(A124,'SSP_March''19'!$A$3:$X$1193,23,0)</f>
        <v>0</v>
      </c>
      <c r="X124" s="34">
        <f>VLOOKUP(A124,'SSP_March''19'!$A$3:$X$1193,24,0)</f>
        <v>0</v>
      </c>
    </row>
    <row r="125" spans="1:24">
      <c r="A125" s="34" t="s">
        <v>3428</v>
      </c>
      <c r="B125" s="34" t="s">
        <v>3429</v>
      </c>
      <c r="C125" s="34" t="s">
        <v>135</v>
      </c>
      <c r="D125" s="34" t="s">
        <v>69</v>
      </c>
      <c r="E125" s="34" t="s">
        <v>3</v>
      </c>
      <c r="F125" s="34" t="s">
        <v>3430</v>
      </c>
      <c r="G125" s="54">
        <v>1748300071</v>
      </c>
      <c r="H125" s="54" t="s">
        <v>229</v>
      </c>
      <c r="I125" s="54" t="s">
        <v>3514</v>
      </c>
      <c r="J125" s="34" t="s">
        <v>3421</v>
      </c>
      <c r="K125" s="43">
        <f>VLOOKUP(A125,'SSP_March''19'!$A$3:$L$1193,11,0)</f>
        <v>130000</v>
      </c>
      <c r="L125" s="43">
        <f>VLOOKUP(A125,'SSP_March''19'!$A$3:$L$1193,12,0)</f>
        <v>18660</v>
      </c>
      <c r="M125" s="44">
        <f t="shared" si="9"/>
        <v>0.14353846153846153</v>
      </c>
      <c r="N125" s="49">
        <f>ROUND(VLOOKUP(A125,'SSP_March''19'!$A$3:$N$1193,14,0),0)</f>
        <v>57846</v>
      </c>
      <c r="O125" s="44">
        <f t="shared" si="10"/>
        <v>0.44496923076923078</v>
      </c>
      <c r="P125" s="45">
        <f>VLOOKUP(A125,'SSP_March''19'!$A$3:$Q$1193,16,0)</f>
        <v>10</v>
      </c>
      <c r="Q125" s="34">
        <f>VLOOKUP(A125,'SSP_March''19'!$A$3:$Q$1193,17,0)</f>
        <v>0</v>
      </c>
      <c r="R125" s="35">
        <f t="shared" si="11"/>
        <v>0</v>
      </c>
      <c r="S125" s="49">
        <f>ROUND(VLOOKUP(A125,'SSP_March''19'!$A$3:$T$1193,19,0),0)</f>
        <v>0</v>
      </c>
      <c r="T125" s="44">
        <f>VLOOKUP(A125,'SSP_March''19'!$A$3:$T$1193,20,0)</f>
        <v>0</v>
      </c>
      <c r="U125" s="34">
        <f>VLOOKUP(A125,'SSP_March''19'!$A$3:$X$1193,21,0)</f>
        <v>0</v>
      </c>
      <c r="V125" s="34">
        <f>VLOOKUP(A125,'SSP_March''19'!$A$3:$X$1193,22,0)</f>
        <v>0</v>
      </c>
      <c r="W125" s="34">
        <f>VLOOKUP(A125,'SSP_March''19'!$A$3:$X$1193,23,0)</f>
        <v>0</v>
      </c>
      <c r="X125" s="34">
        <f>VLOOKUP(A125,'SSP_March''19'!$A$3:$X$1193,24,0)</f>
        <v>0</v>
      </c>
    </row>
    <row r="126" spans="1:24">
      <c r="A126" s="34" t="s">
        <v>645</v>
      </c>
      <c r="B126" s="34" t="s">
        <v>646</v>
      </c>
      <c r="C126" s="34" t="s">
        <v>135</v>
      </c>
      <c r="D126" s="34" t="s">
        <v>69</v>
      </c>
      <c r="E126" s="34" t="s">
        <v>3</v>
      </c>
      <c r="F126" s="34" t="s">
        <v>647</v>
      </c>
      <c r="G126" s="54">
        <v>1711453093</v>
      </c>
      <c r="H126" s="54" t="s">
        <v>229</v>
      </c>
      <c r="I126" s="54" t="s">
        <v>3514</v>
      </c>
      <c r="J126" s="34" t="s">
        <v>3419</v>
      </c>
      <c r="K126" s="43">
        <f>VLOOKUP(A126,'SSP_March''19'!$A$3:$L$1193,11,0)</f>
        <v>160000</v>
      </c>
      <c r="L126" s="43">
        <f>VLOOKUP(A126,'SSP_March''19'!$A$3:$L$1193,12,0)</f>
        <v>36740</v>
      </c>
      <c r="M126" s="44">
        <f t="shared" si="9"/>
        <v>0.229625</v>
      </c>
      <c r="N126" s="49">
        <f>ROUND(VLOOKUP(A126,'SSP_March''19'!$A$3:$N$1193,14,0),0)</f>
        <v>113894</v>
      </c>
      <c r="O126" s="44">
        <f t="shared" si="10"/>
        <v>0.71183750000000001</v>
      </c>
      <c r="P126" s="45">
        <f>VLOOKUP(A126,'SSP_March''19'!$A$3:$Q$1193,16,0)</f>
        <v>10</v>
      </c>
      <c r="Q126" s="34">
        <f>VLOOKUP(A126,'SSP_March''19'!$A$3:$Q$1193,17,0)</f>
        <v>3</v>
      </c>
      <c r="R126" s="35">
        <f t="shared" si="11"/>
        <v>0.3</v>
      </c>
      <c r="S126" s="49">
        <f>ROUND(VLOOKUP(A126,'SSP_March''19'!$A$3:$T$1193,19,0),0)</f>
        <v>9</v>
      </c>
      <c r="T126" s="44">
        <f>VLOOKUP(A126,'SSP_March''19'!$A$3:$T$1193,20,0)</f>
        <v>0.9</v>
      </c>
      <c r="U126" s="34">
        <f>VLOOKUP(A126,'SSP_March''19'!$A$3:$X$1193,21,0)</f>
        <v>0</v>
      </c>
      <c r="V126" s="34">
        <f>VLOOKUP(A126,'SSP_March''19'!$A$3:$X$1193,22,0)</f>
        <v>2</v>
      </c>
      <c r="W126" s="34">
        <f>VLOOKUP(A126,'SSP_March''19'!$A$3:$X$1193,23,0)</f>
        <v>0</v>
      </c>
      <c r="X126" s="34">
        <f>VLOOKUP(A126,'SSP_March''19'!$A$3:$X$1193,24,0)</f>
        <v>0</v>
      </c>
    </row>
    <row r="127" spans="1:24">
      <c r="A127" s="34" t="s">
        <v>595</v>
      </c>
      <c r="B127" s="34" t="s">
        <v>59</v>
      </c>
      <c r="C127" s="34" t="s">
        <v>135</v>
      </c>
      <c r="D127" s="34" t="s">
        <v>69</v>
      </c>
      <c r="E127" s="34" t="s">
        <v>3</v>
      </c>
      <c r="F127" s="34" t="s">
        <v>596</v>
      </c>
      <c r="G127" s="54">
        <v>1716619191</v>
      </c>
      <c r="H127" s="54" t="s">
        <v>229</v>
      </c>
      <c r="I127" s="54" t="s">
        <v>3514</v>
      </c>
      <c r="J127" s="34" t="s">
        <v>3421</v>
      </c>
      <c r="K127" s="43">
        <f>VLOOKUP(A127,'SSP_March''19'!$A$3:$L$1193,11,0)</f>
        <v>130000</v>
      </c>
      <c r="L127" s="43">
        <f>VLOOKUP(A127,'SSP_March''19'!$A$3:$L$1193,12,0)</f>
        <v>45089</v>
      </c>
      <c r="M127" s="44">
        <f t="shared" si="9"/>
        <v>0.34683846153846154</v>
      </c>
      <c r="N127" s="49">
        <f>ROUND(VLOOKUP(A127,'SSP_March''19'!$A$3:$N$1193,14,0),0)</f>
        <v>139776</v>
      </c>
      <c r="O127" s="44">
        <f t="shared" si="10"/>
        <v>1.0751999999999999</v>
      </c>
      <c r="P127" s="45">
        <f>VLOOKUP(A127,'SSP_March''19'!$A$3:$Q$1193,16,0)</f>
        <v>10</v>
      </c>
      <c r="Q127" s="34">
        <f>VLOOKUP(A127,'SSP_March''19'!$A$3:$Q$1193,17,0)</f>
        <v>2</v>
      </c>
      <c r="R127" s="35">
        <f t="shared" si="11"/>
        <v>0.2</v>
      </c>
      <c r="S127" s="49">
        <f>ROUND(VLOOKUP(A127,'SSP_March''19'!$A$3:$T$1193,19,0),0)</f>
        <v>6</v>
      </c>
      <c r="T127" s="44">
        <f>VLOOKUP(A127,'SSP_March''19'!$A$3:$T$1193,20,0)</f>
        <v>0.6</v>
      </c>
      <c r="U127" s="34">
        <f>VLOOKUP(A127,'SSP_March''19'!$A$3:$X$1193,21,0)</f>
        <v>1</v>
      </c>
      <c r="V127" s="34">
        <f>VLOOKUP(A127,'SSP_March''19'!$A$3:$X$1193,22,0)</f>
        <v>0</v>
      </c>
      <c r="W127" s="34">
        <f>VLOOKUP(A127,'SSP_March''19'!$A$3:$X$1193,23,0)</f>
        <v>0</v>
      </c>
      <c r="X127" s="34">
        <f>VLOOKUP(A127,'SSP_March''19'!$A$3:$X$1193,24,0)</f>
        <v>0</v>
      </c>
    </row>
    <row r="128" spans="1:24">
      <c r="A128" s="34" t="s">
        <v>3101</v>
      </c>
      <c r="B128" s="34" t="s">
        <v>3105</v>
      </c>
      <c r="C128" s="34" t="s">
        <v>135</v>
      </c>
      <c r="D128" s="34" t="s">
        <v>69</v>
      </c>
      <c r="E128" s="34" t="s">
        <v>3</v>
      </c>
      <c r="F128" s="34" t="s">
        <v>3106</v>
      </c>
      <c r="G128" s="54">
        <v>1820838754</v>
      </c>
      <c r="H128" s="54" t="s">
        <v>229</v>
      </c>
      <c r="I128" s="54" t="s">
        <v>3514</v>
      </c>
      <c r="J128" s="34" t="s">
        <v>3419</v>
      </c>
      <c r="K128" s="43">
        <f>VLOOKUP(A128,'SSP_March''19'!$A$3:$L$1193,11,0)</f>
        <v>130000</v>
      </c>
      <c r="L128" s="43">
        <f>VLOOKUP(A128,'SSP_March''19'!$A$3:$L$1193,12,0)</f>
        <v>26800</v>
      </c>
      <c r="M128" s="44">
        <f t="shared" si="9"/>
        <v>0.20615384615384616</v>
      </c>
      <c r="N128" s="49">
        <f>ROUND(VLOOKUP(A128,'SSP_March''19'!$A$3:$N$1193,14,0),0)</f>
        <v>83080</v>
      </c>
      <c r="O128" s="44">
        <f t="shared" si="10"/>
        <v>0.6390769230769231</v>
      </c>
      <c r="P128" s="45">
        <f>VLOOKUP(A128,'SSP_March''19'!$A$3:$Q$1193,16,0)</f>
        <v>10</v>
      </c>
      <c r="Q128" s="34">
        <f>VLOOKUP(A128,'SSP_March''19'!$A$3:$Q$1193,17,0)</f>
        <v>1</v>
      </c>
      <c r="R128" s="35">
        <f t="shared" si="11"/>
        <v>0.1</v>
      </c>
      <c r="S128" s="49">
        <f>ROUND(VLOOKUP(A128,'SSP_March''19'!$A$3:$T$1193,19,0),0)</f>
        <v>3</v>
      </c>
      <c r="T128" s="44">
        <f>VLOOKUP(A128,'SSP_March''19'!$A$3:$T$1193,20,0)</f>
        <v>0.3</v>
      </c>
      <c r="U128" s="34">
        <f>VLOOKUP(A128,'SSP_March''19'!$A$3:$X$1193,21,0)</f>
        <v>0</v>
      </c>
      <c r="V128" s="34">
        <f>VLOOKUP(A128,'SSP_March''19'!$A$3:$X$1193,22,0)</f>
        <v>0</v>
      </c>
      <c r="W128" s="34">
        <f>VLOOKUP(A128,'SSP_March''19'!$A$3:$X$1193,23,0)</f>
        <v>0</v>
      </c>
      <c r="X128" s="34">
        <f>VLOOKUP(A128,'SSP_March''19'!$A$3:$X$1193,24,0)</f>
        <v>0</v>
      </c>
    </row>
    <row r="129" spans="1:24">
      <c r="A129" s="34" t="s">
        <v>651</v>
      </c>
      <c r="B129" s="34" t="s">
        <v>652</v>
      </c>
      <c r="C129" s="34" t="s">
        <v>135</v>
      </c>
      <c r="D129" s="34" t="s">
        <v>69</v>
      </c>
      <c r="E129" s="34" t="s">
        <v>3</v>
      </c>
      <c r="F129" s="34" t="s">
        <v>653</v>
      </c>
      <c r="G129" s="54">
        <v>1816061663</v>
      </c>
      <c r="H129" s="54" t="s">
        <v>229</v>
      </c>
      <c r="I129" s="54" t="s">
        <v>3514</v>
      </c>
      <c r="J129" s="34" t="s">
        <v>3421</v>
      </c>
      <c r="K129" s="43">
        <f>VLOOKUP(A129,'SSP_March''19'!$A$3:$L$1193,11,0)</f>
        <v>210000</v>
      </c>
      <c r="L129" s="43">
        <f>VLOOKUP(A129,'SSP_March''19'!$A$3:$L$1193,12,0)</f>
        <v>29790</v>
      </c>
      <c r="M129" s="44">
        <f t="shared" si="9"/>
        <v>0.14185714285714285</v>
      </c>
      <c r="N129" s="49">
        <f>ROUND(VLOOKUP(A129,'SSP_March''19'!$A$3:$N$1193,14,0),0)</f>
        <v>92349</v>
      </c>
      <c r="O129" s="44">
        <f t="shared" si="10"/>
        <v>0.43975714285714285</v>
      </c>
      <c r="P129" s="45">
        <f>VLOOKUP(A129,'SSP_March''19'!$A$3:$Q$1193,16,0)</f>
        <v>13</v>
      </c>
      <c r="Q129" s="34">
        <f>VLOOKUP(A129,'SSP_March''19'!$A$3:$Q$1193,17,0)</f>
        <v>0</v>
      </c>
      <c r="R129" s="35">
        <f t="shared" si="11"/>
        <v>0</v>
      </c>
      <c r="S129" s="49">
        <f>ROUND(VLOOKUP(A129,'SSP_March''19'!$A$3:$T$1193,19,0),0)</f>
        <v>0</v>
      </c>
      <c r="T129" s="44">
        <f>VLOOKUP(A129,'SSP_March''19'!$A$3:$T$1193,20,0)</f>
        <v>0</v>
      </c>
      <c r="U129" s="34">
        <f>VLOOKUP(A129,'SSP_March''19'!$A$3:$X$1193,21,0)</f>
        <v>1</v>
      </c>
      <c r="V129" s="34">
        <f>VLOOKUP(A129,'SSP_March''19'!$A$3:$X$1193,22,0)</f>
        <v>0</v>
      </c>
      <c r="W129" s="34">
        <f>VLOOKUP(A129,'SSP_March''19'!$A$3:$X$1193,23,0)</f>
        <v>0</v>
      </c>
      <c r="X129" s="34">
        <f>VLOOKUP(A129,'SSP_March''19'!$A$3:$X$1193,24,0)</f>
        <v>0</v>
      </c>
    </row>
    <row r="130" spans="1:24">
      <c r="A130" s="34" t="s">
        <v>636</v>
      </c>
      <c r="B130" s="34" t="s">
        <v>637</v>
      </c>
      <c r="C130" s="34" t="s">
        <v>135</v>
      </c>
      <c r="D130" s="34" t="s">
        <v>69</v>
      </c>
      <c r="E130" s="34" t="s">
        <v>3</v>
      </c>
      <c r="F130" s="34" t="s">
        <v>638</v>
      </c>
      <c r="G130" s="54">
        <v>1833033890</v>
      </c>
      <c r="H130" s="54" t="s">
        <v>229</v>
      </c>
      <c r="I130" s="54" t="s">
        <v>3514</v>
      </c>
      <c r="J130" s="34" t="s">
        <v>3515</v>
      </c>
      <c r="K130" s="43">
        <f>VLOOKUP(A130,'SSP_March''19'!$A$3:$L$1193,11,0)</f>
        <v>130000</v>
      </c>
      <c r="L130" s="43">
        <f>VLOOKUP(A130,'SSP_March''19'!$A$3:$L$1193,12,0)</f>
        <v>24350</v>
      </c>
      <c r="M130" s="44">
        <f t="shared" si="9"/>
        <v>0.18730769230769231</v>
      </c>
      <c r="N130" s="49">
        <f>ROUND(VLOOKUP(A130,'SSP_March''19'!$A$3:$N$1193,14,0),0)</f>
        <v>75485</v>
      </c>
      <c r="O130" s="44">
        <f t="shared" si="10"/>
        <v>0.58065384615384619</v>
      </c>
      <c r="P130" s="45">
        <f>VLOOKUP(A130,'SSP_March''19'!$A$3:$Q$1193,16,0)</f>
        <v>10</v>
      </c>
      <c r="Q130" s="34">
        <f>VLOOKUP(A130,'SSP_March''19'!$A$3:$Q$1193,17,0)</f>
        <v>1</v>
      </c>
      <c r="R130" s="35">
        <f t="shared" si="11"/>
        <v>0.1</v>
      </c>
      <c r="S130" s="49">
        <f>ROUND(VLOOKUP(A130,'SSP_March''19'!$A$3:$T$1193,19,0),0)</f>
        <v>3</v>
      </c>
      <c r="T130" s="44">
        <f>VLOOKUP(A130,'SSP_March''19'!$A$3:$T$1193,20,0)</f>
        <v>0.3</v>
      </c>
      <c r="U130" s="34">
        <f>VLOOKUP(A130,'SSP_March''19'!$A$3:$X$1193,21,0)</f>
        <v>0</v>
      </c>
      <c r="V130" s="34">
        <f>VLOOKUP(A130,'SSP_March''19'!$A$3:$X$1193,22,0)</f>
        <v>0</v>
      </c>
      <c r="W130" s="34">
        <f>VLOOKUP(A130,'SSP_March''19'!$A$3:$X$1193,23,0)</f>
        <v>1</v>
      </c>
      <c r="X130" s="34">
        <f>VLOOKUP(A130,'SSP_March''19'!$A$3:$X$1193,24,0)</f>
        <v>0</v>
      </c>
    </row>
    <row r="131" spans="1:24">
      <c r="A131" s="34" t="s">
        <v>592</v>
      </c>
      <c r="B131" s="34" t="s">
        <v>593</v>
      </c>
      <c r="C131" s="34" t="s">
        <v>135</v>
      </c>
      <c r="D131" s="34" t="s">
        <v>69</v>
      </c>
      <c r="E131" s="34" t="s">
        <v>3</v>
      </c>
      <c r="F131" s="34" t="s">
        <v>594</v>
      </c>
      <c r="G131" s="54">
        <v>1836051938</v>
      </c>
      <c r="H131" s="54" t="s">
        <v>229</v>
      </c>
      <c r="I131" s="54" t="s">
        <v>3514</v>
      </c>
      <c r="J131" s="34" t="s">
        <v>3515</v>
      </c>
      <c r="K131" s="43">
        <f>VLOOKUP(A131,'SSP_March''19'!$A$3:$L$1193,11,0)</f>
        <v>130000</v>
      </c>
      <c r="L131" s="43">
        <f>VLOOKUP(A131,'SSP_March''19'!$A$3:$L$1193,12,0)</f>
        <v>29835</v>
      </c>
      <c r="M131" s="44">
        <f t="shared" ref="M131:M168" si="12">L131/K131</f>
        <v>0.22950000000000001</v>
      </c>
      <c r="N131" s="49">
        <f>ROUND(VLOOKUP(A131,'SSP_March''19'!$A$3:$N$1193,14,0),0)</f>
        <v>92489</v>
      </c>
      <c r="O131" s="44">
        <f t="shared" ref="O131:O168" si="13">N131/K131</f>
        <v>0.7114538461538461</v>
      </c>
      <c r="P131" s="45">
        <f>VLOOKUP(A131,'SSP_March''19'!$A$3:$Q$1193,16,0)</f>
        <v>10</v>
      </c>
      <c r="Q131" s="34">
        <f>VLOOKUP(A131,'SSP_March''19'!$A$3:$Q$1193,17,0)</f>
        <v>2</v>
      </c>
      <c r="R131" s="35">
        <f t="shared" ref="R131:R168" si="14">Q131/P131</f>
        <v>0.2</v>
      </c>
      <c r="S131" s="49">
        <f>ROUND(VLOOKUP(A131,'SSP_March''19'!$A$3:$T$1193,19,0),0)</f>
        <v>6</v>
      </c>
      <c r="T131" s="44">
        <f>VLOOKUP(A131,'SSP_March''19'!$A$3:$T$1193,20,0)</f>
        <v>0.6</v>
      </c>
      <c r="U131" s="34">
        <f>VLOOKUP(A131,'SSP_March''19'!$A$3:$X$1193,21,0)</f>
        <v>0</v>
      </c>
      <c r="V131" s="34">
        <f>VLOOKUP(A131,'SSP_March''19'!$A$3:$X$1193,22,0)</f>
        <v>1</v>
      </c>
      <c r="W131" s="34">
        <f>VLOOKUP(A131,'SSP_March''19'!$A$3:$X$1193,23,0)</f>
        <v>0</v>
      </c>
      <c r="X131" s="34">
        <f>VLOOKUP(A131,'SSP_March''19'!$A$3:$X$1193,24,0)</f>
        <v>0</v>
      </c>
    </row>
    <row r="132" spans="1:24">
      <c r="A132" s="34" t="s">
        <v>3363</v>
      </c>
      <c r="B132" s="34" t="s">
        <v>657</v>
      </c>
      <c r="C132" s="34" t="s">
        <v>135</v>
      </c>
      <c r="D132" s="34" t="s">
        <v>69</v>
      </c>
      <c r="E132" s="34" t="s">
        <v>3</v>
      </c>
      <c r="F132" s="34" t="s">
        <v>658</v>
      </c>
      <c r="G132" s="54">
        <v>1916552468</v>
      </c>
      <c r="H132" s="54" t="s">
        <v>229</v>
      </c>
      <c r="I132" s="54" t="s">
        <v>3514</v>
      </c>
      <c r="J132" s="34" t="s">
        <v>3421</v>
      </c>
      <c r="K132" s="43">
        <f>VLOOKUP(A132,'SSP_March''19'!$A$3:$L$1193,11,0)</f>
        <v>130000</v>
      </c>
      <c r="L132" s="43">
        <f>VLOOKUP(A132,'SSP_March''19'!$A$3:$L$1193,12,0)</f>
        <v>7830</v>
      </c>
      <c r="M132" s="44">
        <f t="shared" si="12"/>
        <v>6.0230769230769234E-2</v>
      </c>
      <c r="N132" s="49">
        <f>ROUND(VLOOKUP(A132,'SSP_March''19'!$A$3:$N$1193,14,0),0)</f>
        <v>24273</v>
      </c>
      <c r="O132" s="44">
        <f t="shared" si="13"/>
        <v>0.18671538461538462</v>
      </c>
      <c r="P132" s="45">
        <f>VLOOKUP(A132,'SSP_March''19'!$A$3:$Q$1193,16,0)</f>
        <v>10</v>
      </c>
      <c r="Q132" s="34">
        <f>VLOOKUP(A132,'SSP_March''19'!$A$3:$Q$1193,17,0)</f>
        <v>0</v>
      </c>
      <c r="R132" s="35">
        <f t="shared" si="14"/>
        <v>0</v>
      </c>
      <c r="S132" s="49">
        <f>ROUND(VLOOKUP(A132,'SSP_March''19'!$A$3:$T$1193,19,0),0)</f>
        <v>0</v>
      </c>
      <c r="T132" s="44">
        <f>VLOOKUP(A132,'SSP_March''19'!$A$3:$T$1193,20,0)</f>
        <v>0</v>
      </c>
      <c r="U132" s="34">
        <f>VLOOKUP(A132,'SSP_March''19'!$A$3:$X$1193,21,0)</f>
        <v>0</v>
      </c>
      <c r="V132" s="34">
        <f>VLOOKUP(A132,'SSP_March''19'!$A$3:$X$1193,22,0)</f>
        <v>0</v>
      </c>
      <c r="W132" s="34">
        <f>VLOOKUP(A132,'SSP_March''19'!$A$3:$X$1193,23,0)</f>
        <v>0</v>
      </c>
      <c r="X132" s="34">
        <f>VLOOKUP(A132,'SSP_March''19'!$A$3:$X$1193,24,0)</f>
        <v>0</v>
      </c>
    </row>
    <row r="133" spans="1:24">
      <c r="A133" s="34" t="s">
        <v>654</v>
      </c>
      <c r="B133" s="34" t="s">
        <v>655</v>
      </c>
      <c r="C133" s="34" t="s">
        <v>570</v>
      </c>
      <c r="D133" s="34" t="s">
        <v>69</v>
      </c>
      <c r="E133" s="34" t="s">
        <v>3</v>
      </c>
      <c r="F133" s="34" t="s">
        <v>656</v>
      </c>
      <c r="G133" s="54">
        <v>1713102638</v>
      </c>
      <c r="H133" s="54" t="s">
        <v>229</v>
      </c>
      <c r="I133" s="54" t="s">
        <v>3514</v>
      </c>
      <c r="J133" s="34" t="s">
        <v>3421</v>
      </c>
      <c r="K133" s="43">
        <f>VLOOKUP(A133,'SSP_March''19'!$A$3:$L$1193,11,0)</f>
        <v>130000</v>
      </c>
      <c r="L133" s="43">
        <f>VLOOKUP(A133,'SSP_March''19'!$A$3:$L$1193,12,0)</f>
        <v>31670</v>
      </c>
      <c r="M133" s="44">
        <f t="shared" si="12"/>
        <v>0.24361538461538462</v>
      </c>
      <c r="N133" s="49">
        <f>ROUND(VLOOKUP(A133,'SSP_March''19'!$A$3:$N$1193,14,0),0)</f>
        <v>98177</v>
      </c>
      <c r="O133" s="44">
        <f t="shared" si="13"/>
        <v>0.75520769230769236</v>
      </c>
      <c r="P133" s="45">
        <f>VLOOKUP(A133,'SSP_March''19'!$A$3:$Q$1193,16,0)</f>
        <v>10</v>
      </c>
      <c r="Q133" s="34">
        <f>VLOOKUP(A133,'SSP_March''19'!$A$3:$Q$1193,17,0)</f>
        <v>2</v>
      </c>
      <c r="R133" s="35">
        <f t="shared" si="14"/>
        <v>0.2</v>
      </c>
      <c r="S133" s="49">
        <f>ROUND(VLOOKUP(A133,'SSP_March''19'!$A$3:$T$1193,19,0),0)</f>
        <v>6</v>
      </c>
      <c r="T133" s="44">
        <f>VLOOKUP(A133,'SSP_March''19'!$A$3:$T$1193,20,0)</f>
        <v>0.6</v>
      </c>
      <c r="U133" s="34">
        <f>VLOOKUP(A133,'SSP_March''19'!$A$3:$X$1193,21,0)</f>
        <v>0</v>
      </c>
      <c r="V133" s="34">
        <f>VLOOKUP(A133,'SSP_March''19'!$A$3:$X$1193,22,0)</f>
        <v>0</v>
      </c>
      <c r="W133" s="34">
        <f>VLOOKUP(A133,'SSP_March''19'!$A$3:$X$1193,23,0)</f>
        <v>0</v>
      </c>
      <c r="X133" s="34">
        <f>VLOOKUP(A133,'SSP_March''19'!$A$3:$X$1193,24,0)</f>
        <v>0</v>
      </c>
    </row>
    <row r="134" spans="1:24">
      <c r="A134" s="34" t="s">
        <v>568</v>
      </c>
      <c r="B134" s="34" t="s">
        <v>569</v>
      </c>
      <c r="C134" s="34" t="s">
        <v>570</v>
      </c>
      <c r="D134" s="34" t="s">
        <v>69</v>
      </c>
      <c r="E134" s="34" t="s">
        <v>3</v>
      </c>
      <c r="F134" s="34" t="s">
        <v>571</v>
      </c>
      <c r="G134" s="54">
        <v>1714044695</v>
      </c>
      <c r="H134" s="54" t="s">
        <v>229</v>
      </c>
      <c r="I134" s="54" t="s">
        <v>3514</v>
      </c>
      <c r="J134" s="34" t="s">
        <v>3421</v>
      </c>
      <c r="K134" s="43">
        <f>VLOOKUP(A134,'SSP_March''19'!$A$3:$L$1193,11,0)</f>
        <v>240000</v>
      </c>
      <c r="L134" s="43">
        <f>VLOOKUP(A134,'SSP_March''19'!$A$3:$L$1193,12,0)</f>
        <v>84365</v>
      </c>
      <c r="M134" s="44">
        <f t="shared" si="12"/>
        <v>0.35152083333333334</v>
      </c>
      <c r="N134" s="49">
        <f>ROUND(VLOOKUP(A134,'SSP_March''19'!$A$3:$N$1193,14,0),0)</f>
        <v>261532</v>
      </c>
      <c r="O134" s="44">
        <f t="shared" si="13"/>
        <v>1.0897166666666667</v>
      </c>
      <c r="P134" s="45">
        <f>VLOOKUP(A134,'SSP_March''19'!$A$3:$Q$1193,16,0)</f>
        <v>12</v>
      </c>
      <c r="Q134" s="34">
        <f>VLOOKUP(A134,'SSP_March''19'!$A$3:$Q$1193,17,0)</f>
        <v>4</v>
      </c>
      <c r="R134" s="35">
        <f t="shared" si="14"/>
        <v>0.33333333333333331</v>
      </c>
      <c r="S134" s="49">
        <f>ROUND(VLOOKUP(A134,'SSP_March''19'!$A$3:$T$1193,19,0),0)</f>
        <v>12</v>
      </c>
      <c r="T134" s="44">
        <f>VLOOKUP(A134,'SSP_March''19'!$A$3:$T$1193,20,0)</f>
        <v>1</v>
      </c>
      <c r="U134" s="34">
        <f>VLOOKUP(A134,'SSP_March''19'!$A$3:$X$1193,21,0)</f>
        <v>0</v>
      </c>
      <c r="V134" s="34">
        <f>VLOOKUP(A134,'SSP_March''19'!$A$3:$X$1193,22,0)</f>
        <v>0</v>
      </c>
      <c r="W134" s="34">
        <f>VLOOKUP(A134,'SSP_March''19'!$A$3:$X$1193,23,0)</f>
        <v>0</v>
      </c>
      <c r="X134" s="34">
        <f>VLOOKUP(A134,'SSP_March''19'!$A$3:$X$1193,24,0)</f>
        <v>0</v>
      </c>
    </row>
    <row r="135" spans="1:24">
      <c r="A135" s="34" t="s">
        <v>586</v>
      </c>
      <c r="B135" s="34" t="s">
        <v>587</v>
      </c>
      <c r="C135" s="34" t="s">
        <v>570</v>
      </c>
      <c r="D135" s="34" t="s">
        <v>69</v>
      </c>
      <c r="E135" s="34" t="s">
        <v>3</v>
      </c>
      <c r="F135" s="34" t="s">
        <v>588</v>
      </c>
      <c r="G135" s="54">
        <v>1716460621</v>
      </c>
      <c r="H135" s="54" t="s">
        <v>229</v>
      </c>
      <c r="I135" s="54" t="s">
        <v>3514</v>
      </c>
      <c r="J135" s="34" t="s">
        <v>3421</v>
      </c>
      <c r="K135" s="43">
        <f>VLOOKUP(A135,'SSP_March''19'!$A$3:$L$1193,11,0)</f>
        <v>240000</v>
      </c>
      <c r="L135" s="43">
        <f>VLOOKUP(A135,'SSP_March''19'!$A$3:$L$1193,12,0)</f>
        <v>132760</v>
      </c>
      <c r="M135" s="44">
        <f t="shared" si="12"/>
        <v>0.5531666666666667</v>
      </c>
      <c r="N135" s="49">
        <f>ROUND(VLOOKUP(A135,'SSP_March''19'!$A$3:$N$1193,14,0),0)</f>
        <v>411556</v>
      </c>
      <c r="O135" s="44">
        <f t="shared" si="13"/>
        <v>1.7148166666666667</v>
      </c>
      <c r="P135" s="45">
        <f>VLOOKUP(A135,'SSP_March''19'!$A$3:$Q$1193,16,0)</f>
        <v>15</v>
      </c>
      <c r="Q135" s="34">
        <f>VLOOKUP(A135,'SSP_March''19'!$A$3:$Q$1193,17,0)</f>
        <v>10</v>
      </c>
      <c r="R135" s="35">
        <f t="shared" si="14"/>
        <v>0.66666666666666663</v>
      </c>
      <c r="S135" s="49">
        <f>ROUND(VLOOKUP(A135,'SSP_March''19'!$A$3:$T$1193,19,0),0)</f>
        <v>31</v>
      </c>
      <c r="T135" s="44">
        <f>VLOOKUP(A135,'SSP_March''19'!$A$3:$T$1193,20,0)</f>
        <v>2.0666666666666669</v>
      </c>
      <c r="U135" s="34">
        <f>VLOOKUP(A135,'SSP_March''19'!$A$3:$X$1193,21,0)</f>
        <v>3</v>
      </c>
      <c r="V135" s="34">
        <f>VLOOKUP(A135,'SSP_March''19'!$A$3:$X$1193,22,0)</f>
        <v>3</v>
      </c>
      <c r="W135" s="34">
        <f>VLOOKUP(A135,'SSP_March''19'!$A$3:$X$1193,23,0)</f>
        <v>1</v>
      </c>
      <c r="X135" s="34">
        <f>VLOOKUP(A135,'SSP_March''19'!$A$3:$X$1193,24,0)</f>
        <v>0</v>
      </c>
    </row>
    <row r="136" spans="1:24">
      <c r="A136" s="34" t="s">
        <v>583</v>
      </c>
      <c r="B136" s="34" t="s">
        <v>584</v>
      </c>
      <c r="C136" s="34" t="s">
        <v>176</v>
      </c>
      <c r="D136" s="34" t="s">
        <v>69</v>
      </c>
      <c r="E136" s="34" t="s">
        <v>3</v>
      </c>
      <c r="F136" s="34" t="s">
        <v>585</v>
      </c>
      <c r="G136" s="54">
        <v>1714021309</v>
      </c>
      <c r="H136" s="54" t="s">
        <v>229</v>
      </c>
      <c r="I136" s="54" t="s">
        <v>3518</v>
      </c>
      <c r="J136" s="34" t="s">
        <v>3419</v>
      </c>
      <c r="K136" s="43">
        <f>VLOOKUP(A136,'SSP_March''19'!$A$3:$L$1193,11,0)</f>
        <v>300000</v>
      </c>
      <c r="L136" s="43">
        <f>VLOOKUP(A136,'SSP_March''19'!$A$3:$L$1193,12,0)</f>
        <v>30168</v>
      </c>
      <c r="M136" s="44">
        <f t="shared" si="12"/>
        <v>0.10056</v>
      </c>
      <c r="N136" s="49">
        <f>ROUND(VLOOKUP(A136,'SSP_March''19'!$A$3:$N$1193,14,0),0)</f>
        <v>93521</v>
      </c>
      <c r="O136" s="44">
        <f t="shared" si="13"/>
        <v>0.31173666666666666</v>
      </c>
      <c r="P136" s="45">
        <f>VLOOKUP(A136,'SSP_March''19'!$A$3:$Q$1193,16,0)</f>
        <v>13</v>
      </c>
      <c r="Q136" s="34">
        <f>VLOOKUP(A136,'SSP_March''19'!$A$3:$Q$1193,17,0)</f>
        <v>2</v>
      </c>
      <c r="R136" s="35">
        <f t="shared" si="14"/>
        <v>0.15384615384615385</v>
      </c>
      <c r="S136" s="49">
        <f>ROUND(VLOOKUP(A136,'SSP_March''19'!$A$3:$T$1193,19,0),0)</f>
        <v>6</v>
      </c>
      <c r="T136" s="44">
        <f>VLOOKUP(A136,'SSP_March''19'!$A$3:$T$1193,20,0)</f>
        <v>0.46153846153846156</v>
      </c>
      <c r="U136" s="34">
        <f>VLOOKUP(A136,'SSP_March''19'!$A$3:$X$1193,21,0)</f>
        <v>0</v>
      </c>
      <c r="V136" s="34">
        <f>VLOOKUP(A136,'SSP_March''19'!$A$3:$X$1193,22,0)</f>
        <v>0</v>
      </c>
      <c r="W136" s="34">
        <f>VLOOKUP(A136,'SSP_March''19'!$A$3:$X$1193,23,0)</f>
        <v>0</v>
      </c>
      <c r="X136" s="34">
        <f>VLOOKUP(A136,'SSP_March''19'!$A$3:$X$1193,24,0)</f>
        <v>0</v>
      </c>
    </row>
    <row r="137" spans="1:24">
      <c r="A137" s="34" t="s">
        <v>659</v>
      </c>
      <c r="B137" s="34" t="s">
        <v>660</v>
      </c>
      <c r="C137" s="34" t="s">
        <v>176</v>
      </c>
      <c r="D137" s="34" t="s">
        <v>69</v>
      </c>
      <c r="E137" s="34" t="s">
        <v>3</v>
      </c>
      <c r="F137" s="34" t="s">
        <v>661</v>
      </c>
      <c r="G137" s="54">
        <v>1726435493</v>
      </c>
      <c r="H137" s="54" t="s">
        <v>229</v>
      </c>
      <c r="I137" s="54" t="s">
        <v>3514</v>
      </c>
      <c r="J137" s="34" t="s">
        <v>3421</v>
      </c>
      <c r="K137" s="43">
        <f>VLOOKUP(A137,'SSP_March''19'!$A$3:$L$1193,11,0)</f>
        <v>130000</v>
      </c>
      <c r="L137" s="43">
        <f>VLOOKUP(A137,'SSP_March''19'!$A$3:$L$1193,12,0)</f>
        <v>24850</v>
      </c>
      <c r="M137" s="44">
        <f t="shared" si="12"/>
        <v>0.19115384615384615</v>
      </c>
      <c r="N137" s="49">
        <f>ROUND(VLOOKUP(A137,'SSP_March''19'!$A$3:$N$1193,14,0),0)</f>
        <v>77035</v>
      </c>
      <c r="O137" s="44">
        <f t="shared" si="13"/>
        <v>0.59257692307692311</v>
      </c>
      <c r="P137" s="45">
        <f>VLOOKUP(A137,'SSP_March''19'!$A$3:$Q$1193,16,0)</f>
        <v>10</v>
      </c>
      <c r="Q137" s="34">
        <f>VLOOKUP(A137,'SSP_March''19'!$A$3:$Q$1193,17,0)</f>
        <v>0</v>
      </c>
      <c r="R137" s="35">
        <f t="shared" si="14"/>
        <v>0</v>
      </c>
      <c r="S137" s="49">
        <f>ROUND(VLOOKUP(A137,'SSP_March''19'!$A$3:$T$1193,19,0),0)</f>
        <v>0</v>
      </c>
      <c r="T137" s="44">
        <f>VLOOKUP(A137,'SSP_March''19'!$A$3:$T$1193,20,0)</f>
        <v>0</v>
      </c>
      <c r="U137" s="34">
        <f>VLOOKUP(A137,'SSP_March''19'!$A$3:$X$1193,21,0)</f>
        <v>0</v>
      </c>
      <c r="V137" s="34">
        <f>VLOOKUP(A137,'SSP_March''19'!$A$3:$X$1193,22,0)</f>
        <v>0</v>
      </c>
      <c r="W137" s="34">
        <f>VLOOKUP(A137,'SSP_March''19'!$A$3:$X$1193,23,0)</f>
        <v>0</v>
      </c>
      <c r="X137" s="34">
        <f>VLOOKUP(A137,'SSP_March''19'!$A$3:$X$1193,24,0)</f>
        <v>0</v>
      </c>
    </row>
    <row r="138" spans="1:24">
      <c r="A138" s="34" t="s">
        <v>612</v>
      </c>
      <c r="B138" s="34" t="s">
        <v>613</v>
      </c>
      <c r="C138" s="34" t="s">
        <v>176</v>
      </c>
      <c r="D138" s="34" t="s">
        <v>69</v>
      </c>
      <c r="E138" s="34" t="s">
        <v>3</v>
      </c>
      <c r="F138" s="34" t="s">
        <v>614</v>
      </c>
      <c r="G138" s="54">
        <v>1790469934</v>
      </c>
      <c r="H138" s="54" t="s">
        <v>229</v>
      </c>
      <c r="I138" s="54" t="s">
        <v>3514</v>
      </c>
      <c r="J138" s="34" t="s">
        <v>3419</v>
      </c>
      <c r="K138" s="43">
        <f>VLOOKUP(A138,'SSP_March''19'!$A$3:$L$1193,11,0)</f>
        <v>190000</v>
      </c>
      <c r="L138" s="43">
        <f>VLOOKUP(A138,'SSP_March''19'!$A$3:$L$1193,12,0)</f>
        <v>53500</v>
      </c>
      <c r="M138" s="44">
        <f t="shared" si="12"/>
        <v>0.28157894736842104</v>
      </c>
      <c r="N138" s="49">
        <f>ROUND(VLOOKUP(A138,'SSP_March''19'!$A$3:$N$1193,14,0),0)</f>
        <v>165850</v>
      </c>
      <c r="O138" s="44">
        <f t="shared" si="13"/>
        <v>0.87289473684210528</v>
      </c>
      <c r="P138" s="45">
        <f>VLOOKUP(A138,'SSP_March''19'!$A$3:$Q$1193,16,0)</f>
        <v>10</v>
      </c>
      <c r="Q138" s="34">
        <f>VLOOKUP(A138,'SSP_March''19'!$A$3:$Q$1193,17,0)</f>
        <v>3</v>
      </c>
      <c r="R138" s="35">
        <f t="shared" si="14"/>
        <v>0.3</v>
      </c>
      <c r="S138" s="49">
        <f>ROUND(VLOOKUP(A138,'SSP_March''19'!$A$3:$T$1193,19,0),0)</f>
        <v>9</v>
      </c>
      <c r="T138" s="44">
        <f>VLOOKUP(A138,'SSP_March''19'!$A$3:$T$1193,20,0)</f>
        <v>0.9</v>
      </c>
      <c r="U138" s="34">
        <f>VLOOKUP(A138,'SSP_March''19'!$A$3:$X$1193,21,0)</f>
        <v>0</v>
      </c>
      <c r="V138" s="34">
        <f>VLOOKUP(A138,'SSP_March''19'!$A$3:$X$1193,22,0)</f>
        <v>1</v>
      </c>
      <c r="W138" s="34">
        <f>VLOOKUP(A138,'SSP_March''19'!$A$3:$X$1193,23,0)</f>
        <v>0</v>
      </c>
      <c r="X138" s="34">
        <f>VLOOKUP(A138,'SSP_March''19'!$A$3:$X$1193,24,0)</f>
        <v>0</v>
      </c>
    </row>
    <row r="139" spans="1:24">
      <c r="A139" s="34" t="s">
        <v>603</v>
      </c>
      <c r="B139" s="34" t="s">
        <v>604</v>
      </c>
      <c r="C139" s="34" t="s">
        <v>176</v>
      </c>
      <c r="D139" s="34" t="s">
        <v>69</v>
      </c>
      <c r="E139" s="34" t="s">
        <v>3</v>
      </c>
      <c r="F139" s="34" t="s">
        <v>605</v>
      </c>
      <c r="G139" s="54">
        <v>1737307056</v>
      </c>
      <c r="H139" s="54" t="s">
        <v>229</v>
      </c>
      <c r="I139" s="54" t="s">
        <v>3514</v>
      </c>
      <c r="J139" s="34" t="s">
        <v>3419</v>
      </c>
      <c r="K139" s="43">
        <f>VLOOKUP(A139,'SSP_March''19'!$A$3:$L$1193,11,0)</f>
        <v>150000</v>
      </c>
      <c r="L139" s="43">
        <f>VLOOKUP(A139,'SSP_March''19'!$A$3:$L$1193,12,0)</f>
        <v>51800</v>
      </c>
      <c r="M139" s="44">
        <f t="shared" si="12"/>
        <v>0.34533333333333333</v>
      </c>
      <c r="N139" s="49">
        <f>ROUND(VLOOKUP(A139,'SSP_March''19'!$A$3:$N$1193,14,0),0)</f>
        <v>160580</v>
      </c>
      <c r="O139" s="44">
        <f t="shared" si="13"/>
        <v>1.0705333333333333</v>
      </c>
      <c r="P139" s="45">
        <f>VLOOKUP(A139,'SSP_March''19'!$A$3:$Q$1193,16,0)</f>
        <v>10</v>
      </c>
      <c r="Q139" s="34">
        <f>VLOOKUP(A139,'SSP_March''19'!$A$3:$Q$1193,17,0)</f>
        <v>2</v>
      </c>
      <c r="R139" s="35">
        <f t="shared" si="14"/>
        <v>0.2</v>
      </c>
      <c r="S139" s="49">
        <f>ROUND(VLOOKUP(A139,'SSP_March''19'!$A$3:$T$1193,19,0),0)</f>
        <v>6</v>
      </c>
      <c r="T139" s="44">
        <f>VLOOKUP(A139,'SSP_March''19'!$A$3:$T$1193,20,0)</f>
        <v>0.6</v>
      </c>
      <c r="U139" s="34">
        <f>VLOOKUP(A139,'SSP_March''19'!$A$3:$X$1193,21,0)</f>
        <v>0</v>
      </c>
      <c r="V139" s="34">
        <f>VLOOKUP(A139,'SSP_March''19'!$A$3:$X$1193,22,0)</f>
        <v>0</v>
      </c>
      <c r="W139" s="34">
        <f>VLOOKUP(A139,'SSP_March''19'!$A$3:$X$1193,23,0)</f>
        <v>0</v>
      </c>
      <c r="X139" s="34">
        <f>VLOOKUP(A139,'SSP_March''19'!$A$3:$X$1193,24,0)</f>
        <v>0</v>
      </c>
    </row>
    <row r="140" spans="1:24">
      <c r="A140" s="34" t="s">
        <v>574</v>
      </c>
      <c r="B140" s="34" t="s">
        <v>575</v>
      </c>
      <c r="C140" s="34" t="s">
        <v>176</v>
      </c>
      <c r="D140" s="34" t="s">
        <v>69</v>
      </c>
      <c r="E140" s="34" t="s">
        <v>3</v>
      </c>
      <c r="F140" s="34" t="s">
        <v>576</v>
      </c>
      <c r="G140" s="54">
        <v>1711459295</v>
      </c>
      <c r="H140" s="54" t="s">
        <v>229</v>
      </c>
      <c r="I140" s="54" t="s">
        <v>3514</v>
      </c>
      <c r="J140" s="34" t="s">
        <v>3419</v>
      </c>
      <c r="K140" s="43">
        <f>VLOOKUP(A140,'SSP_March''19'!$A$3:$L$1193,11,0)</f>
        <v>150000</v>
      </c>
      <c r="L140" s="43">
        <f>VLOOKUP(A140,'SSP_March''19'!$A$3:$L$1193,12,0)</f>
        <v>27699</v>
      </c>
      <c r="M140" s="44">
        <f t="shared" si="12"/>
        <v>0.18465999999999999</v>
      </c>
      <c r="N140" s="49">
        <f>ROUND(VLOOKUP(A140,'SSP_March''19'!$A$3:$N$1193,14,0),0)</f>
        <v>85867</v>
      </c>
      <c r="O140" s="44">
        <f t="shared" si="13"/>
        <v>0.57244666666666666</v>
      </c>
      <c r="P140" s="45">
        <f>VLOOKUP(A140,'SSP_March''19'!$A$3:$Q$1193,16,0)</f>
        <v>10</v>
      </c>
      <c r="Q140" s="34">
        <f>VLOOKUP(A140,'SSP_March''19'!$A$3:$Q$1193,17,0)</f>
        <v>0</v>
      </c>
      <c r="R140" s="35">
        <f t="shared" si="14"/>
        <v>0</v>
      </c>
      <c r="S140" s="49">
        <f>ROUND(VLOOKUP(A140,'SSP_March''19'!$A$3:$T$1193,19,0),0)</f>
        <v>0</v>
      </c>
      <c r="T140" s="44">
        <f>VLOOKUP(A140,'SSP_March''19'!$A$3:$T$1193,20,0)</f>
        <v>0</v>
      </c>
      <c r="U140" s="34">
        <f>VLOOKUP(A140,'SSP_March''19'!$A$3:$X$1193,21,0)</f>
        <v>0</v>
      </c>
      <c r="V140" s="34">
        <f>VLOOKUP(A140,'SSP_March''19'!$A$3:$X$1193,22,0)</f>
        <v>0</v>
      </c>
      <c r="W140" s="34">
        <f>VLOOKUP(A140,'SSP_March''19'!$A$3:$X$1193,23,0)</f>
        <v>0</v>
      </c>
      <c r="X140" s="34">
        <f>VLOOKUP(A140,'SSP_March''19'!$A$3:$X$1193,24,0)</f>
        <v>0</v>
      </c>
    </row>
    <row r="141" spans="1:24">
      <c r="A141" s="34" t="s">
        <v>580</v>
      </c>
      <c r="B141" s="34" t="s">
        <v>581</v>
      </c>
      <c r="C141" s="34" t="s">
        <v>176</v>
      </c>
      <c r="D141" s="34" t="s">
        <v>69</v>
      </c>
      <c r="E141" s="34" t="s">
        <v>3</v>
      </c>
      <c r="F141" s="34" t="s">
        <v>582</v>
      </c>
      <c r="G141" s="54">
        <v>1736320686</v>
      </c>
      <c r="H141" s="54" t="s">
        <v>229</v>
      </c>
      <c r="I141" s="54" t="s">
        <v>3514</v>
      </c>
      <c r="J141" s="34" t="s">
        <v>3419</v>
      </c>
      <c r="K141" s="43">
        <f>VLOOKUP(A141,'SSP_March''19'!$A$3:$L$1193,11,0)</f>
        <v>130000</v>
      </c>
      <c r="L141" s="43">
        <f>VLOOKUP(A141,'SSP_March''19'!$A$3:$L$1193,12,0)</f>
        <v>15879</v>
      </c>
      <c r="M141" s="44">
        <f t="shared" si="12"/>
        <v>0.12214615384615385</v>
      </c>
      <c r="N141" s="49">
        <f>ROUND(VLOOKUP(A141,'SSP_March''19'!$A$3:$N$1193,14,0),0)</f>
        <v>49225</v>
      </c>
      <c r="O141" s="44">
        <f t="shared" si="13"/>
        <v>0.37865384615384617</v>
      </c>
      <c r="P141" s="45">
        <f>VLOOKUP(A141,'SSP_March''19'!$A$3:$Q$1193,16,0)</f>
        <v>10</v>
      </c>
      <c r="Q141" s="34">
        <f>VLOOKUP(A141,'SSP_March''19'!$A$3:$Q$1193,17,0)</f>
        <v>1</v>
      </c>
      <c r="R141" s="35">
        <f t="shared" si="14"/>
        <v>0.1</v>
      </c>
      <c r="S141" s="49">
        <f>ROUND(VLOOKUP(A141,'SSP_March''19'!$A$3:$T$1193,19,0),0)</f>
        <v>3</v>
      </c>
      <c r="T141" s="44">
        <f>VLOOKUP(A141,'SSP_March''19'!$A$3:$T$1193,20,0)</f>
        <v>0.3</v>
      </c>
      <c r="U141" s="34">
        <f>VLOOKUP(A141,'SSP_March''19'!$A$3:$X$1193,21,0)</f>
        <v>0</v>
      </c>
      <c r="V141" s="34">
        <f>VLOOKUP(A141,'SSP_March''19'!$A$3:$X$1193,22,0)</f>
        <v>0</v>
      </c>
      <c r="W141" s="34">
        <f>VLOOKUP(A141,'SSP_March''19'!$A$3:$X$1193,23,0)</f>
        <v>0</v>
      </c>
      <c r="X141" s="34">
        <f>VLOOKUP(A141,'SSP_March''19'!$A$3:$X$1193,24,0)</f>
        <v>0</v>
      </c>
    </row>
    <row r="142" spans="1:24">
      <c r="A142" s="34" t="s">
        <v>662</v>
      </c>
      <c r="B142" s="34" t="s">
        <v>663</v>
      </c>
      <c r="C142" s="34" t="s">
        <v>176</v>
      </c>
      <c r="D142" s="34" t="s">
        <v>69</v>
      </c>
      <c r="E142" s="34" t="s">
        <v>3</v>
      </c>
      <c r="F142" s="34" t="s">
        <v>664</v>
      </c>
      <c r="G142" s="54">
        <v>1717260489</v>
      </c>
      <c r="H142" s="54" t="s">
        <v>229</v>
      </c>
      <c r="I142" s="54" t="s">
        <v>3514</v>
      </c>
      <c r="J142" s="34" t="s">
        <v>3421</v>
      </c>
      <c r="K142" s="43">
        <f>VLOOKUP(A142,'SSP_March''19'!$A$3:$L$1193,11,0)</f>
        <v>130000</v>
      </c>
      <c r="L142" s="43">
        <f>VLOOKUP(A142,'SSP_March''19'!$A$3:$L$1193,12,0)</f>
        <v>13770</v>
      </c>
      <c r="M142" s="44">
        <f t="shared" si="12"/>
        <v>0.10592307692307693</v>
      </c>
      <c r="N142" s="49">
        <f>ROUND(VLOOKUP(A142,'SSP_March''19'!$A$3:$N$1193,14,0),0)</f>
        <v>42687</v>
      </c>
      <c r="O142" s="44">
        <f t="shared" si="13"/>
        <v>0.32836153846153848</v>
      </c>
      <c r="P142" s="45">
        <f>VLOOKUP(A142,'SSP_March''19'!$A$3:$Q$1193,16,0)</f>
        <v>10</v>
      </c>
      <c r="Q142" s="34">
        <f>VLOOKUP(A142,'SSP_March''19'!$A$3:$Q$1193,17,0)</f>
        <v>0</v>
      </c>
      <c r="R142" s="35">
        <f t="shared" si="14"/>
        <v>0</v>
      </c>
      <c r="S142" s="49">
        <f>ROUND(VLOOKUP(A142,'SSP_March''19'!$A$3:$T$1193,19,0),0)</f>
        <v>0</v>
      </c>
      <c r="T142" s="44">
        <f>VLOOKUP(A142,'SSP_March''19'!$A$3:$T$1193,20,0)</f>
        <v>0</v>
      </c>
      <c r="U142" s="34">
        <f>VLOOKUP(A142,'SSP_March''19'!$A$3:$X$1193,21,0)</f>
        <v>1</v>
      </c>
      <c r="V142" s="34">
        <f>VLOOKUP(A142,'SSP_March''19'!$A$3:$X$1193,22,0)</f>
        <v>0</v>
      </c>
      <c r="W142" s="34">
        <f>VLOOKUP(A142,'SSP_March''19'!$A$3:$X$1193,23,0)</f>
        <v>0</v>
      </c>
      <c r="X142" s="34">
        <f>VLOOKUP(A142,'SSP_March''19'!$A$3:$X$1193,24,0)</f>
        <v>0</v>
      </c>
    </row>
    <row r="143" spans="1:24">
      <c r="A143" s="34" t="s">
        <v>606</v>
      </c>
      <c r="B143" s="34" t="s">
        <v>607</v>
      </c>
      <c r="C143" s="34" t="s">
        <v>176</v>
      </c>
      <c r="D143" s="34" t="s">
        <v>69</v>
      </c>
      <c r="E143" s="34" t="s">
        <v>3</v>
      </c>
      <c r="F143" s="34" t="s">
        <v>608</v>
      </c>
      <c r="G143" s="54">
        <v>1718893500</v>
      </c>
      <c r="H143" s="54" t="s">
        <v>229</v>
      </c>
      <c r="I143" s="54" t="s">
        <v>3518</v>
      </c>
      <c r="J143" s="34" t="s">
        <v>3419</v>
      </c>
      <c r="K143" s="43">
        <f>VLOOKUP(A143,'SSP_March''19'!$A$3:$L$1193,11,0)</f>
        <v>300000</v>
      </c>
      <c r="L143" s="43">
        <f>VLOOKUP(A143,'SSP_March''19'!$A$3:$L$1193,12,0)</f>
        <v>127686</v>
      </c>
      <c r="M143" s="44">
        <f t="shared" si="12"/>
        <v>0.42562</v>
      </c>
      <c r="N143" s="49">
        <f>ROUND(VLOOKUP(A143,'SSP_March''19'!$A$3:$N$1193,14,0),0)</f>
        <v>395827</v>
      </c>
      <c r="O143" s="44">
        <f t="shared" si="13"/>
        <v>1.3194233333333334</v>
      </c>
      <c r="P143" s="45">
        <f>VLOOKUP(A143,'SSP_March''19'!$A$3:$Q$1193,16,0)</f>
        <v>10</v>
      </c>
      <c r="Q143" s="34">
        <f>VLOOKUP(A143,'SSP_March''19'!$A$3:$Q$1193,17,0)</f>
        <v>2</v>
      </c>
      <c r="R143" s="35">
        <f t="shared" si="14"/>
        <v>0.2</v>
      </c>
      <c r="S143" s="49">
        <f>ROUND(VLOOKUP(A143,'SSP_March''19'!$A$3:$T$1193,19,0),0)</f>
        <v>6</v>
      </c>
      <c r="T143" s="44">
        <f>VLOOKUP(A143,'SSP_March''19'!$A$3:$T$1193,20,0)</f>
        <v>0.6</v>
      </c>
      <c r="U143" s="34">
        <f>VLOOKUP(A143,'SSP_March''19'!$A$3:$X$1193,21,0)</f>
        <v>1</v>
      </c>
      <c r="V143" s="34">
        <f>VLOOKUP(A143,'SSP_March''19'!$A$3:$X$1193,22,0)</f>
        <v>0</v>
      </c>
      <c r="W143" s="34">
        <f>VLOOKUP(A143,'SSP_March''19'!$A$3:$X$1193,23,0)</f>
        <v>0</v>
      </c>
      <c r="X143" s="34">
        <f>VLOOKUP(A143,'SSP_March''19'!$A$3:$X$1193,24,0)</f>
        <v>0</v>
      </c>
    </row>
    <row r="144" spans="1:24">
      <c r="A144" s="34" t="s">
        <v>618</v>
      </c>
      <c r="B144" s="34" t="s">
        <v>430</v>
      </c>
      <c r="C144" s="34" t="s">
        <v>176</v>
      </c>
      <c r="D144" s="34" t="s">
        <v>69</v>
      </c>
      <c r="E144" s="34" t="s">
        <v>3</v>
      </c>
      <c r="F144" s="34" t="s">
        <v>619</v>
      </c>
      <c r="G144" s="54">
        <v>1726900155</v>
      </c>
      <c r="H144" s="54" t="s">
        <v>229</v>
      </c>
      <c r="I144" s="54" t="s">
        <v>3514</v>
      </c>
      <c r="J144" s="34" t="s">
        <v>3419</v>
      </c>
      <c r="K144" s="43">
        <f>VLOOKUP(A144,'SSP_March''19'!$A$3:$L$1193,11,0)</f>
        <v>247000</v>
      </c>
      <c r="L144" s="43">
        <f>VLOOKUP(A144,'SSP_March''19'!$A$3:$L$1193,12,0)</f>
        <v>48145</v>
      </c>
      <c r="M144" s="44">
        <f t="shared" si="12"/>
        <v>0.19491902834008099</v>
      </c>
      <c r="N144" s="49">
        <f>ROUND(VLOOKUP(A144,'SSP_March''19'!$A$3:$N$1193,14,0),0)</f>
        <v>149250</v>
      </c>
      <c r="O144" s="44">
        <f t="shared" si="13"/>
        <v>0.60425101214574894</v>
      </c>
      <c r="P144" s="45">
        <f>VLOOKUP(A144,'SSP_March''19'!$A$3:$Q$1193,16,0)</f>
        <v>10</v>
      </c>
      <c r="Q144" s="34">
        <f>VLOOKUP(A144,'SSP_March''19'!$A$3:$Q$1193,17,0)</f>
        <v>3</v>
      </c>
      <c r="R144" s="35">
        <f t="shared" si="14"/>
        <v>0.3</v>
      </c>
      <c r="S144" s="49">
        <f>ROUND(VLOOKUP(A144,'SSP_March''19'!$A$3:$T$1193,19,0),0)</f>
        <v>9</v>
      </c>
      <c r="T144" s="44">
        <f>VLOOKUP(A144,'SSP_March''19'!$A$3:$T$1193,20,0)</f>
        <v>0.9</v>
      </c>
      <c r="U144" s="34">
        <f>VLOOKUP(A144,'SSP_March''19'!$A$3:$X$1193,21,0)</f>
        <v>0</v>
      </c>
      <c r="V144" s="34">
        <f>VLOOKUP(A144,'SSP_March''19'!$A$3:$X$1193,22,0)</f>
        <v>0</v>
      </c>
      <c r="W144" s="34">
        <f>VLOOKUP(A144,'SSP_March''19'!$A$3:$X$1193,23,0)</f>
        <v>0</v>
      </c>
      <c r="X144" s="34">
        <f>VLOOKUP(A144,'SSP_March''19'!$A$3:$X$1193,24,0)</f>
        <v>0</v>
      </c>
    </row>
    <row r="145" spans="1:24">
      <c r="A145" s="34" t="s">
        <v>609</v>
      </c>
      <c r="B145" s="34" t="s">
        <v>610</v>
      </c>
      <c r="C145" s="34" t="s">
        <v>176</v>
      </c>
      <c r="D145" s="34" t="s">
        <v>69</v>
      </c>
      <c r="E145" s="34" t="s">
        <v>3</v>
      </c>
      <c r="F145" s="34" t="s">
        <v>611</v>
      </c>
      <c r="G145" s="54">
        <v>1849325020</v>
      </c>
      <c r="H145" s="54" t="s">
        <v>229</v>
      </c>
      <c r="I145" s="54" t="s">
        <v>3514</v>
      </c>
      <c r="J145" s="34" t="s">
        <v>3419</v>
      </c>
      <c r="K145" s="43">
        <f>VLOOKUP(A145,'SSP_March''19'!$A$3:$L$1193,11,0)</f>
        <v>150000</v>
      </c>
      <c r="L145" s="43">
        <f>VLOOKUP(A145,'SSP_March''19'!$A$3:$L$1193,12,0)</f>
        <v>45910</v>
      </c>
      <c r="M145" s="44">
        <f t="shared" si="12"/>
        <v>0.30606666666666665</v>
      </c>
      <c r="N145" s="49">
        <f>ROUND(VLOOKUP(A145,'SSP_March''19'!$A$3:$N$1193,14,0),0)</f>
        <v>142321</v>
      </c>
      <c r="O145" s="44">
        <f t="shared" si="13"/>
        <v>0.94880666666666669</v>
      </c>
      <c r="P145" s="45">
        <f>VLOOKUP(A145,'SSP_March''19'!$A$3:$Q$1193,16,0)</f>
        <v>10</v>
      </c>
      <c r="Q145" s="34">
        <f>VLOOKUP(A145,'SSP_March''19'!$A$3:$Q$1193,17,0)</f>
        <v>2</v>
      </c>
      <c r="R145" s="35">
        <f t="shared" si="14"/>
        <v>0.2</v>
      </c>
      <c r="S145" s="49">
        <f>ROUND(VLOOKUP(A145,'SSP_March''19'!$A$3:$T$1193,19,0),0)</f>
        <v>6</v>
      </c>
      <c r="T145" s="44">
        <f>VLOOKUP(A145,'SSP_March''19'!$A$3:$T$1193,20,0)</f>
        <v>0.6</v>
      </c>
      <c r="U145" s="34">
        <f>VLOOKUP(A145,'SSP_March''19'!$A$3:$X$1193,21,0)</f>
        <v>0</v>
      </c>
      <c r="V145" s="34">
        <f>VLOOKUP(A145,'SSP_March''19'!$A$3:$X$1193,22,0)</f>
        <v>1</v>
      </c>
      <c r="W145" s="34">
        <f>VLOOKUP(A145,'SSP_March''19'!$A$3:$X$1193,23,0)</f>
        <v>0</v>
      </c>
      <c r="X145" s="34">
        <f>VLOOKUP(A145,'SSP_March''19'!$A$3:$X$1193,24,0)</f>
        <v>0</v>
      </c>
    </row>
    <row r="146" spans="1:24">
      <c r="A146" s="34" t="s">
        <v>642</v>
      </c>
      <c r="B146" s="34" t="s">
        <v>643</v>
      </c>
      <c r="C146" s="34" t="s">
        <v>176</v>
      </c>
      <c r="D146" s="34" t="s">
        <v>69</v>
      </c>
      <c r="E146" s="34" t="s">
        <v>3</v>
      </c>
      <c r="F146" s="34" t="s">
        <v>644</v>
      </c>
      <c r="G146" s="54">
        <v>1715476606</v>
      </c>
      <c r="H146" s="54" t="s">
        <v>229</v>
      </c>
      <c r="I146" s="54" t="s">
        <v>3514</v>
      </c>
      <c r="J146" s="34" t="s">
        <v>3419</v>
      </c>
      <c r="K146" s="43">
        <f>VLOOKUP(A146,'SSP_March''19'!$A$3:$L$1193,11,0)</f>
        <v>170000</v>
      </c>
      <c r="L146" s="43">
        <f>VLOOKUP(A146,'SSP_March''19'!$A$3:$L$1193,12,0)</f>
        <v>75890</v>
      </c>
      <c r="M146" s="44">
        <f t="shared" si="12"/>
        <v>0.44641176470588234</v>
      </c>
      <c r="N146" s="49">
        <f>ROUND(VLOOKUP(A146,'SSP_March''19'!$A$3:$N$1193,14,0),0)</f>
        <v>235259</v>
      </c>
      <c r="O146" s="44">
        <f t="shared" si="13"/>
        <v>1.3838764705882354</v>
      </c>
      <c r="P146" s="45">
        <f>VLOOKUP(A146,'SSP_March''19'!$A$3:$Q$1193,16,0)</f>
        <v>10</v>
      </c>
      <c r="Q146" s="34">
        <f>VLOOKUP(A146,'SSP_March''19'!$A$3:$Q$1193,17,0)</f>
        <v>0</v>
      </c>
      <c r="R146" s="35">
        <f t="shared" si="14"/>
        <v>0</v>
      </c>
      <c r="S146" s="49">
        <f>ROUND(VLOOKUP(A146,'SSP_March''19'!$A$3:$T$1193,19,0),0)</f>
        <v>0</v>
      </c>
      <c r="T146" s="44">
        <f>VLOOKUP(A146,'SSP_March''19'!$A$3:$T$1193,20,0)</f>
        <v>0</v>
      </c>
      <c r="U146" s="34">
        <f>VLOOKUP(A146,'SSP_March''19'!$A$3:$X$1193,21,0)</f>
        <v>3</v>
      </c>
      <c r="V146" s="34">
        <f>VLOOKUP(A146,'SSP_March''19'!$A$3:$X$1193,22,0)</f>
        <v>0</v>
      </c>
      <c r="W146" s="34">
        <f>VLOOKUP(A146,'SSP_March''19'!$A$3:$X$1193,23,0)</f>
        <v>0</v>
      </c>
      <c r="X146" s="34">
        <f>VLOOKUP(A146,'SSP_March''19'!$A$3:$X$1193,24,0)</f>
        <v>0</v>
      </c>
    </row>
    <row r="147" spans="1:24">
      <c r="A147" s="34" t="s">
        <v>633</v>
      </c>
      <c r="B147" s="34" t="s">
        <v>634</v>
      </c>
      <c r="C147" s="34" t="s">
        <v>176</v>
      </c>
      <c r="D147" s="34" t="s">
        <v>69</v>
      </c>
      <c r="E147" s="34" t="s">
        <v>3</v>
      </c>
      <c r="F147" s="34" t="s">
        <v>635</v>
      </c>
      <c r="G147" s="54">
        <v>1762399653</v>
      </c>
      <c r="H147" s="54" t="s">
        <v>229</v>
      </c>
      <c r="I147" s="54" t="s">
        <v>3514</v>
      </c>
      <c r="J147" s="34" t="s">
        <v>3419</v>
      </c>
      <c r="K147" s="43">
        <f>VLOOKUP(A147,'SSP_March''19'!$A$3:$L$1193,11,0)</f>
        <v>280000</v>
      </c>
      <c r="L147" s="43">
        <f>VLOOKUP(A147,'SSP_March''19'!$A$3:$L$1193,12,0)</f>
        <v>95249</v>
      </c>
      <c r="M147" s="44">
        <f t="shared" si="12"/>
        <v>0.34017500000000001</v>
      </c>
      <c r="N147" s="49">
        <f>ROUND(VLOOKUP(A147,'SSP_March''19'!$A$3:$N$1193,14,0),0)</f>
        <v>295272</v>
      </c>
      <c r="O147" s="44">
        <f t="shared" si="13"/>
        <v>1.0545428571428572</v>
      </c>
      <c r="P147" s="45">
        <f>VLOOKUP(A147,'SSP_March''19'!$A$3:$Q$1193,16,0)</f>
        <v>10</v>
      </c>
      <c r="Q147" s="34">
        <f>VLOOKUP(A147,'SSP_March''19'!$A$3:$Q$1193,17,0)</f>
        <v>3</v>
      </c>
      <c r="R147" s="35">
        <f t="shared" si="14"/>
        <v>0.3</v>
      </c>
      <c r="S147" s="49">
        <f>ROUND(VLOOKUP(A147,'SSP_March''19'!$A$3:$T$1193,19,0),0)</f>
        <v>9</v>
      </c>
      <c r="T147" s="44">
        <f>VLOOKUP(A147,'SSP_March''19'!$A$3:$T$1193,20,0)</f>
        <v>0.9</v>
      </c>
      <c r="U147" s="34">
        <f>VLOOKUP(A147,'SSP_March''19'!$A$3:$X$1193,21,0)</f>
        <v>0</v>
      </c>
      <c r="V147" s="34">
        <f>VLOOKUP(A147,'SSP_March''19'!$A$3:$X$1193,22,0)</f>
        <v>1</v>
      </c>
      <c r="W147" s="34">
        <f>VLOOKUP(A147,'SSP_March''19'!$A$3:$X$1193,23,0)</f>
        <v>0</v>
      </c>
      <c r="X147" s="34">
        <f>VLOOKUP(A147,'SSP_March''19'!$A$3:$X$1193,24,0)</f>
        <v>0</v>
      </c>
    </row>
    <row r="148" spans="1:24">
      <c r="A148" s="34" t="s">
        <v>239</v>
      </c>
      <c r="B148" s="34" t="s">
        <v>240</v>
      </c>
      <c r="C148" s="34" t="s">
        <v>227</v>
      </c>
      <c r="D148" s="34" t="s">
        <v>166</v>
      </c>
      <c r="E148" s="34" t="s">
        <v>3</v>
      </c>
      <c r="F148" s="34" t="s">
        <v>241</v>
      </c>
      <c r="G148" s="54">
        <v>1861272720</v>
      </c>
      <c r="H148" s="54" t="s">
        <v>229</v>
      </c>
      <c r="I148" s="54" t="s">
        <v>3514</v>
      </c>
      <c r="J148" s="34" t="s">
        <v>3419</v>
      </c>
      <c r="K148" s="43">
        <f>VLOOKUP(A148,'SSP_March''19'!$A$3:$L$1193,11,0)</f>
        <v>130000</v>
      </c>
      <c r="L148" s="43">
        <f>VLOOKUP(A148,'SSP_March''19'!$A$3:$L$1193,12,0)</f>
        <v>23670</v>
      </c>
      <c r="M148" s="44">
        <f t="shared" si="12"/>
        <v>0.18207692307692308</v>
      </c>
      <c r="N148" s="49">
        <f>ROUND(VLOOKUP(A148,'SSP_March''19'!$A$3:$N$1193,14,0),0)</f>
        <v>73377</v>
      </c>
      <c r="O148" s="44">
        <f t="shared" si="13"/>
        <v>0.56443846153846156</v>
      </c>
      <c r="P148" s="45">
        <f>VLOOKUP(A148,'SSP_March''19'!$A$3:$Q$1193,16,0)</f>
        <v>10</v>
      </c>
      <c r="Q148" s="34">
        <f>VLOOKUP(A148,'SSP_March''19'!$A$3:$Q$1193,17,0)</f>
        <v>2</v>
      </c>
      <c r="R148" s="35">
        <f t="shared" si="14"/>
        <v>0.2</v>
      </c>
      <c r="S148" s="49">
        <f>ROUND(VLOOKUP(A148,'SSP_March''19'!$A$3:$T$1193,19,0),0)</f>
        <v>6</v>
      </c>
      <c r="T148" s="44">
        <f>VLOOKUP(A148,'SSP_March''19'!$A$3:$T$1193,20,0)</f>
        <v>0.6</v>
      </c>
      <c r="U148" s="34">
        <f>VLOOKUP(A148,'SSP_March''19'!$A$3:$X$1193,21,0)</f>
        <v>0</v>
      </c>
      <c r="V148" s="34">
        <f>VLOOKUP(A148,'SSP_March''19'!$A$3:$X$1193,22,0)</f>
        <v>1</v>
      </c>
      <c r="W148" s="34">
        <f>VLOOKUP(A148,'SSP_March''19'!$A$3:$X$1193,23,0)</f>
        <v>0</v>
      </c>
      <c r="X148" s="34">
        <f>VLOOKUP(A148,'SSP_March''19'!$A$3:$X$1193,24,0)</f>
        <v>0</v>
      </c>
    </row>
    <row r="149" spans="1:24">
      <c r="A149" s="34" t="s">
        <v>230</v>
      </c>
      <c r="B149" s="34" t="s">
        <v>231</v>
      </c>
      <c r="C149" s="34" t="s">
        <v>227</v>
      </c>
      <c r="D149" s="34" t="s">
        <v>166</v>
      </c>
      <c r="E149" s="34" t="s">
        <v>3</v>
      </c>
      <c r="F149" s="34" t="s">
        <v>232</v>
      </c>
      <c r="G149" s="54">
        <v>1813991336</v>
      </c>
      <c r="H149" s="54" t="s">
        <v>229</v>
      </c>
      <c r="I149" s="54" t="s">
        <v>3514</v>
      </c>
      <c r="J149" s="34" t="s">
        <v>3419</v>
      </c>
      <c r="K149" s="43">
        <f>VLOOKUP(A149,'SSP_March''19'!$A$3:$L$1193,11,0)</f>
        <v>130000</v>
      </c>
      <c r="L149" s="43">
        <f>VLOOKUP(A149,'SSP_March''19'!$A$3:$L$1193,12,0)</f>
        <v>33709</v>
      </c>
      <c r="M149" s="44">
        <f t="shared" si="12"/>
        <v>0.25929999999999997</v>
      </c>
      <c r="N149" s="49">
        <f>ROUND(VLOOKUP(A149,'SSP_March''19'!$A$3:$N$1193,14,0),0)</f>
        <v>104498</v>
      </c>
      <c r="O149" s="44">
        <f t="shared" si="13"/>
        <v>0.80383076923076924</v>
      </c>
      <c r="P149" s="45">
        <f>VLOOKUP(A149,'SSP_March''19'!$A$3:$Q$1193,16,0)</f>
        <v>10</v>
      </c>
      <c r="Q149" s="34">
        <f>VLOOKUP(A149,'SSP_March''19'!$A$3:$Q$1193,17,0)</f>
        <v>2</v>
      </c>
      <c r="R149" s="35">
        <f t="shared" si="14"/>
        <v>0.2</v>
      </c>
      <c r="S149" s="49">
        <f>ROUND(VLOOKUP(A149,'SSP_March''19'!$A$3:$T$1193,19,0),0)</f>
        <v>6</v>
      </c>
      <c r="T149" s="44">
        <f>VLOOKUP(A149,'SSP_March''19'!$A$3:$T$1193,20,0)</f>
        <v>0.6</v>
      </c>
      <c r="U149" s="34">
        <f>VLOOKUP(A149,'SSP_March''19'!$A$3:$X$1193,21,0)</f>
        <v>1</v>
      </c>
      <c r="V149" s="34">
        <f>VLOOKUP(A149,'SSP_March''19'!$A$3:$X$1193,22,0)</f>
        <v>0</v>
      </c>
      <c r="W149" s="34">
        <f>VLOOKUP(A149,'SSP_March''19'!$A$3:$X$1193,23,0)</f>
        <v>0</v>
      </c>
      <c r="X149" s="34">
        <f>VLOOKUP(A149,'SSP_March''19'!$A$3:$X$1193,24,0)</f>
        <v>0</v>
      </c>
    </row>
    <row r="150" spans="1:24">
      <c r="A150" s="34" t="s">
        <v>248</v>
      </c>
      <c r="B150" s="34" t="s">
        <v>249</v>
      </c>
      <c r="C150" s="34" t="s">
        <v>227</v>
      </c>
      <c r="D150" s="34" t="s">
        <v>166</v>
      </c>
      <c r="E150" s="34" t="s">
        <v>3</v>
      </c>
      <c r="F150" s="34" t="s">
        <v>250</v>
      </c>
      <c r="G150" s="54">
        <v>1818889970</v>
      </c>
      <c r="H150" s="54" t="s">
        <v>229</v>
      </c>
      <c r="I150" s="54" t="s">
        <v>3514</v>
      </c>
      <c r="J150" s="34" t="s">
        <v>3419</v>
      </c>
      <c r="K150" s="43">
        <f>VLOOKUP(A150,'SSP_March''19'!$A$3:$L$1193,11,0)</f>
        <v>130000</v>
      </c>
      <c r="L150" s="43">
        <f>VLOOKUP(A150,'SSP_March''19'!$A$3:$L$1193,12,0)</f>
        <v>5990</v>
      </c>
      <c r="M150" s="44">
        <f t="shared" si="12"/>
        <v>4.6076923076923078E-2</v>
      </c>
      <c r="N150" s="49">
        <f>ROUND(VLOOKUP(A150,'SSP_March''19'!$A$3:$N$1193,14,0),0)</f>
        <v>18569</v>
      </c>
      <c r="O150" s="44">
        <f t="shared" si="13"/>
        <v>0.14283846153846153</v>
      </c>
      <c r="P150" s="45">
        <f>VLOOKUP(A150,'SSP_March''19'!$A$3:$Q$1193,16,0)</f>
        <v>10</v>
      </c>
      <c r="Q150" s="34">
        <f>VLOOKUP(A150,'SSP_March''19'!$A$3:$Q$1193,17,0)</f>
        <v>0</v>
      </c>
      <c r="R150" s="35">
        <f t="shared" si="14"/>
        <v>0</v>
      </c>
      <c r="S150" s="49">
        <f>ROUND(VLOOKUP(A150,'SSP_March''19'!$A$3:$T$1193,19,0),0)</f>
        <v>0</v>
      </c>
      <c r="T150" s="44">
        <f>VLOOKUP(A150,'SSP_March''19'!$A$3:$T$1193,20,0)</f>
        <v>0</v>
      </c>
      <c r="U150" s="34">
        <f>VLOOKUP(A150,'SSP_March''19'!$A$3:$X$1193,21,0)</f>
        <v>0</v>
      </c>
      <c r="V150" s="34">
        <f>VLOOKUP(A150,'SSP_March''19'!$A$3:$X$1193,22,0)</f>
        <v>0</v>
      </c>
      <c r="W150" s="34">
        <f>VLOOKUP(A150,'SSP_March''19'!$A$3:$X$1193,23,0)</f>
        <v>0</v>
      </c>
      <c r="X150" s="34">
        <f>VLOOKUP(A150,'SSP_March''19'!$A$3:$X$1193,24,0)</f>
        <v>0</v>
      </c>
    </row>
    <row r="151" spans="1:24">
      <c r="A151" s="34" t="s">
        <v>236</v>
      </c>
      <c r="B151" s="34" t="s">
        <v>237</v>
      </c>
      <c r="C151" s="34" t="s">
        <v>227</v>
      </c>
      <c r="D151" s="34" t="s">
        <v>166</v>
      </c>
      <c r="E151" s="34" t="s">
        <v>3</v>
      </c>
      <c r="F151" s="34" t="s">
        <v>238</v>
      </c>
      <c r="G151" s="54">
        <v>1813554082</v>
      </c>
      <c r="H151" s="54" t="s">
        <v>229</v>
      </c>
      <c r="I151" s="54" t="s">
        <v>3514</v>
      </c>
      <c r="J151" s="34" t="s">
        <v>3419</v>
      </c>
      <c r="K151" s="43">
        <f>VLOOKUP(A151,'SSP_March''19'!$A$3:$L$1193,11,0)</f>
        <v>130000</v>
      </c>
      <c r="L151" s="43">
        <f>VLOOKUP(A151,'SSP_March''19'!$A$3:$L$1193,12,0)</f>
        <v>47720</v>
      </c>
      <c r="M151" s="44">
        <f t="shared" si="12"/>
        <v>0.36707692307692308</v>
      </c>
      <c r="N151" s="49">
        <f>ROUND(VLOOKUP(A151,'SSP_March''19'!$A$3:$N$1193,14,0),0)</f>
        <v>147932</v>
      </c>
      <c r="O151" s="44">
        <f t="shared" si="13"/>
        <v>1.1379384615384616</v>
      </c>
      <c r="P151" s="45">
        <f>VLOOKUP(A151,'SSP_March''19'!$A$3:$Q$1193,16,0)</f>
        <v>10</v>
      </c>
      <c r="Q151" s="34">
        <f>VLOOKUP(A151,'SSP_March''19'!$A$3:$Q$1193,17,0)</f>
        <v>3</v>
      </c>
      <c r="R151" s="35">
        <f t="shared" si="14"/>
        <v>0.3</v>
      </c>
      <c r="S151" s="49">
        <f>ROUND(VLOOKUP(A151,'SSP_March''19'!$A$3:$T$1193,19,0),0)</f>
        <v>9</v>
      </c>
      <c r="T151" s="44">
        <f>VLOOKUP(A151,'SSP_March''19'!$A$3:$T$1193,20,0)</f>
        <v>0.9</v>
      </c>
      <c r="U151" s="34">
        <f>VLOOKUP(A151,'SSP_March''19'!$A$3:$X$1193,21,0)</f>
        <v>0</v>
      </c>
      <c r="V151" s="34">
        <f>VLOOKUP(A151,'SSP_March''19'!$A$3:$X$1193,22,0)</f>
        <v>0</v>
      </c>
      <c r="W151" s="34">
        <f>VLOOKUP(A151,'SSP_March''19'!$A$3:$X$1193,23,0)</f>
        <v>0</v>
      </c>
      <c r="X151" s="34">
        <f>VLOOKUP(A151,'SSP_March''19'!$A$3:$X$1193,24,0)</f>
        <v>1</v>
      </c>
    </row>
    <row r="152" spans="1:24">
      <c r="A152" s="34" t="s">
        <v>225</v>
      </c>
      <c r="B152" s="34" t="s">
        <v>226</v>
      </c>
      <c r="C152" s="34" t="s">
        <v>227</v>
      </c>
      <c r="D152" s="34" t="s">
        <v>166</v>
      </c>
      <c r="E152" s="34" t="s">
        <v>3</v>
      </c>
      <c r="F152" s="34" t="s">
        <v>228</v>
      </c>
      <c r="G152" s="54">
        <v>1822118585</v>
      </c>
      <c r="H152" s="54" t="s">
        <v>229</v>
      </c>
      <c r="I152" s="54" t="s">
        <v>3514</v>
      </c>
      <c r="J152" s="34" t="s">
        <v>3515</v>
      </c>
      <c r="K152" s="43">
        <f>VLOOKUP(A152,'SSP_March''19'!$A$3:$L$1193,11,0)</f>
        <v>130000</v>
      </c>
      <c r="L152" s="43">
        <f>VLOOKUP(A152,'SSP_March''19'!$A$3:$L$1193,12,0)</f>
        <v>32230</v>
      </c>
      <c r="M152" s="44">
        <f t="shared" si="12"/>
        <v>0.24792307692307691</v>
      </c>
      <c r="N152" s="49">
        <f>ROUND(VLOOKUP(A152,'SSP_March''19'!$A$3:$N$1193,14,0),0)</f>
        <v>99913</v>
      </c>
      <c r="O152" s="44">
        <f t="shared" si="13"/>
        <v>0.76856153846153841</v>
      </c>
      <c r="P152" s="45">
        <f>VLOOKUP(A152,'SSP_March''19'!$A$3:$Q$1193,16,0)</f>
        <v>10</v>
      </c>
      <c r="Q152" s="34">
        <f>VLOOKUP(A152,'SSP_March''19'!$A$3:$Q$1193,17,0)</f>
        <v>0</v>
      </c>
      <c r="R152" s="35">
        <f t="shared" si="14"/>
        <v>0</v>
      </c>
      <c r="S152" s="49">
        <f>ROUND(VLOOKUP(A152,'SSP_March''19'!$A$3:$T$1193,19,0),0)</f>
        <v>0</v>
      </c>
      <c r="T152" s="44">
        <f>VLOOKUP(A152,'SSP_March''19'!$A$3:$T$1193,20,0)</f>
        <v>0</v>
      </c>
      <c r="U152" s="34">
        <f>VLOOKUP(A152,'SSP_March''19'!$A$3:$X$1193,21,0)</f>
        <v>1</v>
      </c>
      <c r="V152" s="34">
        <f>VLOOKUP(A152,'SSP_March''19'!$A$3:$X$1193,22,0)</f>
        <v>0</v>
      </c>
      <c r="W152" s="34">
        <f>VLOOKUP(A152,'SSP_March''19'!$A$3:$X$1193,23,0)</f>
        <v>0</v>
      </c>
      <c r="X152" s="34">
        <f>VLOOKUP(A152,'SSP_March''19'!$A$3:$X$1193,24,0)</f>
        <v>0</v>
      </c>
    </row>
    <row r="153" spans="1:24">
      <c r="A153" s="34" t="s">
        <v>242</v>
      </c>
      <c r="B153" s="34" t="s">
        <v>243</v>
      </c>
      <c r="C153" s="34" t="s">
        <v>227</v>
      </c>
      <c r="D153" s="34" t="s">
        <v>166</v>
      </c>
      <c r="E153" s="34" t="s">
        <v>3</v>
      </c>
      <c r="F153" s="34" t="s">
        <v>244</v>
      </c>
      <c r="G153" s="54">
        <v>1817380683</v>
      </c>
      <c r="H153" s="54" t="s">
        <v>229</v>
      </c>
      <c r="I153" s="54" t="s">
        <v>3514</v>
      </c>
      <c r="J153" s="34" t="s">
        <v>3515</v>
      </c>
      <c r="K153" s="43">
        <f>VLOOKUP(A153,'SSP_March''19'!$A$3:$L$1193,11,0)</f>
        <v>130000</v>
      </c>
      <c r="L153" s="43">
        <f>VLOOKUP(A153,'SSP_March''19'!$A$3:$L$1193,12,0)</f>
        <v>4990</v>
      </c>
      <c r="M153" s="44">
        <f t="shared" si="12"/>
        <v>3.8384615384615385E-2</v>
      </c>
      <c r="N153" s="49">
        <f>ROUND(VLOOKUP(A153,'SSP_March''19'!$A$3:$N$1193,14,0),0)</f>
        <v>15469</v>
      </c>
      <c r="O153" s="44">
        <f t="shared" si="13"/>
        <v>0.11899230769230769</v>
      </c>
      <c r="P153" s="45">
        <f>VLOOKUP(A153,'SSP_March''19'!$A$3:$Q$1193,16,0)</f>
        <v>10</v>
      </c>
      <c r="Q153" s="34">
        <f>VLOOKUP(A153,'SSP_March''19'!$A$3:$Q$1193,17,0)</f>
        <v>0</v>
      </c>
      <c r="R153" s="35">
        <f t="shared" si="14"/>
        <v>0</v>
      </c>
      <c r="S153" s="49">
        <f>ROUND(VLOOKUP(A153,'SSP_March''19'!$A$3:$T$1193,19,0),0)</f>
        <v>0</v>
      </c>
      <c r="T153" s="44">
        <f>VLOOKUP(A153,'SSP_March''19'!$A$3:$T$1193,20,0)</f>
        <v>0</v>
      </c>
      <c r="U153" s="34">
        <f>VLOOKUP(A153,'SSP_March''19'!$A$3:$X$1193,21,0)</f>
        <v>0</v>
      </c>
      <c r="V153" s="34">
        <f>VLOOKUP(A153,'SSP_March''19'!$A$3:$X$1193,22,0)</f>
        <v>0</v>
      </c>
      <c r="W153" s="34">
        <f>VLOOKUP(A153,'SSP_March''19'!$A$3:$X$1193,23,0)</f>
        <v>0</v>
      </c>
      <c r="X153" s="34">
        <f>VLOOKUP(A153,'SSP_March''19'!$A$3:$X$1193,24,0)</f>
        <v>0</v>
      </c>
    </row>
    <row r="154" spans="1:24">
      <c r="A154" s="34" t="s">
        <v>245</v>
      </c>
      <c r="B154" s="34" t="s">
        <v>246</v>
      </c>
      <c r="C154" s="34" t="s">
        <v>227</v>
      </c>
      <c r="D154" s="34" t="s">
        <v>166</v>
      </c>
      <c r="E154" s="34" t="s">
        <v>3</v>
      </c>
      <c r="F154" s="34" t="s">
        <v>247</v>
      </c>
      <c r="G154" s="54">
        <v>1816778921</v>
      </c>
      <c r="H154" s="54" t="s">
        <v>229</v>
      </c>
      <c r="I154" s="54" t="s">
        <v>3514</v>
      </c>
      <c r="J154" s="34" t="s">
        <v>3419</v>
      </c>
      <c r="K154" s="43">
        <f>VLOOKUP(A154,'SSP_March''19'!$A$3:$L$1193,11,0)</f>
        <v>264878</v>
      </c>
      <c r="L154" s="43">
        <f>VLOOKUP(A154,'SSP_March''19'!$A$3:$L$1193,12,0)</f>
        <v>82739</v>
      </c>
      <c r="M154" s="44">
        <f t="shared" si="12"/>
        <v>0.31236644794962209</v>
      </c>
      <c r="N154" s="49">
        <f>ROUND(VLOOKUP(A154,'SSP_March''19'!$A$3:$N$1193,14,0),0)</f>
        <v>256491</v>
      </c>
      <c r="O154" s="44">
        <f t="shared" si="13"/>
        <v>0.9683363661761264</v>
      </c>
      <c r="P154" s="45">
        <f>VLOOKUP(A154,'SSP_March''19'!$A$3:$Q$1193,16,0)</f>
        <v>14</v>
      </c>
      <c r="Q154" s="34">
        <f>VLOOKUP(A154,'SSP_March''19'!$A$3:$Q$1193,17,0)</f>
        <v>5</v>
      </c>
      <c r="R154" s="35">
        <f t="shared" si="14"/>
        <v>0.35714285714285715</v>
      </c>
      <c r="S154" s="49">
        <f>ROUND(VLOOKUP(A154,'SSP_March''19'!$A$3:$T$1193,19,0),0)</f>
        <v>16</v>
      </c>
      <c r="T154" s="44">
        <f>VLOOKUP(A154,'SSP_March''19'!$A$3:$T$1193,20,0)</f>
        <v>1.1428571428571428</v>
      </c>
      <c r="U154" s="34">
        <f>VLOOKUP(A154,'SSP_March''19'!$A$3:$X$1193,21,0)</f>
        <v>0</v>
      </c>
      <c r="V154" s="34">
        <f>VLOOKUP(A154,'SSP_March''19'!$A$3:$X$1193,22,0)</f>
        <v>1</v>
      </c>
      <c r="W154" s="34">
        <f>VLOOKUP(A154,'SSP_March''19'!$A$3:$X$1193,23,0)</f>
        <v>0</v>
      </c>
      <c r="X154" s="34">
        <f>VLOOKUP(A154,'SSP_March''19'!$A$3:$X$1193,24,0)</f>
        <v>0</v>
      </c>
    </row>
    <row r="155" spans="1:24">
      <c r="A155" s="34" t="s">
        <v>233</v>
      </c>
      <c r="B155" s="34" t="s">
        <v>234</v>
      </c>
      <c r="C155" s="34" t="s">
        <v>227</v>
      </c>
      <c r="D155" s="34" t="s">
        <v>166</v>
      </c>
      <c r="E155" s="34" t="s">
        <v>3</v>
      </c>
      <c r="F155" s="34" t="s">
        <v>235</v>
      </c>
      <c r="G155" s="54">
        <v>1818924555</v>
      </c>
      <c r="H155" s="54" t="s">
        <v>229</v>
      </c>
      <c r="I155" s="54" t="s">
        <v>3514</v>
      </c>
      <c r="J155" s="34" t="s">
        <v>3419</v>
      </c>
      <c r="K155" s="43">
        <f>VLOOKUP(A155,'SSP_March''19'!$A$3:$L$1193,11,0)</f>
        <v>175915</v>
      </c>
      <c r="L155" s="43">
        <f>VLOOKUP(A155,'SSP_March''19'!$A$3:$L$1193,12,0)</f>
        <v>51549</v>
      </c>
      <c r="M155" s="44">
        <f t="shared" si="12"/>
        <v>0.29303356734786684</v>
      </c>
      <c r="N155" s="49">
        <f>ROUND(VLOOKUP(A155,'SSP_March''19'!$A$3:$N$1193,14,0),0)</f>
        <v>159802</v>
      </c>
      <c r="O155" s="44">
        <f t="shared" si="13"/>
        <v>0.90840462723474402</v>
      </c>
      <c r="P155" s="45">
        <f>VLOOKUP(A155,'SSP_March''19'!$A$3:$Q$1193,16,0)</f>
        <v>10</v>
      </c>
      <c r="Q155" s="34">
        <f>VLOOKUP(A155,'SSP_March''19'!$A$3:$Q$1193,17,0)</f>
        <v>1</v>
      </c>
      <c r="R155" s="35">
        <f t="shared" si="14"/>
        <v>0.1</v>
      </c>
      <c r="S155" s="49">
        <f>ROUND(VLOOKUP(A155,'SSP_March''19'!$A$3:$T$1193,19,0),0)</f>
        <v>3</v>
      </c>
      <c r="T155" s="44">
        <f>VLOOKUP(A155,'SSP_March''19'!$A$3:$T$1193,20,0)</f>
        <v>0.3</v>
      </c>
      <c r="U155" s="34">
        <f>VLOOKUP(A155,'SSP_March''19'!$A$3:$X$1193,21,0)</f>
        <v>0</v>
      </c>
      <c r="V155" s="34">
        <f>VLOOKUP(A155,'SSP_March''19'!$A$3:$X$1193,22,0)</f>
        <v>1</v>
      </c>
      <c r="W155" s="34">
        <f>VLOOKUP(A155,'SSP_March''19'!$A$3:$X$1193,23,0)</f>
        <v>0</v>
      </c>
      <c r="X155" s="34">
        <f>VLOOKUP(A155,'SSP_March''19'!$A$3:$X$1193,24,0)</f>
        <v>0</v>
      </c>
    </row>
    <row r="156" spans="1:24">
      <c r="A156" s="34" t="s">
        <v>274</v>
      </c>
      <c r="B156" s="34" t="s">
        <v>275</v>
      </c>
      <c r="C156" s="34" t="s">
        <v>253</v>
      </c>
      <c r="D156" s="34" t="s">
        <v>166</v>
      </c>
      <c r="E156" s="34" t="s">
        <v>3</v>
      </c>
      <c r="F156" s="34" t="s">
        <v>276</v>
      </c>
      <c r="G156" s="54">
        <v>1820711750</v>
      </c>
      <c r="H156" s="54" t="s">
        <v>229</v>
      </c>
      <c r="I156" s="54" t="s">
        <v>3514</v>
      </c>
      <c r="J156" s="34" t="s">
        <v>3419</v>
      </c>
      <c r="K156" s="43">
        <f>VLOOKUP(A156,'SSP_March''19'!$A$3:$L$1193,11,0)</f>
        <v>204825</v>
      </c>
      <c r="L156" s="43">
        <f>VLOOKUP(A156,'SSP_March''19'!$A$3:$L$1193,12,0)</f>
        <v>52610</v>
      </c>
      <c r="M156" s="44">
        <f t="shared" si="12"/>
        <v>0.25685341144879775</v>
      </c>
      <c r="N156" s="49">
        <f>ROUND(VLOOKUP(A156,'SSP_March''19'!$A$3:$N$1193,14,0),0)</f>
        <v>163091</v>
      </c>
      <c r="O156" s="44">
        <f t="shared" si="13"/>
        <v>0.79624557549127306</v>
      </c>
      <c r="P156" s="45">
        <f>VLOOKUP(A156,'SSP_March''19'!$A$3:$Q$1193,16,0)</f>
        <v>10</v>
      </c>
      <c r="Q156" s="34">
        <f>VLOOKUP(A156,'SSP_March''19'!$A$3:$Q$1193,17,0)</f>
        <v>3</v>
      </c>
      <c r="R156" s="35">
        <f t="shared" si="14"/>
        <v>0.3</v>
      </c>
      <c r="S156" s="49">
        <f>ROUND(VLOOKUP(A156,'SSP_March''19'!$A$3:$T$1193,19,0),0)</f>
        <v>9</v>
      </c>
      <c r="T156" s="44">
        <f>VLOOKUP(A156,'SSP_March''19'!$A$3:$T$1193,20,0)</f>
        <v>0.9</v>
      </c>
      <c r="U156" s="34">
        <f>VLOOKUP(A156,'SSP_March''19'!$A$3:$X$1193,21,0)</f>
        <v>1</v>
      </c>
      <c r="V156" s="34">
        <f>VLOOKUP(A156,'SSP_March''19'!$A$3:$X$1193,22,0)</f>
        <v>2</v>
      </c>
      <c r="W156" s="34">
        <f>VLOOKUP(A156,'SSP_March''19'!$A$3:$X$1193,23,0)</f>
        <v>0</v>
      </c>
      <c r="X156" s="34">
        <f>VLOOKUP(A156,'SSP_March''19'!$A$3:$X$1193,24,0)</f>
        <v>0</v>
      </c>
    </row>
    <row r="157" spans="1:24">
      <c r="A157" s="34" t="s">
        <v>256</v>
      </c>
      <c r="B157" s="34" t="s">
        <v>257</v>
      </c>
      <c r="C157" s="34" t="s">
        <v>253</v>
      </c>
      <c r="D157" s="34" t="s">
        <v>166</v>
      </c>
      <c r="E157" s="34" t="s">
        <v>3</v>
      </c>
      <c r="F157" s="34" t="s">
        <v>258</v>
      </c>
      <c r="G157" s="54">
        <v>1554466444</v>
      </c>
      <c r="H157" s="54" t="s">
        <v>229</v>
      </c>
      <c r="I157" s="54" t="s">
        <v>3514</v>
      </c>
      <c r="J157" s="34" t="s">
        <v>3419</v>
      </c>
      <c r="K157" s="43">
        <f>VLOOKUP(A157,'SSP_March''19'!$A$3:$L$1193,11,0)</f>
        <v>130000</v>
      </c>
      <c r="L157" s="43">
        <f>VLOOKUP(A157,'SSP_March''19'!$A$3:$L$1193,12,0)</f>
        <v>53885</v>
      </c>
      <c r="M157" s="44">
        <f t="shared" si="12"/>
        <v>0.41449999999999998</v>
      </c>
      <c r="N157" s="49">
        <f>ROUND(VLOOKUP(A157,'SSP_March''19'!$A$3:$N$1193,14,0),0)</f>
        <v>167044</v>
      </c>
      <c r="O157" s="44">
        <f t="shared" si="13"/>
        <v>1.2849538461538461</v>
      </c>
      <c r="P157" s="45">
        <f>VLOOKUP(A157,'SSP_March''19'!$A$3:$Q$1193,16,0)</f>
        <v>10</v>
      </c>
      <c r="Q157" s="34">
        <f>VLOOKUP(A157,'SSP_March''19'!$A$3:$Q$1193,17,0)</f>
        <v>4</v>
      </c>
      <c r="R157" s="35">
        <f t="shared" si="14"/>
        <v>0.4</v>
      </c>
      <c r="S157" s="49">
        <f>ROUND(VLOOKUP(A157,'SSP_March''19'!$A$3:$T$1193,19,0),0)</f>
        <v>12</v>
      </c>
      <c r="T157" s="44">
        <f>VLOOKUP(A157,'SSP_March''19'!$A$3:$T$1193,20,0)</f>
        <v>1.2</v>
      </c>
      <c r="U157" s="34">
        <f>VLOOKUP(A157,'SSP_March''19'!$A$3:$X$1193,21,0)</f>
        <v>1</v>
      </c>
      <c r="V157" s="34">
        <f>VLOOKUP(A157,'SSP_March''19'!$A$3:$X$1193,22,0)</f>
        <v>1</v>
      </c>
      <c r="W157" s="34">
        <f>VLOOKUP(A157,'SSP_March''19'!$A$3:$X$1193,23,0)</f>
        <v>0</v>
      </c>
      <c r="X157" s="34">
        <f>VLOOKUP(A157,'SSP_March''19'!$A$3:$X$1193,24,0)</f>
        <v>0</v>
      </c>
    </row>
    <row r="158" spans="1:24">
      <c r="A158" s="34" t="s">
        <v>277</v>
      </c>
      <c r="B158" s="34" t="s">
        <v>278</v>
      </c>
      <c r="C158" s="34" t="s">
        <v>253</v>
      </c>
      <c r="D158" s="34" t="s">
        <v>166</v>
      </c>
      <c r="E158" s="34" t="s">
        <v>3</v>
      </c>
      <c r="F158" s="34" t="s">
        <v>279</v>
      </c>
      <c r="G158" s="54">
        <v>1820701195</v>
      </c>
      <c r="H158" s="54" t="s">
        <v>229</v>
      </c>
      <c r="I158" s="54" t="s">
        <v>3514</v>
      </c>
      <c r="J158" s="34" t="s">
        <v>3515</v>
      </c>
      <c r="K158" s="43">
        <f>VLOOKUP(A158,'SSP_March''19'!$A$3:$L$1193,11,0)</f>
        <v>130000</v>
      </c>
      <c r="L158" s="43">
        <f>VLOOKUP(A158,'SSP_March''19'!$A$3:$L$1193,12,0)</f>
        <v>22255</v>
      </c>
      <c r="M158" s="44">
        <f t="shared" ref="M158:M161" si="15">L158/K158</f>
        <v>0.1711923076923077</v>
      </c>
      <c r="N158" s="49">
        <f>ROUND(VLOOKUP(A158,'SSP_March''19'!$A$3:$N$1193,14,0),0)</f>
        <v>68991</v>
      </c>
      <c r="O158" s="44">
        <f t="shared" ref="O158:O161" si="16">N158/K158</f>
        <v>0.53069999999999995</v>
      </c>
      <c r="P158" s="45">
        <f>VLOOKUP(A158,'SSP_March''19'!$A$3:$Q$1193,16,0)</f>
        <v>10</v>
      </c>
      <c r="Q158" s="34">
        <f>VLOOKUP(A158,'SSP_March''19'!$A$3:$Q$1193,17,0)</f>
        <v>3</v>
      </c>
      <c r="R158" s="35">
        <f t="shared" ref="R158:R161" si="17">Q158/P158</f>
        <v>0.3</v>
      </c>
      <c r="S158" s="49">
        <f>ROUND(VLOOKUP(A158,'SSP_March''19'!$A$3:$T$1193,19,0),0)</f>
        <v>9</v>
      </c>
      <c r="T158" s="44">
        <f>VLOOKUP(A158,'SSP_March''19'!$A$3:$T$1193,20,0)</f>
        <v>0.9</v>
      </c>
      <c r="U158" s="34">
        <f>VLOOKUP(A158,'SSP_March''19'!$A$3:$X$1193,21,0)</f>
        <v>0</v>
      </c>
      <c r="V158" s="34">
        <f>VLOOKUP(A158,'SSP_March''19'!$A$3:$X$1193,22,0)</f>
        <v>1</v>
      </c>
      <c r="W158" s="34">
        <f>VLOOKUP(A158,'SSP_March''19'!$A$3:$X$1193,23,0)</f>
        <v>0</v>
      </c>
      <c r="X158" s="34">
        <f>VLOOKUP(A158,'SSP_March''19'!$A$3:$X$1193,24,0)</f>
        <v>0</v>
      </c>
    </row>
    <row r="159" spans="1:24">
      <c r="A159" s="34" t="s">
        <v>259</v>
      </c>
      <c r="B159" s="34" t="s">
        <v>260</v>
      </c>
      <c r="C159" s="34" t="s">
        <v>253</v>
      </c>
      <c r="D159" s="34" t="s">
        <v>166</v>
      </c>
      <c r="E159" s="34" t="s">
        <v>3</v>
      </c>
      <c r="F159" s="34" t="s">
        <v>261</v>
      </c>
      <c r="G159" s="54">
        <v>1866662600</v>
      </c>
      <c r="H159" s="54" t="s">
        <v>229</v>
      </c>
      <c r="I159" s="54" t="s">
        <v>3514</v>
      </c>
      <c r="J159" s="34" t="s">
        <v>3419</v>
      </c>
      <c r="K159" s="43">
        <f>VLOOKUP(A159,'SSP_March''19'!$A$3:$L$1193,11,0)</f>
        <v>130000</v>
      </c>
      <c r="L159" s="43">
        <f>VLOOKUP(A159,'SSP_March''19'!$A$3:$L$1193,12,0)</f>
        <v>4740</v>
      </c>
      <c r="M159" s="44">
        <f t="shared" si="15"/>
        <v>3.6461538461538462E-2</v>
      </c>
      <c r="N159" s="49">
        <f>ROUND(VLOOKUP(A159,'SSP_March''19'!$A$3:$N$1193,14,0),0)</f>
        <v>14694</v>
      </c>
      <c r="O159" s="44">
        <f t="shared" si="16"/>
        <v>0.11303076923076923</v>
      </c>
      <c r="P159" s="45">
        <f>VLOOKUP(A159,'SSP_March''19'!$A$3:$Q$1193,16,0)</f>
        <v>10</v>
      </c>
      <c r="Q159" s="34">
        <f>VLOOKUP(A159,'SSP_March''19'!$A$3:$Q$1193,17,0)</f>
        <v>0</v>
      </c>
      <c r="R159" s="35">
        <f t="shared" si="17"/>
        <v>0</v>
      </c>
      <c r="S159" s="49">
        <f>ROUND(VLOOKUP(A159,'SSP_March''19'!$A$3:$T$1193,19,0),0)</f>
        <v>0</v>
      </c>
      <c r="T159" s="44">
        <f>VLOOKUP(A159,'SSP_March''19'!$A$3:$T$1193,20,0)</f>
        <v>0</v>
      </c>
      <c r="U159" s="34">
        <f>VLOOKUP(A159,'SSP_March''19'!$A$3:$X$1193,21,0)</f>
        <v>0</v>
      </c>
      <c r="V159" s="34">
        <f>VLOOKUP(A159,'SSP_March''19'!$A$3:$X$1193,22,0)</f>
        <v>0</v>
      </c>
      <c r="W159" s="34">
        <f>VLOOKUP(A159,'SSP_March''19'!$A$3:$X$1193,23,0)</f>
        <v>0</v>
      </c>
      <c r="X159" s="34">
        <f>VLOOKUP(A159,'SSP_March''19'!$A$3:$X$1193,24,0)</f>
        <v>0</v>
      </c>
    </row>
    <row r="160" spans="1:24">
      <c r="A160" s="34" t="s">
        <v>271</v>
      </c>
      <c r="B160" s="34" t="s">
        <v>272</v>
      </c>
      <c r="C160" s="34" t="s">
        <v>253</v>
      </c>
      <c r="D160" s="34" t="s">
        <v>166</v>
      </c>
      <c r="E160" s="34" t="s">
        <v>3</v>
      </c>
      <c r="F160" s="34" t="s">
        <v>273</v>
      </c>
      <c r="G160" s="54">
        <v>1812997749</v>
      </c>
      <c r="H160" s="54" t="s">
        <v>229</v>
      </c>
      <c r="I160" s="54" t="s">
        <v>3514</v>
      </c>
      <c r="J160" s="34" t="s">
        <v>3419</v>
      </c>
      <c r="K160" s="43">
        <f>VLOOKUP(A160,'SSP_March''19'!$A$3:$L$1193,11,0)</f>
        <v>130000</v>
      </c>
      <c r="L160" s="43">
        <f>VLOOKUP(A160,'SSP_March''19'!$A$3:$L$1193,12,0)</f>
        <v>28960</v>
      </c>
      <c r="M160" s="44">
        <f t="shared" si="15"/>
        <v>0.22276923076923077</v>
      </c>
      <c r="N160" s="49">
        <f>ROUND(VLOOKUP(A160,'SSP_March''19'!$A$3:$N$1193,14,0),0)</f>
        <v>89776</v>
      </c>
      <c r="O160" s="44">
        <f t="shared" si="16"/>
        <v>0.69058461538461535</v>
      </c>
      <c r="P160" s="45">
        <f>VLOOKUP(A160,'SSP_March''19'!$A$3:$Q$1193,16,0)</f>
        <v>10</v>
      </c>
      <c r="Q160" s="34">
        <f>VLOOKUP(A160,'SSP_March''19'!$A$3:$Q$1193,17,0)</f>
        <v>1</v>
      </c>
      <c r="R160" s="35">
        <f t="shared" si="17"/>
        <v>0.1</v>
      </c>
      <c r="S160" s="49">
        <f>ROUND(VLOOKUP(A160,'SSP_March''19'!$A$3:$T$1193,19,0),0)</f>
        <v>3</v>
      </c>
      <c r="T160" s="44">
        <f>VLOOKUP(A160,'SSP_March''19'!$A$3:$T$1193,20,0)</f>
        <v>0.3</v>
      </c>
      <c r="U160" s="34">
        <f>VLOOKUP(A160,'SSP_March''19'!$A$3:$X$1193,21,0)</f>
        <v>1</v>
      </c>
      <c r="V160" s="34">
        <f>VLOOKUP(A160,'SSP_March''19'!$A$3:$X$1193,22,0)</f>
        <v>0</v>
      </c>
      <c r="W160" s="34">
        <f>VLOOKUP(A160,'SSP_March''19'!$A$3:$X$1193,23,0)</f>
        <v>0</v>
      </c>
      <c r="X160" s="34">
        <f>VLOOKUP(A160,'SSP_March''19'!$A$3:$X$1193,24,0)</f>
        <v>0</v>
      </c>
    </row>
    <row r="161" spans="1:24">
      <c r="A161" s="34" t="s">
        <v>268</v>
      </c>
      <c r="B161" s="34" t="s">
        <v>269</v>
      </c>
      <c r="C161" s="34" t="s">
        <v>253</v>
      </c>
      <c r="D161" s="34" t="s">
        <v>166</v>
      </c>
      <c r="E161" s="34" t="s">
        <v>3</v>
      </c>
      <c r="F161" s="34" t="s">
        <v>270</v>
      </c>
      <c r="G161" s="54">
        <v>1845773344</v>
      </c>
      <c r="H161" s="54" t="s">
        <v>229</v>
      </c>
      <c r="I161" s="54" t="s">
        <v>3514</v>
      </c>
      <c r="J161" s="34" t="s">
        <v>3419</v>
      </c>
      <c r="K161" s="43">
        <f>VLOOKUP(A161,'SSP_March''19'!$A$3:$L$1193,11,0)</f>
        <v>130000</v>
      </c>
      <c r="L161" s="43">
        <f>VLOOKUP(A161,'SSP_March''19'!$A$3:$L$1193,12,0)</f>
        <v>46510</v>
      </c>
      <c r="M161" s="44">
        <f t="shared" si="15"/>
        <v>0.35776923076923078</v>
      </c>
      <c r="N161" s="49">
        <f>ROUND(VLOOKUP(A161,'SSP_March''19'!$A$3:$N$1193,14,0),0)</f>
        <v>144181</v>
      </c>
      <c r="O161" s="44">
        <f t="shared" si="16"/>
        <v>1.1090846153846154</v>
      </c>
      <c r="P161" s="45">
        <f>VLOOKUP(A161,'SSP_March''19'!$A$3:$Q$1193,16,0)</f>
        <v>10</v>
      </c>
      <c r="Q161" s="34">
        <f>VLOOKUP(A161,'SSP_March''19'!$A$3:$Q$1193,17,0)</f>
        <v>1</v>
      </c>
      <c r="R161" s="35">
        <f t="shared" si="17"/>
        <v>0.1</v>
      </c>
      <c r="S161" s="49">
        <f>ROUND(VLOOKUP(A161,'SSP_March''19'!$A$3:$T$1193,19,0),0)</f>
        <v>3</v>
      </c>
      <c r="T161" s="44">
        <f>VLOOKUP(A161,'SSP_March''19'!$A$3:$T$1193,20,0)</f>
        <v>0.3</v>
      </c>
      <c r="U161" s="34">
        <f>VLOOKUP(A161,'SSP_March''19'!$A$3:$X$1193,21,0)</f>
        <v>0</v>
      </c>
      <c r="V161" s="34">
        <f>VLOOKUP(A161,'SSP_March''19'!$A$3:$X$1193,22,0)</f>
        <v>0</v>
      </c>
      <c r="W161" s="34">
        <f>VLOOKUP(A161,'SSP_March''19'!$A$3:$X$1193,23,0)</f>
        <v>0</v>
      </c>
      <c r="X161" s="34">
        <f>VLOOKUP(A161,'SSP_March''19'!$A$3:$X$1193,24,0)</f>
        <v>0</v>
      </c>
    </row>
    <row r="162" spans="1:24">
      <c r="A162" s="34" t="s">
        <v>265</v>
      </c>
      <c r="B162" s="34" t="s">
        <v>266</v>
      </c>
      <c r="C162" s="34" t="s">
        <v>253</v>
      </c>
      <c r="D162" s="34" t="s">
        <v>166</v>
      </c>
      <c r="E162" s="34" t="s">
        <v>3</v>
      </c>
      <c r="F162" s="34" t="s">
        <v>267</v>
      </c>
      <c r="G162" s="54">
        <v>1820702222</v>
      </c>
      <c r="H162" s="54" t="s">
        <v>229</v>
      </c>
      <c r="I162" s="54" t="s">
        <v>3514</v>
      </c>
      <c r="J162" s="34" t="s">
        <v>3419</v>
      </c>
      <c r="K162" s="43">
        <f>VLOOKUP(A162,'SSP_March''19'!$A$3:$L$1193,11,0)</f>
        <v>163666</v>
      </c>
      <c r="L162" s="43">
        <f>VLOOKUP(A162,'SSP_March''19'!$A$3:$L$1193,12,0)</f>
        <v>34710</v>
      </c>
      <c r="M162" s="44">
        <f t="shared" si="12"/>
        <v>0.21207825693791013</v>
      </c>
      <c r="N162" s="49">
        <f>ROUND(VLOOKUP(A162,'SSP_March''19'!$A$3:$N$1193,14,0),0)</f>
        <v>107601</v>
      </c>
      <c r="O162" s="44">
        <f t="shared" si="13"/>
        <v>0.65744259650752146</v>
      </c>
      <c r="P162" s="45">
        <f>VLOOKUP(A162,'SSP_March''19'!$A$3:$Q$1193,16,0)</f>
        <v>10</v>
      </c>
      <c r="Q162" s="34">
        <f>VLOOKUP(A162,'SSP_March''19'!$A$3:$Q$1193,17,0)</f>
        <v>3</v>
      </c>
      <c r="R162" s="35">
        <f t="shared" si="14"/>
        <v>0.3</v>
      </c>
      <c r="S162" s="49">
        <f>ROUND(VLOOKUP(A162,'SSP_March''19'!$A$3:$T$1193,19,0),0)</f>
        <v>9</v>
      </c>
      <c r="T162" s="44">
        <f>VLOOKUP(A162,'SSP_March''19'!$A$3:$T$1193,20,0)</f>
        <v>0.9</v>
      </c>
      <c r="U162" s="34">
        <f>VLOOKUP(A162,'SSP_March''19'!$A$3:$X$1193,21,0)</f>
        <v>1</v>
      </c>
      <c r="V162" s="34">
        <f>VLOOKUP(A162,'SSP_March''19'!$A$3:$X$1193,22,0)</f>
        <v>0</v>
      </c>
      <c r="W162" s="34">
        <f>VLOOKUP(A162,'SSP_March''19'!$A$3:$X$1193,23,0)</f>
        <v>0</v>
      </c>
      <c r="X162" s="34">
        <f>VLOOKUP(A162,'SSP_March''19'!$A$3:$X$1193,24,0)</f>
        <v>1</v>
      </c>
    </row>
    <row r="163" spans="1:24">
      <c r="A163" s="34" t="s">
        <v>262</v>
      </c>
      <c r="B163" s="34" t="s">
        <v>263</v>
      </c>
      <c r="C163" s="34" t="s">
        <v>253</v>
      </c>
      <c r="D163" s="34" t="s">
        <v>166</v>
      </c>
      <c r="E163" s="34" t="s">
        <v>3</v>
      </c>
      <c r="F163" s="34" t="s">
        <v>264</v>
      </c>
      <c r="G163" s="54">
        <v>1815797278</v>
      </c>
      <c r="H163" s="54" t="s">
        <v>229</v>
      </c>
      <c r="I163" s="54" t="s">
        <v>3514</v>
      </c>
      <c r="J163" s="34" t="s">
        <v>3419</v>
      </c>
      <c r="K163" s="43">
        <f>VLOOKUP(A163,'SSP_March''19'!$A$3:$L$1193,11,0)</f>
        <v>130000</v>
      </c>
      <c r="L163" s="43">
        <f>VLOOKUP(A163,'SSP_March''19'!$A$3:$L$1193,12,0)</f>
        <v>32420</v>
      </c>
      <c r="M163" s="44">
        <f t="shared" ref="M163:M164" si="18">L163/K163</f>
        <v>0.24938461538461537</v>
      </c>
      <c r="N163" s="49">
        <f>ROUND(VLOOKUP(A163,'SSP_March''19'!$A$3:$N$1193,14,0),0)</f>
        <v>100502</v>
      </c>
      <c r="O163" s="44">
        <f t="shared" ref="O163:O164" si="19">N163/K163</f>
        <v>0.77309230769230775</v>
      </c>
      <c r="P163" s="45">
        <f>VLOOKUP(A163,'SSP_March''19'!$A$3:$Q$1193,16,0)</f>
        <v>10</v>
      </c>
      <c r="Q163" s="34">
        <f>VLOOKUP(A163,'SSP_March''19'!$A$3:$Q$1193,17,0)</f>
        <v>1</v>
      </c>
      <c r="R163" s="35">
        <f t="shared" ref="R163:R164" si="20">Q163/P163</f>
        <v>0.1</v>
      </c>
      <c r="S163" s="49">
        <f>ROUND(VLOOKUP(A163,'SSP_March''19'!$A$3:$T$1193,19,0),0)</f>
        <v>3</v>
      </c>
      <c r="T163" s="44">
        <f>VLOOKUP(A163,'SSP_March''19'!$A$3:$T$1193,20,0)</f>
        <v>0.3</v>
      </c>
      <c r="U163" s="34">
        <f>VLOOKUP(A163,'SSP_March''19'!$A$3:$X$1193,21,0)</f>
        <v>0</v>
      </c>
      <c r="V163" s="34">
        <f>VLOOKUP(A163,'SSP_March''19'!$A$3:$X$1193,22,0)</f>
        <v>0</v>
      </c>
      <c r="W163" s="34">
        <f>VLOOKUP(A163,'SSP_March''19'!$A$3:$X$1193,23,0)</f>
        <v>0</v>
      </c>
      <c r="X163" s="34">
        <f>VLOOKUP(A163,'SSP_March''19'!$A$3:$X$1193,24,0)</f>
        <v>0</v>
      </c>
    </row>
    <row r="164" spans="1:24">
      <c r="A164" s="34" t="s">
        <v>251</v>
      </c>
      <c r="B164" s="34" t="s">
        <v>252</v>
      </c>
      <c r="C164" s="34" t="s">
        <v>253</v>
      </c>
      <c r="D164" s="34" t="s">
        <v>166</v>
      </c>
      <c r="E164" s="34" t="s">
        <v>3</v>
      </c>
      <c r="F164" s="34" t="s">
        <v>254</v>
      </c>
      <c r="G164" s="54">
        <v>1829737878</v>
      </c>
      <c r="H164" s="54" t="s">
        <v>229</v>
      </c>
      <c r="I164" s="54" t="s">
        <v>3514</v>
      </c>
      <c r="J164" s="34" t="s">
        <v>3419</v>
      </c>
      <c r="K164" s="43">
        <f>VLOOKUP(A164,'SSP_March''19'!$A$3:$L$1193,11,0)</f>
        <v>183664</v>
      </c>
      <c r="L164" s="43">
        <f>VLOOKUP(A164,'SSP_March''19'!$A$3:$L$1193,12,0)</f>
        <v>46820</v>
      </c>
      <c r="M164" s="44">
        <f t="shared" si="18"/>
        <v>0.25492203153584808</v>
      </c>
      <c r="N164" s="49">
        <f>ROUND(VLOOKUP(A164,'SSP_March''19'!$A$3:$N$1193,14,0),0)</f>
        <v>145142</v>
      </c>
      <c r="O164" s="44">
        <f t="shared" si="19"/>
        <v>0.79025829776112899</v>
      </c>
      <c r="P164" s="45">
        <f>VLOOKUP(A164,'SSP_March''19'!$A$3:$Q$1193,16,0)</f>
        <v>10</v>
      </c>
      <c r="Q164" s="34">
        <f>VLOOKUP(A164,'SSP_March''19'!$A$3:$Q$1193,17,0)</f>
        <v>3</v>
      </c>
      <c r="R164" s="35">
        <f t="shared" si="20"/>
        <v>0.3</v>
      </c>
      <c r="S164" s="49">
        <f>ROUND(VLOOKUP(A164,'SSP_March''19'!$A$3:$T$1193,19,0),0)</f>
        <v>9</v>
      </c>
      <c r="T164" s="44">
        <f>VLOOKUP(A164,'SSP_March''19'!$A$3:$T$1193,20,0)</f>
        <v>0.9</v>
      </c>
      <c r="U164" s="34">
        <f>VLOOKUP(A164,'SSP_March''19'!$A$3:$X$1193,21,0)</f>
        <v>0</v>
      </c>
      <c r="V164" s="34">
        <f>VLOOKUP(A164,'SSP_March''19'!$A$3:$X$1193,22,0)</f>
        <v>0</v>
      </c>
      <c r="W164" s="34">
        <f>VLOOKUP(A164,'SSP_March''19'!$A$3:$X$1193,23,0)</f>
        <v>0</v>
      </c>
      <c r="X164" s="34">
        <f>VLOOKUP(A164,'SSP_March''19'!$A$3:$X$1193,24,0)</f>
        <v>0</v>
      </c>
    </row>
    <row r="165" spans="1:24">
      <c r="A165" s="34" t="s">
        <v>293</v>
      </c>
      <c r="B165" s="34" t="s">
        <v>294</v>
      </c>
      <c r="C165" s="34" t="s">
        <v>202</v>
      </c>
      <c r="D165" s="34" t="s">
        <v>166</v>
      </c>
      <c r="E165" s="34" t="s">
        <v>3</v>
      </c>
      <c r="F165" s="34" t="s">
        <v>295</v>
      </c>
      <c r="G165" s="54">
        <v>1556545294</v>
      </c>
      <c r="H165" s="54" t="s">
        <v>229</v>
      </c>
      <c r="I165" s="54" t="s">
        <v>3514</v>
      </c>
      <c r="J165" s="34" t="s">
        <v>3419</v>
      </c>
      <c r="K165" s="43">
        <f>VLOOKUP(A165,'SSP_March''19'!$A$3:$L$1193,11,0)</f>
        <v>130000</v>
      </c>
      <c r="L165" s="43">
        <f>VLOOKUP(A165,'SSP_March''19'!$A$3:$L$1193,12,0)</f>
        <v>12080</v>
      </c>
      <c r="M165" s="44">
        <f t="shared" si="12"/>
        <v>9.2923076923076928E-2</v>
      </c>
      <c r="N165" s="49">
        <f>ROUND(VLOOKUP(A165,'SSP_March''19'!$A$3:$N$1193,14,0),0)</f>
        <v>37448</v>
      </c>
      <c r="O165" s="44">
        <f t="shared" si="13"/>
        <v>0.28806153846153848</v>
      </c>
      <c r="P165" s="45">
        <f>VLOOKUP(A165,'SSP_March''19'!$A$3:$Q$1193,16,0)</f>
        <v>10</v>
      </c>
      <c r="Q165" s="34">
        <f>VLOOKUP(A165,'SSP_March''19'!$A$3:$Q$1193,17,0)</f>
        <v>1</v>
      </c>
      <c r="R165" s="35">
        <f t="shared" si="14"/>
        <v>0.1</v>
      </c>
      <c r="S165" s="49">
        <f>ROUND(VLOOKUP(A165,'SSP_March''19'!$A$3:$T$1193,19,0),0)</f>
        <v>3</v>
      </c>
      <c r="T165" s="44">
        <f>VLOOKUP(A165,'SSP_March''19'!$A$3:$T$1193,20,0)</f>
        <v>0.3</v>
      </c>
      <c r="U165" s="34">
        <f>VLOOKUP(A165,'SSP_March''19'!$A$3:$X$1193,21,0)</f>
        <v>0</v>
      </c>
      <c r="V165" s="34">
        <f>VLOOKUP(A165,'SSP_March''19'!$A$3:$X$1193,22,0)</f>
        <v>0</v>
      </c>
      <c r="W165" s="34">
        <f>VLOOKUP(A165,'SSP_March''19'!$A$3:$X$1193,23,0)</f>
        <v>0</v>
      </c>
      <c r="X165" s="34">
        <f>VLOOKUP(A165,'SSP_March''19'!$A$3:$X$1193,24,0)</f>
        <v>0</v>
      </c>
    </row>
    <row r="166" spans="1:24">
      <c r="A166" s="34" t="s">
        <v>282</v>
      </c>
      <c r="B166" s="34" t="s">
        <v>269</v>
      </c>
      <c r="C166" s="34" t="s">
        <v>202</v>
      </c>
      <c r="D166" s="34" t="s">
        <v>166</v>
      </c>
      <c r="E166" s="34" t="s">
        <v>3</v>
      </c>
      <c r="F166" s="34" t="s">
        <v>283</v>
      </c>
      <c r="G166" s="54">
        <v>1819536328</v>
      </c>
      <c r="H166" s="54" t="s">
        <v>229</v>
      </c>
      <c r="I166" s="54" t="s">
        <v>3514</v>
      </c>
      <c r="J166" s="34" t="s">
        <v>3515</v>
      </c>
      <c r="K166" s="43">
        <f>VLOOKUP(A166,'SSP_March''19'!$A$3:$L$1193,11,0)</f>
        <v>130000</v>
      </c>
      <c r="L166" s="43">
        <f>VLOOKUP(A166,'SSP_March''19'!$A$3:$L$1193,12,0)</f>
        <v>16820</v>
      </c>
      <c r="M166" s="44">
        <f t="shared" si="12"/>
        <v>0.12938461538461538</v>
      </c>
      <c r="N166" s="49">
        <f>ROUND(VLOOKUP(A166,'SSP_March''19'!$A$3:$N$1193,14,0),0)</f>
        <v>52142</v>
      </c>
      <c r="O166" s="44">
        <f t="shared" si="13"/>
        <v>0.40109230769230769</v>
      </c>
      <c r="P166" s="45">
        <f>VLOOKUP(A166,'SSP_March''19'!$A$3:$Q$1193,16,0)</f>
        <v>10</v>
      </c>
      <c r="Q166" s="34">
        <f>VLOOKUP(A166,'SSP_March''19'!$A$3:$Q$1193,17,0)</f>
        <v>1</v>
      </c>
      <c r="R166" s="35">
        <f t="shared" si="14"/>
        <v>0.1</v>
      </c>
      <c r="S166" s="49">
        <f>ROUND(VLOOKUP(A166,'SSP_March''19'!$A$3:$T$1193,19,0),0)</f>
        <v>3</v>
      </c>
      <c r="T166" s="44">
        <f>VLOOKUP(A166,'SSP_March''19'!$A$3:$T$1193,20,0)</f>
        <v>0.3</v>
      </c>
      <c r="U166" s="34">
        <f>VLOOKUP(A166,'SSP_March''19'!$A$3:$X$1193,21,0)</f>
        <v>0</v>
      </c>
      <c r="V166" s="34">
        <f>VLOOKUP(A166,'SSP_March''19'!$A$3:$X$1193,22,0)</f>
        <v>0</v>
      </c>
      <c r="W166" s="34">
        <f>VLOOKUP(A166,'SSP_March''19'!$A$3:$X$1193,23,0)</f>
        <v>0</v>
      </c>
      <c r="X166" s="34">
        <f>VLOOKUP(A166,'SSP_March''19'!$A$3:$X$1193,24,0)</f>
        <v>0</v>
      </c>
    </row>
    <row r="167" spans="1:24">
      <c r="A167" s="34" t="s">
        <v>290</v>
      </c>
      <c r="B167" s="34" t="s">
        <v>291</v>
      </c>
      <c r="C167" s="34" t="s">
        <v>202</v>
      </c>
      <c r="D167" s="34" t="s">
        <v>166</v>
      </c>
      <c r="E167" s="34" t="s">
        <v>3</v>
      </c>
      <c r="F167" s="34" t="s">
        <v>292</v>
      </c>
      <c r="G167" s="54">
        <v>1875117072</v>
      </c>
      <c r="H167" s="54" t="s">
        <v>229</v>
      </c>
      <c r="I167" s="54" t="s">
        <v>3514</v>
      </c>
      <c r="J167" s="34" t="s">
        <v>3421</v>
      </c>
      <c r="K167" s="43">
        <f>VLOOKUP(A167,'SSP_March''19'!$A$3:$L$1193,11,0)</f>
        <v>130000</v>
      </c>
      <c r="L167" s="43">
        <f>VLOOKUP(A167,'SSP_March''19'!$A$3:$L$1193,12,0)</f>
        <v>15188</v>
      </c>
      <c r="M167" s="44">
        <f t="shared" si="12"/>
        <v>0.11683076923076922</v>
      </c>
      <c r="N167" s="49">
        <f>ROUND(VLOOKUP(A167,'SSP_March''19'!$A$3:$N$1193,14,0),0)</f>
        <v>47083</v>
      </c>
      <c r="O167" s="44">
        <f t="shared" si="13"/>
        <v>0.36217692307692306</v>
      </c>
      <c r="P167" s="45">
        <f>VLOOKUP(A167,'SSP_March''19'!$A$3:$Q$1193,16,0)</f>
        <v>10</v>
      </c>
      <c r="Q167" s="34">
        <f>VLOOKUP(A167,'SSP_March''19'!$A$3:$Q$1193,17,0)</f>
        <v>0</v>
      </c>
      <c r="R167" s="35">
        <f t="shared" si="14"/>
        <v>0</v>
      </c>
      <c r="S167" s="49">
        <f>ROUND(VLOOKUP(A167,'SSP_March''19'!$A$3:$T$1193,19,0),0)</f>
        <v>0</v>
      </c>
      <c r="T167" s="44">
        <f>VLOOKUP(A167,'SSP_March''19'!$A$3:$T$1193,20,0)</f>
        <v>0</v>
      </c>
      <c r="U167" s="34">
        <f>VLOOKUP(A167,'SSP_March''19'!$A$3:$X$1193,21,0)</f>
        <v>0</v>
      </c>
      <c r="V167" s="34">
        <f>VLOOKUP(A167,'SSP_March''19'!$A$3:$X$1193,22,0)</f>
        <v>0</v>
      </c>
      <c r="W167" s="34">
        <f>VLOOKUP(A167,'SSP_March''19'!$A$3:$X$1193,23,0)</f>
        <v>0</v>
      </c>
      <c r="X167" s="34">
        <f>VLOOKUP(A167,'SSP_March''19'!$A$3:$X$1193,24,0)</f>
        <v>0</v>
      </c>
    </row>
    <row r="168" spans="1:24">
      <c r="A168" s="34" t="s">
        <v>284</v>
      </c>
      <c r="B168" s="34" t="s">
        <v>285</v>
      </c>
      <c r="C168" s="34" t="s">
        <v>202</v>
      </c>
      <c r="D168" s="34" t="s">
        <v>166</v>
      </c>
      <c r="E168" s="34" t="s">
        <v>3</v>
      </c>
      <c r="F168" s="34" t="s">
        <v>286</v>
      </c>
      <c r="G168" s="54">
        <v>1811199117</v>
      </c>
      <c r="H168" s="54" t="s">
        <v>229</v>
      </c>
      <c r="I168" s="54" t="s">
        <v>3514</v>
      </c>
      <c r="J168" s="34" t="s">
        <v>3419</v>
      </c>
      <c r="K168" s="43">
        <f>VLOOKUP(A168,'SSP_March''19'!$A$3:$L$1193,11,0)</f>
        <v>130000</v>
      </c>
      <c r="L168" s="43">
        <f>VLOOKUP(A168,'SSP_March''19'!$A$3:$L$1193,12,0)</f>
        <v>7590</v>
      </c>
      <c r="M168" s="44">
        <f t="shared" si="12"/>
        <v>5.8384615384615382E-2</v>
      </c>
      <c r="N168" s="49">
        <f>ROUND(VLOOKUP(A168,'SSP_March''19'!$A$3:$N$1193,14,0),0)</f>
        <v>23529</v>
      </c>
      <c r="O168" s="44">
        <f t="shared" si="13"/>
        <v>0.1809923076923077</v>
      </c>
      <c r="P168" s="45">
        <f>VLOOKUP(A168,'SSP_March''19'!$A$3:$Q$1193,16,0)</f>
        <v>10</v>
      </c>
      <c r="Q168" s="34">
        <f>VLOOKUP(A168,'SSP_March''19'!$A$3:$Q$1193,17,0)</f>
        <v>1</v>
      </c>
      <c r="R168" s="35">
        <f t="shared" si="14"/>
        <v>0.1</v>
      </c>
      <c r="S168" s="49">
        <f>ROUND(VLOOKUP(A168,'SSP_March''19'!$A$3:$T$1193,19,0),0)</f>
        <v>3</v>
      </c>
      <c r="T168" s="44">
        <f>VLOOKUP(A168,'SSP_March''19'!$A$3:$T$1193,20,0)</f>
        <v>0.3</v>
      </c>
      <c r="U168" s="34">
        <f>VLOOKUP(A168,'SSP_March''19'!$A$3:$X$1193,21,0)</f>
        <v>0</v>
      </c>
      <c r="V168" s="34">
        <f>VLOOKUP(A168,'SSP_March''19'!$A$3:$X$1193,22,0)</f>
        <v>0</v>
      </c>
      <c r="W168" s="34">
        <f>VLOOKUP(A168,'SSP_March''19'!$A$3:$X$1193,23,0)</f>
        <v>1</v>
      </c>
      <c r="X168" s="34">
        <f>VLOOKUP(A168,'SSP_March''19'!$A$3:$X$1193,24,0)</f>
        <v>0</v>
      </c>
    </row>
    <row r="169" spans="1:24">
      <c r="A169" s="34" t="s">
        <v>280</v>
      </c>
      <c r="B169" s="34" t="s">
        <v>202</v>
      </c>
      <c r="C169" s="34" t="s">
        <v>202</v>
      </c>
      <c r="D169" s="34" t="s">
        <v>166</v>
      </c>
      <c r="E169" s="34" t="s">
        <v>3</v>
      </c>
      <c r="F169" s="34" t="s">
        <v>281</v>
      </c>
      <c r="G169" s="54">
        <v>1820302279</v>
      </c>
      <c r="H169" s="54" t="s">
        <v>229</v>
      </c>
      <c r="I169" s="54" t="s">
        <v>3514</v>
      </c>
      <c r="J169" s="34" t="s">
        <v>3419</v>
      </c>
      <c r="K169" s="43">
        <f>VLOOKUP(A169,'SSP_March''19'!$A$3:$L$1193,11,0)</f>
        <v>192657</v>
      </c>
      <c r="L169" s="43">
        <f>VLOOKUP(A169,'SSP_March''19'!$A$3:$L$1193,12,0)</f>
        <v>54809</v>
      </c>
      <c r="M169" s="44">
        <f t="shared" ref="M169:M170" si="21">L169/K169</f>
        <v>0.28449005226905849</v>
      </c>
      <c r="N169" s="49">
        <f>ROUND(VLOOKUP(A169,'SSP_March''19'!$A$3:$N$1193,14,0),0)</f>
        <v>169908</v>
      </c>
      <c r="O169" s="44">
        <f t="shared" ref="O169:O170" si="22">N169/K169</f>
        <v>0.88191968109126584</v>
      </c>
      <c r="P169" s="45">
        <f>VLOOKUP(A169,'SSP_March''19'!$A$3:$Q$1193,16,0)</f>
        <v>10</v>
      </c>
      <c r="Q169" s="34">
        <f>VLOOKUP(A169,'SSP_March''19'!$A$3:$Q$1193,17,0)</f>
        <v>3</v>
      </c>
      <c r="R169" s="35">
        <f t="shared" ref="R169:R170" si="23">Q169/P169</f>
        <v>0.3</v>
      </c>
      <c r="S169" s="49">
        <f>ROUND(VLOOKUP(A169,'SSP_March''19'!$A$3:$T$1193,19,0),0)</f>
        <v>9</v>
      </c>
      <c r="T169" s="44">
        <f>VLOOKUP(A169,'SSP_March''19'!$A$3:$T$1193,20,0)</f>
        <v>0.9</v>
      </c>
      <c r="U169" s="34">
        <f>VLOOKUP(A169,'SSP_March''19'!$A$3:$X$1193,21,0)</f>
        <v>1</v>
      </c>
      <c r="V169" s="34">
        <f>VLOOKUP(A169,'SSP_March''19'!$A$3:$X$1193,22,0)</f>
        <v>2</v>
      </c>
      <c r="W169" s="34">
        <f>VLOOKUP(A169,'SSP_March''19'!$A$3:$X$1193,23,0)</f>
        <v>0</v>
      </c>
      <c r="X169" s="34">
        <f>VLOOKUP(A169,'SSP_March''19'!$A$3:$X$1193,24,0)</f>
        <v>0</v>
      </c>
    </row>
    <row r="170" spans="1:24">
      <c r="A170" s="34" t="s">
        <v>287</v>
      </c>
      <c r="B170" s="34" t="s">
        <v>288</v>
      </c>
      <c r="C170" s="34" t="s">
        <v>202</v>
      </c>
      <c r="D170" s="34" t="s">
        <v>166</v>
      </c>
      <c r="E170" s="34" t="s">
        <v>3</v>
      </c>
      <c r="F170" s="34" t="s">
        <v>289</v>
      </c>
      <c r="G170" s="54">
        <v>1881095594</v>
      </c>
      <c r="H170" s="54" t="s">
        <v>229</v>
      </c>
      <c r="I170" s="54" t="s">
        <v>3514</v>
      </c>
      <c r="J170" s="34" t="s">
        <v>3419</v>
      </c>
      <c r="K170" s="43">
        <f>VLOOKUP(A170,'SSP_March''19'!$A$3:$L$1193,11,0)</f>
        <v>130000</v>
      </c>
      <c r="L170" s="43">
        <f>VLOOKUP(A170,'SSP_March''19'!$A$3:$L$1193,12,0)</f>
        <v>43089</v>
      </c>
      <c r="M170" s="44">
        <f t="shared" si="21"/>
        <v>0.33145384615384615</v>
      </c>
      <c r="N170" s="49">
        <f>ROUND(VLOOKUP(A170,'SSP_March''19'!$A$3:$N$1193,14,0),0)</f>
        <v>133576</v>
      </c>
      <c r="O170" s="44">
        <f t="shared" si="22"/>
        <v>1.0275076923076922</v>
      </c>
      <c r="P170" s="45">
        <f>VLOOKUP(A170,'SSP_March''19'!$A$3:$Q$1193,16,0)</f>
        <v>10</v>
      </c>
      <c r="Q170" s="34">
        <f>VLOOKUP(A170,'SSP_March''19'!$A$3:$Q$1193,17,0)</f>
        <v>2</v>
      </c>
      <c r="R170" s="35">
        <f t="shared" si="23"/>
        <v>0.2</v>
      </c>
      <c r="S170" s="49">
        <f>ROUND(VLOOKUP(A170,'SSP_March''19'!$A$3:$T$1193,19,0),0)</f>
        <v>6</v>
      </c>
      <c r="T170" s="44">
        <f>VLOOKUP(A170,'SSP_March''19'!$A$3:$T$1193,20,0)</f>
        <v>0.6</v>
      </c>
      <c r="U170" s="34">
        <f>VLOOKUP(A170,'SSP_March''19'!$A$3:$X$1193,21,0)</f>
        <v>0</v>
      </c>
      <c r="V170" s="34">
        <f>VLOOKUP(A170,'SSP_March''19'!$A$3:$X$1193,22,0)</f>
        <v>1</v>
      </c>
      <c r="W170" s="34">
        <f>VLOOKUP(A170,'SSP_March''19'!$A$3:$X$1193,23,0)</f>
        <v>0</v>
      </c>
      <c r="X170" s="34">
        <f>VLOOKUP(A170,'SSP_March''19'!$A$3:$X$1193,24,0)</f>
        <v>0</v>
      </c>
    </row>
  </sheetData>
  <conditionalFormatting sqref="A357:A1048576">
    <cfRule type="duplicateValues" dxfId="51" priority="25"/>
  </conditionalFormatting>
  <conditionalFormatting sqref="A2">
    <cfRule type="duplicateValues" dxfId="50" priority="23"/>
  </conditionalFormatting>
  <conditionalFormatting sqref="A2">
    <cfRule type="duplicateValues" dxfId="49" priority="21"/>
    <cfRule type="duplicateValues" priority="22"/>
  </conditionalFormatting>
  <conditionalFormatting sqref="A2">
    <cfRule type="duplicateValues" dxfId="48" priority="20"/>
  </conditionalFormatting>
  <conditionalFormatting sqref="A2">
    <cfRule type="duplicateValues" dxfId="47" priority="24"/>
  </conditionalFormatting>
  <conditionalFormatting sqref="A2">
    <cfRule type="duplicateValues" dxfId="46" priority="19"/>
  </conditionalFormatting>
  <conditionalFormatting sqref="A3:A170">
    <cfRule type="duplicateValues" dxfId="45" priority="1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8"/>
  <sheetViews>
    <sheetView workbookViewId="0">
      <pane xSplit="2" ySplit="2" topLeftCell="J3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R3" sqref="R3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8" max="8" width="12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SUBTOTAL(9,K3:K108)</f>
        <v>18721258</v>
      </c>
      <c r="L1" s="31">
        <f>SUBTOTAL(9,L3:L108)</f>
        <v>5002866</v>
      </c>
      <c r="M1" s="30">
        <f>L1/K1</f>
        <v>0.26722915735684</v>
      </c>
      <c r="N1" s="30"/>
      <c r="O1" s="30"/>
      <c r="P1" s="31">
        <f>SUBTOTAL(9,P3:P108)</f>
        <v>1148</v>
      </c>
      <c r="Q1" s="31">
        <f>SUBTOTAL(9,Q3:Q108)</f>
        <v>181</v>
      </c>
      <c r="R1" s="30">
        <f>Q1/P1</f>
        <v>0.15766550522648085</v>
      </c>
      <c r="S1" s="30"/>
      <c r="T1" s="30"/>
      <c r="U1" s="31">
        <f>SUBTOTAL(9,U3:U108)</f>
        <v>64</v>
      </c>
      <c r="V1" s="31">
        <f>SUBTOTAL(9,V3:V108)</f>
        <v>37</v>
      </c>
      <c r="W1" s="31">
        <f>SUBTOTAL(9,W3:W108)</f>
        <v>9</v>
      </c>
      <c r="X1" s="31">
        <f>SUBTOTAL(9,X3:X108)</f>
        <v>4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34" t="s">
        <v>858</v>
      </c>
      <c r="B3" s="34" t="s">
        <v>859</v>
      </c>
      <c r="C3" s="34" t="s">
        <v>213</v>
      </c>
      <c r="D3" s="34" t="s">
        <v>185</v>
      </c>
      <c r="E3" s="34" t="s">
        <v>1</v>
      </c>
      <c r="F3" s="34" t="s">
        <v>235</v>
      </c>
      <c r="G3" s="54">
        <v>1732386889</v>
      </c>
      <c r="H3" s="54" t="s">
        <v>229</v>
      </c>
      <c r="I3" s="54" t="s">
        <v>3514</v>
      </c>
      <c r="J3" s="34" t="s">
        <v>3419</v>
      </c>
      <c r="K3" s="43">
        <f>VLOOKUP(A3,'SSP_March''19'!$A$3:$L$1193,11,0)</f>
        <v>248264</v>
      </c>
      <c r="L3" s="43">
        <f>VLOOKUP(A3,'SSP_March''19'!$A$3:$L$1193,12,0)</f>
        <v>67865</v>
      </c>
      <c r="M3" s="44">
        <f t="shared" ref="M3:M66" si="0">L3/K3</f>
        <v>0.27335819933619049</v>
      </c>
      <c r="N3" s="49">
        <f>ROUND(VLOOKUP(A3,'SSP_March''19'!$A$3:$N$1193,14,0),0)</f>
        <v>210382</v>
      </c>
      <c r="O3" s="44">
        <f t="shared" ref="O3:O66" si="1">N3/K3</f>
        <v>0.8474124319273032</v>
      </c>
      <c r="P3" s="45">
        <f>VLOOKUP(A3,'SSP_March''19'!$A$3:$Q$1193,16,0)</f>
        <v>10</v>
      </c>
      <c r="Q3" s="34">
        <f>VLOOKUP(A3,'SSP_March''19'!$A$3:$Q$1193,17,0)</f>
        <v>2</v>
      </c>
      <c r="R3" s="35">
        <f t="shared" ref="R3" si="2">Q3/P3</f>
        <v>0.2</v>
      </c>
      <c r="S3" s="49">
        <f>ROUND(VLOOKUP(A3,'SSP_March''19'!$A$3:$T$1193,19,0),0)</f>
        <v>6</v>
      </c>
      <c r="T3" s="44">
        <f>VLOOKUP(A3,'SSP_March''19'!$A$3:$T$1193,20,0)</f>
        <v>0.6</v>
      </c>
      <c r="U3" s="34">
        <f>VLOOKUP(A3,'SSP_March''19'!$A$3:$X$1193,21,0)</f>
        <v>2</v>
      </c>
      <c r="V3" s="34">
        <f>VLOOKUP(A3,'SSP_March''19'!$A$3:$X$1193,22,0)</f>
        <v>0</v>
      </c>
      <c r="W3" s="34">
        <f>VLOOKUP(A3,'SSP_March''19'!$A$3:$X$1193,23,0)</f>
        <v>0</v>
      </c>
      <c r="X3" s="34">
        <f>VLOOKUP(A3,'SSP_March''19'!$A$3:$X$1193,24,0)</f>
        <v>0</v>
      </c>
    </row>
    <row r="4" spans="1:24">
      <c r="A4" s="34" t="s">
        <v>1008</v>
      </c>
      <c r="B4" s="34" t="s">
        <v>850</v>
      </c>
      <c r="C4" s="34" t="s">
        <v>213</v>
      </c>
      <c r="D4" s="34" t="s">
        <v>185</v>
      </c>
      <c r="E4" s="34" t="s">
        <v>1</v>
      </c>
      <c r="F4" s="34" t="s">
        <v>1009</v>
      </c>
      <c r="G4" s="54">
        <v>1793022847</v>
      </c>
      <c r="H4" s="54" t="s">
        <v>229</v>
      </c>
      <c r="I4" s="54" t="s">
        <v>3514</v>
      </c>
      <c r="J4" s="34" t="s">
        <v>3419</v>
      </c>
      <c r="K4" s="43">
        <f>VLOOKUP(A4,'SSP_March''19'!$A$3:$L$1193,11,0)</f>
        <v>270696</v>
      </c>
      <c r="L4" s="43">
        <f>VLOOKUP(A4,'SSP_March''19'!$A$3:$L$1193,12,0)</f>
        <v>105000</v>
      </c>
      <c r="M4" s="44">
        <f t="shared" si="0"/>
        <v>0.38788899725152937</v>
      </c>
      <c r="N4" s="49">
        <f>ROUND(VLOOKUP(A4,'SSP_March''19'!$A$3:$N$1193,14,0),0)</f>
        <v>325500</v>
      </c>
      <c r="O4" s="44">
        <f t="shared" si="1"/>
        <v>1.2024558914797412</v>
      </c>
      <c r="P4" s="45">
        <f>VLOOKUP(A4,'SSP_March''19'!$A$3:$Q$1193,16,0)</f>
        <v>10</v>
      </c>
      <c r="Q4" s="34">
        <f>VLOOKUP(A4,'SSP_March''19'!$A$3:$Q$1193,17,0)</f>
        <v>4</v>
      </c>
      <c r="R4" s="35">
        <f t="shared" ref="R4:R67" si="3">Q4/P4</f>
        <v>0.4</v>
      </c>
      <c r="S4" s="49">
        <f>ROUND(VLOOKUP(A4,'SSP_March''19'!$A$3:$T$1193,19,0),0)</f>
        <v>12</v>
      </c>
      <c r="T4" s="44">
        <f>VLOOKUP(A4,'SSP_March''19'!$A$3:$T$1193,20,0)</f>
        <v>1.2</v>
      </c>
      <c r="U4" s="34">
        <f>VLOOKUP(A4,'SSP_March''19'!$A$3:$X$1193,21,0)</f>
        <v>0</v>
      </c>
      <c r="V4" s="34">
        <f>VLOOKUP(A4,'SSP_March''19'!$A$3:$X$1193,22,0)</f>
        <v>0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34" t="s">
        <v>1058</v>
      </c>
      <c r="B5" s="34" t="s">
        <v>217</v>
      </c>
      <c r="C5" s="34" t="s">
        <v>213</v>
      </c>
      <c r="D5" s="34" t="s">
        <v>185</v>
      </c>
      <c r="E5" s="34" t="s">
        <v>1</v>
      </c>
      <c r="F5" s="34" t="s">
        <v>1059</v>
      </c>
      <c r="G5" s="54">
        <v>1772244666</v>
      </c>
      <c r="H5" s="54" t="s">
        <v>229</v>
      </c>
      <c r="I5" s="54" t="s">
        <v>3514</v>
      </c>
      <c r="J5" s="34" t="s">
        <v>3515</v>
      </c>
      <c r="K5" s="43">
        <f>VLOOKUP(A5,'SSP_March''19'!$A$3:$L$1193,11,0)</f>
        <v>209034</v>
      </c>
      <c r="L5" s="43">
        <f>VLOOKUP(A5,'SSP_March''19'!$A$3:$L$1193,12,0)</f>
        <v>64910</v>
      </c>
      <c r="M5" s="44">
        <f t="shared" si="0"/>
        <v>0.31052364687084399</v>
      </c>
      <c r="N5" s="49">
        <f>ROUND(VLOOKUP(A5,'SSP_March''19'!$A$3:$N$1193,14,0),0)</f>
        <v>201221</v>
      </c>
      <c r="O5" s="44">
        <f t="shared" si="1"/>
        <v>0.96262330529961637</v>
      </c>
      <c r="P5" s="45">
        <f>VLOOKUP(A5,'SSP_March''19'!$A$3:$Q$1193,16,0)</f>
        <v>10</v>
      </c>
      <c r="Q5" s="34">
        <f>VLOOKUP(A5,'SSP_March''19'!$A$3:$Q$1193,17,0)</f>
        <v>3</v>
      </c>
      <c r="R5" s="35">
        <f t="shared" si="3"/>
        <v>0.3</v>
      </c>
      <c r="S5" s="49">
        <f>ROUND(VLOOKUP(A5,'SSP_March''19'!$A$3:$T$1193,19,0),0)</f>
        <v>9</v>
      </c>
      <c r="T5" s="44">
        <f>VLOOKUP(A5,'SSP_March''19'!$A$3:$T$1193,20,0)</f>
        <v>0.9</v>
      </c>
      <c r="U5" s="34">
        <f>VLOOKUP(A5,'SSP_March''19'!$A$3:$X$1193,21,0)</f>
        <v>0</v>
      </c>
      <c r="V5" s="34">
        <f>VLOOKUP(A5,'SSP_March''19'!$A$3:$X$1193,22,0)</f>
        <v>0</v>
      </c>
      <c r="W5" s="34">
        <f>VLOOKUP(A5,'SSP_March''19'!$A$3:$X$1193,23,0)</f>
        <v>0</v>
      </c>
      <c r="X5" s="34">
        <f>VLOOKUP(A5,'SSP_March''19'!$A$3:$X$1193,24,0)</f>
        <v>1</v>
      </c>
    </row>
    <row r="6" spans="1:24">
      <c r="A6" s="34" t="s">
        <v>2956</v>
      </c>
      <c r="B6" s="34" t="s">
        <v>834</v>
      </c>
      <c r="C6" s="34" t="s">
        <v>213</v>
      </c>
      <c r="D6" s="34" t="s">
        <v>185</v>
      </c>
      <c r="E6" s="34" t="s">
        <v>1</v>
      </c>
      <c r="F6" s="34" t="s">
        <v>2957</v>
      </c>
      <c r="G6" s="54">
        <v>1680722511</v>
      </c>
      <c r="H6" s="54" t="s">
        <v>229</v>
      </c>
      <c r="I6" s="54" t="s">
        <v>3514</v>
      </c>
      <c r="J6" s="34" t="s">
        <v>3515</v>
      </c>
      <c r="K6" s="43">
        <f>VLOOKUP(A6,'SSP_March''19'!$A$3:$L$1193,11,0)</f>
        <v>130000</v>
      </c>
      <c r="L6" s="43">
        <f>VLOOKUP(A6,'SSP_March''19'!$A$3:$L$1193,12,0)</f>
        <v>13220</v>
      </c>
      <c r="M6" s="44">
        <f t="shared" si="0"/>
        <v>0.10169230769230769</v>
      </c>
      <c r="N6" s="49">
        <f>ROUND(VLOOKUP(A6,'SSP_March''19'!$A$3:$N$1193,14,0),0)</f>
        <v>40982</v>
      </c>
      <c r="O6" s="44">
        <f t="shared" si="1"/>
        <v>0.31524615384615384</v>
      </c>
      <c r="P6" s="45">
        <f>VLOOKUP(A6,'SSP_March''19'!$A$3:$Q$1193,16,0)</f>
        <v>10</v>
      </c>
      <c r="Q6" s="34">
        <f>VLOOKUP(A6,'SSP_March''19'!$A$3:$Q$1193,17,0)</f>
        <v>0</v>
      </c>
      <c r="R6" s="35">
        <f t="shared" si="3"/>
        <v>0</v>
      </c>
      <c r="S6" s="49">
        <f>ROUND(VLOOKUP(A6,'SSP_March''19'!$A$3:$T$1193,19,0),0)</f>
        <v>0</v>
      </c>
      <c r="T6" s="44">
        <f>VLOOKUP(A6,'SSP_March''19'!$A$3:$T$1193,20,0)</f>
        <v>0</v>
      </c>
      <c r="U6" s="34">
        <f>VLOOKUP(A6,'SSP_March''19'!$A$3:$X$1193,21,0)</f>
        <v>0</v>
      </c>
      <c r="V6" s="34">
        <f>VLOOKUP(A6,'SSP_March''19'!$A$3:$X$1193,22,0)</f>
        <v>0</v>
      </c>
      <c r="W6" s="34">
        <f>VLOOKUP(A6,'SSP_March''19'!$A$3:$X$1193,23,0)</f>
        <v>0</v>
      </c>
      <c r="X6" s="34">
        <f>VLOOKUP(A6,'SSP_March''19'!$A$3:$X$1193,24,0)</f>
        <v>0</v>
      </c>
    </row>
    <row r="7" spans="1:24">
      <c r="A7" s="34" t="s">
        <v>855</v>
      </c>
      <c r="B7" s="34" t="s">
        <v>856</v>
      </c>
      <c r="C7" s="34" t="s">
        <v>184</v>
      </c>
      <c r="D7" s="34" t="s">
        <v>185</v>
      </c>
      <c r="E7" s="34" t="s">
        <v>1</v>
      </c>
      <c r="F7" s="34" t="s">
        <v>857</v>
      </c>
      <c r="G7" s="54">
        <v>1730903900</v>
      </c>
      <c r="H7" s="54" t="s">
        <v>229</v>
      </c>
      <c r="I7" s="54" t="s">
        <v>3514</v>
      </c>
      <c r="J7" s="34" t="s">
        <v>3419</v>
      </c>
      <c r="K7" s="43">
        <f>VLOOKUP(A7,'SSP_March''19'!$A$3:$L$1193,11,0)</f>
        <v>130000</v>
      </c>
      <c r="L7" s="43">
        <f>VLOOKUP(A7,'SSP_March''19'!$A$3:$L$1193,12,0)</f>
        <v>18170</v>
      </c>
      <c r="M7" s="44">
        <f t="shared" si="0"/>
        <v>0.13976923076923076</v>
      </c>
      <c r="N7" s="49">
        <f>ROUND(VLOOKUP(A7,'SSP_March''19'!$A$3:$N$1193,14,0),0)</f>
        <v>56327</v>
      </c>
      <c r="O7" s="44">
        <f t="shared" si="1"/>
        <v>0.43328461538461538</v>
      </c>
      <c r="P7" s="45">
        <f>VLOOKUP(A7,'SSP_March''19'!$A$3:$Q$1193,16,0)</f>
        <v>10</v>
      </c>
      <c r="Q7" s="34">
        <f>VLOOKUP(A7,'SSP_March''19'!$A$3:$Q$1193,17,0)</f>
        <v>1</v>
      </c>
      <c r="R7" s="35">
        <f t="shared" si="3"/>
        <v>0.1</v>
      </c>
      <c r="S7" s="49">
        <f>ROUND(VLOOKUP(A7,'SSP_March''19'!$A$3:$T$1193,19,0),0)</f>
        <v>3</v>
      </c>
      <c r="T7" s="44">
        <f>VLOOKUP(A7,'SSP_March''19'!$A$3:$T$1193,20,0)</f>
        <v>0.3</v>
      </c>
      <c r="U7" s="34">
        <f>VLOOKUP(A7,'SSP_March''19'!$A$3:$X$1193,21,0)</f>
        <v>0</v>
      </c>
      <c r="V7" s="34">
        <f>VLOOKUP(A7,'SSP_March''19'!$A$3:$X$1193,22,0)</f>
        <v>0</v>
      </c>
      <c r="W7" s="34">
        <f>VLOOKUP(A7,'SSP_March''19'!$A$3:$X$1193,23,0)</f>
        <v>0</v>
      </c>
      <c r="X7" s="34">
        <f>VLOOKUP(A7,'SSP_March''19'!$A$3:$X$1193,24,0)</f>
        <v>0</v>
      </c>
    </row>
    <row r="8" spans="1:24">
      <c r="A8" s="34" t="s">
        <v>893</v>
      </c>
      <c r="B8" s="34" t="s">
        <v>894</v>
      </c>
      <c r="C8" s="34" t="s">
        <v>184</v>
      </c>
      <c r="D8" s="34" t="s">
        <v>185</v>
      </c>
      <c r="E8" s="34" t="s">
        <v>1</v>
      </c>
      <c r="F8" s="34" t="s">
        <v>895</v>
      </c>
      <c r="G8" s="54">
        <v>1686460102</v>
      </c>
      <c r="H8" s="54" t="s">
        <v>229</v>
      </c>
      <c r="I8" s="54" t="s">
        <v>3514</v>
      </c>
      <c r="J8" s="34" t="s">
        <v>3421</v>
      </c>
      <c r="K8" s="43">
        <f>VLOOKUP(A8,'SSP_March''19'!$A$3:$L$1193,11,0)</f>
        <v>130000</v>
      </c>
      <c r="L8" s="43">
        <f>VLOOKUP(A8,'SSP_March''19'!$A$3:$L$1193,12,0)</f>
        <v>4740</v>
      </c>
      <c r="M8" s="44">
        <f t="shared" si="0"/>
        <v>3.6461538461538462E-2</v>
      </c>
      <c r="N8" s="49">
        <f>ROUND(VLOOKUP(A8,'SSP_March''19'!$A$3:$N$1193,14,0),0)</f>
        <v>14694</v>
      </c>
      <c r="O8" s="44">
        <f t="shared" si="1"/>
        <v>0.11303076923076923</v>
      </c>
      <c r="P8" s="45">
        <f>VLOOKUP(A8,'SSP_March''19'!$A$3:$Q$1193,16,0)</f>
        <v>10</v>
      </c>
      <c r="Q8" s="34">
        <f>VLOOKUP(A8,'SSP_March''19'!$A$3:$Q$1193,17,0)</f>
        <v>0</v>
      </c>
      <c r="R8" s="35">
        <f t="shared" si="3"/>
        <v>0</v>
      </c>
      <c r="S8" s="49">
        <f>ROUND(VLOOKUP(A8,'SSP_March''19'!$A$3:$T$1193,19,0),0)</f>
        <v>0</v>
      </c>
      <c r="T8" s="44">
        <f>VLOOKUP(A8,'SSP_March''19'!$A$3:$T$1193,20,0)</f>
        <v>0</v>
      </c>
      <c r="U8" s="34">
        <f>VLOOKUP(A8,'SSP_March''19'!$A$3:$X$1193,21,0)</f>
        <v>0</v>
      </c>
      <c r="V8" s="34">
        <f>VLOOKUP(A8,'SSP_March''19'!$A$3:$X$1193,22,0)</f>
        <v>0</v>
      </c>
      <c r="W8" s="34">
        <f>VLOOKUP(A8,'SSP_March''19'!$A$3:$X$1193,23,0)</f>
        <v>0</v>
      </c>
      <c r="X8" s="34">
        <f>VLOOKUP(A8,'SSP_March''19'!$A$3:$X$1193,24,0)</f>
        <v>0</v>
      </c>
    </row>
    <row r="9" spans="1:24">
      <c r="A9" s="34" t="s">
        <v>1028</v>
      </c>
      <c r="B9" s="34" t="s">
        <v>1029</v>
      </c>
      <c r="C9" s="34" t="s">
        <v>184</v>
      </c>
      <c r="D9" s="34" t="s">
        <v>185</v>
      </c>
      <c r="E9" s="34" t="s">
        <v>1</v>
      </c>
      <c r="F9" s="34" t="s">
        <v>520</v>
      </c>
      <c r="G9" s="54">
        <v>1751533333</v>
      </c>
      <c r="H9" s="54" t="s">
        <v>229</v>
      </c>
      <c r="I9" s="54" t="s">
        <v>3514</v>
      </c>
      <c r="J9" s="34" t="s">
        <v>3419</v>
      </c>
      <c r="K9" s="43">
        <f>VLOOKUP(A9,'SSP_March''19'!$A$3:$L$1193,11,0)</f>
        <v>161049</v>
      </c>
      <c r="L9" s="43">
        <f>VLOOKUP(A9,'SSP_March''19'!$A$3:$L$1193,12,0)</f>
        <v>40770</v>
      </c>
      <c r="M9" s="44">
        <f t="shared" si="0"/>
        <v>0.2531527671702401</v>
      </c>
      <c r="N9" s="49">
        <f>ROUND(VLOOKUP(A9,'SSP_March''19'!$A$3:$N$1193,14,0),0)</f>
        <v>126387</v>
      </c>
      <c r="O9" s="44">
        <f t="shared" si="1"/>
        <v>0.78477357822774441</v>
      </c>
      <c r="P9" s="45">
        <f>VLOOKUP(A9,'SSP_March''19'!$A$3:$Q$1193,16,0)</f>
        <v>10</v>
      </c>
      <c r="Q9" s="34">
        <f>VLOOKUP(A9,'SSP_March''19'!$A$3:$Q$1193,17,0)</f>
        <v>1</v>
      </c>
      <c r="R9" s="35">
        <f t="shared" si="3"/>
        <v>0.1</v>
      </c>
      <c r="S9" s="49">
        <f>ROUND(VLOOKUP(A9,'SSP_March''19'!$A$3:$T$1193,19,0),0)</f>
        <v>3</v>
      </c>
      <c r="T9" s="44">
        <f>VLOOKUP(A9,'SSP_March''19'!$A$3:$T$1193,20,0)</f>
        <v>0.3</v>
      </c>
      <c r="U9" s="34">
        <f>VLOOKUP(A9,'SSP_March''19'!$A$3:$X$1193,21,0)</f>
        <v>0</v>
      </c>
      <c r="V9" s="34">
        <f>VLOOKUP(A9,'SSP_March''19'!$A$3:$X$1193,22,0)</f>
        <v>0</v>
      </c>
      <c r="W9" s="34">
        <f>VLOOKUP(A9,'SSP_March''19'!$A$3:$X$1193,23,0)</f>
        <v>1</v>
      </c>
      <c r="X9" s="34">
        <f>VLOOKUP(A9,'SSP_March''19'!$A$3:$X$1193,24,0)</f>
        <v>0</v>
      </c>
    </row>
    <row r="10" spans="1:24">
      <c r="A10" s="34" t="s">
        <v>3190</v>
      </c>
      <c r="B10" s="34" t="s">
        <v>557</v>
      </c>
      <c r="C10" s="34" t="s">
        <v>184</v>
      </c>
      <c r="D10" s="34" t="s">
        <v>185</v>
      </c>
      <c r="E10" s="34" t="s">
        <v>1</v>
      </c>
      <c r="F10" s="34" t="s">
        <v>3191</v>
      </c>
      <c r="G10" s="54">
        <v>1788000444</v>
      </c>
      <c r="H10" s="54" t="s">
        <v>229</v>
      </c>
      <c r="I10" s="54" t="s">
        <v>3514</v>
      </c>
      <c r="J10" s="34" t="s">
        <v>3419</v>
      </c>
      <c r="K10" s="43">
        <f>VLOOKUP(A10,'SSP_March''19'!$A$3:$L$1193,11,0)</f>
        <v>130000</v>
      </c>
      <c r="L10" s="43">
        <f>VLOOKUP(A10,'SSP_March''19'!$A$3:$L$1193,12,0)</f>
        <v>35350</v>
      </c>
      <c r="M10" s="44">
        <f t="shared" si="0"/>
        <v>0.27192307692307693</v>
      </c>
      <c r="N10" s="49">
        <f>ROUND(VLOOKUP(A10,'SSP_March''19'!$A$3:$N$1193,14,0),0)</f>
        <v>109585</v>
      </c>
      <c r="O10" s="44">
        <f t="shared" si="1"/>
        <v>0.84296153846153843</v>
      </c>
      <c r="P10" s="45">
        <f>VLOOKUP(A10,'SSP_March''19'!$A$3:$Q$1193,16,0)</f>
        <v>10</v>
      </c>
      <c r="Q10" s="34">
        <f>VLOOKUP(A10,'SSP_March''19'!$A$3:$Q$1193,17,0)</f>
        <v>2</v>
      </c>
      <c r="R10" s="35">
        <f t="shared" si="3"/>
        <v>0.2</v>
      </c>
      <c r="S10" s="49">
        <f>ROUND(VLOOKUP(A10,'SSP_March''19'!$A$3:$T$1193,19,0),0)</f>
        <v>6</v>
      </c>
      <c r="T10" s="44">
        <f>VLOOKUP(A10,'SSP_March''19'!$A$3:$T$1193,20,0)</f>
        <v>0.6</v>
      </c>
      <c r="U10" s="34">
        <f>VLOOKUP(A10,'SSP_March''19'!$A$3:$X$1193,21,0)</f>
        <v>2</v>
      </c>
      <c r="V10" s="34">
        <f>VLOOKUP(A10,'SSP_March''19'!$A$3:$X$1193,22,0)</f>
        <v>1</v>
      </c>
      <c r="W10" s="34">
        <f>VLOOKUP(A10,'SSP_March''19'!$A$3:$X$1193,23,0)</f>
        <v>0</v>
      </c>
      <c r="X10" s="34">
        <f>VLOOKUP(A10,'SSP_March''19'!$A$3:$X$1193,24,0)</f>
        <v>0</v>
      </c>
    </row>
    <row r="11" spans="1:24">
      <c r="A11" s="34" t="s">
        <v>1056</v>
      </c>
      <c r="B11" s="34" t="s">
        <v>78</v>
      </c>
      <c r="C11" s="34" t="s">
        <v>184</v>
      </c>
      <c r="D11" s="34" t="s">
        <v>185</v>
      </c>
      <c r="E11" s="34" t="s">
        <v>1</v>
      </c>
      <c r="F11" s="34" t="s">
        <v>1057</v>
      </c>
      <c r="G11" s="54">
        <v>1711964000</v>
      </c>
      <c r="H11" s="54" t="s">
        <v>229</v>
      </c>
      <c r="I11" s="54" t="s">
        <v>3514</v>
      </c>
      <c r="J11" s="34" t="s">
        <v>3419</v>
      </c>
      <c r="K11" s="43">
        <f>VLOOKUP(A11,'SSP_March''19'!$A$3:$L$1193,11,0)</f>
        <v>130000</v>
      </c>
      <c r="L11" s="43">
        <f>VLOOKUP(A11,'SSP_March''19'!$A$3:$L$1193,12,0)</f>
        <v>22310</v>
      </c>
      <c r="M11" s="44">
        <f t="shared" si="0"/>
        <v>0.17161538461538461</v>
      </c>
      <c r="N11" s="49">
        <f>ROUND(VLOOKUP(A11,'SSP_March''19'!$A$3:$N$1193,14,0),0)</f>
        <v>69161</v>
      </c>
      <c r="O11" s="44">
        <f t="shared" si="1"/>
        <v>0.53200769230769229</v>
      </c>
      <c r="P11" s="45">
        <f>VLOOKUP(A11,'SSP_March''19'!$A$3:$Q$1193,16,0)</f>
        <v>10</v>
      </c>
      <c r="Q11" s="34">
        <f>VLOOKUP(A11,'SSP_March''19'!$A$3:$Q$1193,17,0)</f>
        <v>1</v>
      </c>
      <c r="R11" s="35">
        <f t="shared" si="3"/>
        <v>0.1</v>
      </c>
      <c r="S11" s="49">
        <f>ROUND(VLOOKUP(A11,'SSP_March''19'!$A$3:$T$1193,19,0),0)</f>
        <v>3</v>
      </c>
      <c r="T11" s="44">
        <f>VLOOKUP(A11,'SSP_March''19'!$A$3:$T$1193,20,0)</f>
        <v>0.3</v>
      </c>
      <c r="U11" s="34">
        <f>VLOOKUP(A11,'SSP_March''19'!$A$3:$X$1193,21,0)</f>
        <v>0</v>
      </c>
      <c r="V11" s="34">
        <f>VLOOKUP(A11,'SSP_March''19'!$A$3:$X$1193,22,0)</f>
        <v>0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34" t="s">
        <v>973</v>
      </c>
      <c r="B12" s="34" t="s">
        <v>974</v>
      </c>
      <c r="C12" s="34" t="s">
        <v>184</v>
      </c>
      <c r="D12" s="34" t="s">
        <v>185</v>
      </c>
      <c r="E12" s="34" t="s">
        <v>1</v>
      </c>
      <c r="F12" s="34" t="s">
        <v>975</v>
      </c>
      <c r="G12" s="54">
        <v>1734635343</v>
      </c>
      <c r="H12" s="54" t="s">
        <v>229</v>
      </c>
      <c r="I12" s="54" t="s">
        <v>3514</v>
      </c>
      <c r="J12" s="34" t="s">
        <v>3515</v>
      </c>
      <c r="K12" s="43">
        <f>VLOOKUP(A12,'SSP_March''19'!$A$3:$L$1193,11,0)</f>
        <v>156367</v>
      </c>
      <c r="L12" s="43">
        <f>VLOOKUP(A12,'SSP_March''19'!$A$3:$L$1193,12,0)</f>
        <v>25960</v>
      </c>
      <c r="M12" s="44">
        <f t="shared" si="0"/>
        <v>0.16601968446027615</v>
      </c>
      <c r="N12" s="49">
        <f>ROUND(VLOOKUP(A12,'SSP_March''19'!$A$3:$N$1193,14,0),0)</f>
        <v>80476</v>
      </c>
      <c r="O12" s="44">
        <f t="shared" si="1"/>
        <v>0.51466102182685602</v>
      </c>
      <c r="P12" s="45">
        <f>VLOOKUP(A12,'SSP_March''19'!$A$3:$Q$1193,16,0)</f>
        <v>10</v>
      </c>
      <c r="Q12" s="34">
        <f>VLOOKUP(A12,'SSP_March''19'!$A$3:$Q$1193,17,0)</f>
        <v>1</v>
      </c>
      <c r="R12" s="35">
        <f t="shared" si="3"/>
        <v>0.1</v>
      </c>
      <c r="S12" s="49">
        <f>ROUND(VLOOKUP(A12,'SSP_March''19'!$A$3:$T$1193,19,0),0)</f>
        <v>3</v>
      </c>
      <c r="T12" s="44">
        <f>VLOOKUP(A12,'SSP_March''19'!$A$3:$T$1193,20,0)</f>
        <v>0.3</v>
      </c>
      <c r="U12" s="34">
        <f>VLOOKUP(A12,'SSP_March''19'!$A$3:$X$1193,21,0)</f>
        <v>0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34" t="s">
        <v>877</v>
      </c>
      <c r="B13" s="34" t="s">
        <v>878</v>
      </c>
      <c r="C13" s="34" t="s">
        <v>184</v>
      </c>
      <c r="D13" s="34" t="s">
        <v>185</v>
      </c>
      <c r="E13" s="34" t="s">
        <v>1</v>
      </c>
      <c r="F13" s="34" t="s">
        <v>879</v>
      </c>
      <c r="G13" s="54">
        <v>1813844737</v>
      </c>
      <c r="H13" s="54" t="s">
        <v>229</v>
      </c>
      <c r="I13" s="54" t="s">
        <v>3514</v>
      </c>
      <c r="J13" s="34" t="s">
        <v>3515</v>
      </c>
      <c r="K13" s="43">
        <f>VLOOKUP(A13,'SSP_March''19'!$A$3:$L$1193,11,0)</f>
        <v>130000</v>
      </c>
      <c r="L13" s="43">
        <f>VLOOKUP(A13,'SSP_March''19'!$A$3:$L$1193,12,0)</f>
        <v>4190</v>
      </c>
      <c r="M13" s="44">
        <f t="shared" si="0"/>
        <v>3.223076923076923E-2</v>
      </c>
      <c r="N13" s="49">
        <f>ROUND(VLOOKUP(A13,'SSP_March''19'!$A$3:$N$1193,14,0),0)</f>
        <v>12989</v>
      </c>
      <c r="O13" s="44">
        <f t="shared" si="1"/>
        <v>9.9915384615384614E-2</v>
      </c>
      <c r="P13" s="45">
        <f>VLOOKUP(A13,'SSP_March''19'!$A$3:$Q$1193,16,0)</f>
        <v>10</v>
      </c>
      <c r="Q13" s="34">
        <f>VLOOKUP(A13,'SSP_March''19'!$A$3:$Q$1193,17,0)</f>
        <v>0</v>
      </c>
      <c r="R13" s="35">
        <f t="shared" si="3"/>
        <v>0</v>
      </c>
      <c r="S13" s="49">
        <f>ROUND(VLOOKUP(A13,'SSP_March''19'!$A$3:$T$1193,19,0),0)</f>
        <v>0</v>
      </c>
      <c r="T13" s="44">
        <f>VLOOKUP(A13,'SSP_March''19'!$A$3:$T$1193,20,0)</f>
        <v>0</v>
      </c>
      <c r="U13" s="34">
        <f>VLOOKUP(A13,'SSP_March''19'!$A$3:$X$1193,21,0)</f>
        <v>0</v>
      </c>
      <c r="V13" s="34">
        <f>VLOOKUP(A13,'SSP_March''19'!$A$3:$X$1193,22,0)</f>
        <v>0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34" t="s">
        <v>1083</v>
      </c>
      <c r="B14" s="34" t="s">
        <v>1084</v>
      </c>
      <c r="C14" s="34" t="s">
        <v>184</v>
      </c>
      <c r="D14" s="34" t="s">
        <v>185</v>
      </c>
      <c r="E14" s="34" t="s">
        <v>1</v>
      </c>
      <c r="F14" s="34" t="s">
        <v>1085</v>
      </c>
      <c r="G14" s="54">
        <v>1916801878</v>
      </c>
      <c r="H14" s="54" t="s">
        <v>229</v>
      </c>
      <c r="I14" s="54" t="s">
        <v>3514</v>
      </c>
      <c r="J14" s="34" t="s">
        <v>3421</v>
      </c>
      <c r="K14" s="43">
        <f>VLOOKUP(A14,'SSP_March''19'!$A$3:$L$1193,11,0)</f>
        <v>130000</v>
      </c>
      <c r="L14" s="43">
        <f>VLOOKUP(A14,'SSP_March''19'!$A$3:$L$1193,12,0)</f>
        <v>4090</v>
      </c>
      <c r="M14" s="44">
        <f t="shared" si="0"/>
        <v>3.1461538461538464E-2</v>
      </c>
      <c r="N14" s="49">
        <f>ROUND(VLOOKUP(A14,'SSP_March''19'!$A$3:$N$1193,14,0),0)</f>
        <v>12679</v>
      </c>
      <c r="O14" s="44">
        <f t="shared" si="1"/>
        <v>9.7530769230769226E-2</v>
      </c>
      <c r="P14" s="45">
        <f>VLOOKUP(A14,'SSP_March''19'!$A$3:$Q$1193,16,0)</f>
        <v>10</v>
      </c>
      <c r="Q14" s="34">
        <f>VLOOKUP(A14,'SSP_March''19'!$A$3:$Q$1193,17,0)</f>
        <v>0</v>
      </c>
      <c r="R14" s="35">
        <f t="shared" si="3"/>
        <v>0</v>
      </c>
      <c r="S14" s="49">
        <f>ROUND(VLOOKUP(A14,'SSP_March''19'!$A$3:$T$1193,19,0),0)</f>
        <v>0</v>
      </c>
      <c r="T14" s="44">
        <f>VLOOKUP(A14,'SSP_March''19'!$A$3:$T$1193,20,0)</f>
        <v>0</v>
      </c>
      <c r="U14" s="34">
        <f>VLOOKUP(A14,'SSP_March''19'!$A$3:$X$1193,21,0)</f>
        <v>0</v>
      </c>
      <c r="V14" s="34">
        <f>VLOOKUP(A14,'SSP_March''19'!$A$3:$X$1193,22,0)</f>
        <v>0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34" t="s">
        <v>984</v>
      </c>
      <c r="B15" s="34" t="s">
        <v>985</v>
      </c>
      <c r="C15" s="34" t="s">
        <v>184</v>
      </c>
      <c r="D15" s="34" t="s">
        <v>185</v>
      </c>
      <c r="E15" s="34" t="s">
        <v>1</v>
      </c>
      <c r="F15" s="34" t="s">
        <v>986</v>
      </c>
      <c r="G15" s="54">
        <v>1710555050</v>
      </c>
      <c r="H15" s="54" t="s">
        <v>229</v>
      </c>
      <c r="I15" s="54" t="s">
        <v>3514</v>
      </c>
      <c r="J15" s="34" t="s">
        <v>3515</v>
      </c>
      <c r="K15" s="43">
        <f>VLOOKUP(A15,'SSP_March''19'!$A$3:$L$1193,11,0)</f>
        <v>130000</v>
      </c>
      <c r="L15" s="43">
        <f>VLOOKUP(A15,'SSP_March''19'!$A$3:$L$1193,12,0)</f>
        <v>10370</v>
      </c>
      <c r="M15" s="44">
        <f t="shared" si="0"/>
        <v>7.9769230769230773E-2</v>
      </c>
      <c r="N15" s="49">
        <f>ROUND(VLOOKUP(A15,'SSP_March''19'!$A$3:$N$1193,14,0),0)</f>
        <v>32147</v>
      </c>
      <c r="O15" s="44">
        <f t="shared" si="1"/>
        <v>0.24728461538461538</v>
      </c>
      <c r="P15" s="45">
        <f>VLOOKUP(A15,'SSP_March''19'!$A$3:$Q$1193,16,0)</f>
        <v>10</v>
      </c>
      <c r="Q15" s="34">
        <f>VLOOKUP(A15,'SSP_March''19'!$A$3:$Q$1193,17,0)</f>
        <v>0</v>
      </c>
      <c r="R15" s="35">
        <f t="shared" si="3"/>
        <v>0</v>
      </c>
      <c r="S15" s="49">
        <f>ROUND(VLOOKUP(A15,'SSP_March''19'!$A$3:$T$1193,19,0),0)</f>
        <v>0</v>
      </c>
      <c r="T15" s="44">
        <f>VLOOKUP(A15,'SSP_March''19'!$A$3:$T$1193,20,0)</f>
        <v>0</v>
      </c>
      <c r="U15" s="34">
        <f>VLOOKUP(A15,'SSP_March''19'!$A$3:$X$1193,21,0)</f>
        <v>0</v>
      </c>
      <c r="V15" s="34">
        <f>VLOOKUP(A15,'SSP_March''19'!$A$3:$X$1193,22,0)</f>
        <v>0</v>
      </c>
      <c r="W15" s="34">
        <f>VLOOKUP(A15,'SSP_March''19'!$A$3:$X$1193,23,0)</f>
        <v>0</v>
      </c>
      <c r="X15" s="34">
        <f>VLOOKUP(A15,'SSP_March''19'!$A$3:$X$1193,24,0)</f>
        <v>0</v>
      </c>
    </row>
    <row r="16" spans="1:24">
      <c r="A16" s="34" t="s">
        <v>874</v>
      </c>
      <c r="B16" s="34" t="s">
        <v>875</v>
      </c>
      <c r="C16" s="34" t="s">
        <v>145</v>
      </c>
      <c r="D16" s="34" t="s">
        <v>3414</v>
      </c>
      <c r="E16" s="34" t="s">
        <v>1</v>
      </c>
      <c r="F16" s="34" t="s">
        <v>876</v>
      </c>
      <c r="G16" s="54">
        <v>1619796579</v>
      </c>
      <c r="H16" s="54" t="s">
        <v>229</v>
      </c>
      <c r="I16" s="54" t="s">
        <v>3514</v>
      </c>
      <c r="J16" s="34" t="s">
        <v>3419</v>
      </c>
      <c r="K16" s="43">
        <f>VLOOKUP(A16,'SSP_March''19'!$A$3:$L$1193,11,0)</f>
        <v>167841</v>
      </c>
      <c r="L16" s="43">
        <f>VLOOKUP(A16,'SSP_March''19'!$A$3:$L$1193,12,0)</f>
        <v>58840</v>
      </c>
      <c r="M16" s="44">
        <f t="shared" si="0"/>
        <v>0.35056988459315663</v>
      </c>
      <c r="N16" s="49">
        <f>ROUND(VLOOKUP(A16,'SSP_March''19'!$A$3:$N$1193,14,0),0)</f>
        <v>182404</v>
      </c>
      <c r="O16" s="44">
        <f t="shared" si="1"/>
        <v>1.0867666422387856</v>
      </c>
      <c r="P16" s="45">
        <f>VLOOKUP(A16,'SSP_March''19'!$A$3:$Q$1193,16,0)</f>
        <v>10</v>
      </c>
      <c r="Q16" s="34">
        <f>VLOOKUP(A16,'SSP_March''19'!$A$3:$Q$1193,17,0)</f>
        <v>2</v>
      </c>
      <c r="R16" s="35">
        <f t="shared" si="3"/>
        <v>0.2</v>
      </c>
      <c r="S16" s="49">
        <f>ROUND(VLOOKUP(A16,'SSP_March''19'!$A$3:$T$1193,19,0),0)</f>
        <v>6</v>
      </c>
      <c r="T16" s="44">
        <f>VLOOKUP(A16,'SSP_March''19'!$A$3:$T$1193,20,0)</f>
        <v>0.6</v>
      </c>
      <c r="U16" s="34">
        <f>VLOOKUP(A16,'SSP_March''19'!$A$3:$X$1193,21,0)</f>
        <v>2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34" t="s">
        <v>899</v>
      </c>
      <c r="B17" s="34" t="s">
        <v>218</v>
      </c>
      <c r="C17" s="34" t="s">
        <v>145</v>
      </c>
      <c r="D17" s="34" t="s">
        <v>3414</v>
      </c>
      <c r="E17" s="34" t="s">
        <v>1</v>
      </c>
      <c r="F17" s="34" t="s">
        <v>900</v>
      </c>
      <c r="G17" s="54">
        <v>1860114106</v>
      </c>
      <c r="H17" s="54" t="s">
        <v>229</v>
      </c>
      <c r="I17" s="54" t="s">
        <v>3518</v>
      </c>
      <c r="J17" s="34" t="s">
        <v>3419</v>
      </c>
      <c r="K17" s="43">
        <f>VLOOKUP(A17,'SSP_March''19'!$A$3:$L$1193,11,0)</f>
        <v>344372</v>
      </c>
      <c r="L17" s="43">
        <f>VLOOKUP(A17,'SSP_March''19'!$A$3:$L$1193,12,0)</f>
        <v>117850</v>
      </c>
      <c r="M17" s="44">
        <f t="shared" si="0"/>
        <v>0.34221713728177666</v>
      </c>
      <c r="N17" s="49">
        <f>ROUND(VLOOKUP(A17,'SSP_March''19'!$A$3:$N$1193,14,0),0)</f>
        <v>365335</v>
      </c>
      <c r="O17" s="44">
        <f t="shared" si="1"/>
        <v>1.0608731255735078</v>
      </c>
      <c r="P17" s="45">
        <f>VLOOKUP(A17,'SSP_March''19'!$A$3:$Q$1193,16,0)</f>
        <v>18</v>
      </c>
      <c r="Q17" s="34">
        <f>VLOOKUP(A17,'SSP_March''19'!$A$3:$Q$1193,17,0)</f>
        <v>5</v>
      </c>
      <c r="R17" s="35">
        <f t="shared" si="3"/>
        <v>0.27777777777777779</v>
      </c>
      <c r="S17" s="49">
        <f>ROUND(VLOOKUP(A17,'SSP_March''19'!$A$3:$T$1193,19,0),0)</f>
        <v>16</v>
      </c>
      <c r="T17" s="44">
        <f>VLOOKUP(A17,'SSP_March''19'!$A$3:$T$1193,20,0)</f>
        <v>0.88888888888888884</v>
      </c>
      <c r="U17" s="34">
        <f>VLOOKUP(A17,'SSP_March''19'!$A$3:$X$1193,21,0)</f>
        <v>2</v>
      </c>
      <c r="V17" s="34">
        <f>VLOOKUP(A17,'SSP_March''19'!$A$3:$X$1193,22,0)</f>
        <v>1</v>
      </c>
      <c r="W17" s="34">
        <f>VLOOKUP(A17,'SSP_March''19'!$A$3:$X$1193,23,0)</f>
        <v>0</v>
      </c>
      <c r="X17" s="34">
        <f>VLOOKUP(A17,'SSP_March''19'!$A$3:$X$1193,24,0)</f>
        <v>0</v>
      </c>
    </row>
    <row r="18" spans="1:24">
      <c r="A18" s="34" t="s">
        <v>1005</v>
      </c>
      <c r="B18" s="34" t="s">
        <v>1006</v>
      </c>
      <c r="C18" s="34" t="s">
        <v>145</v>
      </c>
      <c r="D18" s="34" t="s">
        <v>3414</v>
      </c>
      <c r="E18" s="34" t="s">
        <v>1</v>
      </c>
      <c r="F18" s="34" t="s">
        <v>1007</v>
      </c>
      <c r="G18" s="54">
        <v>1864174717</v>
      </c>
      <c r="H18" s="54" t="s">
        <v>229</v>
      </c>
      <c r="I18" s="54" t="s">
        <v>3514</v>
      </c>
      <c r="J18" s="34" t="s">
        <v>3515</v>
      </c>
      <c r="K18" s="43">
        <f>VLOOKUP(A18,'SSP_March''19'!$A$3:$L$1193,11,0)</f>
        <v>130000</v>
      </c>
      <c r="L18" s="43">
        <f>VLOOKUP(A18,'SSP_March''19'!$A$3:$L$1193,12,0)</f>
        <v>15570</v>
      </c>
      <c r="M18" s="44">
        <f t="shared" si="0"/>
        <v>0.11976923076923077</v>
      </c>
      <c r="N18" s="49">
        <f>ROUND(VLOOKUP(A18,'SSP_March''19'!$A$3:$N$1193,14,0),0)</f>
        <v>48267</v>
      </c>
      <c r="O18" s="44">
        <f t="shared" si="1"/>
        <v>0.37128461538461538</v>
      </c>
      <c r="P18" s="45">
        <f>VLOOKUP(A18,'SSP_March''19'!$A$3:$Q$1193,16,0)</f>
        <v>10</v>
      </c>
      <c r="Q18" s="34">
        <f>VLOOKUP(A18,'SSP_March''19'!$A$3:$Q$1193,17,0)</f>
        <v>0</v>
      </c>
      <c r="R18" s="35">
        <f t="shared" si="3"/>
        <v>0</v>
      </c>
      <c r="S18" s="49">
        <f>ROUND(VLOOKUP(A18,'SSP_March''19'!$A$3:$T$1193,19,0),0)</f>
        <v>0</v>
      </c>
      <c r="T18" s="44">
        <f>VLOOKUP(A18,'SSP_March''19'!$A$3:$T$1193,20,0)</f>
        <v>0</v>
      </c>
      <c r="U18" s="34">
        <f>VLOOKUP(A18,'SSP_March''19'!$A$3:$X$1193,21,0)</f>
        <v>0</v>
      </c>
      <c r="V18" s="34">
        <f>VLOOKUP(A18,'SSP_March''19'!$A$3:$X$1193,22,0)</f>
        <v>0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34" t="s">
        <v>970</v>
      </c>
      <c r="B19" s="34" t="s">
        <v>971</v>
      </c>
      <c r="C19" s="34" t="s">
        <v>145</v>
      </c>
      <c r="D19" s="34" t="s">
        <v>3414</v>
      </c>
      <c r="E19" s="34" t="s">
        <v>1</v>
      </c>
      <c r="F19" s="34" t="s">
        <v>972</v>
      </c>
      <c r="G19" s="54">
        <v>1746888858</v>
      </c>
      <c r="H19" s="54" t="s">
        <v>229</v>
      </c>
      <c r="I19" s="54" t="s">
        <v>3514</v>
      </c>
      <c r="J19" s="34" t="s">
        <v>3419</v>
      </c>
      <c r="K19" s="43">
        <f>VLOOKUP(A19,'SSP_March''19'!$A$3:$L$1193,11,0)</f>
        <v>223984</v>
      </c>
      <c r="L19" s="43">
        <f>VLOOKUP(A19,'SSP_March''19'!$A$3:$L$1193,12,0)</f>
        <v>109555</v>
      </c>
      <c r="M19" s="44">
        <f t="shared" si="0"/>
        <v>0.48911975855418244</v>
      </c>
      <c r="N19" s="49">
        <f>ROUND(VLOOKUP(A19,'SSP_March''19'!$A$3:$N$1193,14,0),0)</f>
        <v>339621</v>
      </c>
      <c r="O19" s="44">
        <f t="shared" si="1"/>
        <v>1.5162734838202729</v>
      </c>
      <c r="P19" s="45">
        <f>VLOOKUP(A19,'SSP_March''19'!$A$3:$Q$1193,16,0)</f>
        <v>10</v>
      </c>
      <c r="Q19" s="34">
        <f>VLOOKUP(A19,'SSP_March''19'!$A$3:$Q$1193,17,0)</f>
        <v>6</v>
      </c>
      <c r="R19" s="35">
        <f t="shared" si="3"/>
        <v>0.6</v>
      </c>
      <c r="S19" s="49">
        <f>ROUND(VLOOKUP(A19,'SSP_March''19'!$A$3:$T$1193,19,0),0)</f>
        <v>19</v>
      </c>
      <c r="T19" s="44">
        <f>VLOOKUP(A19,'SSP_March''19'!$A$3:$T$1193,20,0)</f>
        <v>1.9</v>
      </c>
      <c r="U19" s="34">
        <f>VLOOKUP(A19,'SSP_March''19'!$A$3:$X$1193,21,0)</f>
        <v>1</v>
      </c>
      <c r="V19" s="34">
        <f>VLOOKUP(A19,'SSP_March''19'!$A$3:$X$1193,22,0)</f>
        <v>1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34" t="s">
        <v>890</v>
      </c>
      <c r="B20" s="34" t="s">
        <v>891</v>
      </c>
      <c r="C20" s="34" t="s">
        <v>145</v>
      </c>
      <c r="D20" s="34" t="s">
        <v>3414</v>
      </c>
      <c r="E20" s="34" t="s">
        <v>1</v>
      </c>
      <c r="F20" s="34" t="s">
        <v>892</v>
      </c>
      <c r="G20" s="54">
        <v>1823767536</v>
      </c>
      <c r="H20" s="54" t="s">
        <v>229</v>
      </c>
      <c r="I20" s="54" t="s">
        <v>3514</v>
      </c>
      <c r="J20" s="34" t="s">
        <v>3419</v>
      </c>
      <c r="K20" s="43">
        <f>VLOOKUP(A20,'SSP_March''19'!$A$3:$L$1193,11,0)</f>
        <v>289406</v>
      </c>
      <c r="L20" s="43">
        <f>VLOOKUP(A20,'SSP_March''19'!$A$3:$L$1193,12,0)</f>
        <v>129800</v>
      </c>
      <c r="M20" s="44">
        <f t="shared" si="0"/>
        <v>0.448504868592911</v>
      </c>
      <c r="N20" s="49">
        <f>ROUND(VLOOKUP(A20,'SSP_March''19'!$A$3:$N$1193,14,0),0)</f>
        <v>402380</v>
      </c>
      <c r="O20" s="44">
        <f t="shared" si="1"/>
        <v>1.390365092638024</v>
      </c>
      <c r="P20" s="45">
        <f>VLOOKUP(A20,'SSP_March''19'!$A$3:$Q$1193,16,0)</f>
        <v>10</v>
      </c>
      <c r="Q20" s="34">
        <f>VLOOKUP(A20,'SSP_March''19'!$A$3:$Q$1193,17,0)</f>
        <v>2</v>
      </c>
      <c r="R20" s="35">
        <f t="shared" si="3"/>
        <v>0.2</v>
      </c>
      <c r="S20" s="49">
        <f>ROUND(VLOOKUP(A20,'SSP_March''19'!$A$3:$T$1193,19,0),0)</f>
        <v>6</v>
      </c>
      <c r="T20" s="44">
        <f>VLOOKUP(A20,'SSP_March''19'!$A$3:$T$1193,20,0)</f>
        <v>0.6</v>
      </c>
      <c r="U20" s="34">
        <f>VLOOKUP(A20,'SSP_March''19'!$A$3:$X$1193,21,0)</f>
        <v>0</v>
      </c>
      <c r="V20" s="34">
        <f>VLOOKUP(A20,'SSP_March''19'!$A$3:$X$1193,22,0)</f>
        <v>0</v>
      </c>
      <c r="W20" s="34">
        <f>VLOOKUP(A20,'SSP_March''19'!$A$3:$X$1193,23,0)</f>
        <v>0</v>
      </c>
      <c r="X20" s="34">
        <f>VLOOKUP(A20,'SSP_March''19'!$A$3:$X$1193,24,0)</f>
        <v>0</v>
      </c>
    </row>
    <row r="21" spans="1:24">
      <c r="A21" s="75" t="s">
        <v>3655</v>
      </c>
      <c r="B21" s="75" t="s">
        <v>3656</v>
      </c>
      <c r="C21" s="75" t="s">
        <v>145</v>
      </c>
      <c r="D21" s="75" t="s">
        <v>3414</v>
      </c>
      <c r="E21" s="75" t="s">
        <v>1</v>
      </c>
      <c r="F21" s="75" t="s">
        <v>3657</v>
      </c>
      <c r="G21" s="67">
        <v>1818016101</v>
      </c>
      <c r="H21" s="54" t="s">
        <v>229</v>
      </c>
      <c r="I21" s="54" t="s">
        <v>3514</v>
      </c>
      <c r="J21" s="34" t="s">
        <v>3421</v>
      </c>
      <c r="K21" s="43">
        <f>VLOOKUP(A21,'SSP_March''19'!$A$3:$L$1193,11,0)</f>
        <v>130000</v>
      </c>
      <c r="L21" s="43">
        <f>VLOOKUP(A21,'SSP_March''19'!$A$3:$L$1193,12,0)</f>
        <v>44660</v>
      </c>
      <c r="M21" s="44">
        <f t="shared" si="0"/>
        <v>0.34353846153846151</v>
      </c>
      <c r="N21" s="49">
        <f>ROUND(VLOOKUP(A21,'SSP_March''19'!$A$3:$N$1193,14,0),0)</f>
        <v>138446</v>
      </c>
      <c r="O21" s="44">
        <f t="shared" si="1"/>
        <v>1.0649692307692307</v>
      </c>
      <c r="P21" s="45">
        <f>VLOOKUP(A21,'SSP_March''19'!$A$3:$Q$1193,16,0)</f>
        <v>10</v>
      </c>
      <c r="Q21" s="34">
        <f>VLOOKUP(A21,'SSP_March''19'!$A$3:$Q$1193,17,0)</f>
        <v>0</v>
      </c>
      <c r="R21" s="35">
        <f t="shared" si="3"/>
        <v>0</v>
      </c>
      <c r="S21" s="49">
        <f>ROUND(VLOOKUP(A21,'SSP_March''19'!$A$3:$T$1193,19,0),0)</f>
        <v>0</v>
      </c>
      <c r="T21" s="44">
        <f>VLOOKUP(A21,'SSP_March''19'!$A$3:$T$1193,20,0)</f>
        <v>0</v>
      </c>
      <c r="U21" s="34">
        <f>VLOOKUP(A21,'SSP_March''19'!$A$3:$X$1193,21,0)</f>
        <v>1</v>
      </c>
      <c r="V21" s="34">
        <f>VLOOKUP(A21,'SSP_March''19'!$A$3:$X$1193,22,0)</f>
        <v>0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34" t="s">
        <v>935</v>
      </c>
      <c r="B22" s="34" t="s">
        <v>936</v>
      </c>
      <c r="C22" s="34" t="s">
        <v>145</v>
      </c>
      <c r="D22" s="34" t="s">
        <v>3414</v>
      </c>
      <c r="E22" s="34" t="s">
        <v>1</v>
      </c>
      <c r="F22" s="34" t="s">
        <v>937</v>
      </c>
      <c r="G22" s="54">
        <v>1914114140</v>
      </c>
      <c r="H22" s="54" t="s">
        <v>229</v>
      </c>
      <c r="I22" s="54" t="s">
        <v>3514</v>
      </c>
      <c r="J22" s="34" t="s">
        <v>3419</v>
      </c>
      <c r="K22" s="43">
        <f>VLOOKUP(A22,'SSP_March''19'!$A$3:$L$1193,11,0)</f>
        <v>130000</v>
      </c>
      <c r="L22" s="43">
        <f>VLOOKUP(A22,'SSP_March''19'!$A$3:$L$1193,12,0)</f>
        <v>41480</v>
      </c>
      <c r="M22" s="44">
        <f t="shared" si="0"/>
        <v>0.31907692307692309</v>
      </c>
      <c r="N22" s="49">
        <f>ROUND(VLOOKUP(A22,'SSP_March''19'!$A$3:$N$1193,14,0),0)</f>
        <v>128588</v>
      </c>
      <c r="O22" s="44">
        <f t="shared" si="1"/>
        <v>0.98913846153846152</v>
      </c>
      <c r="P22" s="45">
        <f>VLOOKUP(A22,'SSP_March''19'!$A$3:$Q$1193,16,0)</f>
        <v>10</v>
      </c>
      <c r="Q22" s="34">
        <f>VLOOKUP(A22,'SSP_March''19'!$A$3:$Q$1193,17,0)</f>
        <v>2</v>
      </c>
      <c r="R22" s="35">
        <f t="shared" si="3"/>
        <v>0.2</v>
      </c>
      <c r="S22" s="49">
        <f>ROUND(VLOOKUP(A22,'SSP_March''19'!$A$3:$T$1193,19,0),0)</f>
        <v>6</v>
      </c>
      <c r="T22" s="44">
        <f>VLOOKUP(A22,'SSP_March''19'!$A$3:$T$1193,20,0)</f>
        <v>0.6</v>
      </c>
      <c r="U22" s="34">
        <f>VLOOKUP(A22,'SSP_March''19'!$A$3:$X$1193,21,0)</f>
        <v>1</v>
      </c>
      <c r="V22" s="34">
        <f>VLOOKUP(A22,'SSP_March''19'!$A$3:$X$1193,22,0)</f>
        <v>0</v>
      </c>
      <c r="W22" s="34">
        <f>VLOOKUP(A22,'SSP_March''19'!$A$3:$X$1193,23,0)</f>
        <v>0</v>
      </c>
      <c r="X22" s="34">
        <f>VLOOKUP(A22,'SSP_March''19'!$A$3:$X$1193,24,0)</f>
        <v>0</v>
      </c>
    </row>
    <row r="23" spans="1:24">
      <c r="A23" s="75" t="s">
        <v>3658</v>
      </c>
      <c r="B23" s="75" t="s">
        <v>3659</v>
      </c>
      <c r="C23" s="75" t="s">
        <v>145</v>
      </c>
      <c r="D23" s="75" t="s">
        <v>3414</v>
      </c>
      <c r="E23" s="75" t="s">
        <v>1</v>
      </c>
      <c r="F23" s="75" t="s">
        <v>3660</v>
      </c>
      <c r="G23" s="67">
        <v>1814234123</v>
      </c>
      <c r="H23" s="54" t="s">
        <v>229</v>
      </c>
      <c r="I23" s="54" t="s">
        <v>3514</v>
      </c>
      <c r="J23" s="34" t="s">
        <v>3419</v>
      </c>
      <c r="K23" s="43">
        <f>VLOOKUP(A23,'SSP_March''19'!$A$3:$L$1193,11,0)</f>
        <v>180000</v>
      </c>
      <c r="L23" s="43">
        <f>VLOOKUP(A23,'SSP_March''19'!$A$3:$L$1193,12,0)</f>
        <v>15470</v>
      </c>
      <c r="M23" s="44">
        <f t="shared" si="0"/>
        <v>8.5944444444444448E-2</v>
      </c>
      <c r="N23" s="49">
        <f>ROUND(VLOOKUP(A23,'SSP_March''19'!$A$3:$N$1193,14,0),0)</f>
        <v>47957</v>
      </c>
      <c r="O23" s="44">
        <f t="shared" si="1"/>
        <v>0.26642777777777776</v>
      </c>
      <c r="P23" s="45">
        <f>VLOOKUP(A23,'SSP_March''19'!$A$3:$Q$1193,16,0)</f>
        <v>10</v>
      </c>
      <c r="Q23" s="34">
        <f>VLOOKUP(A23,'SSP_March''19'!$A$3:$Q$1193,17,0)</f>
        <v>1</v>
      </c>
      <c r="R23" s="35">
        <f t="shared" si="3"/>
        <v>0.1</v>
      </c>
      <c r="S23" s="49">
        <f>ROUND(VLOOKUP(A23,'SSP_March''19'!$A$3:$T$1193,19,0),0)</f>
        <v>3</v>
      </c>
      <c r="T23" s="44">
        <f>VLOOKUP(A23,'SSP_March''19'!$A$3:$T$1193,20,0)</f>
        <v>0.3</v>
      </c>
      <c r="U23" s="34">
        <f>VLOOKUP(A23,'SSP_March''19'!$A$3:$X$1193,21,0)</f>
        <v>1</v>
      </c>
      <c r="V23" s="34">
        <f>VLOOKUP(A23,'SSP_March''19'!$A$3:$X$1193,22,0)</f>
        <v>1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34" t="s">
        <v>953</v>
      </c>
      <c r="B24" s="34" t="s">
        <v>954</v>
      </c>
      <c r="C24" s="34" t="s">
        <v>145</v>
      </c>
      <c r="D24" s="34" t="s">
        <v>3414</v>
      </c>
      <c r="E24" s="34" t="s">
        <v>1</v>
      </c>
      <c r="F24" s="34" t="s">
        <v>955</v>
      </c>
      <c r="G24" s="54">
        <v>1751000012</v>
      </c>
      <c r="H24" s="54" t="s">
        <v>229</v>
      </c>
      <c r="I24" s="54" t="s">
        <v>3518</v>
      </c>
      <c r="J24" s="34" t="s">
        <v>3419</v>
      </c>
      <c r="K24" s="43">
        <f>VLOOKUP(A24,'SSP_March''19'!$A$3:$L$1193,11,0)</f>
        <v>307011</v>
      </c>
      <c r="L24" s="43">
        <f>VLOOKUP(A24,'SSP_March''19'!$A$3:$L$1193,12,0)</f>
        <v>84950</v>
      </c>
      <c r="M24" s="44">
        <f t="shared" si="0"/>
        <v>0.27670018338105151</v>
      </c>
      <c r="N24" s="49">
        <f>ROUND(VLOOKUP(A24,'SSP_March''19'!$A$3:$N$1193,14,0),0)</f>
        <v>263345</v>
      </c>
      <c r="O24" s="44">
        <f t="shared" si="1"/>
        <v>0.85777056848125965</v>
      </c>
      <c r="P24" s="45">
        <f>VLOOKUP(A24,'SSP_March''19'!$A$3:$Q$1193,16,0)</f>
        <v>15</v>
      </c>
      <c r="Q24" s="34">
        <f>VLOOKUP(A24,'SSP_March''19'!$A$3:$Q$1193,17,0)</f>
        <v>5</v>
      </c>
      <c r="R24" s="35">
        <f t="shared" si="3"/>
        <v>0.33333333333333331</v>
      </c>
      <c r="S24" s="49">
        <f>ROUND(VLOOKUP(A24,'SSP_March''19'!$A$3:$T$1193,19,0),0)</f>
        <v>16</v>
      </c>
      <c r="T24" s="44">
        <f>VLOOKUP(A24,'SSP_March''19'!$A$3:$T$1193,20,0)</f>
        <v>1.0666666666666667</v>
      </c>
      <c r="U24" s="34">
        <f>VLOOKUP(A24,'SSP_March''19'!$A$3:$X$1193,21,0)</f>
        <v>1</v>
      </c>
      <c r="V24" s="34">
        <f>VLOOKUP(A24,'SSP_March''19'!$A$3:$X$1193,22,0)</f>
        <v>2</v>
      </c>
      <c r="W24" s="34">
        <f>VLOOKUP(A24,'SSP_March''19'!$A$3:$X$1193,23,0)</f>
        <v>0</v>
      </c>
      <c r="X24" s="34">
        <f>VLOOKUP(A24,'SSP_March''19'!$A$3:$X$1193,24,0)</f>
        <v>0</v>
      </c>
    </row>
    <row r="25" spans="1:24">
      <c r="A25" s="34" t="s">
        <v>866</v>
      </c>
      <c r="B25" s="34" t="s">
        <v>867</v>
      </c>
      <c r="C25" s="34" t="s">
        <v>145</v>
      </c>
      <c r="D25" s="34" t="s">
        <v>3414</v>
      </c>
      <c r="E25" s="34" t="s">
        <v>1</v>
      </c>
      <c r="F25" s="34" t="s">
        <v>228</v>
      </c>
      <c r="G25" s="54">
        <v>1836676375</v>
      </c>
      <c r="H25" s="54" t="s">
        <v>229</v>
      </c>
      <c r="I25" s="54" t="s">
        <v>3514</v>
      </c>
      <c r="J25" s="34" t="s">
        <v>3419</v>
      </c>
      <c r="K25" s="43">
        <f>VLOOKUP(A25,'SSP_March''19'!$A$3:$L$1193,11,0)</f>
        <v>130000</v>
      </c>
      <c r="L25" s="43">
        <f>VLOOKUP(A25,'SSP_March''19'!$A$3:$L$1193,12,0)</f>
        <v>86170</v>
      </c>
      <c r="M25" s="44">
        <f t="shared" si="0"/>
        <v>0.66284615384615386</v>
      </c>
      <c r="N25" s="49">
        <f>ROUND(VLOOKUP(A25,'SSP_March''19'!$A$3:$N$1193,14,0),0)</f>
        <v>267127</v>
      </c>
      <c r="O25" s="44">
        <f t="shared" si="1"/>
        <v>2.0548230769230771</v>
      </c>
      <c r="P25" s="45">
        <f>VLOOKUP(A25,'SSP_March''19'!$A$3:$Q$1193,16,0)</f>
        <v>10</v>
      </c>
      <c r="Q25" s="34">
        <f>VLOOKUP(A25,'SSP_March''19'!$A$3:$Q$1193,17,0)</f>
        <v>6</v>
      </c>
      <c r="R25" s="35">
        <f t="shared" si="3"/>
        <v>0.6</v>
      </c>
      <c r="S25" s="49">
        <f>ROUND(VLOOKUP(A25,'SSP_March''19'!$A$3:$T$1193,19,0),0)</f>
        <v>19</v>
      </c>
      <c r="T25" s="44">
        <f>VLOOKUP(A25,'SSP_March''19'!$A$3:$T$1193,20,0)</f>
        <v>1.9</v>
      </c>
      <c r="U25" s="34">
        <f>VLOOKUP(A25,'SSP_March''19'!$A$3:$X$1193,21,0)</f>
        <v>1</v>
      </c>
      <c r="V25" s="34">
        <f>VLOOKUP(A25,'SSP_March''19'!$A$3:$X$1193,22,0)</f>
        <v>0</v>
      </c>
      <c r="W25" s="34">
        <f>VLOOKUP(A25,'SSP_March''19'!$A$3:$X$1193,23,0)</f>
        <v>0</v>
      </c>
      <c r="X25" s="34">
        <f>VLOOKUP(A25,'SSP_March''19'!$A$3:$X$1193,24,0)</f>
        <v>0</v>
      </c>
    </row>
    <row r="26" spans="1:24">
      <c r="A26" s="34" t="s">
        <v>999</v>
      </c>
      <c r="B26" s="34" t="s">
        <v>1000</v>
      </c>
      <c r="C26" s="34" t="s">
        <v>145</v>
      </c>
      <c r="D26" s="34" t="s">
        <v>3414</v>
      </c>
      <c r="E26" s="34" t="s">
        <v>1</v>
      </c>
      <c r="F26" s="34" t="s">
        <v>1001</v>
      </c>
      <c r="G26" s="54">
        <v>1845249498</v>
      </c>
      <c r="H26" s="54" t="s">
        <v>229</v>
      </c>
      <c r="I26" s="54" t="s">
        <v>3514</v>
      </c>
      <c r="J26" s="34" t="s">
        <v>3421</v>
      </c>
      <c r="K26" s="43">
        <f>VLOOKUP(A26,'SSP_March''19'!$A$3:$L$1193,11,0)</f>
        <v>130000</v>
      </c>
      <c r="L26" s="43">
        <f>VLOOKUP(A26,'SSP_March''19'!$A$3:$L$1193,12,0)</f>
        <v>38450</v>
      </c>
      <c r="M26" s="44">
        <f t="shared" si="0"/>
        <v>0.29576923076923078</v>
      </c>
      <c r="N26" s="49">
        <f>ROUND(VLOOKUP(A26,'SSP_March''19'!$A$3:$N$1193,14,0),0)</f>
        <v>119195</v>
      </c>
      <c r="O26" s="44">
        <f t="shared" si="1"/>
        <v>0.91688461538461541</v>
      </c>
      <c r="P26" s="45">
        <f>VLOOKUP(A26,'SSP_March''19'!$A$3:$Q$1193,16,0)</f>
        <v>10</v>
      </c>
      <c r="Q26" s="34">
        <f>VLOOKUP(A26,'SSP_March''19'!$A$3:$Q$1193,17,0)</f>
        <v>4</v>
      </c>
      <c r="R26" s="35">
        <f t="shared" si="3"/>
        <v>0.4</v>
      </c>
      <c r="S26" s="49">
        <f>ROUND(VLOOKUP(A26,'SSP_March''19'!$A$3:$T$1193,19,0),0)</f>
        <v>12</v>
      </c>
      <c r="T26" s="44">
        <f>VLOOKUP(A26,'SSP_March''19'!$A$3:$T$1193,20,0)</f>
        <v>1.2</v>
      </c>
      <c r="U26" s="34">
        <f>VLOOKUP(A26,'SSP_March''19'!$A$3:$X$1193,21,0)</f>
        <v>0</v>
      </c>
      <c r="V26" s="34">
        <f>VLOOKUP(A26,'SSP_March''19'!$A$3:$X$1193,22,0)</f>
        <v>0</v>
      </c>
      <c r="W26" s="34">
        <f>VLOOKUP(A26,'SSP_March''19'!$A$3:$X$1193,23,0)</f>
        <v>1</v>
      </c>
      <c r="X26" s="34">
        <f>VLOOKUP(A26,'SSP_March''19'!$A$3:$X$1193,24,0)</f>
        <v>0</v>
      </c>
    </row>
    <row r="27" spans="1:24">
      <c r="A27" s="34" t="s">
        <v>1064</v>
      </c>
      <c r="B27" s="34" t="s">
        <v>1065</v>
      </c>
      <c r="C27" s="34" t="s">
        <v>182</v>
      </c>
      <c r="D27" s="34" t="s">
        <v>3414</v>
      </c>
      <c r="E27" s="34" t="s">
        <v>1</v>
      </c>
      <c r="F27" s="34" t="s">
        <v>1066</v>
      </c>
      <c r="G27" s="54">
        <v>1818789685</v>
      </c>
      <c r="H27" s="54" t="s">
        <v>229</v>
      </c>
      <c r="I27" s="54" t="s">
        <v>3514</v>
      </c>
      <c r="J27" s="34" t="s">
        <v>3421</v>
      </c>
      <c r="K27" s="43">
        <f>VLOOKUP(A27,'SSP_March''19'!$A$3:$L$1193,11,0)</f>
        <v>130000</v>
      </c>
      <c r="L27" s="43">
        <f>VLOOKUP(A27,'SSP_March''19'!$A$3:$L$1193,12,0)</f>
        <v>33389</v>
      </c>
      <c r="M27" s="44">
        <f t="shared" si="0"/>
        <v>0.25683846153846152</v>
      </c>
      <c r="N27" s="49">
        <f>ROUND(VLOOKUP(A27,'SSP_March''19'!$A$3:$N$1193,14,0),0)</f>
        <v>103506</v>
      </c>
      <c r="O27" s="44">
        <f t="shared" si="1"/>
        <v>0.79620000000000002</v>
      </c>
      <c r="P27" s="45">
        <f>VLOOKUP(A27,'SSP_March''19'!$A$3:$Q$1193,16,0)</f>
        <v>10</v>
      </c>
      <c r="Q27" s="34">
        <f>VLOOKUP(A27,'SSP_March''19'!$A$3:$Q$1193,17,0)</f>
        <v>0</v>
      </c>
      <c r="R27" s="35">
        <f t="shared" si="3"/>
        <v>0</v>
      </c>
      <c r="S27" s="49">
        <f>ROUND(VLOOKUP(A27,'SSP_March''19'!$A$3:$T$1193,19,0),0)</f>
        <v>0</v>
      </c>
      <c r="T27" s="44">
        <f>VLOOKUP(A27,'SSP_March''19'!$A$3:$T$1193,20,0)</f>
        <v>0</v>
      </c>
      <c r="U27" s="34">
        <f>VLOOKUP(A27,'SSP_March''19'!$A$3:$X$1193,21,0)</f>
        <v>0</v>
      </c>
      <c r="V27" s="34">
        <f>VLOOKUP(A27,'SSP_March''19'!$A$3:$X$1193,22,0)</f>
        <v>0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34" t="s">
        <v>1077</v>
      </c>
      <c r="B28" s="34" t="s">
        <v>1078</v>
      </c>
      <c r="C28" s="34" t="s">
        <v>182</v>
      </c>
      <c r="D28" s="34" t="s">
        <v>3414</v>
      </c>
      <c r="E28" s="34" t="s">
        <v>1</v>
      </c>
      <c r="F28" s="34" t="s">
        <v>1079</v>
      </c>
      <c r="G28" s="54">
        <v>1814759582</v>
      </c>
      <c r="H28" s="54" t="s">
        <v>229</v>
      </c>
      <c r="I28" s="54" t="s">
        <v>3514</v>
      </c>
      <c r="J28" s="34" t="s">
        <v>3421</v>
      </c>
      <c r="K28" s="43">
        <f>VLOOKUP(A28,'SSP_March''19'!$A$3:$L$1193,11,0)</f>
        <v>130000</v>
      </c>
      <c r="L28" s="43">
        <f>VLOOKUP(A28,'SSP_March''19'!$A$3:$L$1193,12,0)</f>
        <v>39410</v>
      </c>
      <c r="M28" s="44">
        <f t="shared" si="0"/>
        <v>0.30315384615384616</v>
      </c>
      <c r="N28" s="49">
        <f>ROUND(VLOOKUP(A28,'SSP_March''19'!$A$3:$N$1193,14,0),0)</f>
        <v>122171</v>
      </c>
      <c r="O28" s="44">
        <f t="shared" si="1"/>
        <v>0.93977692307692307</v>
      </c>
      <c r="P28" s="45">
        <f>VLOOKUP(A28,'SSP_March''19'!$A$3:$Q$1193,16,0)</f>
        <v>10</v>
      </c>
      <c r="Q28" s="34">
        <f>VLOOKUP(A28,'SSP_March''19'!$A$3:$Q$1193,17,0)</f>
        <v>3</v>
      </c>
      <c r="R28" s="35">
        <f t="shared" si="3"/>
        <v>0.3</v>
      </c>
      <c r="S28" s="49">
        <f>ROUND(VLOOKUP(A28,'SSP_March''19'!$A$3:$T$1193,19,0),0)</f>
        <v>9</v>
      </c>
      <c r="T28" s="44">
        <f>VLOOKUP(A28,'SSP_March''19'!$A$3:$T$1193,20,0)</f>
        <v>0.9</v>
      </c>
      <c r="U28" s="34">
        <f>VLOOKUP(A28,'SSP_March''19'!$A$3:$X$1193,21,0)</f>
        <v>0</v>
      </c>
      <c r="V28" s="34">
        <f>VLOOKUP(A28,'SSP_March''19'!$A$3:$X$1193,22,0)</f>
        <v>0</v>
      </c>
      <c r="W28" s="34">
        <f>VLOOKUP(A28,'SSP_March''19'!$A$3:$X$1193,23,0)</f>
        <v>0</v>
      </c>
      <c r="X28" s="34">
        <f>VLOOKUP(A28,'SSP_March''19'!$A$3:$X$1193,24,0)</f>
        <v>0</v>
      </c>
    </row>
    <row r="29" spans="1:24">
      <c r="A29" s="34" t="s">
        <v>978</v>
      </c>
      <c r="B29" s="34" t="s">
        <v>979</v>
      </c>
      <c r="C29" s="34" t="s">
        <v>182</v>
      </c>
      <c r="D29" s="34" t="s">
        <v>3414</v>
      </c>
      <c r="E29" s="34" t="s">
        <v>1</v>
      </c>
      <c r="F29" s="34" t="s">
        <v>980</v>
      </c>
      <c r="G29" s="54">
        <v>1715709669</v>
      </c>
      <c r="H29" s="54" t="s">
        <v>229</v>
      </c>
      <c r="I29" s="54" t="s">
        <v>3514</v>
      </c>
      <c r="J29" s="34" t="s">
        <v>3419</v>
      </c>
      <c r="K29" s="43">
        <f>VLOOKUP(A29,'SSP_March''19'!$A$3:$L$1193,11,0)</f>
        <v>130000</v>
      </c>
      <c r="L29" s="43">
        <f>VLOOKUP(A29,'SSP_March''19'!$A$3:$L$1193,12,0)</f>
        <v>19070</v>
      </c>
      <c r="M29" s="44">
        <f t="shared" si="0"/>
        <v>0.14669230769230771</v>
      </c>
      <c r="N29" s="49">
        <f>ROUND(VLOOKUP(A29,'SSP_March''19'!$A$3:$N$1193,14,0),0)</f>
        <v>59117</v>
      </c>
      <c r="O29" s="44">
        <f t="shared" si="1"/>
        <v>0.45474615384615386</v>
      </c>
      <c r="P29" s="45">
        <f>VLOOKUP(A29,'SSP_March''19'!$A$3:$Q$1193,16,0)</f>
        <v>10</v>
      </c>
      <c r="Q29" s="34">
        <f>VLOOKUP(A29,'SSP_March''19'!$A$3:$Q$1193,17,0)</f>
        <v>2</v>
      </c>
      <c r="R29" s="35">
        <f t="shared" si="3"/>
        <v>0.2</v>
      </c>
      <c r="S29" s="49">
        <f>ROUND(VLOOKUP(A29,'SSP_March''19'!$A$3:$T$1193,19,0),0)</f>
        <v>6</v>
      </c>
      <c r="T29" s="44">
        <f>VLOOKUP(A29,'SSP_March''19'!$A$3:$T$1193,20,0)</f>
        <v>0.6</v>
      </c>
      <c r="U29" s="34">
        <f>VLOOKUP(A29,'SSP_March''19'!$A$3:$X$1193,21,0)</f>
        <v>0</v>
      </c>
      <c r="V29" s="34">
        <f>VLOOKUP(A29,'SSP_March''19'!$A$3:$X$1193,22,0)</f>
        <v>0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34" t="s">
        <v>3188</v>
      </c>
      <c r="B30" s="34" t="s">
        <v>3189</v>
      </c>
      <c r="C30" s="34" t="s">
        <v>182</v>
      </c>
      <c r="D30" s="34" t="s">
        <v>3414</v>
      </c>
      <c r="E30" s="34" t="s">
        <v>1</v>
      </c>
      <c r="F30" s="34" t="s">
        <v>1495</v>
      </c>
      <c r="G30" s="54">
        <v>1913951905</v>
      </c>
      <c r="H30" s="54" t="s">
        <v>229</v>
      </c>
      <c r="I30" s="54" t="s">
        <v>3514</v>
      </c>
      <c r="J30" s="34" t="s">
        <v>3419</v>
      </c>
      <c r="K30" s="43">
        <f>VLOOKUP(A30,'SSP_March''19'!$A$3:$L$1193,11,0)</f>
        <v>179686</v>
      </c>
      <c r="L30" s="43">
        <f>VLOOKUP(A30,'SSP_March''19'!$A$3:$L$1193,12,0)</f>
        <v>61044</v>
      </c>
      <c r="M30" s="44">
        <f t="shared" si="0"/>
        <v>0.3397259664080674</v>
      </c>
      <c r="N30" s="49">
        <f>ROUND(VLOOKUP(A30,'SSP_March''19'!$A$3:$N$1193,14,0),0)</f>
        <v>189236</v>
      </c>
      <c r="O30" s="44">
        <f t="shared" si="1"/>
        <v>1.0531482697594694</v>
      </c>
      <c r="P30" s="45">
        <f>VLOOKUP(A30,'SSP_March''19'!$A$3:$Q$1193,16,0)</f>
        <v>10</v>
      </c>
      <c r="Q30" s="34">
        <f>VLOOKUP(A30,'SSP_March''19'!$A$3:$Q$1193,17,0)</f>
        <v>4</v>
      </c>
      <c r="R30" s="35">
        <f t="shared" si="3"/>
        <v>0.4</v>
      </c>
      <c r="S30" s="49">
        <f>ROUND(VLOOKUP(A30,'SSP_March''19'!$A$3:$T$1193,19,0),0)</f>
        <v>12</v>
      </c>
      <c r="T30" s="44">
        <f>VLOOKUP(A30,'SSP_March''19'!$A$3:$T$1193,20,0)</f>
        <v>1.2</v>
      </c>
      <c r="U30" s="34">
        <f>VLOOKUP(A30,'SSP_March''19'!$A$3:$X$1193,21,0)</f>
        <v>1</v>
      </c>
      <c r="V30" s="34">
        <f>VLOOKUP(A30,'SSP_March''19'!$A$3:$X$1193,22,0)</f>
        <v>1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34" t="s">
        <v>964</v>
      </c>
      <c r="B31" s="34" t="s">
        <v>965</v>
      </c>
      <c r="C31" s="34" t="s">
        <v>182</v>
      </c>
      <c r="D31" s="34" t="s">
        <v>3414</v>
      </c>
      <c r="E31" s="34" t="s">
        <v>1</v>
      </c>
      <c r="F31" s="34" t="s">
        <v>966</v>
      </c>
      <c r="G31" s="54">
        <v>1919821604</v>
      </c>
      <c r="H31" s="54" t="s">
        <v>229</v>
      </c>
      <c r="I31" s="54" t="s">
        <v>3514</v>
      </c>
      <c r="J31" s="34" t="s">
        <v>3515</v>
      </c>
      <c r="K31" s="43">
        <f>VLOOKUP(A31,'SSP_March''19'!$A$3:$L$1193,11,0)</f>
        <v>167532</v>
      </c>
      <c r="L31" s="43">
        <f>VLOOKUP(A31,'SSP_March''19'!$A$3:$L$1193,12,0)</f>
        <v>73630</v>
      </c>
      <c r="M31" s="44">
        <f t="shared" si="0"/>
        <v>0.43949812573120361</v>
      </c>
      <c r="N31" s="49">
        <f>ROUND(VLOOKUP(A31,'SSP_March''19'!$A$3:$N$1193,14,0),0)</f>
        <v>228253</v>
      </c>
      <c r="O31" s="44">
        <f t="shared" si="1"/>
        <v>1.3624441897667312</v>
      </c>
      <c r="P31" s="45">
        <f>VLOOKUP(A31,'SSP_March''19'!$A$3:$Q$1193,16,0)</f>
        <v>10</v>
      </c>
      <c r="Q31" s="34">
        <f>VLOOKUP(A31,'SSP_March''19'!$A$3:$Q$1193,17,0)</f>
        <v>4</v>
      </c>
      <c r="R31" s="35">
        <f t="shared" si="3"/>
        <v>0.4</v>
      </c>
      <c r="S31" s="49">
        <f>ROUND(VLOOKUP(A31,'SSP_March''19'!$A$3:$T$1193,19,0),0)</f>
        <v>12</v>
      </c>
      <c r="T31" s="44">
        <f>VLOOKUP(A31,'SSP_March''19'!$A$3:$T$1193,20,0)</f>
        <v>1.2</v>
      </c>
      <c r="U31" s="34">
        <f>VLOOKUP(A31,'SSP_March''19'!$A$3:$X$1193,21,0)</f>
        <v>0</v>
      </c>
      <c r="V31" s="34">
        <f>VLOOKUP(A31,'SSP_March''19'!$A$3:$X$1193,22,0)</f>
        <v>0</v>
      </c>
      <c r="W31" s="34">
        <f>VLOOKUP(A31,'SSP_March''19'!$A$3:$X$1193,23,0)</f>
        <v>0</v>
      </c>
      <c r="X31" s="34">
        <f>VLOOKUP(A31,'SSP_March''19'!$A$3:$X$1193,24,0)</f>
        <v>0</v>
      </c>
    </row>
    <row r="32" spans="1:24">
      <c r="A32" s="34" t="s">
        <v>1060</v>
      </c>
      <c r="B32" s="34" t="s">
        <v>1061</v>
      </c>
      <c r="C32" s="34" t="s">
        <v>182</v>
      </c>
      <c r="D32" s="34" t="s">
        <v>3414</v>
      </c>
      <c r="E32" s="34" t="s">
        <v>1</v>
      </c>
      <c r="F32" s="34" t="s">
        <v>1062</v>
      </c>
      <c r="G32" s="54">
        <v>1815588688</v>
      </c>
      <c r="H32" s="54" t="s">
        <v>229</v>
      </c>
      <c r="I32" s="54" t="s">
        <v>3514</v>
      </c>
      <c r="J32" s="34" t="s">
        <v>3419</v>
      </c>
      <c r="K32" s="43">
        <f>VLOOKUP(A32,'SSP_March''19'!$A$3:$L$1193,11,0)</f>
        <v>179506</v>
      </c>
      <c r="L32" s="43">
        <f>VLOOKUP(A32,'SSP_March''19'!$A$3:$L$1193,12,0)</f>
        <v>54810</v>
      </c>
      <c r="M32" s="44">
        <f t="shared" si="0"/>
        <v>0.30533798313148308</v>
      </c>
      <c r="N32" s="49">
        <f>ROUND(VLOOKUP(A32,'SSP_March''19'!$A$3:$N$1193,14,0),0)</f>
        <v>169911</v>
      </c>
      <c r="O32" s="44">
        <f t="shared" si="1"/>
        <v>0.94654774770759753</v>
      </c>
      <c r="P32" s="45">
        <f>VLOOKUP(A32,'SSP_March''19'!$A$3:$Q$1193,16,0)</f>
        <v>10</v>
      </c>
      <c r="Q32" s="34">
        <f>VLOOKUP(A32,'SSP_March''19'!$A$3:$Q$1193,17,0)</f>
        <v>3</v>
      </c>
      <c r="R32" s="35">
        <f t="shared" si="3"/>
        <v>0.3</v>
      </c>
      <c r="S32" s="49">
        <f>ROUND(VLOOKUP(A32,'SSP_March''19'!$A$3:$T$1193,19,0),0)</f>
        <v>9</v>
      </c>
      <c r="T32" s="44">
        <f>VLOOKUP(A32,'SSP_March''19'!$A$3:$T$1193,20,0)</f>
        <v>0.9</v>
      </c>
      <c r="U32" s="34">
        <f>VLOOKUP(A32,'SSP_March''19'!$A$3:$X$1193,21,0)</f>
        <v>1</v>
      </c>
      <c r="V32" s="34">
        <f>VLOOKUP(A32,'SSP_March''19'!$A$3:$X$1193,22,0)</f>
        <v>0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34" t="s">
        <v>884</v>
      </c>
      <c r="B33" s="34" t="s">
        <v>885</v>
      </c>
      <c r="C33" s="34" t="s">
        <v>182</v>
      </c>
      <c r="D33" s="34" t="s">
        <v>3414</v>
      </c>
      <c r="E33" s="34" t="s">
        <v>1</v>
      </c>
      <c r="F33" s="34" t="s">
        <v>886</v>
      </c>
      <c r="G33" s="54">
        <v>1812805825</v>
      </c>
      <c r="H33" s="54" t="s">
        <v>229</v>
      </c>
      <c r="I33" s="54" t="s">
        <v>3514</v>
      </c>
      <c r="J33" s="34" t="s">
        <v>3419</v>
      </c>
      <c r="K33" s="43">
        <f>VLOOKUP(A33,'SSP_March''19'!$A$3:$L$1193,11,0)</f>
        <v>169483</v>
      </c>
      <c r="L33" s="43">
        <f>VLOOKUP(A33,'SSP_March''19'!$A$3:$L$1193,12,0)</f>
        <v>0</v>
      </c>
      <c r="M33" s="44">
        <f t="shared" si="0"/>
        <v>0</v>
      </c>
      <c r="N33" s="49">
        <f>ROUND(VLOOKUP(A33,'SSP_March''19'!$A$3:$N$1193,14,0),0)</f>
        <v>0</v>
      </c>
      <c r="O33" s="44">
        <f t="shared" si="1"/>
        <v>0</v>
      </c>
      <c r="P33" s="45">
        <f>VLOOKUP(A33,'SSP_March''19'!$A$3:$Q$1193,16,0)</f>
        <v>10</v>
      </c>
      <c r="Q33" s="34">
        <f>VLOOKUP(A33,'SSP_March''19'!$A$3:$Q$1193,17,0)</f>
        <v>0</v>
      </c>
      <c r="R33" s="35">
        <f t="shared" si="3"/>
        <v>0</v>
      </c>
      <c r="S33" s="49">
        <f>ROUND(VLOOKUP(A33,'SSP_March''19'!$A$3:$T$1193,19,0),0)</f>
        <v>0</v>
      </c>
      <c r="T33" s="44">
        <f>VLOOKUP(A33,'SSP_March''19'!$A$3:$T$1193,20,0)</f>
        <v>0</v>
      </c>
      <c r="U33" s="34">
        <f>VLOOKUP(A33,'SSP_March''19'!$A$3:$X$1193,21,0)</f>
        <v>0</v>
      </c>
      <c r="V33" s="34">
        <f>VLOOKUP(A33,'SSP_March''19'!$A$3:$X$1193,22,0)</f>
        <v>0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34" t="s">
        <v>2990</v>
      </c>
      <c r="B34" s="34" t="s">
        <v>2991</v>
      </c>
      <c r="C34" s="34" t="s">
        <v>182</v>
      </c>
      <c r="D34" s="34" t="s">
        <v>3414</v>
      </c>
      <c r="E34" s="34" t="s">
        <v>1</v>
      </c>
      <c r="F34" s="34" t="s">
        <v>2992</v>
      </c>
      <c r="G34" s="54">
        <v>1924967444</v>
      </c>
      <c r="H34" s="54" t="s">
        <v>229</v>
      </c>
      <c r="I34" s="54" t="s">
        <v>3522</v>
      </c>
      <c r="J34" s="34" t="s">
        <v>3419</v>
      </c>
      <c r="K34" s="43">
        <f>VLOOKUP(A34,'SSP_March''19'!$A$3:$L$1193,11,0)</f>
        <v>525437</v>
      </c>
      <c r="L34" s="43">
        <f>VLOOKUP(A34,'SSP_March''19'!$A$3:$L$1193,12,0)</f>
        <v>136515</v>
      </c>
      <c r="M34" s="44">
        <f t="shared" si="0"/>
        <v>0.25981230861168891</v>
      </c>
      <c r="N34" s="49">
        <f>ROUND(VLOOKUP(A34,'SSP_March''19'!$A$3:$N$1193,14,0),0)</f>
        <v>423197</v>
      </c>
      <c r="O34" s="44">
        <f t="shared" si="1"/>
        <v>0.80541910828510366</v>
      </c>
      <c r="P34" s="45">
        <f>VLOOKUP(A34,'SSP_March''19'!$A$3:$Q$1193,16,0)</f>
        <v>24</v>
      </c>
      <c r="Q34" s="34">
        <f>VLOOKUP(A34,'SSP_March''19'!$A$3:$Q$1193,17,0)</f>
        <v>3</v>
      </c>
      <c r="R34" s="35">
        <f t="shared" si="3"/>
        <v>0.125</v>
      </c>
      <c r="S34" s="49">
        <f>ROUND(VLOOKUP(A34,'SSP_March''19'!$A$3:$T$1193,19,0),0)</f>
        <v>9</v>
      </c>
      <c r="T34" s="44">
        <f>VLOOKUP(A34,'SSP_March''19'!$A$3:$T$1193,20,0)</f>
        <v>0.375</v>
      </c>
      <c r="U34" s="34">
        <f>VLOOKUP(A34,'SSP_March''19'!$A$3:$X$1193,21,0)</f>
        <v>0</v>
      </c>
      <c r="V34" s="34">
        <f>VLOOKUP(A34,'SSP_March''19'!$A$3:$X$1193,22,0)</f>
        <v>0</v>
      </c>
      <c r="W34" s="34">
        <f>VLOOKUP(A34,'SSP_March''19'!$A$3:$X$1193,23,0)</f>
        <v>0</v>
      </c>
      <c r="X34" s="34">
        <f>VLOOKUP(A34,'SSP_March''19'!$A$3:$X$1193,24,0)</f>
        <v>0</v>
      </c>
    </row>
    <row r="35" spans="1:24">
      <c r="A35" s="34" t="s">
        <v>950</v>
      </c>
      <c r="B35" s="34" t="s">
        <v>951</v>
      </c>
      <c r="C35" s="34" t="s">
        <v>182</v>
      </c>
      <c r="D35" s="34" t="s">
        <v>3414</v>
      </c>
      <c r="E35" s="34" t="s">
        <v>1</v>
      </c>
      <c r="F35" s="34" t="s">
        <v>952</v>
      </c>
      <c r="G35" s="54">
        <v>1776201085</v>
      </c>
      <c r="H35" s="54" t="s">
        <v>229</v>
      </c>
      <c r="I35" s="54" t="s">
        <v>3514</v>
      </c>
      <c r="J35" s="34" t="s">
        <v>3419</v>
      </c>
      <c r="K35" s="43">
        <f>VLOOKUP(A35,'SSP_March''19'!$A$3:$L$1193,11,0)</f>
        <v>296817</v>
      </c>
      <c r="L35" s="43">
        <f>VLOOKUP(A35,'SSP_March''19'!$A$3:$L$1193,12,0)</f>
        <v>67770</v>
      </c>
      <c r="M35" s="44">
        <f t="shared" si="0"/>
        <v>0.22832250174349852</v>
      </c>
      <c r="N35" s="49">
        <f>ROUND(VLOOKUP(A35,'SSP_March''19'!$A$3:$N$1193,14,0),0)</f>
        <v>210087</v>
      </c>
      <c r="O35" s="44">
        <f t="shared" si="1"/>
        <v>0.70779975540484541</v>
      </c>
      <c r="P35" s="45">
        <f>VLOOKUP(A35,'SSP_March''19'!$A$3:$Q$1193,16,0)</f>
        <v>10</v>
      </c>
      <c r="Q35" s="34">
        <f>VLOOKUP(A35,'SSP_March''19'!$A$3:$Q$1193,17,0)</f>
        <v>2</v>
      </c>
      <c r="R35" s="35">
        <f t="shared" si="3"/>
        <v>0.2</v>
      </c>
      <c r="S35" s="49">
        <f>ROUND(VLOOKUP(A35,'SSP_March''19'!$A$3:$T$1193,19,0),0)</f>
        <v>6</v>
      </c>
      <c r="T35" s="44">
        <f>VLOOKUP(A35,'SSP_March''19'!$A$3:$T$1193,20,0)</f>
        <v>0.6</v>
      </c>
      <c r="U35" s="34">
        <f>VLOOKUP(A35,'SSP_March''19'!$A$3:$X$1193,21,0)</f>
        <v>0</v>
      </c>
      <c r="V35" s="34">
        <f>VLOOKUP(A35,'SSP_March''19'!$A$3:$X$1193,22,0)</f>
        <v>0</v>
      </c>
      <c r="W35" s="34">
        <f>VLOOKUP(A35,'SSP_March''19'!$A$3:$X$1193,23,0)</f>
        <v>0</v>
      </c>
      <c r="X35" s="34">
        <f>VLOOKUP(A35,'SSP_March''19'!$A$3:$X$1193,24,0)</f>
        <v>0</v>
      </c>
    </row>
    <row r="36" spans="1:24">
      <c r="A36" s="34" t="s">
        <v>3120</v>
      </c>
      <c r="B36" s="34" t="s">
        <v>2945</v>
      </c>
      <c r="C36" s="34" t="s">
        <v>182</v>
      </c>
      <c r="D36" s="34" t="s">
        <v>3414</v>
      </c>
      <c r="E36" s="34" t="s">
        <v>1</v>
      </c>
      <c r="F36" s="34" t="s">
        <v>3121</v>
      </c>
      <c r="G36" s="54">
        <v>1857887799</v>
      </c>
      <c r="H36" s="54" t="s">
        <v>229</v>
      </c>
      <c r="I36" s="54" t="s">
        <v>3514</v>
      </c>
      <c r="J36" s="34" t="s">
        <v>3421</v>
      </c>
      <c r="K36" s="43">
        <f>VLOOKUP(A36,'SSP_March''19'!$A$3:$L$1193,11,0)</f>
        <v>130000</v>
      </c>
      <c r="L36" s="43">
        <f>VLOOKUP(A36,'SSP_March''19'!$A$3:$L$1193,12,0)</f>
        <v>5690</v>
      </c>
      <c r="M36" s="44">
        <f t="shared" si="0"/>
        <v>4.3769230769230769E-2</v>
      </c>
      <c r="N36" s="49">
        <f>ROUND(VLOOKUP(A36,'SSP_March''19'!$A$3:$N$1193,14,0),0)</f>
        <v>17639</v>
      </c>
      <c r="O36" s="44">
        <f t="shared" si="1"/>
        <v>0.13568461538461538</v>
      </c>
      <c r="P36" s="45">
        <f>VLOOKUP(A36,'SSP_March''19'!$A$3:$Q$1193,16,0)</f>
        <v>10</v>
      </c>
      <c r="Q36" s="34">
        <f>VLOOKUP(A36,'SSP_March''19'!$A$3:$Q$1193,17,0)</f>
        <v>0</v>
      </c>
      <c r="R36" s="35">
        <f t="shared" si="3"/>
        <v>0</v>
      </c>
      <c r="S36" s="49">
        <f>ROUND(VLOOKUP(A36,'SSP_March''19'!$A$3:$T$1193,19,0),0)</f>
        <v>0</v>
      </c>
      <c r="T36" s="44">
        <f>VLOOKUP(A36,'SSP_March''19'!$A$3:$T$1193,20,0)</f>
        <v>0</v>
      </c>
      <c r="U36" s="34">
        <f>VLOOKUP(A36,'SSP_March''19'!$A$3:$X$1193,21,0)</f>
        <v>0</v>
      </c>
      <c r="V36" s="34">
        <f>VLOOKUP(A36,'SSP_March''19'!$A$3:$X$1193,22,0)</f>
        <v>0</v>
      </c>
      <c r="W36" s="34">
        <f>VLOOKUP(A36,'SSP_March''19'!$A$3:$X$1193,23,0)</f>
        <v>0</v>
      </c>
      <c r="X36" s="34">
        <f>VLOOKUP(A36,'SSP_March''19'!$A$3:$X$1193,24,0)</f>
        <v>0</v>
      </c>
    </row>
    <row r="37" spans="1:24">
      <c r="A37" s="34" t="s">
        <v>852</v>
      </c>
      <c r="B37" s="34" t="s">
        <v>853</v>
      </c>
      <c r="C37" s="34" t="s">
        <v>182</v>
      </c>
      <c r="D37" s="34" t="s">
        <v>3414</v>
      </c>
      <c r="E37" s="34" t="s">
        <v>1</v>
      </c>
      <c r="F37" s="34" t="s">
        <v>854</v>
      </c>
      <c r="G37" s="54">
        <v>1752781122</v>
      </c>
      <c r="H37" s="54" t="s">
        <v>229</v>
      </c>
      <c r="I37" s="54" t="s">
        <v>3514</v>
      </c>
      <c r="J37" s="34" t="s">
        <v>3419</v>
      </c>
      <c r="K37" s="43">
        <f>VLOOKUP(A37,'SSP_March''19'!$A$3:$L$1193,11,0)</f>
        <v>163817</v>
      </c>
      <c r="L37" s="43">
        <f>VLOOKUP(A37,'SSP_March''19'!$A$3:$L$1193,12,0)</f>
        <v>37130</v>
      </c>
      <c r="M37" s="44">
        <f t="shared" si="0"/>
        <v>0.2266553532295183</v>
      </c>
      <c r="N37" s="49">
        <f>ROUND(VLOOKUP(A37,'SSP_March''19'!$A$3:$N$1193,14,0),0)</f>
        <v>115103</v>
      </c>
      <c r="O37" s="44">
        <f t="shared" si="1"/>
        <v>0.70263159501150674</v>
      </c>
      <c r="P37" s="45">
        <f>VLOOKUP(A37,'SSP_March''19'!$A$3:$Q$1193,16,0)</f>
        <v>10</v>
      </c>
      <c r="Q37" s="34">
        <f>VLOOKUP(A37,'SSP_March''19'!$A$3:$Q$1193,17,0)</f>
        <v>1</v>
      </c>
      <c r="R37" s="35">
        <f t="shared" si="3"/>
        <v>0.1</v>
      </c>
      <c r="S37" s="49">
        <f>ROUND(VLOOKUP(A37,'SSP_March''19'!$A$3:$T$1193,19,0),0)</f>
        <v>3</v>
      </c>
      <c r="T37" s="44">
        <f>VLOOKUP(A37,'SSP_March''19'!$A$3:$T$1193,20,0)</f>
        <v>0.3</v>
      </c>
      <c r="U37" s="34">
        <f>VLOOKUP(A37,'SSP_March''19'!$A$3:$X$1193,21,0)</f>
        <v>1</v>
      </c>
      <c r="V37" s="34">
        <f>VLOOKUP(A37,'SSP_March''19'!$A$3:$X$1193,22,0)</f>
        <v>0</v>
      </c>
      <c r="W37" s="34">
        <f>VLOOKUP(A37,'SSP_March''19'!$A$3:$X$1193,23,0)</f>
        <v>0</v>
      </c>
      <c r="X37" s="34">
        <f>VLOOKUP(A37,'SSP_March''19'!$A$3:$X$1193,24,0)</f>
        <v>0</v>
      </c>
    </row>
    <row r="38" spans="1:24">
      <c r="A38" s="34" t="s">
        <v>3195</v>
      </c>
      <c r="B38" s="34" t="s">
        <v>3196</v>
      </c>
      <c r="C38" s="34" t="s">
        <v>182</v>
      </c>
      <c r="D38" s="34" t="s">
        <v>3414</v>
      </c>
      <c r="E38" s="34" t="s">
        <v>1</v>
      </c>
      <c r="F38" s="34" t="s">
        <v>3197</v>
      </c>
      <c r="G38" s="54">
        <v>1779547994</v>
      </c>
      <c r="H38" s="54" t="s">
        <v>229</v>
      </c>
      <c r="I38" s="54" t="s">
        <v>3514</v>
      </c>
      <c r="J38" s="34" t="s">
        <v>3421</v>
      </c>
      <c r="K38" s="43">
        <f>VLOOKUP(A38,'SSP_March''19'!$A$3:$L$1193,11,0)</f>
        <v>130000</v>
      </c>
      <c r="L38" s="43">
        <f>VLOOKUP(A38,'SSP_March''19'!$A$3:$L$1193,12,0)</f>
        <v>44355</v>
      </c>
      <c r="M38" s="44">
        <f t="shared" si="0"/>
        <v>0.34119230769230768</v>
      </c>
      <c r="N38" s="49">
        <f>ROUND(VLOOKUP(A38,'SSP_March''19'!$A$3:$N$1193,14,0),0)</f>
        <v>137501</v>
      </c>
      <c r="O38" s="44">
        <f t="shared" si="1"/>
        <v>1.0577000000000001</v>
      </c>
      <c r="P38" s="45">
        <f>VLOOKUP(A38,'SSP_March''19'!$A$3:$Q$1193,16,0)</f>
        <v>10</v>
      </c>
      <c r="Q38" s="34">
        <f>VLOOKUP(A38,'SSP_March''19'!$A$3:$Q$1193,17,0)</f>
        <v>2</v>
      </c>
      <c r="R38" s="35">
        <f t="shared" si="3"/>
        <v>0.2</v>
      </c>
      <c r="S38" s="49">
        <f>ROUND(VLOOKUP(A38,'SSP_March''19'!$A$3:$T$1193,19,0),0)</f>
        <v>6</v>
      </c>
      <c r="T38" s="44">
        <f>VLOOKUP(A38,'SSP_March''19'!$A$3:$T$1193,20,0)</f>
        <v>0.6</v>
      </c>
      <c r="U38" s="34">
        <f>VLOOKUP(A38,'SSP_March''19'!$A$3:$X$1193,21,0)</f>
        <v>0</v>
      </c>
      <c r="V38" s="34">
        <f>VLOOKUP(A38,'SSP_March''19'!$A$3:$X$1193,22,0)</f>
        <v>0</v>
      </c>
      <c r="W38" s="34">
        <f>VLOOKUP(A38,'SSP_March''19'!$A$3:$X$1193,23,0)</f>
        <v>0</v>
      </c>
      <c r="X38" s="34">
        <f>VLOOKUP(A38,'SSP_March''19'!$A$3:$X$1193,24,0)</f>
        <v>0</v>
      </c>
    </row>
    <row r="39" spans="1:24">
      <c r="A39" s="34" t="s">
        <v>887</v>
      </c>
      <c r="B39" s="34" t="s">
        <v>888</v>
      </c>
      <c r="C39" s="34" t="s">
        <v>146</v>
      </c>
      <c r="D39" s="34" t="s">
        <v>147</v>
      </c>
      <c r="E39" s="34" t="s">
        <v>1</v>
      </c>
      <c r="F39" s="34" t="s">
        <v>889</v>
      </c>
      <c r="G39" s="54">
        <v>1725988505</v>
      </c>
      <c r="H39" s="54" t="s">
        <v>229</v>
      </c>
      <c r="I39" s="54" t="s">
        <v>3514</v>
      </c>
      <c r="J39" s="34" t="s">
        <v>3419</v>
      </c>
      <c r="K39" s="43">
        <f>VLOOKUP(A39,'SSP_March''19'!$A$3:$L$1193,11,0)</f>
        <v>130000</v>
      </c>
      <c r="L39" s="43">
        <f>VLOOKUP(A39,'SSP_March''19'!$A$3:$L$1193,12,0)</f>
        <v>53490</v>
      </c>
      <c r="M39" s="44">
        <f t="shared" si="0"/>
        <v>0.41146153846153843</v>
      </c>
      <c r="N39" s="49">
        <f>ROUND(VLOOKUP(A39,'SSP_March''19'!$A$3:$N$1193,14,0),0)</f>
        <v>165819</v>
      </c>
      <c r="O39" s="44">
        <f t="shared" si="1"/>
        <v>1.2755307692307691</v>
      </c>
      <c r="P39" s="45">
        <f>VLOOKUP(A39,'SSP_March''19'!$A$3:$Q$1193,16,0)</f>
        <v>10</v>
      </c>
      <c r="Q39" s="34">
        <f>VLOOKUP(A39,'SSP_March''19'!$A$3:$Q$1193,17,0)</f>
        <v>1</v>
      </c>
      <c r="R39" s="35">
        <f t="shared" si="3"/>
        <v>0.1</v>
      </c>
      <c r="S39" s="49">
        <f>ROUND(VLOOKUP(A39,'SSP_March''19'!$A$3:$T$1193,19,0),0)</f>
        <v>3</v>
      </c>
      <c r="T39" s="44">
        <f>VLOOKUP(A39,'SSP_March''19'!$A$3:$T$1193,20,0)</f>
        <v>0.3</v>
      </c>
      <c r="U39" s="34">
        <f>VLOOKUP(A39,'SSP_March''19'!$A$3:$X$1193,21,0)</f>
        <v>2</v>
      </c>
      <c r="V39" s="34">
        <f>VLOOKUP(A39,'SSP_March''19'!$A$3:$X$1193,22,0)</f>
        <v>1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34" t="s">
        <v>1013</v>
      </c>
      <c r="B40" s="34" t="s">
        <v>269</v>
      </c>
      <c r="C40" s="34" t="s">
        <v>146</v>
      </c>
      <c r="D40" s="34" t="s">
        <v>147</v>
      </c>
      <c r="E40" s="34" t="s">
        <v>1</v>
      </c>
      <c r="F40" s="34" t="s">
        <v>1014</v>
      </c>
      <c r="G40" s="54">
        <v>1714641211</v>
      </c>
      <c r="H40" s="54" t="s">
        <v>229</v>
      </c>
      <c r="I40" s="54" t="s">
        <v>3514</v>
      </c>
      <c r="J40" s="34" t="s">
        <v>3421</v>
      </c>
      <c r="K40" s="43">
        <f>VLOOKUP(A40,'SSP_March''19'!$A$3:$L$1193,11,0)</f>
        <v>130000</v>
      </c>
      <c r="L40" s="43">
        <f>VLOOKUP(A40,'SSP_March''19'!$A$3:$L$1193,12,0)</f>
        <v>11330</v>
      </c>
      <c r="M40" s="44">
        <f t="shared" si="0"/>
        <v>8.7153846153846151E-2</v>
      </c>
      <c r="N40" s="49">
        <f>ROUND(VLOOKUP(A40,'SSP_March''19'!$A$3:$N$1193,14,0),0)</f>
        <v>35123</v>
      </c>
      <c r="O40" s="44">
        <f t="shared" si="1"/>
        <v>0.27017692307692309</v>
      </c>
      <c r="P40" s="45">
        <f>VLOOKUP(A40,'SSP_March''19'!$A$3:$Q$1193,16,0)</f>
        <v>10</v>
      </c>
      <c r="Q40" s="34">
        <f>VLOOKUP(A40,'SSP_March''19'!$A$3:$Q$1193,17,0)</f>
        <v>1</v>
      </c>
      <c r="R40" s="35">
        <f t="shared" si="3"/>
        <v>0.1</v>
      </c>
      <c r="S40" s="49">
        <f>ROUND(VLOOKUP(A40,'SSP_March''19'!$A$3:$T$1193,19,0),0)</f>
        <v>3</v>
      </c>
      <c r="T40" s="44">
        <f>VLOOKUP(A40,'SSP_March''19'!$A$3:$T$1193,20,0)</f>
        <v>0.3</v>
      </c>
      <c r="U40" s="34">
        <f>VLOOKUP(A40,'SSP_March''19'!$A$3:$X$1193,21,0)</f>
        <v>0</v>
      </c>
      <c r="V40" s="34">
        <f>VLOOKUP(A40,'SSP_March''19'!$A$3:$X$1193,22,0)</f>
        <v>0</v>
      </c>
      <c r="W40" s="34">
        <f>VLOOKUP(A40,'SSP_March''19'!$A$3:$X$1193,23,0)</f>
        <v>0</v>
      </c>
      <c r="X40" s="34">
        <f>VLOOKUP(A40,'SSP_March''19'!$A$3:$X$1193,24,0)</f>
        <v>0</v>
      </c>
    </row>
    <row r="41" spans="1:24">
      <c r="A41" s="34" t="s">
        <v>3416</v>
      </c>
      <c r="B41" s="34" t="s">
        <v>3417</v>
      </c>
      <c r="C41" s="34" t="s">
        <v>146</v>
      </c>
      <c r="D41" s="34" t="s">
        <v>147</v>
      </c>
      <c r="E41" s="34" t="s">
        <v>1</v>
      </c>
      <c r="F41" s="34" t="s">
        <v>3415</v>
      </c>
      <c r="G41" s="54">
        <v>1917437012</v>
      </c>
      <c r="H41" s="54" t="s">
        <v>229</v>
      </c>
      <c r="I41" s="54" t="s">
        <v>3518</v>
      </c>
      <c r="J41" s="34" t="s">
        <v>3420</v>
      </c>
      <c r="K41" s="43">
        <f>VLOOKUP(A41,'SSP_March''19'!$A$3:$L$1193,11,0)</f>
        <v>337674</v>
      </c>
      <c r="L41" s="43">
        <f>VLOOKUP(A41,'SSP_March''19'!$A$3:$L$1193,12,0)</f>
        <v>31130</v>
      </c>
      <c r="M41" s="44">
        <f t="shared" si="0"/>
        <v>9.218950822390827E-2</v>
      </c>
      <c r="N41" s="49">
        <f>ROUND(VLOOKUP(A41,'SSP_March''19'!$A$3:$N$1193,14,0),0)</f>
        <v>96503</v>
      </c>
      <c r="O41" s="44">
        <f t="shared" si="1"/>
        <v>0.28578747549411565</v>
      </c>
      <c r="P41" s="45">
        <f>VLOOKUP(A41,'SSP_March''19'!$A$3:$Q$1193,16,0)</f>
        <v>10</v>
      </c>
      <c r="Q41" s="34">
        <f>VLOOKUP(A41,'SSP_March''19'!$A$3:$Q$1193,17,0)</f>
        <v>1</v>
      </c>
      <c r="R41" s="35">
        <f t="shared" si="3"/>
        <v>0.1</v>
      </c>
      <c r="S41" s="49">
        <f>ROUND(VLOOKUP(A41,'SSP_March''19'!$A$3:$T$1193,19,0),0)</f>
        <v>3</v>
      </c>
      <c r="T41" s="44">
        <f>VLOOKUP(A41,'SSP_March''19'!$A$3:$T$1193,20,0)</f>
        <v>0.3</v>
      </c>
      <c r="U41" s="34">
        <f>VLOOKUP(A41,'SSP_March''19'!$A$3:$X$1193,21,0)</f>
        <v>0</v>
      </c>
      <c r="V41" s="34">
        <f>VLOOKUP(A41,'SSP_March''19'!$A$3:$X$1193,22,0)</f>
        <v>1</v>
      </c>
      <c r="W41" s="34">
        <f>VLOOKUP(A41,'SSP_March''19'!$A$3:$X$1193,23,0)</f>
        <v>0</v>
      </c>
      <c r="X41" s="34">
        <f>VLOOKUP(A41,'SSP_March''19'!$A$3:$X$1193,24,0)</f>
        <v>0</v>
      </c>
    </row>
    <row r="42" spans="1:24">
      <c r="A42" s="34" t="s">
        <v>1022</v>
      </c>
      <c r="B42" s="34" t="s">
        <v>1023</v>
      </c>
      <c r="C42" s="34" t="s">
        <v>146</v>
      </c>
      <c r="D42" s="34" t="s">
        <v>147</v>
      </c>
      <c r="E42" s="34" t="s">
        <v>1</v>
      </c>
      <c r="F42" s="34" t="s">
        <v>1024</v>
      </c>
      <c r="G42" s="54">
        <v>1705094427</v>
      </c>
      <c r="H42" s="54" t="s">
        <v>229</v>
      </c>
      <c r="I42" s="54" t="s">
        <v>3514</v>
      </c>
      <c r="J42" s="34" t="s">
        <v>3419</v>
      </c>
      <c r="K42" s="43">
        <f>VLOOKUP(A42,'SSP_March''19'!$A$3:$L$1193,11,0)</f>
        <v>130000</v>
      </c>
      <c r="L42" s="43">
        <f>VLOOKUP(A42,'SSP_March''19'!$A$3:$L$1193,12,0)</f>
        <v>25140</v>
      </c>
      <c r="M42" s="44">
        <f t="shared" si="0"/>
        <v>0.19338461538461538</v>
      </c>
      <c r="N42" s="49">
        <f>ROUND(VLOOKUP(A42,'SSP_March''19'!$A$3:$N$1193,14,0),0)</f>
        <v>77934</v>
      </c>
      <c r="O42" s="44">
        <f t="shared" si="1"/>
        <v>0.59949230769230766</v>
      </c>
      <c r="P42" s="45">
        <f>VLOOKUP(A42,'SSP_March''19'!$A$3:$Q$1193,16,0)</f>
        <v>10</v>
      </c>
      <c r="Q42" s="34">
        <f>VLOOKUP(A42,'SSP_March''19'!$A$3:$Q$1193,17,0)</f>
        <v>0</v>
      </c>
      <c r="R42" s="35">
        <f t="shared" si="3"/>
        <v>0</v>
      </c>
      <c r="S42" s="49">
        <f>ROUND(VLOOKUP(A42,'SSP_March''19'!$A$3:$T$1193,19,0),0)</f>
        <v>0</v>
      </c>
      <c r="T42" s="44">
        <f>VLOOKUP(A42,'SSP_March''19'!$A$3:$T$1193,20,0)</f>
        <v>0</v>
      </c>
      <c r="U42" s="34">
        <f>VLOOKUP(A42,'SSP_March''19'!$A$3:$X$1193,21,0)</f>
        <v>0</v>
      </c>
      <c r="V42" s="34">
        <f>VLOOKUP(A42,'SSP_March''19'!$A$3:$X$1193,22,0)</f>
        <v>0</v>
      </c>
      <c r="W42" s="34">
        <f>VLOOKUP(A42,'SSP_March''19'!$A$3:$X$1193,23,0)</f>
        <v>0</v>
      </c>
      <c r="X42" s="34">
        <f>VLOOKUP(A42,'SSP_March''19'!$A$3:$X$1193,24,0)</f>
        <v>0</v>
      </c>
    </row>
    <row r="43" spans="1:24">
      <c r="A43" s="34" t="s">
        <v>990</v>
      </c>
      <c r="B43" s="34" t="s">
        <v>991</v>
      </c>
      <c r="C43" s="34" t="s">
        <v>146</v>
      </c>
      <c r="D43" s="34" t="s">
        <v>147</v>
      </c>
      <c r="E43" s="34" t="s">
        <v>1</v>
      </c>
      <c r="F43" s="34" t="s">
        <v>992</v>
      </c>
      <c r="G43" s="54">
        <v>1912994716</v>
      </c>
      <c r="H43" s="54" t="s">
        <v>229</v>
      </c>
      <c r="I43" s="54" t="s">
        <v>3514</v>
      </c>
      <c r="J43" s="34" t="s">
        <v>3421</v>
      </c>
      <c r="K43" s="43">
        <f>VLOOKUP(A43,'SSP_March''19'!$A$3:$L$1193,11,0)</f>
        <v>130000</v>
      </c>
      <c r="L43" s="43">
        <f>VLOOKUP(A43,'SSP_March''19'!$A$3:$L$1193,12,0)</f>
        <v>28290</v>
      </c>
      <c r="M43" s="44">
        <f t="shared" si="0"/>
        <v>0.21761538461538463</v>
      </c>
      <c r="N43" s="49">
        <f>ROUND(VLOOKUP(A43,'SSP_March''19'!$A$3:$N$1193,14,0),0)</f>
        <v>87699</v>
      </c>
      <c r="O43" s="44">
        <f t="shared" si="1"/>
        <v>0.67460769230769235</v>
      </c>
      <c r="P43" s="45">
        <f>VLOOKUP(A43,'SSP_March''19'!$A$3:$Q$1193,16,0)</f>
        <v>10</v>
      </c>
      <c r="Q43" s="34">
        <f>VLOOKUP(A43,'SSP_March''19'!$A$3:$Q$1193,17,0)</f>
        <v>1</v>
      </c>
      <c r="R43" s="35">
        <f t="shared" si="3"/>
        <v>0.1</v>
      </c>
      <c r="S43" s="49">
        <f>ROUND(VLOOKUP(A43,'SSP_March''19'!$A$3:$T$1193,19,0),0)</f>
        <v>3</v>
      </c>
      <c r="T43" s="44">
        <f>VLOOKUP(A43,'SSP_March''19'!$A$3:$T$1193,20,0)</f>
        <v>0.3</v>
      </c>
      <c r="U43" s="34">
        <f>VLOOKUP(A43,'SSP_March''19'!$A$3:$X$1193,21,0)</f>
        <v>0</v>
      </c>
      <c r="V43" s="34">
        <f>VLOOKUP(A43,'SSP_March''19'!$A$3:$X$1193,22,0)</f>
        <v>1</v>
      </c>
      <c r="W43" s="34">
        <f>VLOOKUP(A43,'SSP_March''19'!$A$3:$X$1193,23,0)</f>
        <v>0</v>
      </c>
      <c r="X43" s="34">
        <f>VLOOKUP(A43,'SSP_March''19'!$A$3:$X$1193,24,0)</f>
        <v>0</v>
      </c>
    </row>
    <row r="44" spans="1:24">
      <c r="A44" s="34" t="s">
        <v>1080</v>
      </c>
      <c r="B44" s="34" t="s">
        <v>1081</v>
      </c>
      <c r="C44" s="34" t="s">
        <v>146</v>
      </c>
      <c r="D44" s="34" t="s">
        <v>147</v>
      </c>
      <c r="E44" s="34" t="s">
        <v>1</v>
      </c>
      <c r="F44" s="34" t="s">
        <v>1082</v>
      </c>
      <c r="G44" s="54">
        <v>1756011618</v>
      </c>
      <c r="H44" s="54" t="s">
        <v>229</v>
      </c>
      <c r="I44" s="54" t="s">
        <v>3514</v>
      </c>
      <c r="J44" s="34" t="s">
        <v>3421</v>
      </c>
      <c r="K44" s="43">
        <f>VLOOKUP(A44,'SSP_March''19'!$A$3:$L$1193,11,0)</f>
        <v>130000</v>
      </c>
      <c r="L44" s="43">
        <f>VLOOKUP(A44,'SSP_March''19'!$A$3:$L$1193,12,0)</f>
        <v>6680</v>
      </c>
      <c r="M44" s="44">
        <f t="shared" si="0"/>
        <v>5.1384615384615383E-2</v>
      </c>
      <c r="N44" s="49">
        <f>ROUND(VLOOKUP(A44,'SSP_March''19'!$A$3:$N$1193,14,0),0)</f>
        <v>20708</v>
      </c>
      <c r="O44" s="44">
        <f t="shared" si="1"/>
        <v>0.15929230769230771</v>
      </c>
      <c r="P44" s="45">
        <f>VLOOKUP(A44,'SSP_March''19'!$A$3:$Q$1193,16,0)</f>
        <v>10</v>
      </c>
      <c r="Q44" s="34">
        <f>VLOOKUP(A44,'SSP_March''19'!$A$3:$Q$1193,17,0)</f>
        <v>0</v>
      </c>
      <c r="R44" s="35">
        <f t="shared" si="3"/>
        <v>0</v>
      </c>
      <c r="S44" s="49">
        <f>ROUND(VLOOKUP(A44,'SSP_March''19'!$A$3:$T$1193,19,0),0)</f>
        <v>0</v>
      </c>
      <c r="T44" s="44">
        <f>VLOOKUP(A44,'SSP_March''19'!$A$3:$T$1193,20,0)</f>
        <v>0</v>
      </c>
      <c r="U44" s="34">
        <f>VLOOKUP(A44,'SSP_March''19'!$A$3:$X$1193,21,0)</f>
        <v>0</v>
      </c>
      <c r="V44" s="34">
        <f>VLOOKUP(A44,'SSP_March''19'!$A$3:$X$1193,22,0)</f>
        <v>0</v>
      </c>
      <c r="W44" s="34">
        <f>VLOOKUP(A44,'SSP_March''19'!$A$3:$X$1193,23,0)</f>
        <v>0</v>
      </c>
      <c r="X44" s="34">
        <f>VLOOKUP(A44,'SSP_March''19'!$A$3:$X$1193,24,0)</f>
        <v>0</v>
      </c>
    </row>
    <row r="45" spans="1:24">
      <c r="A45" s="34" t="s">
        <v>1038</v>
      </c>
      <c r="B45" s="34" t="s">
        <v>1039</v>
      </c>
      <c r="C45" s="34" t="s">
        <v>146</v>
      </c>
      <c r="D45" s="34" t="s">
        <v>147</v>
      </c>
      <c r="E45" s="34" t="s">
        <v>1</v>
      </c>
      <c r="F45" s="34" t="s">
        <v>1040</v>
      </c>
      <c r="G45" s="54">
        <v>1759336333</v>
      </c>
      <c r="H45" s="54" t="s">
        <v>229</v>
      </c>
      <c r="I45" s="54" t="s">
        <v>3514</v>
      </c>
      <c r="J45" s="34" t="s">
        <v>3419</v>
      </c>
      <c r="K45" s="43">
        <f>VLOOKUP(A45,'SSP_March''19'!$A$3:$L$1193,11,0)</f>
        <v>130000</v>
      </c>
      <c r="L45" s="43">
        <f>VLOOKUP(A45,'SSP_March''19'!$A$3:$L$1193,12,0)</f>
        <v>38290</v>
      </c>
      <c r="M45" s="44">
        <f t="shared" si="0"/>
        <v>0.29453846153846153</v>
      </c>
      <c r="N45" s="49">
        <f>ROUND(VLOOKUP(A45,'SSP_March''19'!$A$3:$N$1193,14,0),0)</f>
        <v>118699</v>
      </c>
      <c r="O45" s="44">
        <f t="shared" si="1"/>
        <v>0.91306923076923074</v>
      </c>
      <c r="P45" s="45">
        <f>VLOOKUP(A45,'SSP_March''19'!$A$3:$Q$1193,16,0)</f>
        <v>10</v>
      </c>
      <c r="Q45" s="34">
        <f>VLOOKUP(A45,'SSP_March''19'!$A$3:$Q$1193,17,0)</f>
        <v>1</v>
      </c>
      <c r="R45" s="35">
        <f t="shared" si="3"/>
        <v>0.1</v>
      </c>
      <c r="S45" s="49">
        <f>ROUND(VLOOKUP(A45,'SSP_March''19'!$A$3:$T$1193,19,0),0)</f>
        <v>3</v>
      </c>
      <c r="T45" s="44">
        <f>VLOOKUP(A45,'SSP_March''19'!$A$3:$T$1193,20,0)</f>
        <v>0.3</v>
      </c>
      <c r="U45" s="34">
        <f>VLOOKUP(A45,'SSP_March''19'!$A$3:$X$1193,21,0)</f>
        <v>0</v>
      </c>
      <c r="V45" s="34">
        <f>VLOOKUP(A45,'SSP_March''19'!$A$3:$X$1193,22,0)</f>
        <v>0</v>
      </c>
      <c r="W45" s="34">
        <f>VLOOKUP(A45,'SSP_March''19'!$A$3:$X$1193,23,0)</f>
        <v>0</v>
      </c>
      <c r="X45" s="34">
        <f>VLOOKUP(A45,'SSP_March''19'!$A$3:$X$1193,24,0)</f>
        <v>0</v>
      </c>
    </row>
    <row r="46" spans="1:24">
      <c r="A46" s="34" t="s">
        <v>996</v>
      </c>
      <c r="B46" s="34" t="s">
        <v>997</v>
      </c>
      <c r="C46" s="34" t="s">
        <v>208</v>
      </c>
      <c r="D46" s="34" t="s">
        <v>147</v>
      </c>
      <c r="E46" s="34" t="s">
        <v>1</v>
      </c>
      <c r="F46" s="34" t="s">
        <v>998</v>
      </c>
      <c r="G46" s="54">
        <v>1719812165</v>
      </c>
      <c r="H46" s="54" t="s">
        <v>229</v>
      </c>
      <c r="I46" s="54" t="s">
        <v>3514</v>
      </c>
      <c r="J46" s="34" t="s">
        <v>3421</v>
      </c>
      <c r="K46" s="43">
        <f>VLOOKUP(A46,'SSP_March''19'!$A$3:$L$1193,11,0)</f>
        <v>130000</v>
      </c>
      <c r="L46" s="43">
        <f>VLOOKUP(A46,'SSP_March''19'!$A$3:$L$1193,12,0)</f>
        <v>8190</v>
      </c>
      <c r="M46" s="44">
        <f t="shared" si="0"/>
        <v>6.3E-2</v>
      </c>
      <c r="N46" s="49">
        <f>ROUND(VLOOKUP(A46,'SSP_March''19'!$A$3:$N$1193,14,0),0)</f>
        <v>25389</v>
      </c>
      <c r="O46" s="44">
        <f t="shared" si="1"/>
        <v>0.1953</v>
      </c>
      <c r="P46" s="45">
        <f>VLOOKUP(A46,'SSP_March''19'!$A$3:$Q$1193,16,0)</f>
        <v>10</v>
      </c>
      <c r="Q46" s="34">
        <f>VLOOKUP(A46,'SSP_March''19'!$A$3:$Q$1193,17,0)</f>
        <v>0</v>
      </c>
      <c r="R46" s="35">
        <f t="shared" si="3"/>
        <v>0</v>
      </c>
      <c r="S46" s="49">
        <f>ROUND(VLOOKUP(A46,'SSP_March''19'!$A$3:$T$1193,19,0),0)</f>
        <v>0</v>
      </c>
      <c r="T46" s="44">
        <f>VLOOKUP(A46,'SSP_March''19'!$A$3:$T$1193,20,0)</f>
        <v>0</v>
      </c>
      <c r="U46" s="34">
        <f>VLOOKUP(A46,'SSP_March''19'!$A$3:$X$1193,21,0)</f>
        <v>0</v>
      </c>
      <c r="V46" s="34">
        <f>VLOOKUP(A46,'SSP_March''19'!$A$3:$X$1193,22,0)</f>
        <v>0</v>
      </c>
      <c r="W46" s="34">
        <f>VLOOKUP(A46,'SSP_March''19'!$A$3:$X$1193,23,0)</f>
        <v>0</v>
      </c>
      <c r="X46" s="34">
        <f>VLOOKUP(A46,'SSP_March''19'!$A$3:$X$1193,24,0)</f>
        <v>0</v>
      </c>
    </row>
    <row r="47" spans="1:24">
      <c r="A47" s="34" t="s">
        <v>3125</v>
      </c>
      <c r="B47" s="34" t="s">
        <v>3126</v>
      </c>
      <c r="C47" s="34" t="s">
        <v>208</v>
      </c>
      <c r="D47" s="34" t="s">
        <v>147</v>
      </c>
      <c r="E47" s="34" t="s">
        <v>1</v>
      </c>
      <c r="F47" s="34" t="s">
        <v>3127</v>
      </c>
      <c r="G47" s="54">
        <v>1732392392</v>
      </c>
      <c r="H47" s="54" t="s">
        <v>229</v>
      </c>
      <c r="I47" s="54" t="s">
        <v>3514</v>
      </c>
      <c r="J47" s="34" t="s">
        <v>3419</v>
      </c>
      <c r="K47" s="43">
        <f>VLOOKUP(A47,'SSP_March''19'!$A$3:$L$1193,11,0)</f>
        <v>189986</v>
      </c>
      <c r="L47" s="43">
        <f>VLOOKUP(A47,'SSP_March''19'!$A$3:$L$1193,12,0)</f>
        <v>26700</v>
      </c>
      <c r="M47" s="44">
        <f t="shared" si="0"/>
        <v>0.14053667112313539</v>
      </c>
      <c r="N47" s="49">
        <f>ROUND(VLOOKUP(A47,'SSP_March''19'!$A$3:$N$1193,14,0),0)</f>
        <v>82770</v>
      </c>
      <c r="O47" s="44">
        <f t="shared" si="1"/>
        <v>0.43566368048171972</v>
      </c>
      <c r="P47" s="45">
        <f>VLOOKUP(A47,'SSP_March''19'!$A$3:$Q$1193,16,0)</f>
        <v>10</v>
      </c>
      <c r="Q47" s="34">
        <f>VLOOKUP(A47,'SSP_March''19'!$A$3:$Q$1193,17,0)</f>
        <v>0</v>
      </c>
      <c r="R47" s="35">
        <f t="shared" si="3"/>
        <v>0</v>
      </c>
      <c r="S47" s="49">
        <f>ROUND(VLOOKUP(A47,'SSP_March''19'!$A$3:$T$1193,19,0),0)</f>
        <v>0</v>
      </c>
      <c r="T47" s="44">
        <f>VLOOKUP(A47,'SSP_March''19'!$A$3:$T$1193,20,0)</f>
        <v>0</v>
      </c>
      <c r="U47" s="34">
        <f>VLOOKUP(A47,'SSP_March''19'!$A$3:$X$1193,21,0)</f>
        <v>2</v>
      </c>
      <c r="V47" s="34">
        <f>VLOOKUP(A47,'SSP_March''19'!$A$3:$X$1193,22,0)</f>
        <v>0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34" t="s">
        <v>3330</v>
      </c>
      <c r="B48" s="34" t="s">
        <v>1396</v>
      </c>
      <c r="C48" s="34" t="s">
        <v>208</v>
      </c>
      <c r="D48" s="34" t="s">
        <v>147</v>
      </c>
      <c r="E48" s="34" t="s">
        <v>1</v>
      </c>
      <c r="F48" s="34" t="s">
        <v>3418</v>
      </c>
      <c r="G48" s="54">
        <v>1708791717</v>
      </c>
      <c r="H48" s="54" t="s">
        <v>229</v>
      </c>
      <c r="I48" s="54" t="s">
        <v>3514</v>
      </c>
      <c r="J48" s="34" t="s">
        <v>3419</v>
      </c>
      <c r="K48" s="43">
        <f>VLOOKUP(A48,'SSP_March''19'!$A$3:$L$1193,11,0)</f>
        <v>130000</v>
      </c>
      <c r="L48" s="43">
        <f>VLOOKUP(A48,'SSP_March''19'!$A$3:$L$1193,12,0)</f>
        <v>41455</v>
      </c>
      <c r="M48" s="44">
        <f t="shared" si="0"/>
        <v>0.31888461538461538</v>
      </c>
      <c r="N48" s="49">
        <f>ROUND(VLOOKUP(A48,'SSP_March''19'!$A$3:$N$1193,14,0),0)</f>
        <v>128511</v>
      </c>
      <c r="O48" s="44">
        <f t="shared" si="1"/>
        <v>0.98854615384615385</v>
      </c>
      <c r="P48" s="45">
        <f>VLOOKUP(A48,'SSP_March''19'!$A$3:$Q$1193,16,0)</f>
        <v>10</v>
      </c>
      <c r="Q48" s="34">
        <f>VLOOKUP(A48,'SSP_March''19'!$A$3:$Q$1193,17,0)</f>
        <v>2</v>
      </c>
      <c r="R48" s="35">
        <f t="shared" si="3"/>
        <v>0.2</v>
      </c>
      <c r="S48" s="49">
        <f>ROUND(VLOOKUP(A48,'SSP_March''19'!$A$3:$T$1193,19,0),0)</f>
        <v>6</v>
      </c>
      <c r="T48" s="44">
        <f>VLOOKUP(A48,'SSP_March''19'!$A$3:$T$1193,20,0)</f>
        <v>0.6</v>
      </c>
      <c r="U48" s="34">
        <f>VLOOKUP(A48,'SSP_March''19'!$A$3:$X$1193,21,0)</f>
        <v>0</v>
      </c>
      <c r="V48" s="34">
        <f>VLOOKUP(A48,'SSP_March''19'!$A$3:$X$1193,22,0)</f>
        <v>0</v>
      </c>
      <c r="W48" s="34">
        <f>VLOOKUP(A48,'SSP_March''19'!$A$3:$X$1193,23,0)</f>
        <v>0</v>
      </c>
      <c r="X48" s="34">
        <f>VLOOKUP(A48,'SSP_March''19'!$A$3:$X$1193,24,0)</f>
        <v>0</v>
      </c>
    </row>
    <row r="49" spans="1:24">
      <c r="A49" s="34" t="s">
        <v>3192</v>
      </c>
      <c r="B49" s="34" t="s">
        <v>3193</v>
      </c>
      <c r="C49" s="34" t="s">
        <v>208</v>
      </c>
      <c r="D49" s="34" t="s">
        <v>147</v>
      </c>
      <c r="E49" s="34" t="s">
        <v>1</v>
      </c>
      <c r="F49" s="34" t="s">
        <v>3194</v>
      </c>
      <c r="G49" s="54">
        <v>1717140689</v>
      </c>
      <c r="H49" s="54" t="s">
        <v>229</v>
      </c>
      <c r="I49" s="54" t="s">
        <v>3514</v>
      </c>
      <c r="J49" s="34" t="s">
        <v>3421</v>
      </c>
      <c r="K49" s="43">
        <f>VLOOKUP(A49,'SSP_March''19'!$A$3:$L$1193,11,0)</f>
        <v>130000</v>
      </c>
      <c r="L49" s="43">
        <f>VLOOKUP(A49,'SSP_March''19'!$A$3:$L$1193,12,0)</f>
        <v>0</v>
      </c>
      <c r="M49" s="44">
        <f t="shared" si="0"/>
        <v>0</v>
      </c>
      <c r="N49" s="49">
        <f>ROUND(VLOOKUP(A49,'SSP_March''19'!$A$3:$N$1193,14,0),0)</f>
        <v>0</v>
      </c>
      <c r="O49" s="44">
        <f t="shared" si="1"/>
        <v>0</v>
      </c>
      <c r="P49" s="45">
        <f>VLOOKUP(A49,'SSP_March''19'!$A$3:$Q$1193,16,0)</f>
        <v>10</v>
      </c>
      <c r="Q49" s="34">
        <f>VLOOKUP(A49,'SSP_March''19'!$A$3:$Q$1193,17,0)</f>
        <v>0</v>
      </c>
      <c r="R49" s="35">
        <f t="shared" si="3"/>
        <v>0</v>
      </c>
      <c r="S49" s="49">
        <f>ROUND(VLOOKUP(A49,'SSP_March''19'!$A$3:$T$1193,19,0),0)</f>
        <v>0</v>
      </c>
      <c r="T49" s="44">
        <f>VLOOKUP(A49,'SSP_March''19'!$A$3:$T$1193,20,0)</f>
        <v>0</v>
      </c>
      <c r="U49" s="34">
        <f>VLOOKUP(A49,'SSP_March''19'!$A$3:$X$1193,21,0)</f>
        <v>0</v>
      </c>
      <c r="V49" s="34">
        <f>VLOOKUP(A49,'SSP_March''19'!$A$3:$X$1193,22,0)</f>
        <v>0</v>
      </c>
      <c r="W49" s="34">
        <f>VLOOKUP(A49,'SSP_March''19'!$A$3:$X$1193,23,0)</f>
        <v>0</v>
      </c>
      <c r="X49" s="34">
        <f>VLOOKUP(A49,'SSP_March''19'!$A$3:$X$1193,24,0)</f>
        <v>0</v>
      </c>
    </row>
    <row r="50" spans="1:24">
      <c r="A50" s="34" t="s">
        <v>959</v>
      </c>
      <c r="B50" s="34" t="s">
        <v>67</v>
      </c>
      <c r="C50" s="34" t="s">
        <v>208</v>
      </c>
      <c r="D50" s="34" t="s">
        <v>147</v>
      </c>
      <c r="E50" s="34" t="s">
        <v>1</v>
      </c>
      <c r="F50" s="34" t="s">
        <v>960</v>
      </c>
      <c r="G50" s="54">
        <v>1751818312</v>
      </c>
      <c r="H50" s="54" t="s">
        <v>229</v>
      </c>
      <c r="I50" s="54" t="s">
        <v>3514</v>
      </c>
      <c r="J50" s="34" t="s">
        <v>3421</v>
      </c>
      <c r="K50" s="43">
        <f>VLOOKUP(A50,'SSP_March''19'!$A$3:$L$1193,11,0)</f>
        <v>130000</v>
      </c>
      <c r="L50" s="43">
        <f>VLOOKUP(A50,'SSP_March''19'!$A$3:$L$1193,12,0)</f>
        <v>29110</v>
      </c>
      <c r="M50" s="44">
        <f t="shared" si="0"/>
        <v>0.22392307692307692</v>
      </c>
      <c r="N50" s="49">
        <f>ROUND(VLOOKUP(A50,'SSP_March''19'!$A$3:$N$1193,14,0),0)</f>
        <v>90241</v>
      </c>
      <c r="O50" s="44">
        <f t="shared" si="1"/>
        <v>0.6941615384615385</v>
      </c>
      <c r="P50" s="45">
        <f>VLOOKUP(A50,'SSP_March''19'!$A$3:$Q$1193,16,0)</f>
        <v>10</v>
      </c>
      <c r="Q50" s="34">
        <f>VLOOKUP(A50,'SSP_March''19'!$A$3:$Q$1193,17,0)</f>
        <v>3</v>
      </c>
      <c r="R50" s="35">
        <f t="shared" si="3"/>
        <v>0.3</v>
      </c>
      <c r="S50" s="49">
        <f>ROUND(VLOOKUP(A50,'SSP_March''19'!$A$3:$T$1193,19,0),0)</f>
        <v>9</v>
      </c>
      <c r="T50" s="44">
        <f>VLOOKUP(A50,'SSP_March''19'!$A$3:$T$1193,20,0)</f>
        <v>0.9</v>
      </c>
      <c r="U50" s="34">
        <f>VLOOKUP(A50,'SSP_March''19'!$A$3:$X$1193,21,0)</f>
        <v>0</v>
      </c>
      <c r="V50" s="34">
        <f>VLOOKUP(A50,'SSP_March''19'!$A$3:$X$1193,22,0)</f>
        <v>0</v>
      </c>
      <c r="W50" s="34">
        <f>VLOOKUP(A50,'SSP_March''19'!$A$3:$X$1193,23,0)</f>
        <v>0</v>
      </c>
      <c r="X50" s="34">
        <f>VLOOKUP(A50,'SSP_March''19'!$A$3:$X$1193,24,0)</f>
        <v>0</v>
      </c>
    </row>
    <row r="51" spans="1:24">
      <c r="A51" s="34" t="s">
        <v>961</v>
      </c>
      <c r="B51" s="34" t="s">
        <v>962</v>
      </c>
      <c r="C51" s="34" t="s">
        <v>208</v>
      </c>
      <c r="D51" s="34" t="s">
        <v>147</v>
      </c>
      <c r="E51" s="34" t="s">
        <v>1</v>
      </c>
      <c r="F51" s="34" t="s">
        <v>963</v>
      </c>
      <c r="G51" s="54">
        <v>1735193793</v>
      </c>
      <c r="H51" s="54" t="s">
        <v>229</v>
      </c>
      <c r="I51" s="54" t="s">
        <v>3514</v>
      </c>
      <c r="J51" s="34" t="s">
        <v>3515</v>
      </c>
      <c r="K51" s="43">
        <f>VLOOKUP(A51,'SSP_March''19'!$A$3:$L$1193,11,0)</f>
        <v>130000</v>
      </c>
      <c r="L51" s="43">
        <f>VLOOKUP(A51,'SSP_March''19'!$A$3:$L$1193,12,0)</f>
        <v>29550</v>
      </c>
      <c r="M51" s="44">
        <f t="shared" si="0"/>
        <v>0.22730769230769229</v>
      </c>
      <c r="N51" s="49">
        <f>ROUND(VLOOKUP(A51,'SSP_March''19'!$A$3:$N$1193,14,0),0)</f>
        <v>91605</v>
      </c>
      <c r="O51" s="44">
        <f t="shared" si="1"/>
        <v>0.70465384615384619</v>
      </c>
      <c r="P51" s="45">
        <f>VLOOKUP(A51,'SSP_March''19'!$A$3:$Q$1193,16,0)</f>
        <v>10</v>
      </c>
      <c r="Q51" s="34">
        <f>VLOOKUP(A51,'SSP_March''19'!$A$3:$Q$1193,17,0)</f>
        <v>0</v>
      </c>
      <c r="R51" s="35">
        <f t="shared" si="3"/>
        <v>0</v>
      </c>
      <c r="S51" s="49">
        <f>ROUND(VLOOKUP(A51,'SSP_March''19'!$A$3:$T$1193,19,0),0)</f>
        <v>0</v>
      </c>
      <c r="T51" s="44">
        <f>VLOOKUP(A51,'SSP_March''19'!$A$3:$T$1193,20,0)</f>
        <v>0</v>
      </c>
      <c r="U51" s="34">
        <f>VLOOKUP(A51,'SSP_March''19'!$A$3:$X$1193,21,0)</f>
        <v>1</v>
      </c>
      <c r="V51" s="34">
        <f>VLOOKUP(A51,'SSP_March''19'!$A$3:$X$1193,22,0)</f>
        <v>0</v>
      </c>
      <c r="W51" s="34">
        <f>VLOOKUP(A51,'SSP_March''19'!$A$3:$X$1193,23,0)</f>
        <v>0</v>
      </c>
      <c r="X51" s="34">
        <f>VLOOKUP(A51,'SSP_March''19'!$A$3:$X$1193,24,0)</f>
        <v>0</v>
      </c>
    </row>
    <row r="52" spans="1:24">
      <c r="A52" s="34" t="s">
        <v>1044</v>
      </c>
      <c r="B52" s="34" t="s">
        <v>1045</v>
      </c>
      <c r="C52" s="34" t="s">
        <v>208</v>
      </c>
      <c r="D52" s="34" t="s">
        <v>147</v>
      </c>
      <c r="E52" s="34" t="s">
        <v>1</v>
      </c>
      <c r="F52" s="34" t="s">
        <v>1046</v>
      </c>
      <c r="G52" s="54">
        <v>1752258352</v>
      </c>
      <c r="H52" s="54" t="s">
        <v>229</v>
      </c>
      <c r="I52" s="54" t="s">
        <v>3514</v>
      </c>
      <c r="J52" s="34" t="s">
        <v>3515</v>
      </c>
      <c r="K52" s="43">
        <f>VLOOKUP(A52,'SSP_March''19'!$A$3:$L$1193,11,0)</f>
        <v>130000</v>
      </c>
      <c r="L52" s="43">
        <f>VLOOKUP(A52,'SSP_March''19'!$A$3:$L$1193,12,0)</f>
        <v>16370</v>
      </c>
      <c r="M52" s="44">
        <f t="shared" si="0"/>
        <v>0.12592307692307692</v>
      </c>
      <c r="N52" s="49">
        <f>ROUND(VLOOKUP(A52,'SSP_March''19'!$A$3:$N$1193,14,0),0)</f>
        <v>50747</v>
      </c>
      <c r="O52" s="44">
        <f t="shared" si="1"/>
        <v>0.39036153846153848</v>
      </c>
      <c r="P52" s="45">
        <f>VLOOKUP(A52,'SSP_March''19'!$A$3:$Q$1193,16,0)</f>
        <v>10</v>
      </c>
      <c r="Q52" s="34">
        <f>VLOOKUP(A52,'SSP_March''19'!$A$3:$Q$1193,17,0)</f>
        <v>1</v>
      </c>
      <c r="R52" s="35">
        <f t="shared" si="3"/>
        <v>0.1</v>
      </c>
      <c r="S52" s="49">
        <f>ROUND(VLOOKUP(A52,'SSP_March''19'!$A$3:$T$1193,19,0),0)</f>
        <v>3</v>
      </c>
      <c r="T52" s="44">
        <f>VLOOKUP(A52,'SSP_March''19'!$A$3:$T$1193,20,0)</f>
        <v>0.3</v>
      </c>
      <c r="U52" s="34">
        <f>VLOOKUP(A52,'SSP_March''19'!$A$3:$X$1193,21,0)</f>
        <v>0</v>
      </c>
      <c r="V52" s="34">
        <f>VLOOKUP(A52,'SSP_March''19'!$A$3:$X$1193,22,0)</f>
        <v>0</v>
      </c>
      <c r="W52" s="34">
        <f>VLOOKUP(A52,'SSP_March''19'!$A$3:$X$1193,23,0)</f>
        <v>0</v>
      </c>
      <c r="X52" s="34">
        <f>VLOOKUP(A52,'SSP_March''19'!$A$3:$X$1193,24,0)</f>
        <v>0</v>
      </c>
    </row>
    <row r="53" spans="1:24">
      <c r="A53" s="34" t="s">
        <v>3331</v>
      </c>
      <c r="B53" s="34" t="s">
        <v>3332</v>
      </c>
      <c r="C53" s="34" t="s">
        <v>1020</v>
      </c>
      <c r="D53" s="34" t="s">
        <v>178</v>
      </c>
      <c r="E53" s="34" t="s">
        <v>1</v>
      </c>
      <c r="F53" s="34" t="s">
        <v>3333</v>
      </c>
      <c r="G53" s="54">
        <v>1630802267</v>
      </c>
      <c r="H53" s="54" t="s">
        <v>229</v>
      </c>
      <c r="I53" s="54" t="s">
        <v>3514</v>
      </c>
      <c r="J53" s="34" t="s">
        <v>3421</v>
      </c>
      <c r="K53" s="43">
        <f>VLOOKUP(A53,'SSP_March''19'!$A$3:$L$1193,11,0)</f>
        <v>140000</v>
      </c>
      <c r="L53" s="43">
        <f>VLOOKUP(A53,'SSP_March''19'!$A$3:$L$1193,12,0)</f>
        <v>32400</v>
      </c>
      <c r="M53" s="44">
        <f t="shared" si="0"/>
        <v>0.23142857142857143</v>
      </c>
      <c r="N53" s="49">
        <f>ROUND(VLOOKUP(A53,'SSP_March''19'!$A$3:$N$1193,14,0),0)</f>
        <v>100440</v>
      </c>
      <c r="O53" s="44">
        <f t="shared" si="1"/>
        <v>0.71742857142857142</v>
      </c>
      <c r="P53" s="45">
        <f>VLOOKUP(A53,'SSP_March''19'!$A$3:$Q$1193,16,0)</f>
        <v>11</v>
      </c>
      <c r="Q53" s="34">
        <f>VLOOKUP(A53,'SSP_March''19'!$A$3:$Q$1193,17,0)</f>
        <v>2</v>
      </c>
      <c r="R53" s="35">
        <f t="shared" si="3"/>
        <v>0.18181818181818182</v>
      </c>
      <c r="S53" s="49">
        <f>ROUND(VLOOKUP(A53,'SSP_March''19'!$A$3:$T$1193,19,0),0)</f>
        <v>6</v>
      </c>
      <c r="T53" s="44">
        <f>VLOOKUP(A53,'SSP_March''19'!$A$3:$T$1193,20,0)</f>
        <v>0.54545454545454541</v>
      </c>
      <c r="U53" s="34">
        <f>VLOOKUP(A53,'SSP_March''19'!$A$3:$X$1193,21,0)</f>
        <v>0</v>
      </c>
      <c r="V53" s="34">
        <f>VLOOKUP(A53,'SSP_March''19'!$A$3:$X$1193,22,0)</f>
        <v>0</v>
      </c>
      <c r="W53" s="34">
        <f>VLOOKUP(A53,'SSP_March''19'!$A$3:$X$1193,23,0)</f>
        <v>1</v>
      </c>
      <c r="X53" s="34">
        <f>VLOOKUP(A53,'SSP_March''19'!$A$3:$X$1193,24,0)</f>
        <v>0</v>
      </c>
    </row>
    <row r="54" spans="1:24">
      <c r="A54" s="34" t="s">
        <v>1018</v>
      </c>
      <c r="B54" s="34" t="s">
        <v>1019</v>
      </c>
      <c r="C54" s="34" t="s">
        <v>1020</v>
      </c>
      <c r="D54" s="34" t="s">
        <v>178</v>
      </c>
      <c r="E54" s="34" t="s">
        <v>1</v>
      </c>
      <c r="F54" s="34" t="s">
        <v>1021</v>
      </c>
      <c r="G54" s="54">
        <v>1620449580</v>
      </c>
      <c r="H54" s="54" t="s">
        <v>229</v>
      </c>
      <c r="I54" s="54" t="s">
        <v>3514</v>
      </c>
      <c r="J54" s="34" t="s">
        <v>3419</v>
      </c>
      <c r="K54" s="43">
        <f>VLOOKUP(A54,'SSP_March''19'!$A$3:$L$1193,11,0)</f>
        <v>130000</v>
      </c>
      <c r="L54" s="43">
        <f>VLOOKUP(A54,'SSP_March''19'!$A$3:$L$1193,12,0)</f>
        <v>28159</v>
      </c>
      <c r="M54" s="44">
        <f t="shared" si="0"/>
        <v>0.21660769230769231</v>
      </c>
      <c r="N54" s="49">
        <f>ROUND(VLOOKUP(A54,'SSP_March''19'!$A$3:$N$1193,14,0),0)</f>
        <v>87293</v>
      </c>
      <c r="O54" s="44">
        <f t="shared" si="1"/>
        <v>0.67148461538461535</v>
      </c>
      <c r="P54" s="45">
        <f>VLOOKUP(A54,'SSP_March''19'!$A$3:$Q$1193,16,0)</f>
        <v>11</v>
      </c>
      <c r="Q54" s="34">
        <f>VLOOKUP(A54,'SSP_March''19'!$A$3:$Q$1193,17,0)</f>
        <v>1</v>
      </c>
      <c r="R54" s="35">
        <f t="shared" si="3"/>
        <v>9.0909090909090912E-2</v>
      </c>
      <c r="S54" s="49">
        <f>ROUND(VLOOKUP(A54,'SSP_March''19'!$A$3:$T$1193,19,0),0)</f>
        <v>3</v>
      </c>
      <c r="T54" s="44">
        <f>VLOOKUP(A54,'SSP_March''19'!$A$3:$T$1193,20,0)</f>
        <v>0.27272727272727271</v>
      </c>
      <c r="U54" s="34">
        <f>VLOOKUP(A54,'SSP_March''19'!$A$3:$X$1193,21,0)</f>
        <v>2</v>
      </c>
      <c r="V54" s="34">
        <f>VLOOKUP(A54,'SSP_March''19'!$A$3:$X$1193,22,0)</f>
        <v>0</v>
      </c>
      <c r="W54" s="34">
        <f>VLOOKUP(A54,'SSP_March''19'!$A$3:$X$1193,23,0)</f>
        <v>0</v>
      </c>
      <c r="X54" s="34">
        <f>VLOOKUP(A54,'SSP_March''19'!$A$3:$X$1193,24,0)</f>
        <v>0</v>
      </c>
    </row>
    <row r="55" spans="1:24">
      <c r="A55" s="34" t="s">
        <v>967</v>
      </c>
      <c r="B55" s="34" t="s">
        <v>968</v>
      </c>
      <c r="C55" s="34" t="s">
        <v>177</v>
      </c>
      <c r="D55" s="34" t="s">
        <v>178</v>
      </c>
      <c r="E55" s="34" t="s">
        <v>1</v>
      </c>
      <c r="F55" s="34" t="s">
        <v>969</v>
      </c>
      <c r="G55" s="54">
        <v>1988577039</v>
      </c>
      <c r="H55" s="54" t="s">
        <v>229</v>
      </c>
      <c r="I55" s="54" t="s">
        <v>3514</v>
      </c>
      <c r="J55" s="34" t="s">
        <v>3421</v>
      </c>
      <c r="K55" s="43">
        <f>VLOOKUP(A55,'SSP_March''19'!$A$3:$L$1193,11,0)</f>
        <v>140000</v>
      </c>
      <c r="L55" s="43">
        <f>VLOOKUP(A55,'SSP_March''19'!$A$3:$L$1193,12,0)</f>
        <v>44420</v>
      </c>
      <c r="M55" s="44">
        <f t="shared" si="0"/>
        <v>0.31728571428571428</v>
      </c>
      <c r="N55" s="49">
        <f>ROUND(VLOOKUP(A55,'SSP_March''19'!$A$3:$N$1193,14,0),0)</f>
        <v>137702</v>
      </c>
      <c r="O55" s="44">
        <f t="shared" si="1"/>
        <v>0.98358571428571429</v>
      </c>
      <c r="P55" s="45">
        <f>VLOOKUP(A55,'SSP_March''19'!$A$3:$Q$1193,16,0)</f>
        <v>11</v>
      </c>
      <c r="Q55" s="34">
        <f>VLOOKUP(A55,'SSP_March''19'!$A$3:$Q$1193,17,0)</f>
        <v>3</v>
      </c>
      <c r="R55" s="35">
        <f t="shared" si="3"/>
        <v>0.27272727272727271</v>
      </c>
      <c r="S55" s="49">
        <f>ROUND(VLOOKUP(A55,'SSP_March''19'!$A$3:$T$1193,19,0),0)</f>
        <v>9</v>
      </c>
      <c r="T55" s="44">
        <f>VLOOKUP(A55,'SSP_March''19'!$A$3:$T$1193,20,0)</f>
        <v>0.81818181818181823</v>
      </c>
      <c r="U55" s="34">
        <f>VLOOKUP(A55,'SSP_March''19'!$A$3:$X$1193,21,0)</f>
        <v>0</v>
      </c>
      <c r="V55" s="34">
        <f>VLOOKUP(A55,'SSP_March''19'!$A$3:$X$1193,22,0)</f>
        <v>2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34" t="s">
        <v>1025</v>
      </c>
      <c r="B56" s="34" t="s">
        <v>1026</v>
      </c>
      <c r="C56" s="34" t="s">
        <v>177</v>
      </c>
      <c r="D56" s="34" t="s">
        <v>178</v>
      </c>
      <c r="E56" s="34" t="s">
        <v>1</v>
      </c>
      <c r="F56" s="34" t="s">
        <v>1027</v>
      </c>
      <c r="G56" s="54">
        <v>1763364580</v>
      </c>
      <c r="H56" s="54" t="s">
        <v>229</v>
      </c>
      <c r="I56" s="54" t="s">
        <v>3514</v>
      </c>
      <c r="J56" s="34" t="s">
        <v>3421</v>
      </c>
      <c r="K56" s="43">
        <f>VLOOKUP(A56,'SSP_March''19'!$A$3:$L$1193,11,0)</f>
        <v>130000</v>
      </c>
      <c r="L56" s="43">
        <f>VLOOKUP(A56,'SSP_March''19'!$A$3:$L$1193,12,0)</f>
        <v>53645</v>
      </c>
      <c r="M56" s="44">
        <f t="shared" si="0"/>
        <v>0.41265384615384615</v>
      </c>
      <c r="N56" s="49">
        <f>ROUND(VLOOKUP(A56,'SSP_March''19'!$A$3:$N$1193,14,0),0)</f>
        <v>166300</v>
      </c>
      <c r="O56" s="44">
        <f t="shared" si="1"/>
        <v>1.2792307692307692</v>
      </c>
      <c r="P56" s="45">
        <f>VLOOKUP(A56,'SSP_March''19'!$A$3:$Q$1193,16,0)</f>
        <v>10</v>
      </c>
      <c r="Q56" s="34">
        <f>VLOOKUP(A56,'SSP_March''19'!$A$3:$Q$1193,17,0)</f>
        <v>3</v>
      </c>
      <c r="R56" s="35">
        <f t="shared" si="3"/>
        <v>0.3</v>
      </c>
      <c r="S56" s="49">
        <f>ROUND(VLOOKUP(A56,'SSP_March''19'!$A$3:$T$1193,19,0),0)</f>
        <v>9</v>
      </c>
      <c r="T56" s="44">
        <f>VLOOKUP(A56,'SSP_March''19'!$A$3:$T$1193,20,0)</f>
        <v>0.9</v>
      </c>
      <c r="U56" s="34">
        <f>VLOOKUP(A56,'SSP_March''19'!$A$3:$X$1193,21,0)</f>
        <v>1</v>
      </c>
      <c r="V56" s="34">
        <f>VLOOKUP(A56,'SSP_March''19'!$A$3:$X$1193,22,0)</f>
        <v>1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34" t="s">
        <v>3334</v>
      </c>
      <c r="B57" s="34" t="s">
        <v>57</v>
      </c>
      <c r="C57" s="34" t="s">
        <v>177</v>
      </c>
      <c r="D57" s="34" t="s">
        <v>178</v>
      </c>
      <c r="E57" s="34" t="s">
        <v>1</v>
      </c>
      <c r="F57" s="34" t="s">
        <v>3335</v>
      </c>
      <c r="G57" s="54">
        <v>1715870930</v>
      </c>
      <c r="H57" s="54" t="s">
        <v>229</v>
      </c>
      <c r="I57" s="54" t="s">
        <v>3514</v>
      </c>
      <c r="J57" s="34" t="s">
        <v>3421</v>
      </c>
      <c r="K57" s="43">
        <f>VLOOKUP(A57,'SSP_March''19'!$A$3:$L$1193,11,0)</f>
        <v>140000</v>
      </c>
      <c r="L57" s="43">
        <f>VLOOKUP(A57,'SSP_March''19'!$A$3:$L$1193,12,0)</f>
        <v>47730</v>
      </c>
      <c r="M57" s="44">
        <f t="shared" si="0"/>
        <v>0.34092857142857141</v>
      </c>
      <c r="N57" s="49">
        <f>ROUND(VLOOKUP(A57,'SSP_March''19'!$A$3:$N$1193,14,0),0)</f>
        <v>147963</v>
      </c>
      <c r="O57" s="44">
        <f t="shared" si="1"/>
        <v>1.0568785714285713</v>
      </c>
      <c r="P57" s="45">
        <f>VLOOKUP(A57,'SSP_March''19'!$A$3:$Q$1193,16,0)</f>
        <v>11</v>
      </c>
      <c r="Q57" s="34">
        <f>VLOOKUP(A57,'SSP_March''19'!$A$3:$Q$1193,17,0)</f>
        <v>4</v>
      </c>
      <c r="R57" s="35">
        <f t="shared" si="3"/>
        <v>0.36363636363636365</v>
      </c>
      <c r="S57" s="49">
        <f>ROUND(VLOOKUP(A57,'SSP_March''19'!$A$3:$T$1193,19,0),0)</f>
        <v>12</v>
      </c>
      <c r="T57" s="44">
        <f>VLOOKUP(A57,'SSP_March''19'!$A$3:$T$1193,20,0)</f>
        <v>1.0909090909090908</v>
      </c>
      <c r="U57" s="34">
        <f>VLOOKUP(A57,'SSP_March''19'!$A$3:$X$1193,21,0)</f>
        <v>0</v>
      </c>
      <c r="V57" s="34">
        <f>VLOOKUP(A57,'SSP_March''19'!$A$3:$X$1193,22,0)</f>
        <v>1</v>
      </c>
      <c r="W57" s="34">
        <f>VLOOKUP(A57,'SSP_March''19'!$A$3:$X$1193,23,0)</f>
        <v>0</v>
      </c>
      <c r="X57" s="34">
        <f>VLOOKUP(A57,'SSP_March''19'!$A$3:$X$1193,24,0)</f>
        <v>0</v>
      </c>
    </row>
    <row r="58" spans="1:24">
      <c r="A58" s="34" t="s">
        <v>3336</v>
      </c>
      <c r="B58" s="34" t="s">
        <v>3337</v>
      </c>
      <c r="C58" s="34" t="s">
        <v>177</v>
      </c>
      <c r="D58" s="34" t="s">
        <v>178</v>
      </c>
      <c r="E58" s="34" t="s">
        <v>1</v>
      </c>
      <c r="F58" s="34" t="s">
        <v>865</v>
      </c>
      <c r="G58" s="54">
        <v>1917345649</v>
      </c>
      <c r="H58" s="54" t="s">
        <v>229</v>
      </c>
      <c r="I58" s="54" t="s">
        <v>3514</v>
      </c>
      <c r="J58" s="34" t="s">
        <v>3421</v>
      </c>
      <c r="K58" s="43">
        <f>VLOOKUP(A58,'SSP_March''19'!$A$3:$L$1193,11,0)</f>
        <v>140000</v>
      </c>
      <c r="L58" s="43">
        <f>VLOOKUP(A58,'SSP_March''19'!$A$3:$L$1193,12,0)</f>
        <v>32130</v>
      </c>
      <c r="M58" s="44">
        <f t="shared" si="0"/>
        <v>0.22950000000000001</v>
      </c>
      <c r="N58" s="49">
        <f>ROUND(VLOOKUP(A58,'SSP_March''19'!$A$3:$N$1193,14,0),0)</f>
        <v>99603</v>
      </c>
      <c r="O58" s="44">
        <f t="shared" si="1"/>
        <v>0.71145000000000003</v>
      </c>
      <c r="P58" s="45">
        <f>VLOOKUP(A58,'SSP_March''19'!$A$3:$Q$1193,16,0)</f>
        <v>11</v>
      </c>
      <c r="Q58" s="34">
        <f>VLOOKUP(A58,'SSP_March''19'!$A$3:$Q$1193,17,0)</f>
        <v>2</v>
      </c>
      <c r="R58" s="35">
        <f t="shared" si="3"/>
        <v>0.18181818181818182</v>
      </c>
      <c r="S58" s="49">
        <f>ROUND(VLOOKUP(A58,'SSP_March''19'!$A$3:$T$1193,19,0),0)</f>
        <v>6</v>
      </c>
      <c r="T58" s="44">
        <f>VLOOKUP(A58,'SSP_March''19'!$A$3:$T$1193,20,0)</f>
        <v>0.54545454545454541</v>
      </c>
      <c r="U58" s="34">
        <f>VLOOKUP(A58,'SSP_March''19'!$A$3:$X$1193,21,0)</f>
        <v>0</v>
      </c>
      <c r="V58" s="34">
        <f>VLOOKUP(A58,'SSP_March''19'!$A$3:$X$1193,22,0)</f>
        <v>0</v>
      </c>
      <c r="W58" s="34">
        <f>VLOOKUP(A58,'SSP_March''19'!$A$3:$X$1193,23,0)</f>
        <v>0</v>
      </c>
      <c r="X58" s="34">
        <f>VLOOKUP(A58,'SSP_March''19'!$A$3:$X$1193,24,0)</f>
        <v>0</v>
      </c>
    </row>
    <row r="59" spans="1:24">
      <c r="A59" s="34" t="s">
        <v>917</v>
      </c>
      <c r="B59" s="34" t="s">
        <v>918</v>
      </c>
      <c r="C59" s="34" t="s">
        <v>177</v>
      </c>
      <c r="D59" s="34" t="s">
        <v>178</v>
      </c>
      <c r="E59" s="34" t="s">
        <v>1</v>
      </c>
      <c r="F59" s="34" t="s">
        <v>919</v>
      </c>
      <c r="G59" s="54">
        <v>1726547044</v>
      </c>
      <c r="H59" s="54" t="s">
        <v>229</v>
      </c>
      <c r="I59" s="54" t="s">
        <v>3514</v>
      </c>
      <c r="J59" s="34" t="s">
        <v>3419</v>
      </c>
      <c r="K59" s="43">
        <f>VLOOKUP(A59,'SSP_March''19'!$A$3:$L$1193,11,0)</f>
        <v>176443</v>
      </c>
      <c r="L59" s="43">
        <f>VLOOKUP(A59,'SSP_March''19'!$A$3:$L$1193,12,0)</f>
        <v>34990</v>
      </c>
      <c r="M59" s="44">
        <f t="shared" si="0"/>
        <v>0.19830766876555034</v>
      </c>
      <c r="N59" s="49">
        <f>ROUND(VLOOKUP(A59,'SSP_March''19'!$A$3:$N$1193,14,0),0)</f>
        <v>108469</v>
      </c>
      <c r="O59" s="44">
        <f t="shared" si="1"/>
        <v>0.61475377317320612</v>
      </c>
      <c r="P59" s="45">
        <f>VLOOKUP(A59,'SSP_March''19'!$A$3:$Q$1193,16,0)</f>
        <v>14</v>
      </c>
      <c r="Q59" s="34">
        <f>VLOOKUP(A59,'SSP_March''19'!$A$3:$Q$1193,17,0)</f>
        <v>2</v>
      </c>
      <c r="R59" s="35">
        <f t="shared" si="3"/>
        <v>0.14285714285714285</v>
      </c>
      <c r="S59" s="49">
        <f>ROUND(VLOOKUP(A59,'SSP_March''19'!$A$3:$T$1193,19,0),0)</f>
        <v>6</v>
      </c>
      <c r="T59" s="44">
        <f>VLOOKUP(A59,'SSP_March''19'!$A$3:$T$1193,20,0)</f>
        <v>0.42857142857142855</v>
      </c>
      <c r="U59" s="34">
        <f>VLOOKUP(A59,'SSP_March''19'!$A$3:$X$1193,21,0)</f>
        <v>0</v>
      </c>
      <c r="V59" s="34">
        <f>VLOOKUP(A59,'SSP_March''19'!$A$3:$X$1193,22,0)</f>
        <v>1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34" t="s">
        <v>909</v>
      </c>
      <c r="B60" s="34" t="s">
        <v>910</v>
      </c>
      <c r="C60" s="34" t="s">
        <v>177</v>
      </c>
      <c r="D60" s="34" t="s">
        <v>178</v>
      </c>
      <c r="E60" s="34" t="s">
        <v>1</v>
      </c>
      <c r="F60" s="34" t="s">
        <v>911</v>
      </c>
      <c r="G60" s="54">
        <v>1789894444</v>
      </c>
      <c r="H60" s="54" t="s">
        <v>229</v>
      </c>
      <c r="I60" s="54" t="s">
        <v>3514</v>
      </c>
      <c r="J60" s="34" t="s">
        <v>3419</v>
      </c>
      <c r="K60" s="43">
        <f>VLOOKUP(A60,'SSP_March''19'!$A$3:$L$1193,11,0)</f>
        <v>180000</v>
      </c>
      <c r="L60" s="43">
        <f>VLOOKUP(A60,'SSP_March''19'!$A$3:$L$1193,12,0)</f>
        <v>37139</v>
      </c>
      <c r="M60" s="44">
        <f t="shared" si="0"/>
        <v>0.20632777777777778</v>
      </c>
      <c r="N60" s="49">
        <f>ROUND(VLOOKUP(A60,'SSP_March''19'!$A$3:$N$1193,14,0),0)</f>
        <v>115131</v>
      </c>
      <c r="O60" s="44">
        <f t="shared" si="1"/>
        <v>0.63961666666666661</v>
      </c>
      <c r="P60" s="45">
        <f>VLOOKUP(A60,'SSP_March''19'!$A$3:$Q$1193,16,0)</f>
        <v>11</v>
      </c>
      <c r="Q60" s="34">
        <f>VLOOKUP(A60,'SSP_March''19'!$A$3:$Q$1193,17,0)</f>
        <v>1</v>
      </c>
      <c r="R60" s="35">
        <f t="shared" si="3"/>
        <v>9.0909090909090912E-2</v>
      </c>
      <c r="S60" s="49">
        <f>ROUND(VLOOKUP(A60,'SSP_March''19'!$A$3:$T$1193,19,0),0)</f>
        <v>3</v>
      </c>
      <c r="T60" s="44">
        <f>VLOOKUP(A60,'SSP_March''19'!$A$3:$T$1193,20,0)</f>
        <v>0.27272727272727271</v>
      </c>
      <c r="U60" s="34">
        <f>VLOOKUP(A60,'SSP_March''19'!$A$3:$X$1193,21,0)</f>
        <v>0</v>
      </c>
      <c r="V60" s="34">
        <f>VLOOKUP(A60,'SSP_March''19'!$A$3:$X$1193,22,0)</f>
        <v>1</v>
      </c>
      <c r="W60" s="34">
        <f>VLOOKUP(A60,'SSP_March''19'!$A$3:$X$1193,23,0)</f>
        <v>0</v>
      </c>
      <c r="X60" s="34">
        <f>VLOOKUP(A60,'SSP_March''19'!$A$3:$X$1193,24,0)</f>
        <v>0</v>
      </c>
    </row>
    <row r="61" spans="1:24">
      <c r="A61" s="34" t="s">
        <v>901</v>
      </c>
      <c r="B61" s="34" t="s">
        <v>156</v>
      </c>
      <c r="C61" s="34" t="s">
        <v>177</v>
      </c>
      <c r="D61" s="34" t="s">
        <v>178</v>
      </c>
      <c r="E61" s="34" t="s">
        <v>1</v>
      </c>
      <c r="F61" s="34" t="s">
        <v>902</v>
      </c>
      <c r="G61" s="54">
        <v>1939237066</v>
      </c>
      <c r="H61" s="54" t="s">
        <v>229</v>
      </c>
      <c r="I61" s="54" t="s">
        <v>3514</v>
      </c>
      <c r="J61" s="34" t="s">
        <v>3421</v>
      </c>
      <c r="K61" s="43">
        <f>VLOOKUP(A61,'SSP_March''19'!$A$3:$L$1193,11,0)</f>
        <v>130000</v>
      </c>
      <c r="L61" s="43">
        <f>VLOOKUP(A61,'SSP_March''19'!$A$3:$L$1193,12,0)</f>
        <v>23760</v>
      </c>
      <c r="M61" s="44">
        <f t="shared" si="0"/>
        <v>0.18276923076923077</v>
      </c>
      <c r="N61" s="49">
        <f>ROUND(VLOOKUP(A61,'SSP_March''19'!$A$3:$N$1193,14,0),0)</f>
        <v>73656</v>
      </c>
      <c r="O61" s="44">
        <f t="shared" si="1"/>
        <v>0.56658461538461535</v>
      </c>
      <c r="P61" s="45">
        <f>VLOOKUP(A61,'SSP_March''19'!$A$3:$Q$1193,16,0)</f>
        <v>11</v>
      </c>
      <c r="Q61" s="34">
        <f>VLOOKUP(A61,'SSP_March''19'!$A$3:$Q$1193,17,0)</f>
        <v>1</v>
      </c>
      <c r="R61" s="35">
        <f t="shared" si="3"/>
        <v>9.0909090909090912E-2</v>
      </c>
      <c r="S61" s="49">
        <f>ROUND(VLOOKUP(A61,'SSP_March''19'!$A$3:$T$1193,19,0),0)</f>
        <v>3</v>
      </c>
      <c r="T61" s="44">
        <f>VLOOKUP(A61,'SSP_March''19'!$A$3:$T$1193,20,0)</f>
        <v>0.27272727272727271</v>
      </c>
      <c r="U61" s="34">
        <f>VLOOKUP(A61,'SSP_March''19'!$A$3:$X$1193,21,0)</f>
        <v>0</v>
      </c>
      <c r="V61" s="34">
        <f>VLOOKUP(A61,'SSP_March''19'!$A$3:$X$1193,22,0)</f>
        <v>0</v>
      </c>
      <c r="W61" s="34">
        <f>VLOOKUP(A61,'SSP_March''19'!$A$3:$X$1193,23,0)</f>
        <v>0</v>
      </c>
      <c r="X61" s="34">
        <f>VLOOKUP(A61,'SSP_March''19'!$A$3:$X$1193,24,0)</f>
        <v>0</v>
      </c>
    </row>
    <row r="62" spans="1:24">
      <c r="A62" s="34" t="s">
        <v>3504</v>
      </c>
      <c r="B62" s="34" t="s">
        <v>3505</v>
      </c>
      <c r="C62" s="34" t="s">
        <v>177</v>
      </c>
      <c r="D62" s="34" t="s">
        <v>178</v>
      </c>
      <c r="E62" s="34" t="s">
        <v>1</v>
      </c>
      <c r="F62" s="34" t="s">
        <v>3506</v>
      </c>
      <c r="G62" s="54">
        <v>1727375816</v>
      </c>
      <c r="H62" s="54" t="s">
        <v>229</v>
      </c>
      <c r="I62" s="54" t="s">
        <v>3514</v>
      </c>
      <c r="J62" s="34" t="s">
        <v>3421</v>
      </c>
      <c r="K62" s="43">
        <f>VLOOKUP(A62,'SSP_March''19'!$A$3:$L$1193,11,0)</f>
        <v>130000</v>
      </c>
      <c r="L62" s="43">
        <f>VLOOKUP(A62,'SSP_March''19'!$A$3:$L$1193,12,0)</f>
        <v>17510</v>
      </c>
      <c r="M62" s="44">
        <f t="shared" si="0"/>
        <v>0.13469230769230769</v>
      </c>
      <c r="N62" s="49">
        <f>ROUND(VLOOKUP(A62,'SSP_March''19'!$A$3:$N$1193,14,0),0)</f>
        <v>54281</v>
      </c>
      <c r="O62" s="44">
        <f t="shared" si="1"/>
        <v>0.41754615384615384</v>
      </c>
      <c r="P62" s="45">
        <f>VLOOKUP(A62,'SSP_March''19'!$A$3:$Q$1193,16,0)</f>
        <v>11</v>
      </c>
      <c r="Q62" s="34">
        <f>VLOOKUP(A62,'SSP_March''19'!$A$3:$Q$1193,17,0)</f>
        <v>0</v>
      </c>
      <c r="R62" s="35">
        <f t="shared" si="3"/>
        <v>0</v>
      </c>
      <c r="S62" s="49">
        <f>ROUND(VLOOKUP(A62,'SSP_March''19'!$A$3:$T$1193,19,0),0)</f>
        <v>0</v>
      </c>
      <c r="T62" s="44">
        <f>VLOOKUP(A62,'SSP_March''19'!$A$3:$T$1193,20,0)</f>
        <v>0</v>
      </c>
      <c r="U62" s="34">
        <f>VLOOKUP(A62,'SSP_March''19'!$A$3:$X$1193,21,0)</f>
        <v>0</v>
      </c>
      <c r="V62" s="34">
        <f>VLOOKUP(A62,'SSP_March''19'!$A$3:$X$1193,22,0)</f>
        <v>0</v>
      </c>
      <c r="W62" s="34">
        <f>VLOOKUP(A62,'SSP_March''19'!$A$3:$X$1193,23,0)</f>
        <v>0</v>
      </c>
      <c r="X62" s="34">
        <f>VLOOKUP(A62,'SSP_March''19'!$A$3:$X$1193,24,0)</f>
        <v>0</v>
      </c>
    </row>
    <row r="63" spans="1:24">
      <c r="A63" s="34" t="s">
        <v>864</v>
      </c>
      <c r="B63" s="34" t="s">
        <v>269</v>
      </c>
      <c r="C63" s="34" t="s">
        <v>177</v>
      </c>
      <c r="D63" s="34" t="s">
        <v>178</v>
      </c>
      <c r="E63" s="34" t="s">
        <v>1</v>
      </c>
      <c r="F63" s="34" t="s">
        <v>865</v>
      </c>
      <c r="G63" s="54">
        <v>1879193639</v>
      </c>
      <c r="H63" s="54" t="s">
        <v>229</v>
      </c>
      <c r="I63" s="54" t="s">
        <v>3522</v>
      </c>
      <c r="J63" s="34" t="s">
        <v>3419</v>
      </c>
      <c r="K63" s="43">
        <f>VLOOKUP(A63,'SSP_March''19'!$A$3:$L$1193,11,0)</f>
        <v>660000</v>
      </c>
      <c r="L63" s="43">
        <f>VLOOKUP(A63,'SSP_March''19'!$A$3:$L$1193,12,0)</f>
        <v>200470</v>
      </c>
      <c r="M63" s="44">
        <f t="shared" si="0"/>
        <v>0.30374242424242426</v>
      </c>
      <c r="N63" s="49">
        <f>ROUND(VLOOKUP(A63,'SSP_March''19'!$A$3:$N$1193,14,0),0)</f>
        <v>621457</v>
      </c>
      <c r="O63" s="44">
        <f t="shared" si="1"/>
        <v>0.94160151515151513</v>
      </c>
      <c r="P63" s="45">
        <f>VLOOKUP(A63,'SSP_March''19'!$A$3:$Q$1193,16,0)</f>
        <v>38</v>
      </c>
      <c r="Q63" s="34">
        <f>VLOOKUP(A63,'SSP_March''19'!$A$3:$Q$1193,17,0)</f>
        <v>11</v>
      </c>
      <c r="R63" s="35">
        <f t="shared" si="3"/>
        <v>0.28947368421052633</v>
      </c>
      <c r="S63" s="49">
        <f>ROUND(VLOOKUP(A63,'SSP_March''19'!$A$3:$T$1193,19,0),0)</f>
        <v>34</v>
      </c>
      <c r="T63" s="44">
        <f>VLOOKUP(A63,'SSP_March''19'!$A$3:$T$1193,20,0)</f>
        <v>0.89473684210526316</v>
      </c>
      <c r="U63" s="34">
        <f>VLOOKUP(A63,'SSP_March''19'!$A$3:$X$1193,21,0)</f>
        <v>0</v>
      </c>
      <c r="V63" s="34">
        <f>VLOOKUP(A63,'SSP_March''19'!$A$3:$X$1193,22,0)</f>
        <v>3</v>
      </c>
      <c r="W63" s="34">
        <f>VLOOKUP(A63,'SSP_March''19'!$A$3:$X$1193,23,0)</f>
        <v>2</v>
      </c>
      <c r="X63" s="34">
        <f>VLOOKUP(A63,'SSP_March''19'!$A$3:$X$1193,24,0)</f>
        <v>0</v>
      </c>
    </row>
    <row r="64" spans="1:24">
      <c r="A64" s="34" t="s">
        <v>896</v>
      </c>
      <c r="B64" s="34" t="s">
        <v>897</v>
      </c>
      <c r="C64" s="34" t="s">
        <v>177</v>
      </c>
      <c r="D64" s="34" t="s">
        <v>178</v>
      </c>
      <c r="E64" s="34" t="s">
        <v>1</v>
      </c>
      <c r="F64" s="34" t="s">
        <v>898</v>
      </c>
      <c r="G64" s="54">
        <v>1876082482</v>
      </c>
      <c r="H64" s="54" t="s">
        <v>229</v>
      </c>
      <c r="I64" s="54" t="s">
        <v>3514</v>
      </c>
      <c r="J64" s="34" t="s">
        <v>3515</v>
      </c>
      <c r="K64" s="43">
        <f>VLOOKUP(A64,'SSP_March''19'!$A$3:$L$1193,11,0)</f>
        <v>140000</v>
      </c>
      <c r="L64" s="43">
        <f>VLOOKUP(A64,'SSP_March''19'!$A$3:$L$1193,12,0)</f>
        <v>62909</v>
      </c>
      <c r="M64" s="44">
        <f t="shared" si="0"/>
        <v>0.44935000000000003</v>
      </c>
      <c r="N64" s="49">
        <f>ROUND(VLOOKUP(A64,'SSP_March''19'!$A$3:$N$1193,14,0),0)</f>
        <v>195018</v>
      </c>
      <c r="O64" s="44">
        <f t="shared" si="1"/>
        <v>1.3929857142857143</v>
      </c>
      <c r="P64" s="45">
        <f>VLOOKUP(A64,'SSP_March''19'!$A$3:$Q$1193,16,0)</f>
        <v>11</v>
      </c>
      <c r="Q64" s="34">
        <f>VLOOKUP(A64,'SSP_March''19'!$A$3:$Q$1193,17,0)</f>
        <v>6</v>
      </c>
      <c r="R64" s="35">
        <f t="shared" si="3"/>
        <v>0.54545454545454541</v>
      </c>
      <c r="S64" s="49">
        <f>ROUND(VLOOKUP(A64,'SSP_March''19'!$A$3:$T$1193,19,0),0)</f>
        <v>19</v>
      </c>
      <c r="T64" s="44">
        <f>VLOOKUP(A64,'SSP_March''19'!$A$3:$T$1193,20,0)</f>
        <v>1.7272727272727273</v>
      </c>
      <c r="U64" s="34">
        <f>VLOOKUP(A64,'SSP_March''19'!$A$3:$X$1193,21,0)</f>
        <v>0</v>
      </c>
      <c r="V64" s="34">
        <f>VLOOKUP(A64,'SSP_March''19'!$A$3:$X$1193,22,0)</f>
        <v>4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34" t="s">
        <v>3122</v>
      </c>
      <c r="B65" s="34" t="s">
        <v>3123</v>
      </c>
      <c r="C65" s="34" t="s">
        <v>177</v>
      </c>
      <c r="D65" s="34" t="s">
        <v>178</v>
      </c>
      <c r="E65" s="34" t="s">
        <v>1</v>
      </c>
      <c r="F65" s="34" t="s">
        <v>3124</v>
      </c>
      <c r="G65" s="54">
        <v>1643413941</v>
      </c>
      <c r="H65" s="54" t="s">
        <v>229</v>
      </c>
      <c r="I65" s="54" t="s">
        <v>3514</v>
      </c>
      <c r="J65" s="34" t="s">
        <v>3515</v>
      </c>
      <c r="K65" s="43">
        <f>VLOOKUP(A65,'SSP_March''19'!$A$3:$L$1193,11,0)</f>
        <v>150000</v>
      </c>
      <c r="L65" s="43">
        <f>VLOOKUP(A65,'SSP_March''19'!$A$3:$L$1193,12,0)</f>
        <v>10430</v>
      </c>
      <c r="M65" s="44">
        <f t="shared" si="0"/>
        <v>6.9533333333333336E-2</v>
      </c>
      <c r="N65" s="49">
        <f>ROUND(VLOOKUP(A65,'SSP_March''19'!$A$3:$N$1193,14,0),0)</f>
        <v>32333</v>
      </c>
      <c r="O65" s="44">
        <f t="shared" si="1"/>
        <v>0.21555333333333335</v>
      </c>
      <c r="P65" s="45">
        <f>VLOOKUP(A65,'SSP_March''19'!$A$3:$Q$1193,16,0)</f>
        <v>10</v>
      </c>
      <c r="Q65" s="34">
        <f>VLOOKUP(A65,'SSP_March''19'!$A$3:$Q$1193,17,0)</f>
        <v>0</v>
      </c>
      <c r="R65" s="35">
        <f t="shared" si="3"/>
        <v>0</v>
      </c>
      <c r="S65" s="49">
        <f>ROUND(VLOOKUP(A65,'SSP_March''19'!$A$3:$T$1193,19,0),0)</f>
        <v>0</v>
      </c>
      <c r="T65" s="44">
        <f>VLOOKUP(A65,'SSP_March''19'!$A$3:$T$1193,20,0)</f>
        <v>0</v>
      </c>
      <c r="U65" s="34">
        <f>VLOOKUP(A65,'SSP_March''19'!$A$3:$X$1193,21,0)</f>
        <v>0</v>
      </c>
      <c r="V65" s="34">
        <f>VLOOKUP(A65,'SSP_March''19'!$A$3:$X$1193,22,0)</f>
        <v>0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34" t="s">
        <v>3338</v>
      </c>
      <c r="B66" s="34" t="s">
        <v>3339</v>
      </c>
      <c r="C66" s="34" t="s">
        <v>177</v>
      </c>
      <c r="D66" s="34" t="s">
        <v>178</v>
      </c>
      <c r="E66" s="34" t="s">
        <v>1</v>
      </c>
      <c r="F66" s="34" t="s">
        <v>3340</v>
      </c>
      <c r="G66" s="54">
        <v>1714357356</v>
      </c>
      <c r="H66" s="54" t="s">
        <v>229</v>
      </c>
      <c r="I66" s="54" t="s">
        <v>3514</v>
      </c>
      <c r="J66" s="34" t="s">
        <v>3515</v>
      </c>
      <c r="K66" s="43">
        <f>VLOOKUP(A66,'SSP_March''19'!$A$3:$L$1193,11,0)</f>
        <v>130000</v>
      </c>
      <c r="L66" s="43">
        <f>VLOOKUP(A66,'SSP_March''19'!$A$3:$L$1193,12,0)</f>
        <v>33240</v>
      </c>
      <c r="M66" s="44">
        <f t="shared" si="0"/>
        <v>0.25569230769230772</v>
      </c>
      <c r="N66" s="49">
        <f>ROUND(VLOOKUP(A66,'SSP_March''19'!$A$3:$N$1193,14,0),0)</f>
        <v>103044</v>
      </c>
      <c r="O66" s="44">
        <f t="shared" si="1"/>
        <v>0.79264615384615389</v>
      </c>
      <c r="P66" s="45">
        <f>VLOOKUP(A66,'SSP_March''19'!$A$3:$Q$1193,16,0)</f>
        <v>11</v>
      </c>
      <c r="Q66" s="34">
        <f>VLOOKUP(A66,'SSP_March''19'!$A$3:$Q$1193,17,0)</f>
        <v>1</v>
      </c>
      <c r="R66" s="35">
        <f t="shared" si="3"/>
        <v>9.0909090909090912E-2</v>
      </c>
      <c r="S66" s="49">
        <f>ROUND(VLOOKUP(A66,'SSP_March''19'!$A$3:$T$1193,19,0),0)</f>
        <v>3</v>
      </c>
      <c r="T66" s="44">
        <f>VLOOKUP(A66,'SSP_March''19'!$A$3:$T$1193,20,0)</f>
        <v>0.27272727272727271</v>
      </c>
      <c r="U66" s="34">
        <f>VLOOKUP(A66,'SSP_March''19'!$A$3:$X$1193,21,0)</f>
        <v>0</v>
      </c>
      <c r="V66" s="34">
        <f>VLOOKUP(A66,'SSP_March''19'!$A$3:$X$1193,22,0)</f>
        <v>1</v>
      </c>
      <c r="W66" s="34">
        <f>VLOOKUP(A66,'SSP_March''19'!$A$3:$X$1193,23,0)</f>
        <v>0</v>
      </c>
      <c r="X66" s="34">
        <f>VLOOKUP(A66,'SSP_March''19'!$A$3:$X$1193,24,0)</f>
        <v>0</v>
      </c>
    </row>
    <row r="67" spans="1:24">
      <c r="A67" s="34" t="s">
        <v>1015</v>
      </c>
      <c r="B67" s="34" t="s">
        <v>1016</v>
      </c>
      <c r="C67" s="34" t="s">
        <v>177</v>
      </c>
      <c r="D67" s="34" t="s">
        <v>178</v>
      </c>
      <c r="E67" s="34" t="s">
        <v>1</v>
      </c>
      <c r="F67" s="34" t="s">
        <v>1017</v>
      </c>
      <c r="G67" s="54">
        <v>1980376545</v>
      </c>
      <c r="H67" s="54" t="s">
        <v>229</v>
      </c>
      <c r="I67" s="54" t="s">
        <v>3514</v>
      </c>
      <c r="J67" s="34" t="s">
        <v>3419</v>
      </c>
      <c r="K67" s="43">
        <f>VLOOKUP(A67,'SSP_March''19'!$A$3:$L$1193,11,0)</f>
        <v>160000</v>
      </c>
      <c r="L67" s="43">
        <f>VLOOKUP(A67,'SSP_March''19'!$A$3:$L$1193,12,0)</f>
        <v>58750</v>
      </c>
      <c r="M67" s="44">
        <f t="shared" ref="M67:M108" si="4">L67/K67</f>
        <v>0.3671875</v>
      </c>
      <c r="N67" s="49">
        <f>ROUND(VLOOKUP(A67,'SSP_March''19'!$A$3:$N$1193,14,0),0)</f>
        <v>182125</v>
      </c>
      <c r="O67" s="44">
        <f t="shared" ref="O67:O108" si="5">N67/K67</f>
        <v>1.1382812499999999</v>
      </c>
      <c r="P67" s="45">
        <f>VLOOKUP(A67,'SSP_March''19'!$A$3:$Q$1193,16,0)</f>
        <v>11</v>
      </c>
      <c r="Q67" s="34">
        <f>VLOOKUP(A67,'SSP_March''19'!$A$3:$Q$1193,17,0)</f>
        <v>3</v>
      </c>
      <c r="R67" s="35">
        <f t="shared" si="3"/>
        <v>0.27272727272727271</v>
      </c>
      <c r="S67" s="49">
        <f>ROUND(VLOOKUP(A67,'SSP_March''19'!$A$3:$T$1193,19,0),0)</f>
        <v>9</v>
      </c>
      <c r="T67" s="44">
        <f>VLOOKUP(A67,'SSP_March''19'!$A$3:$T$1193,20,0)</f>
        <v>0.81818181818181823</v>
      </c>
      <c r="U67" s="34">
        <f>VLOOKUP(A67,'SSP_March''19'!$A$3:$X$1193,21,0)</f>
        <v>0</v>
      </c>
      <c r="V67" s="34">
        <f>VLOOKUP(A67,'SSP_March''19'!$A$3:$X$1193,22,0)</f>
        <v>1</v>
      </c>
      <c r="W67" s="34">
        <f>VLOOKUP(A67,'SSP_March''19'!$A$3:$X$1193,23,0)</f>
        <v>1</v>
      </c>
      <c r="X67" s="34">
        <f>VLOOKUP(A67,'SSP_March''19'!$A$3:$X$1193,24,0)</f>
        <v>0</v>
      </c>
    </row>
    <row r="68" spans="1:24">
      <c r="A68" s="34" t="s">
        <v>903</v>
      </c>
      <c r="B68" s="34" t="s">
        <v>904</v>
      </c>
      <c r="C68" s="34" t="s">
        <v>862</v>
      </c>
      <c r="D68" s="34" t="s">
        <v>178</v>
      </c>
      <c r="E68" s="34" t="s">
        <v>1</v>
      </c>
      <c r="F68" s="34" t="s">
        <v>905</v>
      </c>
      <c r="G68" s="54">
        <v>1835990892</v>
      </c>
      <c r="H68" s="54" t="s">
        <v>229</v>
      </c>
      <c r="I68" s="54" t="s">
        <v>3514</v>
      </c>
      <c r="J68" s="34" t="s">
        <v>3419</v>
      </c>
      <c r="K68" s="43">
        <f>VLOOKUP(A68,'SSP_March''19'!$A$3:$L$1193,11,0)</f>
        <v>150000</v>
      </c>
      <c r="L68" s="43">
        <f>VLOOKUP(A68,'SSP_March''19'!$A$3:$L$1193,12,0)</f>
        <v>59330</v>
      </c>
      <c r="M68" s="44">
        <f t="shared" si="4"/>
        <v>0.39553333333333335</v>
      </c>
      <c r="N68" s="49">
        <f>ROUND(VLOOKUP(A68,'SSP_March''19'!$A$3:$N$1193,14,0),0)</f>
        <v>183923</v>
      </c>
      <c r="O68" s="44">
        <f t="shared" si="5"/>
        <v>1.2261533333333334</v>
      </c>
      <c r="P68" s="45">
        <f>VLOOKUP(A68,'SSP_March''19'!$A$3:$Q$1193,16,0)</f>
        <v>10</v>
      </c>
      <c r="Q68" s="34">
        <f>VLOOKUP(A68,'SSP_March''19'!$A$3:$Q$1193,17,0)</f>
        <v>0</v>
      </c>
      <c r="R68" s="35">
        <f t="shared" ref="R68:R108" si="6">Q68/P68</f>
        <v>0</v>
      </c>
      <c r="S68" s="49">
        <f>ROUND(VLOOKUP(A68,'SSP_March''19'!$A$3:$T$1193,19,0),0)</f>
        <v>0</v>
      </c>
      <c r="T68" s="44">
        <f>VLOOKUP(A68,'SSP_March''19'!$A$3:$T$1193,20,0)</f>
        <v>0</v>
      </c>
      <c r="U68" s="34">
        <f>VLOOKUP(A68,'SSP_March''19'!$A$3:$X$1193,21,0)</f>
        <v>1</v>
      </c>
      <c r="V68" s="34">
        <f>VLOOKUP(A68,'SSP_March''19'!$A$3:$X$1193,22,0)</f>
        <v>0</v>
      </c>
      <c r="W68" s="34">
        <f>VLOOKUP(A68,'SSP_March''19'!$A$3:$X$1193,23,0)</f>
        <v>0</v>
      </c>
      <c r="X68" s="34">
        <f>VLOOKUP(A68,'SSP_March''19'!$A$3:$X$1193,24,0)</f>
        <v>0</v>
      </c>
    </row>
    <row r="69" spans="1:24">
      <c r="A69" s="34" t="s">
        <v>912</v>
      </c>
      <c r="B69" s="34" t="s">
        <v>843</v>
      </c>
      <c r="C69" s="34" t="s">
        <v>862</v>
      </c>
      <c r="D69" s="34" t="s">
        <v>178</v>
      </c>
      <c r="E69" s="34" t="s">
        <v>1</v>
      </c>
      <c r="F69" s="34" t="s">
        <v>913</v>
      </c>
      <c r="G69" s="54">
        <v>1821581606</v>
      </c>
      <c r="H69" s="54" t="s">
        <v>229</v>
      </c>
      <c r="I69" s="54" t="s">
        <v>3514</v>
      </c>
      <c r="J69" s="34" t="s">
        <v>3421</v>
      </c>
      <c r="K69" s="43">
        <f>VLOOKUP(A69,'SSP_March''19'!$A$3:$L$1193,11,0)</f>
        <v>220000</v>
      </c>
      <c r="L69" s="43">
        <f>VLOOKUP(A69,'SSP_March''19'!$A$3:$L$1193,12,0)</f>
        <v>16730</v>
      </c>
      <c r="M69" s="44">
        <f t="shared" si="4"/>
        <v>7.6045454545454541E-2</v>
      </c>
      <c r="N69" s="49">
        <f>ROUND(VLOOKUP(A69,'SSP_March''19'!$A$3:$N$1193,14,0),0)</f>
        <v>51863</v>
      </c>
      <c r="O69" s="44">
        <f t="shared" si="5"/>
        <v>0.23574090909090908</v>
      </c>
      <c r="P69" s="45">
        <f>VLOOKUP(A69,'SSP_March''19'!$A$3:$Q$1193,16,0)</f>
        <v>12</v>
      </c>
      <c r="Q69" s="34">
        <f>VLOOKUP(A69,'SSP_March''19'!$A$3:$Q$1193,17,0)</f>
        <v>1</v>
      </c>
      <c r="R69" s="35">
        <f t="shared" si="6"/>
        <v>8.3333333333333329E-2</v>
      </c>
      <c r="S69" s="49">
        <f>ROUND(VLOOKUP(A69,'SSP_March''19'!$A$3:$T$1193,19,0),0)</f>
        <v>3</v>
      </c>
      <c r="T69" s="44">
        <f>VLOOKUP(A69,'SSP_March''19'!$A$3:$T$1193,20,0)</f>
        <v>0.25</v>
      </c>
      <c r="U69" s="34">
        <f>VLOOKUP(A69,'SSP_March''19'!$A$3:$X$1193,21,0)</f>
        <v>0</v>
      </c>
      <c r="V69" s="34">
        <f>VLOOKUP(A69,'SSP_March''19'!$A$3:$X$1193,22,0)</f>
        <v>0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34" t="s">
        <v>860</v>
      </c>
      <c r="B70" s="34" t="s">
        <v>861</v>
      </c>
      <c r="C70" s="34" t="s">
        <v>862</v>
      </c>
      <c r="D70" s="34" t="s">
        <v>178</v>
      </c>
      <c r="E70" s="34" t="s">
        <v>1</v>
      </c>
      <c r="F70" s="34" t="s">
        <v>863</v>
      </c>
      <c r="G70" s="54">
        <v>1610911871</v>
      </c>
      <c r="H70" s="54" t="s">
        <v>229</v>
      </c>
      <c r="I70" s="54" t="s">
        <v>3514</v>
      </c>
      <c r="J70" s="34" t="s">
        <v>3419</v>
      </c>
      <c r="K70" s="43">
        <f>VLOOKUP(A70,'SSP_March''19'!$A$3:$L$1193,11,0)</f>
        <v>170000</v>
      </c>
      <c r="L70" s="43">
        <f>VLOOKUP(A70,'SSP_March''19'!$A$3:$L$1193,12,0)</f>
        <v>55060</v>
      </c>
      <c r="M70" s="44">
        <f t="shared" si="4"/>
        <v>0.32388235294117645</v>
      </c>
      <c r="N70" s="49">
        <f>ROUND(VLOOKUP(A70,'SSP_March''19'!$A$3:$N$1193,14,0),0)</f>
        <v>170686</v>
      </c>
      <c r="O70" s="44">
        <f t="shared" si="5"/>
        <v>1.0040352941176471</v>
      </c>
      <c r="P70" s="45">
        <f>VLOOKUP(A70,'SSP_March''19'!$A$3:$Q$1193,16,0)</f>
        <v>10</v>
      </c>
      <c r="Q70" s="34">
        <f>VLOOKUP(A70,'SSP_March''19'!$A$3:$Q$1193,17,0)</f>
        <v>2</v>
      </c>
      <c r="R70" s="35">
        <f t="shared" si="6"/>
        <v>0.2</v>
      </c>
      <c r="S70" s="49">
        <f>ROUND(VLOOKUP(A70,'SSP_March''19'!$A$3:$T$1193,19,0),0)</f>
        <v>6</v>
      </c>
      <c r="T70" s="44">
        <f>VLOOKUP(A70,'SSP_March''19'!$A$3:$T$1193,20,0)</f>
        <v>0.6</v>
      </c>
      <c r="U70" s="34">
        <f>VLOOKUP(A70,'SSP_March''19'!$A$3:$X$1193,21,0)</f>
        <v>1</v>
      </c>
      <c r="V70" s="34">
        <f>VLOOKUP(A70,'SSP_March''19'!$A$3:$X$1193,22,0)</f>
        <v>0</v>
      </c>
      <c r="W70" s="34">
        <f>VLOOKUP(A70,'SSP_March''19'!$A$3:$X$1193,23,0)</f>
        <v>1</v>
      </c>
      <c r="X70" s="34">
        <f>VLOOKUP(A70,'SSP_March''19'!$A$3:$X$1193,24,0)</f>
        <v>1</v>
      </c>
    </row>
    <row r="71" spans="1:24">
      <c r="A71" s="34" t="s">
        <v>871</v>
      </c>
      <c r="B71" s="34" t="s">
        <v>872</v>
      </c>
      <c r="C71" s="34" t="s">
        <v>862</v>
      </c>
      <c r="D71" s="34" t="s">
        <v>178</v>
      </c>
      <c r="E71" s="34" t="s">
        <v>1</v>
      </c>
      <c r="F71" s="34" t="s">
        <v>873</v>
      </c>
      <c r="G71" s="54">
        <v>1710010024</v>
      </c>
      <c r="H71" s="54" t="s">
        <v>229</v>
      </c>
      <c r="I71" s="54" t="s">
        <v>3514</v>
      </c>
      <c r="J71" s="34" t="s">
        <v>3419</v>
      </c>
      <c r="K71" s="43">
        <f>VLOOKUP(A71,'SSP_March''19'!$A$3:$L$1193,11,0)</f>
        <v>150000</v>
      </c>
      <c r="L71" s="43">
        <f>VLOOKUP(A71,'SSP_March''19'!$A$3:$L$1193,12,0)</f>
        <v>61430</v>
      </c>
      <c r="M71" s="44">
        <f t="shared" si="4"/>
        <v>0.40953333333333336</v>
      </c>
      <c r="N71" s="49">
        <f>ROUND(VLOOKUP(A71,'SSP_March''19'!$A$3:$N$1193,14,0),0)</f>
        <v>190433</v>
      </c>
      <c r="O71" s="44">
        <f t="shared" si="5"/>
        <v>1.2695533333333333</v>
      </c>
      <c r="P71" s="45">
        <f>VLOOKUP(A71,'SSP_March''19'!$A$3:$Q$1193,16,0)</f>
        <v>10</v>
      </c>
      <c r="Q71" s="34">
        <f>VLOOKUP(A71,'SSP_March''19'!$A$3:$Q$1193,17,0)</f>
        <v>2</v>
      </c>
      <c r="R71" s="35">
        <f t="shared" si="6"/>
        <v>0.2</v>
      </c>
      <c r="S71" s="49">
        <f>ROUND(VLOOKUP(A71,'SSP_March''19'!$A$3:$T$1193,19,0),0)</f>
        <v>6</v>
      </c>
      <c r="T71" s="44">
        <f>VLOOKUP(A71,'SSP_March''19'!$A$3:$T$1193,20,0)</f>
        <v>0.6</v>
      </c>
      <c r="U71" s="34">
        <f>VLOOKUP(A71,'SSP_March''19'!$A$3:$X$1193,21,0)</f>
        <v>1</v>
      </c>
      <c r="V71" s="34">
        <f>VLOOKUP(A71,'SSP_March''19'!$A$3:$X$1193,22,0)</f>
        <v>1</v>
      </c>
      <c r="W71" s="34">
        <f>VLOOKUP(A71,'SSP_March''19'!$A$3:$X$1193,23,0)</f>
        <v>0</v>
      </c>
      <c r="X71" s="34">
        <f>VLOOKUP(A71,'SSP_March''19'!$A$3:$X$1193,24,0)</f>
        <v>0</v>
      </c>
    </row>
    <row r="72" spans="1:24">
      <c r="A72" s="34" t="s">
        <v>868</v>
      </c>
      <c r="B72" s="34" t="s">
        <v>869</v>
      </c>
      <c r="C72" s="34" t="s">
        <v>862</v>
      </c>
      <c r="D72" s="34" t="s">
        <v>178</v>
      </c>
      <c r="E72" s="34" t="s">
        <v>1</v>
      </c>
      <c r="F72" s="34" t="s">
        <v>870</v>
      </c>
      <c r="G72" s="54">
        <v>1955444140</v>
      </c>
      <c r="H72" s="54" t="s">
        <v>229</v>
      </c>
      <c r="I72" s="54" t="s">
        <v>3514</v>
      </c>
      <c r="J72" s="34" t="s">
        <v>3419</v>
      </c>
      <c r="K72" s="43">
        <f>VLOOKUP(A72,'SSP_March''19'!$A$3:$L$1193,11,0)</f>
        <v>240000</v>
      </c>
      <c r="L72" s="43">
        <f>VLOOKUP(A72,'SSP_March''19'!$A$3:$L$1193,12,0)</f>
        <v>85335</v>
      </c>
      <c r="M72" s="44">
        <f t="shared" si="4"/>
        <v>0.3555625</v>
      </c>
      <c r="N72" s="49">
        <f>ROUND(VLOOKUP(A72,'SSP_March''19'!$A$3:$N$1193,14,0),0)</f>
        <v>264539</v>
      </c>
      <c r="O72" s="44">
        <f t="shared" si="5"/>
        <v>1.1022458333333334</v>
      </c>
      <c r="P72" s="45">
        <f>VLOOKUP(A72,'SSP_March''19'!$A$3:$Q$1193,16,0)</f>
        <v>10</v>
      </c>
      <c r="Q72" s="34">
        <f>VLOOKUP(A72,'SSP_March''19'!$A$3:$Q$1193,17,0)</f>
        <v>3</v>
      </c>
      <c r="R72" s="35">
        <f t="shared" si="6"/>
        <v>0.3</v>
      </c>
      <c r="S72" s="49">
        <f>ROUND(VLOOKUP(A72,'SSP_March''19'!$A$3:$T$1193,19,0),0)</f>
        <v>9</v>
      </c>
      <c r="T72" s="44">
        <f>VLOOKUP(A72,'SSP_March''19'!$A$3:$T$1193,20,0)</f>
        <v>0.9</v>
      </c>
      <c r="U72" s="34">
        <f>VLOOKUP(A72,'SSP_March''19'!$A$3:$X$1193,21,0)</f>
        <v>3</v>
      </c>
      <c r="V72" s="34">
        <f>VLOOKUP(A72,'SSP_March''19'!$A$3:$X$1193,22,0)</f>
        <v>0</v>
      </c>
      <c r="W72" s="34">
        <f>VLOOKUP(A72,'SSP_March''19'!$A$3:$X$1193,23,0)</f>
        <v>0</v>
      </c>
      <c r="X72" s="34">
        <f>VLOOKUP(A72,'SSP_March''19'!$A$3:$X$1193,24,0)</f>
        <v>0</v>
      </c>
    </row>
    <row r="73" spans="1:24">
      <c r="A73" s="34" t="s">
        <v>976</v>
      </c>
      <c r="B73" s="34" t="s">
        <v>77</v>
      </c>
      <c r="C73" s="34" t="s">
        <v>862</v>
      </c>
      <c r="D73" s="34" t="s">
        <v>178</v>
      </c>
      <c r="E73" s="34" t="s">
        <v>1</v>
      </c>
      <c r="F73" s="34" t="s">
        <v>977</v>
      </c>
      <c r="G73" s="54">
        <v>1924752713</v>
      </c>
      <c r="H73" s="54" t="s">
        <v>229</v>
      </c>
      <c r="I73" s="54" t="s">
        <v>3514</v>
      </c>
      <c r="J73" s="34" t="s">
        <v>3421</v>
      </c>
      <c r="K73" s="43">
        <f>VLOOKUP(A73,'SSP_March''19'!$A$3:$L$1193,11,0)</f>
        <v>130000</v>
      </c>
      <c r="L73" s="43">
        <f>VLOOKUP(A73,'SSP_March''19'!$A$3:$L$1193,12,0)</f>
        <v>9530</v>
      </c>
      <c r="M73" s="44">
        <f t="shared" si="4"/>
        <v>7.330769230769231E-2</v>
      </c>
      <c r="N73" s="49">
        <f>ROUND(VLOOKUP(A73,'SSP_March''19'!$A$3:$N$1193,14,0),0)</f>
        <v>29543</v>
      </c>
      <c r="O73" s="44">
        <f t="shared" si="5"/>
        <v>0.22725384615384617</v>
      </c>
      <c r="P73" s="45">
        <f>VLOOKUP(A73,'SSP_March''19'!$A$3:$Q$1193,16,0)</f>
        <v>10</v>
      </c>
      <c r="Q73" s="34">
        <f>VLOOKUP(A73,'SSP_March''19'!$A$3:$Q$1193,17,0)</f>
        <v>0</v>
      </c>
      <c r="R73" s="35">
        <f t="shared" si="6"/>
        <v>0</v>
      </c>
      <c r="S73" s="49">
        <f>ROUND(VLOOKUP(A73,'SSP_March''19'!$A$3:$T$1193,19,0),0)</f>
        <v>0</v>
      </c>
      <c r="T73" s="44">
        <f>VLOOKUP(A73,'SSP_March''19'!$A$3:$T$1193,20,0)</f>
        <v>0</v>
      </c>
      <c r="U73" s="34">
        <f>VLOOKUP(A73,'SSP_March''19'!$A$3:$X$1193,21,0)</f>
        <v>0</v>
      </c>
      <c r="V73" s="34">
        <f>VLOOKUP(A73,'SSP_March''19'!$A$3:$X$1193,22,0)</f>
        <v>0</v>
      </c>
      <c r="W73" s="34">
        <f>VLOOKUP(A73,'SSP_March''19'!$A$3:$X$1193,23,0)</f>
        <v>0</v>
      </c>
      <c r="X73" s="34">
        <f>VLOOKUP(A73,'SSP_March''19'!$A$3:$X$1193,24,0)</f>
        <v>0</v>
      </c>
    </row>
    <row r="74" spans="1:24">
      <c r="A74" s="34" t="s">
        <v>1050</v>
      </c>
      <c r="B74" s="34" t="s">
        <v>78</v>
      </c>
      <c r="C74" s="34" t="s">
        <v>862</v>
      </c>
      <c r="D74" s="34" t="s">
        <v>178</v>
      </c>
      <c r="E74" s="34" t="s">
        <v>1</v>
      </c>
      <c r="F74" s="34" t="s">
        <v>1051</v>
      </c>
      <c r="G74" s="54">
        <v>1772940930</v>
      </c>
      <c r="H74" s="54" t="s">
        <v>229</v>
      </c>
      <c r="I74" s="54" t="s">
        <v>3514</v>
      </c>
      <c r="J74" s="34" t="s">
        <v>3419</v>
      </c>
      <c r="K74" s="43">
        <f>VLOOKUP(A74,'SSP_March''19'!$A$3:$L$1193,11,0)</f>
        <v>130917</v>
      </c>
      <c r="L74" s="43">
        <f>VLOOKUP(A74,'SSP_March''19'!$A$3:$L$1193,12,0)</f>
        <v>62730</v>
      </c>
      <c r="M74" s="44">
        <f t="shared" si="4"/>
        <v>0.47915855083755354</v>
      </c>
      <c r="N74" s="49">
        <f>ROUND(VLOOKUP(A74,'SSP_March''19'!$A$3:$N$1193,14,0),0)</f>
        <v>194463</v>
      </c>
      <c r="O74" s="44">
        <f t="shared" si="5"/>
        <v>1.4853915075964161</v>
      </c>
      <c r="P74" s="45">
        <f>VLOOKUP(A74,'SSP_March''19'!$A$3:$Q$1193,16,0)</f>
        <v>10</v>
      </c>
      <c r="Q74" s="34">
        <f>VLOOKUP(A74,'SSP_March''19'!$A$3:$Q$1193,17,0)</f>
        <v>0</v>
      </c>
      <c r="R74" s="35">
        <f t="shared" si="6"/>
        <v>0</v>
      </c>
      <c r="S74" s="49">
        <f>ROUND(VLOOKUP(A74,'SSP_March''19'!$A$3:$T$1193,19,0),0)</f>
        <v>0</v>
      </c>
      <c r="T74" s="44">
        <f>VLOOKUP(A74,'SSP_March''19'!$A$3:$T$1193,20,0)</f>
        <v>0</v>
      </c>
      <c r="U74" s="34">
        <f>VLOOKUP(A74,'SSP_March''19'!$A$3:$X$1193,21,0)</f>
        <v>3</v>
      </c>
      <c r="V74" s="34">
        <f>VLOOKUP(A74,'SSP_March''19'!$A$3:$X$1193,22,0)</f>
        <v>0</v>
      </c>
      <c r="W74" s="34">
        <f>VLOOKUP(A74,'SSP_March''19'!$A$3:$X$1193,23,0)</f>
        <v>0</v>
      </c>
      <c r="X74" s="34">
        <f>VLOOKUP(A74,'SSP_March''19'!$A$3:$X$1193,24,0)</f>
        <v>0</v>
      </c>
    </row>
    <row r="75" spans="1:24">
      <c r="A75" s="34" t="s">
        <v>914</v>
      </c>
      <c r="B75" s="34" t="s">
        <v>50</v>
      </c>
      <c r="C75" s="34" t="s">
        <v>862</v>
      </c>
      <c r="D75" s="34" t="s">
        <v>178</v>
      </c>
      <c r="E75" s="34" t="s">
        <v>1</v>
      </c>
      <c r="F75" s="34" t="s">
        <v>915</v>
      </c>
      <c r="G75" s="54">
        <v>1811722316</v>
      </c>
      <c r="H75" s="54" t="s">
        <v>229</v>
      </c>
      <c r="I75" s="54" t="s">
        <v>3514</v>
      </c>
      <c r="J75" s="34" t="s">
        <v>3421</v>
      </c>
      <c r="K75" s="43">
        <f>VLOOKUP(A75,'SSP_March''19'!$A$3:$L$1193,11,0)</f>
        <v>130000</v>
      </c>
      <c r="L75" s="43">
        <f>VLOOKUP(A75,'SSP_March''19'!$A$3:$L$1193,12,0)</f>
        <v>25160</v>
      </c>
      <c r="M75" s="44">
        <f t="shared" si="4"/>
        <v>0.19353846153846155</v>
      </c>
      <c r="N75" s="49">
        <f>ROUND(VLOOKUP(A75,'SSP_March''19'!$A$3:$N$1193,14,0),0)</f>
        <v>77996</v>
      </c>
      <c r="O75" s="44">
        <f t="shared" si="5"/>
        <v>0.59996923076923081</v>
      </c>
      <c r="P75" s="45">
        <f>VLOOKUP(A75,'SSP_March''19'!$A$3:$Q$1193,16,0)</f>
        <v>10</v>
      </c>
      <c r="Q75" s="34">
        <f>VLOOKUP(A75,'SSP_March''19'!$A$3:$Q$1193,17,0)</f>
        <v>1</v>
      </c>
      <c r="R75" s="35">
        <f t="shared" si="6"/>
        <v>0.1</v>
      </c>
      <c r="S75" s="49">
        <f>ROUND(VLOOKUP(A75,'SSP_March''19'!$A$3:$T$1193,19,0),0)</f>
        <v>3</v>
      </c>
      <c r="T75" s="44">
        <f>VLOOKUP(A75,'SSP_March''19'!$A$3:$T$1193,20,0)</f>
        <v>0.3</v>
      </c>
      <c r="U75" s="34">
        <f>VLOOKUP(A75,'SSP_March''19'!$A$3:$X$1193,21,0)</f>
        <v>0</v>
      </c>
      <c r="V75" s="34">
        <f>VLOOKUP(A75,'SSP_March''19'!$A$3:$X$1193,22,0)</f>
        <v>0</v>
      </c>
      <c r="W75" s="34">
        <f>VLOOKUP(A75,'SSP_March''19'!$A$3:$X$1193,23,0)</f>
        <v>0</v>
      </c>
      <c r="X75" s="34">
        <f>VLOOKUP(A75,'SSP_March''19'!$A$3:$X$1193,24,0)</f>
        <v>1</v>
      </c>
    </row>
    <row r="76" spans="1:24">
      <c r="A76" s="34" t="s">
        <v>3341</v>
      </c>
      <c r="B76" s="34" t="s">
        <v>2064</v>
      </c>
      <c r="C76" s="34" t="s">
        <v>862</v>
      </c>
      <c r="D76" s="34" t="s">
        <v>178</v>
      </c>
      <c r="E76" s="34" t="s">
        <v>1</v>
      </c>
      <c r="F76" s="34" t="s">
        <v>3342</v>
      </c>
      <c r="G76" s="54">
        <v>1687731436</v>
      </c>
      <c r="H76" s="54" t="s">
        <v>229</v>
      </c>
      <c r="I76" s="54" t="s">
        <v>3514</v>
      </c>
      <c r="J76" s="34" t="s">
        <v>3421</v>
      </c>
      <c r="K76" s="43">
        <f>VLOOKUP(A76,'SSP_March''19'!$A$3:$L$1193,11,0)</f>
        <v>130000</v>
      </c>
      <c r="L76" s="43">
        <f>VLOOKUP(A76,'SSP_March''19'!$A$3:$L$1193,12,0)</f>
        <v>32690</v>
      </c>
      <c r="M76" s="44">
        <f t="shared" si="4"/>
        <v>0.25146153846153846</v>
      </c>
      <c r="N76" s="49">
        <f>ROUND(VLOOKUP(A76,'SSP_March''19'!$A$3:$N$1193,14,0),0)</f>
        <v>101339</v>
      </c>
      <c r="O76" s="44">
        <f t="shared" si="5"/>
        <v>0.77953076923076925</v>
      </c>
      <c r="P76" s="45">
        <f>VLOOKUP(A76,'SSP_March''19'!$A$3:$Q$1193,16,0)</f>
        <v>10</v>
      </c>
      <c r="Q76" s="34">
        <f>VLOOKUP(A76,'SSP_March''19'!$A$3:$Q$1193,17,0)</f>
        <v>1</v>
      </c>
      <c r="R76" s="35">
        <f t="shared" si="6"/>
        <v>0.1</v>
      </c>
      <c r="S76" s="49">
        <f>ROUND(VLOOKUP(A76,'SSP_March''19'!$A$3:$T$1193,19,0),0)</f>
        <v>3</v>
      </c>
      <c r="T76" s="44">
        <f>VLOOKUP(A76,'SSP_March''19'!$A$3:$T$1193,20,0)</f>
        <v>0.3</v>
      </c>
      <c r="U76" s="34">
        <f>VLOOKUP(A76,'SSP_March''19'!$A$3:$X$1193,21,0)</f>
        <v>0</v>
      </c>
      <c r="V76" s="34">
        <f>VLOOKUP(A76,'SSP_March''19'!$A$3:$X$1193,22,0)</f>
        <v>0</v>
      </c>
      <c r="W76" s="34">
        <f>VLOOKUP(A76,'SSP_March''19'!$A$3:$X$1193,23,0)</f>
        <v>1</v>
      </c>
      <c r="X76" s="34">
        <f>VLOOKUP(A76,'SSP_March''19'!$A$3:$X$1193,24,0)</f>
        <v>0</v>
      </c>
    </row>
    <row r="77" spans="1:24">
      <c r="A77" s="34" t="s">
        <v>906</v>
      </c>
      <c r="B77" s="34" t="s">
        <v>907</v>
      </c>
      <c r="C77" s="34" t="s">
        <v>862</v>
      </c>
      <c r="D77" s="34" t="s">
        <v>178</v>
      </c>
      <c r="E77" s="34" t="s">
        <v>1</v>
      </c>
      <c r="F77" s="34" t="s">
        <v>908</v>
      </c>
      <c r="G77" s="54">
        <v>1730994849</v>
      </c>
      <c r="H77" s="54" t="s">
        <v>229</v>
      </c>
      <c r="I77" s="54" t="s">
        <v>3514</v>
      </c>
      <c r="J77" s="34" t="s">
        <v>3419</v>
      </c>
      <c r="K77" s="43">
        <f>VLOOKUP(A77,'SSP_March''19'!$A$3:$L$1193,11,0)</f>
        <v>260000</v>
      </c>
      <c r="L77" s="43">
        <f>VLOOKUP(A77,'SSP_March''19'!$A$3:$L$1193,12,0)</f>
        <v>67170</v>
      </c>
      <c r="M77" s="44">
        <f t="shared" si="4"/>
        <v>0.25834615384615384</v>
      </c>
      <c r="N77" s="49">
        <f>ROUND(VLOOKUP(A77,'SSP_March''19'!$A$3:$N$1193,14,0),0)</f>
        <v>208227</v>
      </c>
      <c r="O77" s="44">
        <f t="shared" si="5"/>
        <v>0.80087307692307697</v>
      </c>
      <c r="P77" s="45">
        <f>VLOOKUP(A77,'SSP_March''19'!$A$3:$Q$1193,16,0)</f>
        <v>10</v>
      </c>
      <c r="Q77" s="34">
        <f>VLOOKUP(A77,'SSP_March''19'!$A$3:$Q$1193,17,0)</f>
        <v>0</v>
      </c>
      <c r="R77" s="35">
        <f t="shared" si="6"/>
        <v>0</v>
      </c>
      <c r="S77" s="49">
        <f>ROUND(VLOOKUP(A77,'SSP_March''19'!$A$3:$T$1193,19,0),0)</f>
        <v>0</v>
      </c>
      <c r="T77" s="44">
        <f>VLOOKUP(A77,'SSP_March''19'!$A$3:$T$1193,20,0)</f>
        <v>0</v>
      </c>
      <c r="U77" s="34">
        <f>VLOOKUP(A77,'SSP_March''19'!$A$3:$X$1193,21,0)</f>
        <v>3</v>
      </c>
      <c r="V77" s="34">
        <f>VLOOKUP(A77,'SSP_March''19'!$A$3:$X$1193,22,0)</f>
        <v>0</v>
      </c>
      <c r="W77" s="34">
        <f>VLOOKUP(A77,'SSP_March''19'!$A$3:$X$1193,23,0)</f>
        <v>0</v>
      </c>
      <c r="X77" s="34">
        <f>VLOOKUP(A77,'SSP_March''19'!$A$3:$X$1193,24,0)</f>
        <v>0</v>
      </c>
    </row>
    <row r="78" spans="1:24">
      <c r="A78" s="34" t="s">
        <v>881</v>
      </c>
      <c r="B78" s="34" t="s">
        <v>882</v>
      </c>
      <c r="C78" s="34" t="s">
        <v>862</v>
      </c>
      <c r="D78" s="34" t="s">
        <v>178</v>
      </c>
      <c r="E78" s="34" t="s">
        <v>1</v>
      </c>
      <c r="F78" s="34" t="s">
        <v>883</v>
      </c>
      <c r="G78" s="54">
        <v>1830251438</v>
      </c>
      <c r="H78" s="54" t="s">
        <v>229</v>
      </c>
      <c r="I78" s="54" t="s">
        <v>3522</v>
      </c>
      <c r="J78" s="34" t="s">
        <v>3419</v>
      </c>
      <c r="K78" s="43">
        <f>VLOOKUP(A78,'SSP_March''19'!$A$3:$L$1193,11,0)</f>
        <v>500000</v>
      </c>
      <c r="L78" s="43">
        <f>VLOOKUP(A78,'SSP_March''19'!$A$3:$L$1193,12,0)</f>
        <v>175230</v>
      </c>
      <c r="M78" s="44">
        <f t="shared" si="4"/>
        <v>0.35045999999999999</v>
      </c>
      <c r="N78" s="49">
        <f>ROUND(VLOOKUP(A78,'SSP_March''19'!$A$3:$N$1193,14,0),0)</f>
        <v>543213</v>
      </c>
      <c r="O78" s="44">
        <f t="shared" si="5"/>
        <v>1.0864259999999999</v>
      </c>
      <c r="P78" s="45">
        <f>VLOOKUP(A78,'SSP_March''19'!$A$3:$Q$1193,16,0)</f>
        <v>20</v>
      </c>
      <c r="Q78" s="34">
        <f>VLOOKUP(A78,'SSP_March''19'!$A$3:$Q$1193,17,0)</f>
        <v>3</v>
      </c>
      <c r="R78" s="35">
        <f t="shared" si="6"/>
        <v>0.15</v>
      </c>
      <c r="S78" s="49">
        <f>ROUND(VLOOKUP(A78,'SSP_March''19'!$A$3:$T$1193,19,0),0)</f>
        <v>9</v>
      </c>
      <c r="T78" s="44">
        <f>VLOOKUP(A78,'SSP_March''19'!$A$3:$T$1193,20,0)</f>
        <v>0.45</v>
      </c>
      <c r="U78" s="34">
        <f>VLOOKUP(A78,'SSP_March''19'!$A$3:$X$1193,21,0)</f>
        <v>8</v>
      </c>
      <c r="V78" s="34">
        <f>VLOOKUP(A78,'SSP_March''19'!$A$3:$X$1193,22,0)</f>
        <v>0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34" t="s">
        <v>923</v>
      </c>
      <c r="B79" s="34" t="s">
        <v>924</v>
      </c>
      <c r="C79" s="34" t="s">
        <v>862</v>
      </c>
      <c r="D79" s="34" t="s">
        <v>178</v>
      </c>
      <c r="E79" s="34" t="s">
        <v>1</v>
      </c>
      <c r="F79" s="34" t="s">
        <v>925</v>
      </c>
      <c r="G79" s="54">
        <v>1777888905</v>
      </c>
      <c r="H79" s="54" t="s">
        <v>229</v>
      </c>
      <c r="I79" s="54" t="s">
        <v>3514</v>
      </c>
      <c r="J79" s="34" t="s">
        <v>3419</v>
      </c>
      <c r="K79" s="43">
        <f>VLOOKUP(A79,'SSP_March''19'!$A$3:$L$1193,11,0)</f>
        <v>170000</v>
      </c>
      <c r="L79" s="43">
        <f>VLOOKUP(A79,'SSP_March''19'!$A$3:$L$1193,12,0)</f>
        <v>31750</v>
      </c>
      <c r="M79" s="44">
        <f t="shared" si="4"/>
        <v>0.18676470588235294</v>
      </c>
      <c r="N79" s="49">
        <f>ROUND(VLOOKUP(A79,'SSP_March''19'!$A$3:$N$1193,14,0),0)</f>
        <v>98425</v>
      </c>
      <c r="O79" s="44">
        <f t="shared" si="5"/>
        <v>0.57897058823529413</v>
      </c>
      <c r="P79" s="45">
        <f>VLOOKUP(A79,'SSP_March''19'!$A$3:$Q$1193,16,0)</f>
        <v>10</v>
      </c>
      <c r="Q79" s="34">
        <f>VLOOKUP(A79,'SSP_March''19'!$A$3:$Q$1193,17,0)</f>
        <v>2</v>
      </c>
      <c r="R79" s="35">
        <f t="shared" si="6"/>
        <v>0.2</v>
      </c>
      <c r="S79" s="49">
        <f>ROUND(VLOOKUP(A79,'SSP_March''19'!$A$3:$T$1193,19,0),0)</f>
        <v>6</v>
      </c>
      <c r="T79" s="44">
        <f>VLOOKUP(A79,'SSP_March''19'!$A$3:$T$1193,20,0)</f>
        <v>0.6</v>
      </c>
      <c r="U79" s="34">
        <f>VLOOKUP(A79,'SSP_March''19'!$A$3:$X$1193,21,0)</f>
        <v>0</v>
      </c>
      <c r="V79" s="34">
        <f>VLOOKUP(A79,'SSP_March''19'!$A$3:$X$1193,22,0)</f>
        <v>1</v>
      </c>
      <c r="W79" s="34">
        <f>VLOOKUP(A79,'SSP_March''19'!$A$3:$X$1193,23,0)</f>
        <v>0</v>
      </c>
      <c r="X79" s="34">
        <f>VLOOKUP(A79,'SSP_March''19'!$A$3:$X$1193,24,0)</f>
        <v>0</v>
      </c>
    </row>
    <row r="80" spans="1:24">
      <c r="A80" s="34" t="s">
        <v>2954</v>
      </c>
      <c r="B80" s="34" t="s">
        <v>916</v>
      </c>
      <c r="C80" s="34" t="s">
        <v>862</v>
      </c>
      <c r="D80" s="34" t="s">
        <v>178</v>
      </c>
      <c r="E80" s="34" t="s">
        <v>1</v>
      </c>
      <c r="F80" s="34" t="s">
        <v>2955</v>
      </c>
      <c r="G80" s="54">
        <v>1782310000</v>
      </c>
      <c r="H80" s="54" t="s">
        <v>229</v>
      </c>
      <c r="I80" s="54" t="s">
        <v>3514</v>
      </c>
      <c r="J80" s="34" t="s">
        <v>3419</v>
      </c>
      <c r="K80" s="43">
        <f>VLOOKUP(A80,'SSP_March''19'!$A$3:$L$1193,11,0)</f>
        <v>180000</v>
      </c>
      <c r="L80" s="43">
        <f>VLOOKUP(A80,'SSP_March''19'!$A$3:$L$1193,12,0)</f>
        <v>57909</v>
      </c>
      <c r="M80" s="44">
        <f t="shared" si="4"/>
        <v>0.32171666666666665</v>
      </c>
      <c r="N80" s="49">
        <f>ROUND(VLOOKUP(A80,'SSP_March''19'!$A$3:$N$1193,14,0),0)</f>
        <v>179518</v>
      </c>
      <c r="O80" s="44">
        <f t="shared" si="5"/>
        <v>0.99732222222222222</v>
      </c>
      <c r="P80" s="45">
        <f>VLOOKUP(A80,'SSP_March''19'!$A$3:$Q$1193,16,0)</f>
        <v>10</v>
      </c>
      <c r="Q80" s="34">
        <f>VLOOKUP(A80,'SSP_March''19'!$A$3:$Q$1193,17,0)</f>
        <v>2</v>
      </c>
      <c r="R80" s="35">
        <f t="shared" si="6"/>
        <v>0.2</v>
      </c>
      <c r="S80" s="49">
        <f>ROUND(VLOOKUP(A80,'SSP_March''19'!$A$3:$T$1193,19,0),0)</f>
        <v>6</v>
      </c>
      <c r="T80" s="44">
        <f>VLOOKUP(A80,'SSP_March''19'!$A$3:$T$1193,20,0)</f>
        <v>0.6</v>
      </c>
      <c r="U80" s="34">
        <f>VLOOKUP(A80,'SSP_March''19'!$A$3:$X$1193,21,0)</f>
        <v>0</v>
      </c>
      <c r="V80" s="34">
        <f>VLOOKUP(A80,'SSP_March''19'!$A$3:$X$1193,22,0)</f>
        <v>0</v>
      </c>
      <c r="W80" s="34">
        <f>VLOOKUP(A80,'SSP_March''19'!$A$3:$X$1193,23,0)</f>
        <v>0</v>
      </c>
      <c r="X80" s="34">
        <f>VLOOKUP(A80,'SSP_March''19'!$A$3:$X$1193,24,0)</f>
        <v>0</v>
      </c>
    </row>
    <row r="81" spans="1:24">
      <c r="A81" s="34" t="s">
        <v>920</v>
      </c>
      <c r="B81" s="34" t="s">
        <v>921</v>
      </c>
      <c r="C81" s="34" t="s">
        <v>862</v>
      </c>
      <c r="D81" s="34" t="s">
        <v>178</v>
      </c>
      <c r="E81" s="34" t="s">
        <v>1</v>
      </c>
      <c r="F81" s="34" t="s">
        <v>922</v>
      </c>
      <c r="G81" s="54">
        <v>1720229911</v>
      </c>
      <c r="H81" s="54" t="s">
        <v>229</v>
      </c>
      <c r="I81" s="54" t="s">
        <v>3514</v>
      </c>
      <c r="J81" s="34" t="s">
        <v>3515</v>
      </c>
      <c r="K81" s="43">
        <f>VLOOKUP(A81,'SSP_March''19'!$A$3:$L$1193,11,0)</f>
        <v>200000</v>
      </c>
      <c r="L81" s="43">
        <f>VLOOKUP(A81,'SSP_March''19'!$A$3:$L$1193,12,0)</f>
        <v>44570</v>
      </c>
      <c r="M81" s="44">
        <f t="shared" si="4"/>
        <v>0.22284999999999999</v>
      </c>
      <c r="N81" s="49">
        <f>ROUND(VLOOKUP(A81,'SSP_March''19'!$A$3:$N$1193,14,0),0)</f>
        <v>138167</v>
      </c>
      <c r="O81" s="44">
        <f t="shared" si="5"/>
        <v>0.69083499999999998</v>
      </c>
      <c r="P81" s="45">
        <f>VLOOKUP(A81,'SSP_March''19'!$A$3:$Q$1193,16,0)</f>
        <v>10</v>
      </c>
      <c r="Q81" s="34">
        <f>VLOOKUP(A81,'SSP_March''19'!$A$3:$Q$1193,17,0)</f>
        <v>2</v>
      </c>
      <c r="R81" s="35">
        <f t="shared" si="6"/>
        <v>0.2</v>
      </c>
      <c r="S81" s="49">
        <f>ROUND(VLOOKUP(A81,'SSP_March''19'!$A$3:$T$1193,19,0),0)</f>
        <v>6</v>
      </c>
      <c r="T81" s="44">
        <f>VLOOKUP(A81,'SSP_March''19'!$A$3:$T$1193,20,0)</f>
        <v>0.6</v>
      </c>
      <c r="U81" s="34">
        <f>VLOOKUP(A81,'SSP_March''19'!$A$3:$X$1193,21,0)</f>
        <v>1</v>
      </c>
      <c r="V81" s="34">
        <f>VLOOKUP(A81,'SSP_March''19'!$A$3:$X$1193,22,0)</f>
        <v>1</v>
      </c>
      <c r="W81" s="34">
        <f>VLOOKUP(A81,'SSP_March''19'!$A$3:$X$1193,23,0)</f>
        <v>0</v>
      </c>
      <c r="X81" s="34">
        <f>VLOOKUP(A81,'SSP_March''19'!$A$3:$X$1193,24,0)</f>
        <v>0</v>
      </c>
    </row>
    <row r="82" spans="1:24">
      <c r="A82" s="34" t="s">
        <v>987</v>
      </c>
      <c r="B82" s="34" t="s">
        <v>988</v>
      </c>
      <c r="C82" s="34" t="s">
        <v>215</v>
      </c>
      <c r="D82" s="34" t="s">
        <v>216</v>
      </c>
      <c r="E82" s="34" t="s">
        <v>1</v>
      </c>
      <c r="F82" s="34" t="s">
        <v>989</v>
      </c>
      <c r="G82" s="54">
        <v>1743336633</v>
      </c>
      <c r="H82" s="54" t="s">
        <v>229</v>
      </c>
      <c r="I82" s="54" t="s">
        <v>3518</v>
      </c>
      <c r="J82" s="34" t="s">
        <v>3419</v>
      </c>
      <c r="K82" s="43">
        <f>VLOOKUP(A82,'SSP_March''19'!$A$3:$L$1193,11,0)</f>
        <v>377374</v>
      </c>
      <c r="L82" s="43">
        <f>VLOOKUP(A82,'SSP_March''19'!$A$3:$L$1193,12,0)</f>
        <v>46539</v>
      </c>
      <c r="M82" s="44">
        <f t="shared" si="4"/>
        <v>0.12332328141313392</v>
      </c>
      <c r="N82" s="49">
        <f>ROUND(VLOOKUP(A82,'SSP_March''19'!$A$3:$N$1193,14,0),0)</f>
        <v>144271</v>
      </c>
      <c r="O82" s="44">
        <f t="shared" si="5"/>
        <v>0.38230243736982411</v>
      </c>
      <c r="P82" s="45">
        <f>VLOOKUP(A82,'SSP_March''19'!$A$3:$Q$1193,16,0)</f>
        <v>10</v>
      </c>
      <c r="Q82" s="34">
        <f>VLOOKUP(A82,'SSP_March''19'!$A$3:$Q$1193,17,0)</f>
        <v>0</v>
      </c>
      <c r="R82" s="35">
        <f t="shared" si="6"/>
        <v>0</v>
      </c>
      <c r="S82" s="49">
        <f>ROUND(VLOOKUP(A82,'SSP_March''19'!$A$3:$T$1193,19,0),0)</f>
        <v>0</v>
      </c>
      <c r="T82" s="44">
        <f>VLOOKUP(A82,'SSP_March''19'!$A$3:$T$1193,20,0)</f>
        <v>0</v>
      </c>
      <c r="U82" s="34">
        <f>VLOOKUP(A82,'SSP_March''19'!$A$3:$X$1193,21,0)</f>
        <v>0</v>
      </c>
      <c r="V82" s="34">
        <f>VLOOKUP(A82,'SSP_March''19'!$A$3:$X$1193,22,0)</f>
        <v>0</v>
      </c>
      <c r="W82" s="34">
        <f>VLOOKUP(A82,'SSP_March''19'!$A$3:$X$1193,23,0)</f>
        <v>0</v>
      </c>
      <c r="X82" s="34">
        <f>VLOOKUP(A82,'SSP_March''19'!$A$3:$X$1193,24,0)</f>
        <v>0</v>
      </c>
    </row>
    <row r="83" spans="1:24">
      <c r="A83" s="34" t="s">
        <v>1030</v>
      </c>
      <c r="B83" s="34" t="s">
        <v>1031</v>
      </c>
      <c r="C83" s="34" t="s">
        <v>215</v>
      </c>
      <c r="D83" s="34" t="s">
        <v>216</v>
      </c>
      <c r="E83" s="34" t="s">
        <v>1</v>
      </c>
      <c r="F83" s="34" t="s">
        <v>1032</v>
      </c>
      <c r="G83" s="54">
        <v>1712825151</v>
      </c>
      <c r="H83" s="54" t="s">
        <v>229</v>
      </c>
      <c r="I83" s="54" t="s">
        <v>3514</v>
      </c>
      <c r="J83" s="34" t="s">
        <v>3515</v>
      </c>
      <c r="K83" s="43">
        <f>VLOOKUP(A83,'SSP_March''19'!$A$3:$L$1193,11,0)</f>
        <v>130000</v>
      </c>
      <c r="L83" s="43">
        <f>VLOOKUP(A83,'SSP_March''19'!$A$3:$L$1193,12,0)</f>
        <v>19310</v>
      </c>
      <c r="M83" s="44">
        <f t="shared" si="4"/>
        <v>0.14853846153846154</v>
      </c>
      <c r="N83" s="49">
        <f>ROUND(VLOOKUP(A83,'SSP_March''19'!$A$3:$N$1193,14,0),0)</f>
        <v>59861</v>
      </c>
      <c r="O83" s="44">
        <f t="shared" si="5"/>
        <v>0.46046923076923074</v>
      </c>
      <c r="P83" s="45">
        <f>VLOOKUP(A83,'SSP_March''19'!$A$3:$Q$1193,16,0)</f>
        <v>10</v>
      </c>
      <c r="Q83" s="34">
        <f>VLOOKUP(A83,'SSP_March''19'!$A$3:$Q$1193,17,0)</f>
        <v>0</v>
      </c>
      <c r="R83" s="35">
        <f t="shared" si="6"/>
        <v>0</v>
      </c>
      <c r="S83" s="49">
        <f>ROUND(VLOOKUP(A83,'SSP_March''19'!$A$3:$T$1193,19,0),0)</f>
        <v>0</v>
      </c>
      <c r="T83" s="44">
        <f>VLOOKUP(A83,'SSP_March''19'!$A$3:$T$1193,20,0)</f>
        <v>0</v>
      </c>
      <c r="U83" s="34">
        <f>VLOOKUP(A83,'SSP_March''19'!$A$3:$X$1193,21,0)</f>
        <v>1</v>
      </c>
      <c r="V83" s="34">
        <f>VLOOKUP(A83,'SSP_March''19'!$A$3:$X$1193,22,0)</f>
        <v>0</v>
      </c>
      <c r="W83" s="34">
        <f>VLOOKUP(A83,'SSP_March''19'!$A$3:$X$1193,23,0)</f>
        <v>0</v>
      </c>
      <c r="X83" s="34">
        <f>VLOOKUP(A83,'SSP_March''19'!$A$3:$X$1193,24,0)</f>
        <v>0</v>
      </c>
    </row>
    <row r="84" spans="1:24">
      <c r="A84" s="34" t="s">
        <v>933</v>
      </c>
      <c r="B84" s="34" t="s">
        <v>77</v>
      </c>
      <c r="C84" s="34" t="s">
        <v>215</v>
      </c>
      <c r="D84" s="34" t="s">
        <v>216</v>
      </c>
      <c r="E84" s="34" t="s">
        <v>1</v>
      </c>
      <c r="F84" s="34" t="s">
        <v>934</v>
      </c>
      <c r="G84" s="54">
        <v>1739640411</v>
      </c>
      <c r="H84" s="54" t="s">
        <v>229</v>
      </c>
      <c r="I84" s="54" t="s">
        <v>3514</v>
      </c>
      <c r="J84" s="34" t="s">
        <v>3419</v>
      </c>
      <c r="K84" s="43">
        <f>VLOOKUP(A84,'SSP_March''19'!$A$3:$L$1193,11,0)</f>
        <v>205610</v>
      </c>
      <c r="L84" s="43">
        <f>VLOOKUP(A84,'SSP_March''19'!$A$3:$L$1193,12,0)</f>
        <v>43768</v>
      </c>
      <c r="M84" s="44">
        <f t="shared" si="4"/>
        <v>0.21286902388016146</v>
      </c>
      <c r="N84" s="49">
        <f>ROUND(VLOOKUP(A84,'SSP_March''19'!$A$3:$N$1193,14,0),0)</f>
        <v>135681</v>
      </c>
      <c r="O84" s="44">
        <f t="shared" si="5"/>
        <v>0.65989494674383542</v>
      </c>
      <c r="P84" s="45">
        <f>VLOOKUP(A84,'SSP_March''19'!$A$3:$Q$1193,16,0)</f>
        <v>10</v>
      </c>
      <c r="Q84" s="34">
        <f>VLOOKUP(A84,'SSP_March''19'!$A$3:$Q$1193,17,0)</f>
        <v>0</v>
      </c>
      <c r="R84" s="35">
        <f t="shared" si="6"/>
        <v>0</v>
      </c>
      <c r="S84" s="49">
        <f>ROUND(VLOOKUP(A84,'SSP_March''19'!$A$3:$T$1193,19,0),0)</f>
        <v>0</v>
      </c>
      <c r="T84" s="44">
        <f>VLOOKUP(A84,'SSP_March''19'!$A$3:$T$1193,20,0)</f>
        <v>0</v>
      </c>
      <c r="U84" s="34">
        <f>VLOOKUP(A84,'SSP_March''19'!$A$3:$X$1193,21,0)</f>
        <v>0</v>
      </c>
      <c r="V84" s="34">
        <f>VLOOKUP(A84,'SSP_March''19'!$A$3:$X$1193,22,0)</f>
        <v>0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34" t="s">
        <v>941</v>
      </c>
      <c r="B85" s="34" t="s">
        <v>942</v>
      </c>
      <c r="C85" s="34" t="s">
        <v>215</v>
      </c>
      <c r="D85" s="34" t="s">
        <v>216</v>
      </c>
      <c r="E85" s="34" t="s">
        <v>1</v>
      </c>
      <c r="F85" s="34" t="s">
        <v>943</v>
      </c>
      <c r="G85" s="54">
        <v>1753285282</v>
      </c>
      <c r="H85" s="54" t="s">
        <v>229</v>
      </c>
      <c r="I85" s="54" t="s">
        <v>3514</v>
      </c>
      <c r="J85" s="34" t="s">
        <v>3419</v>
      </c>
      <c r="K85" s="43">
        <f>VLOOKUP(A85,'SSP_March''19'!$A$3:$L$1193,11,0)</f>
        <v>229380</v>
      </c>
      <c r="L85" s="43">
        <f>VLOOKUP(A85,'SSP_March''19'!$A$3:$L$1193,12,0)</f>
        <v>153360</v>
      </c>
      <c r="M85" s="44">
        <f t="shared" si="4"/>
        <v>0.66858488098352076</v>
      </c>
      <c r="N85" s="49">
        <f>ROUND(VLOOKUP(A85,'SSP_March''19'!$A$3:$N$1193,14,0),0)</f>
        <v>475416</v>
      </c>
      <c r="O85" s="44">
        <f t="shared" si="5"/>
        <v>2.0726131310489144</v>
      </c>
      <c r="P85" s="45">
        <f>VLOOKUP(A85,'SSP_March''19'!$A$3:$Q$1193,16,0)</f>
        <v>10</v>
      </c>
      <c r="Q85" s="34">
        <f>VLOOKUP(A85,'SSP_March''19'!$A$3:$Q$1193,17,0)</f>
        <v>5</v>
      </c>
      <c r="R85" s="35">
        <f t="shared" si="6"/>
        <v>0.5</v>
      </c>
      <c r="S85" s="49">
        <f>ROUND(VLOOKUP(A85,'SSP_March''19'!$A$3:$T$1193,19,0),0)</f>
        <v>16</v>
      </c>
      <c r="T85" s="44">
        <f>VLOOKUP(A85,'SSP_March''19'!$A$3:$T$1193,20,0)</f>
        <v>1.6</v>
      </c>
      <c r="U85" s="34">
        <f>VLOOKUP(A85,'SSP_March''19'!$A$3:$X$1193,21,0)</f>
        <v>1</v>
      </c>
      <c r="V85" s="34">
        <f>VLOOKUP(A85,'SSP_March''19'!$A$3:$X$1193,22,0)</f>
        <v>2</v>
      </c>
      <c r="W85" s="34">
        <f>VLOOKUP(A85,'SSP_March''19'!$A$3:$X$1193,23,0)</f>
        <v>1</v>
      </c>
      <c r="X85" s="34">
        <f>VLOOKUP(A85,'SSP_March''19'!$A$3:$X$1193,24,0)</f>
        <v>0</v>
      </c>
    </row>
    <row r="86" spans="1:24">
      <c r="A86" s="34" t="s">
        <v>981</v>
      </c>
      <c r="B86" s="34" t="s">
        <v>982</v>
      </c>
      <c r="C86" s="34" t="s">
        <v>215</v>
      </c>
      <c r="D86" s="34" t="s">
        <v>216</v>
      </c>
      <c r="E86" s="34" t="s">
        <v>1</v>
      </c>
      <c r="F86" s="34" t="s">
        <v>983</v>
      </c>
      <c r="G86" s="54">
        <v>1778436438</v>
      </c>
      <c r="H86" s="54" t="s">
        <v>229</v>
      </c>
      <c r="I86" s="54" t="s">
        <v>3514</v>
      </c>
      <c r="J86" s="34" t="s">
        <v>3419</v>
      </c>
      <c r="K86" s="43">
        <f>VLOOKUP(A86,'SSP_March''19'!$A$3:$L$1193,11,0)</f>
        <v>190024</v>
      </c>
      <c r="L86" s="43">
        <f>VLOOKUP(A86,'SSP_March''19'!$A$3:$L$1193,12,0)</f>
        <v>75500</v>
      </c>
      <c r="M86" s="44">
        <f t="shared" si="4"/>
        <v>0.39731823348629647</v>
      </c>
      <c r="N86" s="49">
        <f>ROUND(VLOOKUP(A86,'SSP_March''19'!$A$3:$N$1193,14,0),0)</f>
        <v>234050</v>
      </c>
      <c r="O86" s="44">
        <f t="shared" si="5"/>
        <v>1.231686523807519</v>
      </c>
      <c r="P86" s="45">
        <f>VLOOKUP(A86,'SSP_March''19'!$A$3:$Q$1193,16,0)</f>
        <v>10</v>
      </c>
      <c r="Q86" s="34">
        <f>VLOOKUP(A86,'SSP_March''19'!$A$3:$Q$1193,17,0)</f>
        <v>1</v>
      </c>
      <c r="R86" s="35">
        <f t="shared" si="6"/>
        <v>0.1</v>
      </c>
      <c r="S86" s="49">
        <f>ROUND(VLOOKUP(A86,'SSP_March''19'!$A$3:$T$1193,19,0),0)</f>
        <v>3</v>
      </c>
      <c r="T86" s="44">
        <f>VLOOKUP(A86,'SSP_March''19'!$A$3:$T$1193,20,0)</f>
        <v>0.3</v>
      </c>
      <c r="U86" s="34">
        <f>VLOOKUP(A86,'SSP_March''19'!$A$3:$X$1193,21,0)</f>
        <v>1</v>
      </c>
      <c r="V86" s="34">
        <f>VLOOKUP(A86,'SSP_March''19'!$A$3:$X$1193,22,0)</f>
        <v>0</v>
      </c>
      <c r="W86" s="34">
        <f>VLOOKUP(A86,'SSP_March''19'!$A$3:$X$1193,23,0)</f>
        <v>0</v>
      </c>
      <c r="X86" s="34">
        <f>VLOOKUP(A86,'SSP_March''19'!$A$3:$X$1193,24,0)</f>
        <v>0</v>
      </c>
    </row>
    <row r="87" spans="1:24">
      <c r="A87" s="34" t="s">
        <v>938</v>
      </c>
      <c r="B87" s="34" t="s">
        <v>939</v>
      </c>
      <c r="C87" s="34" t="s">
        <v>215</v>
      </c>
      <c r="D87" s="34" t="s">
        <v>216</v>
      </c>
      <c r="E87" s="34" t="s">
        <v>1</v>
      </c>
      <c r="F87" s="34" t="s">
        <v>940</v>
      </c>
      <c r="G87" s="54">
        <v>1714506128</v>
      </c>
      <c r="H87" s="54" t="s">
        <v>229</v>
      </c>
      <c r="I87" s="54" t="s">
        <v>3514</v>
      </c>
      <c r="J87" s="34" t="s">
        <v>3419</v>
      </c>
      <c r="K87" s="43">
        <f>VLOOKUP(A87,'SSP_March''19'!$A$3:$L$1193,11,0)</f>
        <v>156337</v>
      </c>
      <c r="L87" s="43">
        <f>VLOOKUP(A87,'SSP_March''19'!$A$3:$L$1193,12,0)</f>
        <v>46118</v>
      </c>
      <c r="M87" s="44">
        <f t="shared" si="4"/>
        <v>0.29499094903957479</v>
      </c>
      <c r="N87" s="49">
        <f>ROUND(VLOOKUP(A87,'SSP_March''19'!$A$3:$N$1193,14,0),0)</f>
        <v>142966</v>
      </c>
      <c r="O87" s="44">
        <f t="shared" si="5"/>
        <v>0.91447322131037434</v>
      </c>
      <c r="P87" s="45">
        <f>VLOOKUP(A87,'SSP_March''19'!$A$3:$Q$1193,16,0)</f>
        <v>10</v>
      </c>
      <c r="Q87" s="34">
        <f>VLOOKUP(A87,'SSP_March''19'!$A$3:$Q$1193,17,0)</f>
        <v>0</v>
      </c>
      <c r="R87" s="35">
        <f t="shared" si="6"/>
        <v>0</v>
      </c>
      <c r="S87" s="49">
        <f>ROUND(VLOOKUP(A87,'SSP_March''19'!$A$3:$T$1193,19,0),0)</f>
        <v>0</v>
      </c>
      <c r="T87" s="44">
        <f>VLOOKUP(A87,'SSP_March''19'!$A$3:$T$1193,20,0)</f>
        <v>0</v>
      </c>
      <c r="U87" s="34">
        <f>VLOOKUP(A87,'SSP_March''19'!$A$3:$X$1193,21,0)</f>
        <v>0</v>
      </c>
      <c r="V87" s="34">
        <f>VLOOKUP(A87,'SSP_March''19'!$A$3:$X$1193,22,0)</f>
        <v>0</v>
      </c>
      <c r="W87" s="34">
        <f>VLOOKUP(A87,'SSP_March''19'!$A$3:$X$1193,23,0)</f>
        <v>0</v>
      </c>
      <c r="X87" s="34">
        <f>VLOOKUP(A87,'SSP_March''19'!$A$3:$X$1193,24,0)</f>
        <v>0</v>
      </c>
    </row>
    <row r="88" spans="1:24">
      <c r="A88" s="34" t="s">
        <v>947</v>
      </c>
      <c r="B88" s="34" t="s">
        <v>948</v>
      </c>
      <c r="C88" s="34" t="s">
        <v>215</v>
      </c>
      <c r="D88" s="34" t="s">
        <v>216</v>
      </c>
      <c r="E88" s="34" t="s">
        <v>1</v>
      </c>
      <c r="F88" s="34" t="s">
        <v>949</v>
      </c>
      <c r="G88" s="54">
        <v>1756576512</v>
      </c>
      <c r="H88" s="54" t="s">
        <v>229</v>
      </c>
      <c r="I88" s="54" t="s">
        <v>3514</v>
      </c>
      <c r="J88" s="34" t="s">
        <v>3419</v>
      </c>
      <c r="K88" s="43">
        <f>VLOOKUP(A88,'SSP_March''19'!$A$3:$L$1193,11,0)</f>
        <v>130000</v>
      </c>
      <c r="L88" s="43">
        <f>VLOOKUP(A88,'SSP_March''19'!$A$3:$L$1193,12,0)</f>
        <v>28160</v>
      </c>
      <c r="M88" s="44">
        <f t="shared" si="4"/>
        <v>0.21661538461538463</v>
      </c>
      <c r="N88" s="49">
        <f>ROUND(VLOOKUP(A88,'SSP_March''19'!$A$3:$N$1193,14,0),0)</f>
        <v>87296</v>
      </c>
      <c r="O88" s="44">
        <f t="shared" si="5"/>
        <v>0.67150769230769236</v>
      </c>
      <c r="P88" s="45">
        <f>VLOOKUP(A88,'SSP_March''19'!$A$3:$Q$1193,16,0)</f>
        <v>10</v>
      </c>
      <c r="Q88" s="34">
        <f>VLOOKUP(A88,'SSP_March''19'!$A$3:$Q$1193,17,0)</f>
        <v>2</v>
      </c>
      <c r="R88" s="35">
        <f t="shared" si="6"/>
        <v>0.2</v>
      </c>
      <c r="S88" s="49">
        <f>ROUND(VLOOKUP(A88,'SSP_March''19'!$A$3:$T$1193,19,0),0)</f>
        <v>6</v>
      </c>
      <c r="T88" s="44">
        <f>VLOOKUP(A88,'SSP_March''19'!$A$3:$T$1193,20,0)</f>
        <v>0.6</v>
      </c>
      <c r="U88" s="34">
        <f>VLOOKUP(A88,'SSP_March''19'!$A$3:$X$1193,21,0)</f>
        <v>0</v>
      </c>
      <c r="V88" s="34">
        <f>VLOOKUP(A88,'SSP_March''19'!$A$3:$X$1193,22,0)</f>
        <v>0</v>
      </c>
      <c r="W88" s="34">
        <f>VLOOKUP(A88,'SSP_March''19'!$A$3:$X$1193,23,0)</f>
        <v>0</v>
      </c>
      <c r="X88" s="34">
        <f>VLOOKUP(A88,'SSP_March''19'!$A$3:$X$1193,24,0)</f>
        <v>0</v>
      </c>
    </row>
    <row r="89" spans="1:24">
      <c r="A89" s="34" t="s">
        <v>1069</v>
      </c>
      <c r="B89" s="34" t="s">
        <v>1070</v>
      </c>
      <c r="C89" s="34" t="s">
        <v>215</v>
      </c>
      <c r="D89" s="34" t="s">
        <v>216</v>
      </c>
      <c r="E89" s="34" t="s">
        <v>1</v>
      </c>
      <c r="F89" s="34" t="s">
        <v>1071</v>
      </c>
      <c r="G89" s="54">
        <v>1712472514</v>
      </c>
      <c r="H89" s="54" t="s">
        <v>229</v>
      </c>
      <c r="I89" s="54" t="s">
        <v>3514</v>
      </c>
      <c r="J89" s="34" t="s">
        <v>3419</v>
      </c>
      <c r="K89" s="43">
        <f>VLOOKUP(A89,'SSP_March''19'!$A$3:$L$1193,11,0)</f>
        <v>130000</v>
      </c>
      <c r="L89" s="43">
        <f>VLOOKUP(A89,'SSP_March''19'!$A$3:$L$1193,12,0)</f>
        <v>75600</v>
      </c>
      <c r="M89" s="44">
        <f t="shared" si="4"/>
        <v>0.58153846153846156</v>
      </c>
      <c r="N89" s="49">
        <f>ROUND(VLOOKUP(A89,'SSP_March''19'!$A$3:$N$1193,14,0),0)</f>
        <v>234360</v>
      </c>
      <c r="O89" s="44">
        <f t="shared" si="5"/>
        <v>1.8027692307692307</v>
      </c>
      <c r="P89" s="45">
        <f>VLOOKUP(A89,'SSP_March''19'!$A$3:$Q$1193,16,0)</f>
        <v>10</v>
      </c>
      <c r="Q89" s="34">
        <f>VLOOKUP(A89,'SSP_March''19'!$A$3:$Q$1193,17,0)</f>
        <v>1</v>
      </c>
      <c r="R89" s="35">
        <f t="shared" si="6"/>
        <v>0.1</v>
      </c>
      <c r="S89" s="49">
        <f>ROUND(VLOOKUP(A89,'SSP_March''19'!$A$3:$T$1193,19,0),0)</f>
        <v>3</v>
      </c>
      <c r="T89" s="44">
        <f>VLOOKUP(A89,'SSP_March''19'!$A$3:$T$1193,20,0)</f>
        <v>0.3</v>
      </c>
      <c r="U89" s="34">
        <f>VLOOKUP(A89,'SSP_March''19'!$A$3:$X$1193,21,0)</f>
        <v>1</v>
      </c>
      <c r="V89" s="34">
        <f>VLOOKUP(A89,'SSP_March''19'!$A$3:$X$1193,22,0)</f>
        <v>0</v>
      </c>
      <c r="W89" s="34">
        <f>VLOOKUP(A89,'SSP_March''19'!$A$3:$X$1193,23,0)</f>
        <v>0</v>
      </c>
      <c r="X89" s="34">
        <f>VLOOKUP(A89,'SSP_March''19'!$A$3:$X$1193,24,0)</f>
        <v>0</v>
      </c>
    </row>
    <row r="90" spans="1:24">
      <c r="A90" s="34" t="s">
        <v>944</v>
      </c>
      <c r="B90" s="34" t="s">
        <v>945</v>
      </c>
      <c r="C90" s="34" t="s">
        <v>215</v>
      </c>
      <c r="D90" s="34" t="s">
        <v>216</v>
      </c>
      <c r="E90" s="34" t="s">
        <v>1</v>
      </c>
      <c r="F90" s="34" t="s">
        <v>946</v>
      </c>
      <c r="G90" s="54">
        <v>1712377568</v>
      </c>
      <c r="H90" s="54" t="s">
        <v>229</v>
      </c>
      <c r="I90" s="54" t="s">
        <v>3514</v>
      </c>
      <c r="J90" s="34" t="s">
        <v>3419</v>
      </c>
      <c r="K90" s="43">
        <f>VLOOKUP(A90,'SSP_March''19'!$A$3:$L$1193,11,0)</f>
        <v>215699</v>
      </c>
      <c r="L90" s="43">
        <f>VLOOKUP(A90,'SSP_March''19'!$A$3:$L$1193,12,0)</f>
        <v>93228</v>
      </c>
      <c r="M90" s="44">
        <f t="shared" si="4"/>
        <v>0.43221340849980761</v>
      </c>
      <c r="N90" s="49">
        <f>ROUND(VLOOKUP(A90,'SSP_March''19'!$A$3:$N$1193,14,0),0)</f>
        <v>289007</v>
      </c>
      <c r="O90" s="44">
        <f t="shared" si="5"/>
        <v>1.339862493567425</v>
      </c>
      <c r="P90" s="45">
        <f>VLOOKUP(A90,'SSP_March''19'!$A$3:$Q$1193,16,0)</f>
        <v>10</v>
      </c>
      <c r="Q90" s="34">
        <f>VLOOKUP(A90,'SSP_March''19'!$A$3:$Q$1193,17,0)</f>
        <v>0</v>
      </c>
      <c r="R90" s="35">
        <f t="shared" si="6"/>
        <v>0</v>
      </c>
      <c r="S90" s="49">
        <f>ROUND(VLOOKUP(A90,'SSP_March''19'!$A$3:$T$1193,19,0),0)</f>
        <v>0</v>
      </c>
      <c r="T90" s="44">
        <f>VLOOKUP(A90,'SSP_March''19'!$A$3:$T$1193,20,0)</f>
        <v>0</v>
      </c>
      <c r="U90" s="34">
        <f>VLOOKUP(A90,'SSP_March''19'!$A$3:$X$1193,21,0)</f>
        <v>0</v>
      </c>
      <c r="V90" s="34">
        <f>VLOOKUP(A90,'SSP_March''19'!$A$3:$X$1193,22,0)</f>
        <v>0</v>
      </c>
      <c r="W90" s="34">
        <f>VLOOKUP(A90,'SSP_March''19'!$A$3:$X$1193,23,0)</f>
        <v>0</v>
      </c>
      <c r="X90" s="34">
        <f>VLOOKUP(A90,'SSP_March''19'!$A$3:$X$1193,24,0)</f>
        <v>0</v>
      </c>
    </row>
    <row r="91" spans="1:24">
      <c r="A91" s="34" t="s">
        <v>1052</v>
      </c>
      <c r="B91" s="34" t="s">
        <v>1053</v>
      </c>
      <c r="C91" s="34" t="s">
        <v>215</v>
      </c>
      <c r="D91" s="34" t="s">
        <v>216</v>
      </c>
      <c r="E91" s="34" t="s">
        <v>1</v>
      </c>
      <c r="F91" s="34" t="s">
        <v>1054</v>
      </c>
      <c r="G91" s="54">
        <v>1716270041</v>
      </c>
      <c r="H91" s="54" t="s">
        <v>229</v>
      </c>
      <c r="I91" s="54" t="s">
        <v>3514</v>
      </c>
      <c r="J91" s="34" t="s">
        <v>3419</v>
      </c>
      <c r="K91" s="43">
        <f>VLOOKUP(A91,'SSP_March''19'!$A$3:$L$1193,11,0)</f>
        <v>130000</v>
      </c>
      <c r="L91" s="43">
        <f>VLOOKUP(A91,'SSP_March''19'!$A$3:$L$1193,12,0)</f>
        <v>47050</v>
      </c>
      <c r="M91" s="44">
        <f t="shared" si="4"/>
        <v>0.3619230769230769</v>
      </c>
      <c r="N91" s="49">
        <f>ROUND(VLOOKUP(A91,'SSP_March''19'!$A$3:$N$1193,14,0),0)</f>
        <v>145855</v>
      </c>
      <c r="O91" s="44">
        <f t="shared" si="5"/>
        <v>1.1219615384615385</v>
      </c>
      <c r="P91" s="45">
        <f>VLOOKUP(A91,'SSP_March''19'!$A$3:$Q$1193,16,0)</f>
        <v>10</v>
      </c>
      <c r="Q91" s="34">
        <f>VLOOKUP(A91,'SSP_March''19'!$A$3:$Q$1193,17,0)</f>
        <v>0</v>
      </c>
      <c r="R91" s="35">
        <f t="shared" si="6"/>
        <v>0</v>
      </c>
      <c r="S91" s="49">
        <f>ROUND(VLOOKUP(A91,'SSP_March''19'!$A$3:$T$1193,19,0),0)</f>
        <v>0</v>
      </c>
      <c r="T91" s="44">
        <f>VLOOKUP(A91,'SSP_March''19'!$A$3:$T$1193,20,0)</f>
        <v>0</v>
      </c>
      <c r="U91" s="34">
        <f>VLOOKUP(A91,'SSP_March''19'!$A$3:$X$1193,21,0)</f>
        <v>0</v>
      </c>
      <c r="V91" s="34">
        <f>VLOOKUP(A91,'SSP_March''19'!$A$3:$X$1193,22,0)</f>
        <v>0</v>
      </c>
      <c r="W91" s="34">
        <f>VLOOKUP(A91,'SSP_March''19'!$A$3:$X$1193,23,0)</f>
        <v>0</v>
      </c>
      <c r="X91" s="34">
        <f>VLOOKUP(A91,'SSP_March''19'!$A$3:$X$1193,24,0)</f>
        <v>0</v>
      </c>
    </row>
    <row r="92" spans="1:24">
      <c r="A92" s="34" t="s">
        <v>1033</v>
      </c>
      <c r="B92" s="34" t="s">
        <v>1034</v>
      </c>
      <c r="C92" s="34" t="s">
        <v>215</v>
      </c>
      <c r="D92" s="34" t="s">
        <v>216</v>
      </c>
      <c r="E92" s="34" t="s">
        <v>1</v>
      </c>
      <c r="F92" s="34" t="s">
        <v>1035</v>
      </c>
      <c r="G92" s="54">
        <v>1717794087</v>
      </c>
      <c r="H92" s="54" t="s">
        <v>229</v>
      </c>
      <c r="I92" s="54" t="s">
        <v>3514</v>
      </c>
      <c r="J92" s="34" t="s">
        <v>3419</v>
      </c>
      <c r="K92" s="43">
        <f>VLOOKUP(A92,'SSP_March''19'!$A$3:$L$1193,11,0)</f>
        <v>130000</v>
      </c>
      <c r="L92" s="43">
        <f>VLOOKUP(A92,'SSP_March''19'!$A$3:$L$1193,12,0)</f>
        <v>41420</v>
      </c>
      <c r="M92" s="44">
        <f t="shared" si="4"/>
        <v>0.31861538461538463</v>
      </c>
      <c r="N92" s="49">
        <f>ROUND(VLOOKUP(A92,'SSP_March''19'!$A$3:$N$1193,14,0),0)</f>
        <v>128402</v>
      </c>
      <c r="O92" s="44">
        <f t="shared" si="5"/>
        <v>0.98770769230769229</v>
      </c>
      <c r="P92" s="45">
        <f>VLOOKUP(A92,'SSP_March''19'!$A$3:$Q$1193,16,0)</f>
        <v>10</v>
      </c>
      <c r="Q92" s="34">
        <f>VLOOKUP(A92,'SSP_March''19'!$A$3:$Q$1193,17,0)</f>
        <v>1</v>
      </c>
      <c r="R92" s="35">
        <f t="shared" si="6"/>
        <v>0.1</v>
      </c>
      <c r="S92" s="49">
        <f>ROUND(VLOOKUP(A92,'SSP_March''19'!$A$3:$T$1193,19,0),0)</f>
        <v>3</v>
      </c>
      <c r="T92" s="44">
        <f>VLOOKUP(A92,'SSP_March''19'!$A$3:$T$1193,20,0)</f>
        <v>0.3</v>
      </c>
      <c r="U92" s="34">
        <f>VLOOKUP(A92,'SSP_March''19'!$A$3:$X$1193,21,0)</f>
        <v>2</v>
      </c>
      <c r="V92" s="34">
        <f>VLOOKUP(A92,'SSP_March''19'!$A$3:$X$1193,22,0)</f>
        <v>0</v>
      </c>
      <c r="W92" s="34">
        <f>VLOOKUP(A92,'SSP_March''19'!$A$3:$X$1193,23,0)</f>
        <v>0</v>
      </c>
      <c r="X92" s="34">
        <f>VLOOKUP(A92,'SSP_March''19'!$A$3:$X$1193,24,0)</f>
        <v>0</v>
      </c>
    </row>
    <row r="93" spans="1:24">
      <c r="A93" s="34" t="s">
        <v>929</v>
      </c>
      <c r="B93" s="34" t="s">
        <v>930</v>
      </c>
      <c r="C93" s="34" t="s">
        <v>931</v>
      </c>
      <c r="D93" s="34" t="s">
        <v>216</v>
      </c>
      <c r="E93" s="34" t="s">
        <v>1</v>
      </c>
      <c r="F93" s="34" t="s">
        <v>932</v>
      </c>
      <c r="G93" s="54">
        <v>1746067109</v>
      </c>
      <c r="H93" s="54" t="s">
        <v>229</v>
      </c>
      <c r="I93" s="54" t="s">
        <v>3514</v>
      </c>
      <c r="J93" s="34" t="s">
        <v>3419</v>
      </c>
      <c r="K93" s="43">
        <f>VLOOKUP(A93,'SSP_March''19'!$A$3:$L$1193,11,0)</f>
        <v>130000</v>
      </c>
      <c r="L93" s="43">
        <f>VLOOKUP(A93,'SSP_March''19'!$A$3:$L$1193,12,0)</f>
        <v>27850</v>
      </c>
      <c r="M93" s="44">
        <f t="shared" si="4"/>
        <v>0.21423076923076922</v>
      </c>
      <c r="N93" s="49">
        <f>ROUND(VLOOKUP(A93,'SSP_March''19'!$A$3:$N$1193,14,0),0)</f>
        <v>86335</v>
      </c>
      <c r="O93" s="44">
        <f t="shared" si="5"/>
        <v>0.66411538461538466</v>
      </c>
      <c r="P93" s="45">
        <f>VLOOKUP(A93,'SSP_March''19'!$A$3:$Q$1193,16,0)</f>
        <v>10</v>
      </c>
      <c r="Q93" s="34">
        <f>VLOOKUP(A93,'SSP_March''19'!$A$3:$Q$1193,17,0)</f>
        <v>1</v>
      </c>
      <c r="R93" s="35">
        <f t="shared" si="6"/>
        <v>0.1</v>
      </c>
      <c r="S93" s="49">
        <f>ROUND(VLOOKUP(A93,'SSP_March''19'!$A$3:$T$1193,19,0),0)</f>
        <v>3</v>
      </c>
      <c r="T93" s="44">
        <f>VLOOKUP(A93,'SSP_March''19'!$A$3:$T$1193,20,0)</f>
        <v>0.3</v>
      </c>
      <c r="U93" s="34">
        <f>VLOOKUP(A93,'SSP_March''19'!$A$3:$X$1193,21,0)</f>
        <v>0</v>
      </c>
      <c r="V93" s="34">
        <f>VLOOKUP(A93,'SSP_March''19'!$A$3:$X$1193,22,0)</f>
        <v>1</v>
      </c>
      <c r="W93" s="34">
        <f>VLOOKUP(A93,'SSP_March''19'!$A$3:$X$1193,23,0)</f>
        <v>0</v>
      </c>
      <c r="X93" s="34">
        <f>VLOOKUP(A93,'SSP_March''19'!$A$3:$X$1193,24,0)</f>
        <v>0</v>
      </c>
    </row>
    <row r="94" spans="1:24">
      <c r="A94" s="34" t="s">
        <v>3343</v>
      </c>
      <c r="B94" s="34" t="s">
        <v>3344</v>
      </c>
      <c r="C94" s="34" t="s">
        <v>931</v>
      </c>
      <c r="D94" s="34" t="s">
        <v>216</v>
      </c>
      <c r="E94" s="34" t="s">
        <v>1</v>
      </c>
      <c r="F94" s="34" t="s">
        <v>3345</v>
      </c>
      <c r="G94" s="54">
        <v>1711912173</v>
      </c>
      <c r="H94" s="54" t="s">
        <v>229</v>
      </c>
      <c r="I94" s="54" t="s">
        <v>3514</v>
      </c>
      <c r="J94" s="34" t="s">
        <v>3515</v>
      </c>
      <c r="K94" s="43">
        <f>VLOOKUP(A94,'SSP_March''19'!$A$3:$L$1193,11,0)</f>
        <v>130000</v>
      </c>
      <c r="L94" s="43">
        <f>VLOOKUP(A94,'SSP_March''19'!$A$3:$L$1193,12,0)</f>
        <v>68190</v>
      </c>
      <c r="M94" s="44">
        <f t="shared" si="4"/>
        <v>0.52453846153846151</v>
      </c>
      <c r="N94" s="49">
        <f>ROUND(VLOOKUP(A94,'SSP_March''19'!$A$3:$N$1193,14,0),0)</f>
        <v>211389</v>
      </c>
      <c r="O94" s="44">
        <f t="shared" si="5"/>
        <v>1.6260692307692308</v>
      </c>
      <c r="P94" s="45">
        <f>VLOOKUP(A94,'SSP_March''19'!$A$3:$Q$1193,16,0)</f>
        <v>10</v>
      </c>
      <c r="Q94" s="34">
        <f>VLOOKUP(A94,'SSP_March''19'!$A$3:$Q$1193,17,0)</f>
        <v>0</v>
      </c>
      <c r="R94" s="35">
        <f t="shared" si="6"/>
        <v>0</v>
      </c>
      <c r="S94" s="49">
        <f>ROUND(VLOOKUP(A94,'SSP_March''19'!$A$3:$T$1193,19,0),0)</f>
        <v>0</v>
      </c>
      <c r="T94" s="44">
        <f>VLOOKUP(A94,'SSP_March''19'!$A$3:$T$1193,20,0)</f>
        <v>0</v>
      </c>
      <c r="U94" s="34">
        <f>VLOOKUP(A94,'SSP_March''19'!$A$3:$X$1193,21,0)</f>
        <v>1</v>
      </c>
      <c r="V94" s="34">
        <f>VLOOKUP(A94,'SSP_March''19'!$A$3:$X$1193,22,0)</f>
        <v>0</v>
      </c>
      <c r="W94" s="34">
        <f>VLOOKUP(A94,'SSP_March''19'!$A$3:$X$1193,23,0)</f>
        <v>0</v>
      </c>
      <c r="X94" s="34">
        <f>VLOOKUP(A94,'SSP_March''19'!$A$3:$X$1193,24,0)</f>
        <v>0</v>
      </c>
    </row>
    <row r="95" spans="1:24">
      <c r="A95" s="34" t="s">
        <v>956</v>
      </c>
      <c r="B95" s="34" t="s">
        <v>957</v>
      </c>
      <c r="C95" s="34" t="s">
        <v>931</v>
      </c>
      <c r="D95" s="34" t="s">
        <v>216</v>
      </c>
      <c r="E95" s="34" t="s">
        <v>1</v>
      </c>
      <c r="F95" s="34" t="s">
        <v>958</v>
      </c>
      <c r="G95" s="54">
        <v>1712769460</v>
      </c>
      <c r="H95" s="54" t="s">
        <v>229</v>
      </c>
      <c r="I95" s="54" t="s">
        <v>3514</v>
      </c>
      <c r="J95" s="34" t="s">
        <v>3419</v>
      </c>
      <c r="K95" s="43">
        <f>VLOOKUP(A95,'SSP_March''19'!$A$3:$L$1193,11,0)</f>
        <v>212773</v>
      </c>
      <c r="L95" s="43">
        <f>VLOOKUP(A95,'SSP_March''19'!$A$3:$L$1193,12,0)</f>
        <v>68995</v>
      </c>
      <c r="M95" s="44">
        <f t="shared" si="4"/>
        <v>0.3242657668031188</v>
      </c>
      <c r="N95" s="49">
        <f>ROUND(VLOOKUP(A95,'SSP_March''19'!$A$3:$N$1193,14,0),0)</f>
        <v>213885</v>
      </c>
      <c r="O95" s="44">
        <f t="shared" si="5"/>
        <v>1.0052262270118859</v>
      </c>
      <c r="P95" s="45">
        <f>VLOOKUP(A95,'SSP_March''19'!$A$3:$Q$1193,16,0)</f>
        <v>10</v>
      </c>
      <c r="Q95" s="34">
        <f>VLOOKUP(A95,'SSP_March''19'!$A$3:$Q$1193,17,0)</f>
        <v>2</v>
      </c>
      <c r="R95" s="35">
        <f t="shared" si="6"/>
        <v>0.2</v>
      </c>
      <c r="S95" s="49">
        <f>ROUND(VLOOKUP(A95,'SSP_March''19'!$A$3:$T$1193,19,0),0)</f>
        <v>6</v>
      </c>
      <c r="T95" s="44">
        <f>VLOOKUP(A95,'SSP_March''19'!$A$3:$T$1193,20,0)</f>
        <v>0.6</v>
      </c>
      <c r="U95" s="34">
        <f>VLOOKUP(A95,'SSP_March''19'!$A$3:$X$1193,21,0)</f>
        <v>1</v>
      </c>
      <c r="V95" s="34">
        <f>VLOOKUP(A95,'SSP_March''19'!$A$3:$X$1193,22,0)</f>
        <v>0</v>
      </c>
      <c r="W95" s="34">
        <f>VLOOKUP(A95,'SSP_March''19'!$A$3:$X$1193,23,0)</f>
        <v>0</v>
      </c>
      <c r="X95" s="34">
        <f>VLOOKUP(A95,'SSP_March''19'!$A$3:$X$1193,24,0)</f>
        <v>0</v>
      </c>
    </row>
    <row r="96" spans="1:24">
      <c r="A96" s="34" t="s">
        <v>1036</v>
      </c>
      <c r="B96" s="34" t="s">
        <v>1037</v>
      </c>
      <c r="C96" s="34" t="s">
        <v>192</v>
      </c>
      <c r="D96" s="34" t="s">
        <v>1</v>
      </c>
      <c r="E96" s="34" t="s">
        <v>1</v>
      </c>
      <c r="F96" s="34" t="s">
        <v>3346</v>
      </c>
      <c r="G96" s="54">
        <v>1713814860</v>
      </c>
      <c r="H96" s="54" t="s">
        <v>229</v>
      </c>
      <c r="I96" s="54" t="s">
        <v>3514</v>
      </c>
      <c r="J96" s="34" t="s">
        <v>3419</v>
      </c>
      <c r="K96" s="43">
        <f>VLOOKUP(A96,'SSP_March''19'!$A$3:$L$1193,11,0)</f>
        <v>287032</v>
      </c>
      <c r="L96" s="43">
        <f>VLOOKUP(A96,'SSP_March''19'!$A$3:$L$1193,12,0)</f>
        <v>76160</v>
      </c>
      <c r="M96" s="44">
        <f t="shared" si="4"/>
        <v>0.26533626912678726</v>
      </c>
      <c r="N96" s="49">
        <f>ROUND(VLOOKUP(A96,'SSP_March''19'!$A$3:$N$1193,14,0),0)</f>
        <v>236096</v>
      </c>
      <c r="O96" s="44">
        <f t="shared" si="5"/>
        <v>0.82254243429304053</v>
      </c>
      <c r="P96" s="45">
        <f>VLOOKUP(A96,'SSP_March''19'!$A$3:$Q$1193,16,0)</f>
        <v>10</v>
      </c>
      <c r="Q96" s="34">
        <f>VLOOKUP(A96,'SSP_March''19'!$A$3:$Q$1193,17,0)</f>
        <v>3</v>
      </c>
      <c r="R96" s="35">
        <f t="shared" si="6"/>
        <v>0.3</v>
      </c>
      <c r="S96" s="49">
        <f>ROUND(VLOOKUP(A96,'SSP_March''19'!$A$3:$T$1193,19,0),0)</f>
        <v>9</v>
      </c>
      <c r="T96" s="44">
        <f>VLOOKUP(A96,'SSP_March''19'!$A$3:$T$1193,20,0)</f>
        <v>0.9</v>
      </c>
      <c r="U96" s="34">
        <f>VLOOKUP(A96,'SSP_March''19'!$A$3:$X$1193,21,0)</f>
        <v>2</v>
      </c>
      <c r="V96" s="34">
        <f>VLOOKUP(A96,'SSP_March''19'!$A$3:$X$1193,22,0)</f>
        <v>3</v>
      </c>
      <c r="W96" s="34">
        <f>VLOOKUP(A96,'SSP_March''19'!$A$3:$X$1193,23,0)</f>
        <v>0</v>
      </c>
      <c r="X96" s="34">
        <f>VLOOKUP(A96,'SSP_March''19'!$A$3:$X$1193,24,0)</f>
        <v>0</v>
      </c>
    </row>
    <row r="97" spans="1:24">
      <c r="A97" s="72" t="s">
        <v>926</v>
      </c>
      <c r="B97" s="72" t="s">
        <v>927</v>
      </c>
      <c r="C97" s="72" t="s">
        <v>192</v>
      </c>
      <c r="D97" s="72" t="s">
        <v>1</v>
      </c>
      <c r="E97" s="72" t="s">
        <v>1</v>
      </c>
      <c r="F97" s="72" t="s">
        <v>928</v>
      </c>
      <c r="G97" s="67">
        <v>1724403448</v>
      </c>
      <c r="H97" s="54" t="s">
        <v>229</v>
      </c>
      <c r="I97" s="54" t="s">
        <v>3514</v>
      </c>
      <c r="J97" s="34" t="s">
        <v>3419</v>
      </c>
      <c r="K97" s="43">
        <f>VLOOKUP(A97,'SSP_March''19'!$A$3:$L$1193,11,0)</f>
        <v>130000</v>
      </c>
      <c r="L97" s="43">
        <f>VLOOKUP(A97,'SSP_March''19'!$A$3:$L$1193,12,0)</f>
        <v>23900</v>
      </c>
      <c r="M97" s="44">
        <f t="shared" si="4"/>
        <v>0.18384615384615385</v>
      </c>
      <c r="N97" s="49">
        <f>ROUND(VLOOKUP(A97,'SSP_March''19'!$A$3:$N$1193,14,0),0)</f>
        <v>74090</v>
      </c>
      <c r="O97" s="44">
        <f t="shared" si="5"/>
        <v>0.56992307692307698</v>
      </c>
      <c r="P97" s="45">
        <f>VLOOKUP(A97,'SSP_March''19'!$A$3:$Q$1193,16,0)</f>
        <v>10</v>
      </c>
      <c r="Q97" s="34">
        <f>VLOOKUP(A97,'SSP_March''19'!$A$3:$Q$1193,17,0)</f>
        <v>1</v>
      </c>
      <c r="R97" s="35">
        <f t="shared" si="6"/>
        <v>0.1</v>
      </c>
      <c r="S97" s="49">
        <f>ROUND(VLOOKUP(A97,'SSP_March''19'!$A$3:$T$1193,19,0),0)</f>
        <v>3</v>
      </c>
      <c r="T97" s="44">
        <f>VLOOKUP(A97,'SSP_March''19'!$A$3:$T$1193,20,0)</f>
        <v>0.3</v>
      </c>
      <c r="U97" s="34">
        <f>VLOOKUP(A97,'SSP_March''19'!$A$3:$X$1193,21,0)</f>
        <v>1</v>
      </c>
      <c r="V97" s="34">
        <f>VLOOKUP(A97,'SSP_March''19'!$A$3:$X$1193,22,0)</f>
        <v>1</v>
      </c>
      <c r="W97" s="34">
        <f>VLOOKUP(A97,'SSP_March''19'!$A$3:$X$1193,23,0)</f>
        <v>0</v>
      </c>
      <c r="X97" s="34">
        <f>VLOOKUP(A97,'SSP_March''19'!$A$3:$X$1193,24,0)</f>
        <v>0</v>
      </c>
    </row>
    <row r="98" spans="1:24">
      <c r="A98" s="75" t="s">
        <v>3661</v>
      </c>
      <c r="B98" s="75" t="s">
        <v>3662</v>
      </c>
      <c r="C98" s="75" t="s">
        <v>192</v>
      </c>
      <c r="D98" s="75" t="s">
        <v>1</v>
      </c>
      <c r="E98" s="75" t="s">
        <v>1</v>
      </c>
      <c r="F98" s="75" t="s">
        <v>3663</v>
      </c>
      <c r="G98" s="67">
        <v>1745959109</v>
      </c>
      <c r="H98" s="54" t="s">
        <v>229</v>
      </c>
      <c r="I98" s="54" t="s">
        <v>3514</v>
      </c>
      <c r="J98" s="34" t="s">
        <v>3421</v>
      </c>
      <c r="K98" s="43">
        <f>VLOOKUP(A98,'SSP_March''19'!$A$3:$L$1193,11,0)</f>
        <v>130000</v>
      </c>
      <c r="L98" s="43">
        <f>VLOOKUP(A98,'SSP_March''19'!$A$3:$L$1193,12,0)</f>
        <v>47150</v>
      </c>
      <c r="M98" s="44">
        <f t="shared" si="4"/>
        <v>0.3626923076923077</v>
      </c>
      <c r="N98" s="49">
        <f>ROUND(VLOOKUP(A98,'SSP_March''19'!$A$3:$N$1193,14,0),0)</f>
        <v>146165</v>
      </c>
      <c r="O98" s="44">
        <f t="shared" si="5"/>
        <v>1.1243461538461539</v>
      </c>
      <c r="P98" s="45">
        <f>VLOOKUP(A98,'SSP_March''19'!$A$3:$Q$1193,16,0)</f>
        <v>10</v>
      </c>
      <c r="Q98" s="34">
        <f>VLOOKUP(A98,'SSP_March''19'!$A$3:$Q$1193,17,0)</f>
        <v>1</v>
      </c>
      <c r="R98" s="35">
        <f t="shared" si="6"/>
        <v>0.1</v>
      </c>
      <c r="S98" s="49">
        <f>ROUND(VLOOKUP(A98,'SSP_March''19'!$A$3:$T$1193,19,0),0)</f>
        <v>3</v>
      </c>
      <c r="T98" s="44">
        <f>VLOOKUP(A98,'SSP_March''19'!$A$3:$T$1193,20,0)</f>
        <v>0.3</v>
      </c>
      <c r="U98" s="34">
        <f>VLOOKUP(A98,'SSP_March''19'!$A$3:$X$1193,21,0)</f>
        <v>0</v>
      </c>
      <c r="V98" s="34">
        <f>VLOOKUP(A98,'SSP_March''19'!$A$3:$X$1193,22,0)</f>
        <v>0</v>
      </c>
      <c r="W98" s="34">
        <f>VLOOKUP(A98,'SSP_March''19'!$A$3:$X$1193,23,0)</f>
        <v>0</v>
      </c>
      <c r="X98" s="34">
        <f>VLOOKUP(A98,'SSP_March''19'!$A$3:$X$1193,24,0)</f>
        <v>0</v>
      </c>
    </row>
    <row r="99" spans="1:24">
      <c r="A99" s="34" t="s">
        <v>1041</v>
      </c>
      <c r="B99" s="34" t="s">
        <v>1042</v>
      </c>
      <c r="C99" s="34" t="s">
        <v>192</v>
      </c>
      <c r="D99" s="34" t="s">
        <v>1</v>
      </c>
      <c r="E99" s="34" t="s">
        <v>1</v>
      </c>
      <c r="F99" s="34" t="s">
        <v>1043</v>
      </c>
      <c r="G99" s="54">
        <v>1754659992</v>
      </c>
      <c r="H99" s="54" t="s">
        <v>229</v>
      </c>
      <c r="I99" s="54" t="s">
        <v>3514</v>
      </c>
      <c r="J99" s="34" t="s">
        <v>3420</v>
      </c>
      <c r="K99" s="43">
        <f>VLOOKUP(A99,'SSP_March''19'!$A$3:$L$1193,11,0)</f>
        <v>204529</v>
      </c>
      <c r="L99" s="43">
        <f>VLOOKUP(A99,'SSP_March''19'!$A$3:$L$1193,12,0)</f>
        <v>39580</v>
      </c>
      <c r="M99" s="44">
        <f t="shared" si="4"/>
        <v>0.19351778965330099</v>
      </c>
      <c r="N99" s="49">
        <f>ROUND(VLOOKUP(A99,'SSP_March''19'!$A$3:$N$1193,14,0),0)</f>
        <v>122698</v>
      </c>
      <c r="O99" s="44">
        <f t="shared" si="5"/>
        <v>0.59990514792523308</v>
      </c>
      <c r="P99" s="45">
        <f>VLOOKUP(A99,'SSP_March''19'!$A$3:$Q$1193,16,0)</f>
        <v>13</v>
      </c>
      <c r="Q99" s="34">
        <f>VLOOKUP(A99,'SSP_March''19'!$A$3:$Q$1193,17,0)</f>
        <v>2</v>
      </c>
      <c r="R99" s="35">
        <f t="shared" si="6"/>
        <v>0.15384615384615385</v>
      </c>
      <c r="S99" s="49">
        <f>ROUND(VLOOKUP(A99,'SSP_March''19'!$A$3:$T$1193,19,0),0)</f>
        <v>6</v>
      </c>
      <c r="T99" s="44">
        <f>VLOOKUP(A99,'SSP_March''19'!$A$3:$T$1193,20,0)</f>
        <v>0.46153846153846156</v>
      </c>
      <c r="U99" s="34">
        <f>VLOOKUP(A99,'SSP_March''19'!$A$3:$X$1193,21,0)</f>
        <v>2</v>
      </c>
      <c r="V99" s="34">
        <f>VLOOKUP(A99,'SSP_March''19'!$A$3:$X$1193,22,0)</f>
        <v>0</v>
      </c>
      <c r="W99" s="34">
        <f>VLOOKUP(A99,'SSP_March''19'!$A$3:$X$1193,23,0)</f>
        <v>0</v>
      </c>
      <c r="X99" s="34">
        <f>VLOOKUP(A99,'SSP_March''19'!$A$3:$X$1193,24,0)</f>
        <v>0</v>
      </c>
    </row>
    <row r="100" spans="1:24">
      <c r="A100" s="34" t="s">
        <v>1010</v>
      </c>
      <c r="B100" s="34" t="s">
        <v>1011</v>
      </c>
      <c r="C100" s="34" t="s">
        <v>192</v>
      </c>
      <c r="D100" s="34" t="s">
        <v>1</v>
      </c>
      <c r="E100" s="34" t="s">
        <v>1</v>
      </c>
      <c r="F100" s="34" t="s">
        <v>1012</v>
      </c>
      <c r="G100" s="54">
        <v>1714725445</v>
      </c>
      <c r="H100" s="54" t="s">
        <v>229</v>
      </c>
      <c r="I100" s="54" t="s">
        <v>3514</v>
      </c>
      <c r="J100" s="34" t="s">
        <v>3421</v>
      </c>
      <c r="K100" s="43">
        <f>VLOOKUP(A100,'SSP_March''19'!$A$3:$L$1193,11,0)</f>
        <v>130000</v>
      </c>
      <c r="L100" s="43">
        <f>VLOOKUP(A100,'SSP_March''19'!$A$3:$L$1193,12,0)</f>
        <v>36315</v>
      </c>
      <c r="M100" s="44">
        <f t="shared" si="4"/>
        <v>0.27934615384615386</v>
      </c>
      <c r="N100" s="49">
        <f>ROUND(VLOOKUP(A100,'SSP_March''19'!$A$3:$N$1193,14,0),0)</f>
        <v>112577</v>
      </c>
      <c r="O100" s="44">
        <f t="shared" si="5"/>
        <v>0.86597692307692309</v>
      </c>
      <c r="P100" s="45">
        <f>VLOOKUP(A100,'SSP_March''19'!$A$3:$Q$1193,16,0)</f>
        <v>10</v>
      </c>
      <c r="Q100" s="34">
        <f>VLOOKUP(A100,'SSP_March''19'!$A$3:$Q$1193,17,0)</f>
        <v>2</v>
      </c>
      <c r="R100" s="35">
        <f t="shared" si="6"/>
        <v>0.2</v>
      </c>
      <c r="S100" s="49">
        <f>ROUND(VLOOKUP(A100,'SSP_March''19'!$A$3:$T$1193,19,0),0)</f>
        <v>6</v>
      </c>
      <c r="T100" s="44">
        <f>VLOOKUP(A100,'SSP_March''19'!$A$3:$T$1193,20,0)</f>
        <v>0.6</v>
      </c>
      <c r="U100" s="34">
        <f>VLOOKUP(A100,'SSP_March''19'!$A$3:$X$1193,21,0)</f>
        <v>0</v>
      </c>
      <c r="V100" s="34">
        <f>VLOOKUP(A100,'SSP_March''19'!$A$3:$X$1193,22,0)</f>
        <v>0</v>
      </c>
      <c r="W100" s="34">
        <f>VLOOKUP(A100,'SSP_March''19'!$A$3:$X$1193,23,0)</f>
        <v>0</v>
      </c>
      <c r="X100" s="34">
        <f>VLOOKUP(A100,'SSP_March''19'!$A$3:$X$1193,24,0)</f>
        <v>0</v>
      </c>
    </row>
    <row r="101" spans="1:24">
      <c r="A101" s="34" t="s">
        <v>1047</v>
      </c>
      <c r="B101" s="34" t="s">
        <v>1048</v>
      </c>
      <c r="C101" s="34" t="s">
        <v>192</v>
      </c>
      <c r="D101" s="34" t="s">
        <v>1</v>
      </c>
      <c r="E101" s="34" t="s">
        <v>1</v>
      </c>
      <c r="F101" s="34" t="s">
        <v>1049</v>
      </c>
      <c r="G101" s="54">
        <v>1733332929</v>
      </c>
      <c r="H101" s="54" t="s">
        <v>229</v>
      </c>
      <c r="I101" s="54" t="s">
        <v>3514</v>
      </c>
      <c r="J101" s="34" t="s">
        <v>3421</v>
      </c>
      <c r="K101" s="43">
        <f>VLOOKUP(A101,'SSP_March''19'!$A$3:$L$1193,11,0)</f>
        <v>130000</v>
      </c>
      <c r="L101" s="43">
        <f>VLOOKUP(A101,'SSP_March''19'!$A$3:$L$1193,12,0)</f>
        <v>13980</v>
      </c>
      <c r="M101" s="44">
        <f t="shared" si="4"/>
        <v>0.10753846153846154</v>
      </c>
      <c r="N101" s="49">
        <f>ROUND(VLOOKUP(A101,'SSP_March''19'!$A$3:$N$1193,14,0),0)</f>
        <v>43338</v>
      </c>
      <c r="O101" s="44">
        <f t="shared" si="5"/>
        <v>0.33336923076923075</v>
      </c>
      <c r="P101" s="45">
        <f>VLOOKUP(A101,'SSP_March''19'!$A$3:$Q$1193,16,0)</f>
        <v>10</v>
      </c>
      <c r="Q101" s="34">
        <f>VLOOKUP(A101,'SSP_March''19'!$A$3:$Q$1193,17,0)</f>
        <v>1</v>
      </c>
      <c r="R101" s="35">
        <f t="shared" si="6"/>
        <v>0.1</v>
      </c>
      <c r="S101" s="49">
        <f>ROUND(VLOOKUP(A101,'SSP_March''19'!$A$3:$T$1193,19,0),0)</f>
        <v>3</v>
      </c>
      <c r="T101" s="44">
        <f>VLOOKUP(A101,'SSP_March''19'!$A$3:$T$1193,20,0)</f>
        <v>0.3</v>
      </c>
      <c r="U101" s="34">
        <f>VLOOKUP(A101,'SSP_March''19'!$A$3:$X$1193,21,0)</f>
        <v>0</v>
      </c>
      <c r="V101" s="34">
        <f>VLOOKUP(A101,'SSP_March''19'!$A$3:$X$1193,22,0)</f>
        <v>0</v>
      </c>
      <c r="W101" s="34">
        <f>VLOOKUP(A101,'SSP_March''19'!$A$3:$X$1193,23,0)</f>
        <v>0</v>
      </c>
      <c r="X101" s="34">
        <f>VLOOKUP(A101,'SSP_March''19'!$A$3:$X$1193,24,0)</f>
        <v>0</v>
      </c>
    </row>
    <row r="102" spans="1:24">
      <c r="A102" s="34" t="s">
        <v>1002</v>
      </c>
      <c r="B102" s="34" t="s">
        <v>1003</v>
      </c>
      <c r="C102" s="34" t="s">
        <v>192</v>
      </c>
      <c r="D102" s="34" t="s">
        <v>1</v>
      </c>
      <c r="E102" s="34" t="s">
        <v>1</v>
      </c>
      <c r="F102" s="34" t="s">
        <v>1004</v>
      </c>
      <c r="G102" s="54">
        <v>1913305278</v>
      </c>
      <c r="H102" s="54" t="s">
        <v>229</v>
      </c>
      <c r="I102" s="54" t="s">
        <v>3518</v>
      </c>
      <c r="J102" s="34" t="s">
        <v>3421</v>
      </c>
      <c r="K102" s="43">
        <f>VLOOKUP(A102,'SSP_March''19'!$A$3:$L$1193,11,0)</f>
        <v>301675</v>
      </c>
      <c r="L102" s="43">
        <f>VLOOKUP(A102,'SSP_March''19'!$A$3:$L$1193,12,0)</f>
        <v>119600</v>
      </c>
      <c r="M102" s="44">
        <f t="shared" si="4"/>
        <v>0.39645313665368359</v>
      </c>
      <c r="N102" s="49">
        <f>ROUND(VLOOKUP(A102,'SSP_March''19'!$A$3:$N$1193,14,0),0)</f>
        <v>370760</v>
      </c>
      <c r="O102" s="44">
        <f t="shared" si="5"/>
        <v>1.2290047236264192</v>
      </c>
      <c r="P102" s="45">
        <f>VLOOKUP(A102,'SSP_March''19'!$A$3:$Q$1193,16,0)</f>
        <v>13</v>
      </c>
      <c r="Q102" s="34">
        <f>VLOOKUP(A102,'SSP_March''19'!$A$3:$Q$1193,17,0)</f>
        <v>6</v>
      </c>
      <c r="R102" s="35">
        <f t="shared" si="6"/>
        <v>0.46153846153846156</v>
      </c>
      <c r="S102" s="49">
        <f>ROUND(VLOOKUP(A102,'SSP_March''19'!$A$3:$T$1193,19,0),0)</f>
        <v>19</v>
      </c>
      <c r="T102" s="44">
        <f>VLOOKUP(A102,'SSP_March''19'!$A$3:$T$1193,20,0)</f>
        <v>1.4615384615384615</v>
      </c>
      <c r="U102" s="34">
        <f>VLOOKUP(A102,'SSP_March''19'!$A$3:$X$1193,21,0)</f>
        <v>2</v>
      </c>
      <c r="V102" s="34">
        <f>VLOOKUP(A102,'SSP_March''19'!$A$3:$X$1193,22,0)</f>
        <v>0</v>
      </c>
      <c r="W102" s="34">
        <f>VLOOKUP(A102,'SSP_March''19'!$A$3:$X$1193,23,0)</f>
        <v>0</v>
      </c>
      <c r="X102" s="34">
        <f>VLOOKUP(A102,'SSP_March''19'!$A$3:$X$1193,24,0)</f>
        <v>1</v>
      </c>
    </row>
    <row r="103" spans="1:24">
      <c r="A103" s="34" t="s">
        <v>1067</v>
      </c>
      <c r="B103" s="34" t="s">
        <v>1068</v>
      </c>
      <c r="C103" s="34" t="s">
        <v>192</v>
      </c>
      <c r="D103" s="34" t="s">
        <v>1</v>
      </c>
      <c r="E103" s="34" t="s">
        <v>1</v>
      </c>
      <c r="F103" s="34" t="s">
        <v>3347</v>
      </c>
      <c r="G103" s="54">
        <v>1718108809</v>
      </c>
      <c r="H103" s="54" t="s">
        <v>229</v>
      </c>
      <c r="I103" s="54" t="s">
        <v>3514</v>
      </c>
      <c r="J103" s="34" t="s">
        <v>3515</v>
      </c>
      <c r="K103" s="43">
        <f>VLOOKUP(A103,'SSP_March''19'!$A$3:$L$1193,11,0)</f>
        <v>130000</v>
      </c>
      <c r="L103" s="43">
        <f>VLOOKUP(A103,'SSP_March''19'!$A$3:$L$1193,12,0)</f>
        <v>38580</v>
      </c>
      <c r="M103" s="44">
        <f t="shared" si="4"/>
        <v>0.29676923076923079</v>
      </c>
      <c r="N103" s="49">
        <f>ROUND(VLOOKUP(A103,'SSP_March''19'!$A$3:$N$1193,14,0),0)</f>
        <v>119598</v>
      </c>
      <c r="O103" s="44">
        <f t="shared" si="5"/>
        <v>0.9199846153846154</v>
      </c>
      <c r="P103" s="45">
        <f>VLOOKUP(A103,'SSP_March''19'!$A$3:$Q$1193,16,0)</f>
        <v>10</v>
      </c>
      <c r="Q103" s="34">
        <f>VLOOKUP(A103,'SSP_March''19'!$A$3:$Q$1193,17,0)</f>
        <v>3</v>
      </c>
      <c r="R103" s="35">
        <f t="shared" si="6"/>
        <v>0.3</v>
      </c>
      <c r="S103" s="49">
        <f>ROUND(VLOOKUP(A103,'SSP_March''19'!$A$3:$T$1193,19,0),0)</f>
        <v>9</v>
      </c>
      <c r="T103" s="44">
        <f>VLOOKUP(A103,'SSP_March''19'!$A$3:$T$1193,20,0)</f>
        <v>0.9</v>
      </c>
      <c r="U103" s="34">
        <f>VLOOKUP(A103,'SSP_March''19'!$A$3:$X$1193,21,0)</f>
        <v>0</v>
      </c>
      <c r="V103" s="34">
        <f>VLOOKUP(A103,'SSP_March''19'!$A$3:$X$1193,22,0)</f>
        <v>2</v>
      </c>
      <c r="W103" s="34">
        <f>VLOOKUP(A103,'SSP_March''19'!$A$3:$X$1193,23,0)</f>
        <v>0</v>
      </c>
      <c r="X103" s="34">
        <f>VLOOKUP(A103,'SSP_March''19'!$A$3:$X$1193,24,0)</f>
        <v>0</v>
      </c>
    </row>
    <row r="104" spans="1:24">
      <c r="A104" s="34" t="s">
        <v>1072</v>
      </c>
      <c r="B104" s="34" t="s">
        <v>1073</v>
      </c>
      <c r="C104" s="34" t="s">
        <v>192</v>
      </c>
      <c r="D104" s="34" t="s">
        <v>1</v>
      </c>
      <c r="E104" s="34" t="s">
        <v>1</v>
      </c>
      <c r="F104" s="34" t="s">
        <v>1231</v>
      </c>
      <c r="G104" s="54">
        <v>1711511158</v>
      </c>
      <c r="H104" s="54" t="s">
        <v>229</v>
      </c>
      <c r="I104" s="54" t="s">
        <v>3514</v>
      </c>
      <c r="J104" s="34" t="s">
        <v>3515</v>
      </c>
      <c r="K104" s="43">
        <f>VLOOKUP(A104,'SSP_March''19'!$A$3:$L$1193,11,0)</f>
        <v>130000</v>
      </c>
      <c r="L104" s="43">
        <f>VLOOKUP(A104,'SSP_March''19'!$A$3:$L$1193,12,0)</f>
        <v>48870</v>
      </c>
      <c r="M104" s="44">
        <f t="shared" si="4"/>
        <v>0.37592307692307692</v>
      </c>
      <c r="N104" s="49">
        <f>ROUND(VLOOKUP(A104,'SSP_March''19'!$A$3:$N$1193,14,0),0)</f>
        <v>151497</v>
      </c>
      <c r="O104" s="44">
        <f t="shared" si="5"/>
        <v>1.1653615384615386</v>
      </c>
      <c r="P104" s="45">
        <f>VLOOKUP(A104,'SSP_March''19'!$A$3:$Q$1193,16,0)</f>
        <v>10</v>
      </c>
      <c r="Q104" s="34">
        <f>VLOOKUP(A104,'SSP_March''19'!$A$3:$Q$1193,17,0)</f>
        <v>3</v>
      </c>
      <c r="R104" s="35">
        <f t="shared" si="6"/>
        <v>0.3</v>
      </c>
      <c r="S104" s="49">
        <f>ROUND(VLOOKUP(A104,'SSP_March''19'!$A$3:$T$1193,19,0),0)</f>
        <v>9</v>
      </c>
      <c r="T104" s="44">
        <f>VLOOKUP(A104,'SSP_March''19'!$A$3:$T$1193,20,0)</f>
        <v>0.9</v>
      </c>
      <c r="U104" s="34">
        <f>VLOOKUP(A104,'SSP_March''19'!$A$3:$X$1193,21,0)</f>
        <v>0</v>
      </c>
      <c r="V104" s="34">
        <f>VLOOKUP(A104,'SSP_March''19'!$A$3:$X$1193,22,0)</f>
        <v>0</v>
      </c>
      <c r="W104" s="34">
        <f>VLOOKUP(A104,'SSP_March''19'!$A$3:$X$1193,23,0)</f>
        <v>0</v>
      </c>
      <c r="X104" s="34">
        <f>VLOOKUP(A104,'SSP_March''19'!$A$3:$X$1193,24,0)</f>
        <v>0</v>
      </c>
    </row>
    <row r="105" spans="1:24">
      <c r="A105" s="34" t="s">
        <v>993</v>
      </c>
      <c r="B105" s="34" t="s">
        <v>994</v>
      </c>
      <c r="C105" s="34" t="s">
        <v>192</v>
      </c>
      <c r="D105" s="34" t="s">
        <v>1</v>
      </c>
      <c r="E105" s="34" t="s">
        <v>1</v>
      </c>
      <c r="F105" s="34" t="s">
        <v>995</v>
      </c>
      <c r="G105" s="54">
        <v>1710904058</v>
      </c>
      <c r="H105" s="54" t="s">
        <v>229</v>
      </c>
      <c r="I105" s="54" t="s">
        <v>3514</v>
      </c>
      <c r="J105" s="34" t="s">
        <v>3419</v>
      </c>
      <c r="K105" s="43">
        <f>VLOOKUP(A105,'SSP_March''19'!$A$3:$L$1193,11,0)</f>
        <v>155503</v>
      </c>
      <c r="L105" s="43">
        <f>VLOOKUP(A105,'SSP_March''19'!$A$3:$L$1193,12,0)</f>
        <v>32180</v>
      </c>
      <c r="M105" s="44">
        <f t="shared" si="4"/>
        <v>0.20694134518305113</v>
      </c>
      <c r="N105" s="49">
        <f>ROUND(VLOOKUP(A105,'SSP_March''19'!$A$3:$N$1193,14,0),0)</f>
        <v>99758</v>
      </c>
      <c r="O105" s="44">
        <f t="shared" si="5"/>
        <v>0.64151817006745848</v>
      </c>
      <c r="P105" s="45">
        <f>VLOOKUP(A105,'SSP_March''19'!$A$3:$Q$1193,16,0)</f>
        <v>10</v>
      </c>
      <c r="Q105" s="34">
        <f>VLOOKUP(A105,'SSP_March''19'!$A$3:$Q$1193,17,0)</f>
        <v>0</v>
      </c>
      <c r="R105" s="35">
        <f t="shared" si="6"/>
        <v>0</v>
      </c>
      <c r="S105" s="49">
        <f>ROUND(VLOOKUP(A105,'SSP_March''19'!$A$3:$T$1193,19,0),0)</f>
        <v>0</v>
      </c>
      <c r="T105" s="44">
        <f>VLOOKUP(A105,'SSP_March''19'!$A$3:$T$1193,20,0)</f>
        <v>0</v>
      </c>
      <c r="U105" s="34">
        <f>VLOOKUP(A105,'SSP_March''19'!$A$3:$X$1193,21,0)</f>
        <v>1</v>
      </c>
      <c r="V105" s="34">
        <f>VLOOKUP(A105,'SSP_March''19'!$A$3:$X$1193,22,0)</f>
        <v>0</v>
      </c>
      <c r="W105" s="34">
        <f>VLOOKUP(A105,'SSP_March''19'!$A$3:$X$1193,23,0)</f>
        <v>0</v>
      </c>
      <c r="X105" s="34">
        <f>VLOOKUP(A105,'SSP_March''19'!$A$3:$X$1193,24,0)</f>
        <v>0</v>
      </c>
    </row>
    <row r="106" spans="1:24">
      <c r="A106" s="75" t="s">
        <v>3664</v>
      </c>
      <c r="B106" s="75" t="s">
        <v>3665</v>
      </c>
      <c r="C106" s="75" t="s">
        <v>192</v>
      </c>
      <c r="D106" s="75" t="s">
        <v>1</v>
      </c>
      <c r="E106" s="75" t="s">
        <v>1</v>
      </c>
      <c r="F106" s="75" t="s">
        <v>3666</v>
      </c>
      <c r="G106" s="67">
        <v>1714728322</v>
      </c>
      <c r="H106" s="54" t="s">
        <v>229</v>
      </c>
      <c r="I106" s="54" t="s">
        <v>3514</v>
      </c>
      <c r="J106" s="34" t="s">
        <v>3421</v>
      </c>
      <c r="K106" s="43">
        <f>VLOOKUP(A106,'SSP_March''19'!$A$3:$L$1193,11,0)</f>
        <v>130000</v>
      </c>
      <c r="L106" s="43">
        <f>VLOOKUP(A106,'SSP_March''19'!$A$3:$L$1193,12,0)</f>
        <v>23590</v>
      </c>
      <c r="M106" s="44">
        <f t="shared" si="4"/>
        <v>0.18146153846153845</v>
      </c>
      <c r="N106" s="49">
        <f>ROUND(VLOOKUP(A106,'SSP_March''19'!$A$3:$N$1193,14,0),0)</f>
        <v>73129</v>
      </c>
      <c r="O106" s="44">
        <f t="shared" si="5"/>
        <v>0.56253076923076928</v>
      </c>
      <c r="P106" s="45">
        <f>VLOOKUP(A106,'SSP_March''19'!$A$3:$Q$1193,16,0)</f>
        <v>10</v>
      </c>
      <c r="Q106" s="34">
        <f>VLOOKUP(A106,'SSP_March''19'!$A$3:$Q$1193,17,0)</f>
        <v>0</v>
      </c>
      <c r="R106" s="35">
        <f t="shared" si="6"/>
        <v>0</v>
      </c>
      <c r="S106" s="49">
        <f>ROUND(VLOOKUP(A106,'SSP_March''19'!$A$3:$T$1193,19,0),0)</f>
        <v>0</v>
      </c>
      <c r="T106" s="44">
        <f>VLOOKUP(A106,'SSP_March''19'!$A$3:$T$1193,20,0)</f>
        <v>0</v>
      </c>
      <c r="U106" s="34">
        <f>VLOOKUP(A106,'SSP_March''19'!$A$3:$X$1193,21,0)</f>
        <v>0</v>
      </c>
      <c r="V106" s="34">
        <f>VLOOKUP(A106,'SSP_March''19'!$A$3:$X$1193,22,0)</f>
        <v>0</v>
      </c>
      <c r="W106" s="34">
        <f>VLOOKUP(A106,'SSP_March''19'!$A$3:$X$1193,23,0)</f>
        <v>0</v>
      </c>
      <c r="X106" s="34">
        <f>VLOOKUP(A106,'SSP_March''19'!$A$3:$X$1193,24,0)</f>
        <v>0</v>
      </c>
    </row>
    <row r="107" spans="1:24">
      <c r="A107" s="34" t="s">
        <v>1074</v>
      </c>
      <c r="B107" s="34" t="s">
        <v>1075</v>
      </c>
      <c r="C107" s="34" t="s">
        <v>192</v>
      </c>
      <c r="D107" s="34" t="s">
        <v>1</v>
      </c>
      <c r="E107" s="34" t="s">
        <v>1</v>
      </c>
      <c r="F107" s="34" t="s">
        <v>1076</v>
      </c>
      <c r="G107" s="54">
        <v>1752520699</v>
      </c>
      <c r="H107" s="54" t="s">
        <v>229</v>
      </c>
      <c r="I107" s="54" t="s">
        <v>3514</v>
      </c>
      <c r="J107" s="34" t="s">
        <v>3515</v>
      </c>
      <c r="K107" s="43">
        <f>VLOOKUP(A107,'SSP_March''19'!$A$3:$L$1193,11,0)</f>
        <v>130000</v>
      </c>
      <c r="L107" s="43">
        <f>VLOOKUP(A107,'SSP_March''19'!$A$3:$L$1193,12,0)</f>
        <v>45360</v>
      </c>
      <c r="M107" s="44">
        <f t="shared" si="4"/>
        <v>0.34892307692307695</v>
      </c>
      <c r="N107" s="49">
        <f>ROUND(VLOOKUP(A107,'SSP_March''19'!$A$3:$N$1193,14,0),0)</f>
        <v>140616</v>
      </c>
      <c r="O107" s="44">
        <f t="shared" si="5"/>
        <v>1.0816615384615385</v>
      </c>
      <c r="P107" s="45">
        <f>VLOOKUP(A107,'SSP_March''19'!$A$3:$Q$1193,16,0)</f>
        <v>10</v>
      </c>
      <c r="Q107" s="34">
        <f>VLOOKUP(A107,'SSP_March''19'!$A$3:$Q$1193,17,0)</f>
        <v>2</v>
      </c>
      <c r="R107" s="35">
        <f t="shared" si="6"/>
        <v>0.2</v>
      </c>
      <c r="S107" s="49">
        <f>ROUND(VLOOKUP(A107,'SSP_March''19'!$A$3:$T$1193,19,0),0)</f>
        <v>6</v>
      </c>
      <c r="T107" s="44">
        <f>VLOOKUP(A107,'SSP_March''19'!$A$3:$T$1193,20,0)</f>
        <v>0.6</v>
      </c>
      <c r="U107" s="34">
        <f>VLOOKUP(A107,'SSP_March''19'!$A$3:$X$1193,21,0)</f>
        <v>2</v>
      </c>
      <c r="V107" s="34">
        <f>VLOOKUP(A107,'SSP_March''19'!$A$3:$X$1193,22,0)</f>
        <v>0</v>
      </c>
      <c r="W107" s="34">
        <f>VLOOKUP(A107,'SSP_March''19'!$A$3:$X$1193,23,0)</f>
        <v>0</v>
      </c>
      <c r="X107" s="34">
        <f>VLOOKUP(A107,'SSP_March''19'!$A$3:$X$1193,24,0)</f>
        <v>0</v>
      </c>
    </row>
    <row r="108" spans="1:24">
      <c r="A108" s="34" t="s">
        <v>3348</v>
      </c>
      <c r="B108" s="34" t="s">
        <v>3349</v>
      </c>
      <c r="C108" s="34" t="s">
        <v>192</v>
      </c>
      <c r="D108" s="34" t="s">
        <v>1</v>
      </c>
      <c r="E108" s="34" t="s">
        <v>1</v>
      </c>
      <c r="F108" s="34" t="s">
        <v>3350</v>
      </c>
      <c r="G108" s="54">
        <v>1756751408</v>
      </c>
      <c r="H108" s="54" t="s">
        <v>229</v>
      </c>
      <c r="I108" s="54" t="s">
        <v>3514</v>
      </c>
      <c r="J108" s="34" t="s">
        <v>3421</v>
      </c>
      <c r="K108" s="43">
        <f>VLOOKUP(A108,'SSP_March''19'!$A$3:$L$1193,11,0)</f>
        <v>130000</v>
      </c>
      <c r="L108" s="43">
        <f>VLOOKUP(A108,'SSP_March''19'!$A$3:$L$1193,12,0)</f>
        <v>41929</v>
      </c>
      <c r="M108" s="44">
        <f t="shared" si="4"/>
        <v>0.32253076923076923</v>
      </c>
      <c r="N108" s="49">
        <f>ROUND(VLOOKUP(A108,'SSP_March''19'!$A$3:$N$1193,14,0),0)</f>
        <v>129980</v>
      </c>
      <c r="O108" s="44">
        <f t="shared" si="5"/>
        <v>0.99984615384615383</v>
      </c>
      <c r="P108" s="45">
        <f>VLOOKUP(A108,'SSP_March''19'!$A$3:$Q$1193,16,0)</f>
        <v>10</v>
      </c>
      <c r="Q108" s="34">
        <f>VLOOKUP(A108,'SSP_March''19'!$A$3:$Q$1193,17,0)</f>
        <v>2</v>
      </c>
      <c r="R108" s="35">
        <f t="shared" si="6"/>
        <v>0.2</v>
      </c>
      <c r="S108" s="49">
        <f>ROUND(VLOOKUP(A108,'SSP_March''19'!$A$3:$T$1193,19,0),0)</f>
        <v>6</v>
      </c>
      <c r="T108" s="44">
        <f>VLOOKUP(A108,'SSP_March''19'!$A$3:$T$1193,20,0)</f>
        <v>0.6</v>
      </c>
      <c r="U108" s="34">
        <f>VLOOKUP(A108,'SSP_March''19'!$A$3:$X$1193,21,0)</f>
        <v>0</v>
      </c>
      <c r="V108" s="34">
        <f>VLOOKUP(A108,'SSP_March''19'!$A$3:$X$1193,22,0)</f>
        <v>0</v>
      </c>
      <c r="W108" s="34">
        <f>VLOOKUP(A108,'SSP_March''19'!$A$3:$X$1193,23,0)</f>
        <v>0</v>
      </c>
      <c r="X108" s="34">
        <f>VLOOKUP(A108,'SSP_March''19'!$A$3:$X$1193,24,0)</f>
        <v>0</v>
      </c>
    </row>
  </sheetData>
  <conditionalFormatting sqref="A294:A1048576">
    <cfRule type="duplicateValues" dxfId="44" priority="58"/>
  </conditionalFormatting>
  <conditionalFormatting sqref="A2">
    <cfRule type="duplicateValues" dxfId="43" priority="56"/>
  </conditionalFormatting>
  <conditionalFormatting sqref="A2">
    <cfRule type="duplicateValues" dxfId="42" priority="54"/>
    <cfRule type="duplicateValues" priority="55"/>
  </conditionalFormatting>
  <conditionalFormatting sqref="A2">
    <cfRule type="duplicateValues" dxfId="41" priority="53"/>
  </conditionalFormatting>
  <conditionalFormatting sqref="A2">
    <cfRule type="duplicateValues" dxfId="40" priority="57"/>
  </conditionalFormatting>
  <conditionalFormatting sqref="A2">
    <cfRule type="duplicateValues" dxfId="39" priority="52"/>
  </conditionalFormatting>
  <conditionalFormatting sqref="A72">
    <cfRule type="duplicateValues" dxfId="38" priority="3"/>
    <cfRule type="duplicateValues" dxfId="37" priority="4"/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G81:H81">
    <cfRule type="duplicateValues" dxfId="36" priority="2"/>
  </conditionalFormatting>
  <conditionalFormatting sqref="A3:A103">
    <cfRule type="duplicateValues" dxfId="35" priority="1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53"/>
  <sheetViews>
    <sheetView workbookViewId="0">
      <pane xSplit="2" ySplit="2" topLeftCell="I3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Q2" sqref="Q2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8" max="8" width="11.28515625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SUBTOTAL(9,K3:K253)</f>
        <v>42983672</v>
      </c>
      <c r="L1" s="31">
        <f>SUBTOTAL(9,L3:L253)</f>
        <v>10242698</v>
      </c>
      <c r="M1" s="30">
        <f>L1/K1</f>
        <v>0.23829276381971276</v>
      </c>
      <c r="N1" s="30"/>
      <c r="O1" s="30"/>
      <c r="P1" s="31">
        <f>SUBTOTAL(9,P3:P253)</f>
        <v>2801</v>
      </c>
      <c r="Q1" s="31">
        <f>SUBTOTAL(9,Q3:Q253)</f>
        <v>513</v>
      </c>
      <c r="R1" s="30">
        <f>Q1/P1</f>
        <v>0.18314887540164226</v>
      </c>
      <c r="S1" s="30"/>
      <c r="T1" s="30"/>
      <c r="U1" s="31">
        <f>SUBTOTAL(9,U3:U253)</f>
        <v>122</v>
      </c>
      <c r="V1" s="31">
        <f>SUBTOTAL(9,V3:V253)</f>
        <v>134</v>
      </c>
      <c r="W1" s="31">
        <f>SUBTOTAL(9,W3:W253)</f>
        <v>12</v>
      </c>
      <c r="X1" s="31">
        <f>SUBTOTAL(9,X3:X253)</f>
        <v>23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54" t="s">
        <v>2791</v>
      </c>
      <c r="B3" s="54" t="s">
        <v>590</v>
      </c>
      <c r="C3" s="54" t="s">
        <v>71</v>
      </c>
      <c r="D3" s="54" t="s">
        <v>72</v>
      </c>
      <c r="E3" s="54" t="s">
        <v>0</v>
      </c>
      <c r="F3" s="54" t="s">
        <v>2792</v>
      </c>
      <c r="G3" s="54">
        <v>1713539941</v>
      </c>
      <c r="H3" s="54" t="s">
        <v>229</v>
      </c>
      <c r="I3" s="54" t="s">
        <v>3514</v>
      </c>
      <c r="J3" s="34" t="s">
        <v>3419</v>
      </c>
      <c r="K3" s="43">
        <f>VLOOKUP(A3,'SSP_March''19'!$A$3:$L$1193,11,0)</f>
        <v>209483</v>
      </c>
      <c r="L3" s="43">
        <f>VLOOKUP(A3,'SSP_March''19'!$A$3:$L$1193,12,0)</f>
        <v>133035</v>
      </c>
      <c r="M3" s="44">
        <f t="shared" ref="M3:M78" si="0">L3/K3</f>
        <v>0.63506346577049211</v>
      </c>
      <c r="N3" s="49">
        <f>ROUND(VLOOKUP(A3,'SSP_March''19'!$A$3:$N$1193,14,0),0)</f>
        <v>412409</v>
      </c>
      <c r="O3" s="44">
        <f t="shared" ref="O3:O78" si="1">N3/K3</f>
        <v>1.9686991307170509</v>
      </c>
      <c r="P3" s="45">
        <f>VLOOKUP(A3,'SSP_March''19'!$A$3:$Q$1193,16,0)</f>
        <v>12</v>
      </c>
      <c r="Q3" s="34">
        <f>VLOOKUP(A3,'SSP_March''19'!$A$3:$Q$1193,17,0)</f>
        <v>9</v>
      </c>
      <c r="R3" s="35">
        <f t="shared" ref="R3:R78" si="2">Q3/P3</f>
        <v>0.75</v>
      </c>
      <c r="S3" s="49">
        <f>ROUND(VLOOKUP(A3,'SSP_March''19'!$A$3:$T$1193,19,0),0)</f>
        <v>28</v>
      </c>
      <c r="T3" s="44">
        <f>VLOOKUP(A3,'SSP_March''19'!$A$3:$T$1193,20,0)</f>
        <v>2.3333333333333335</v>
      </c>
      <c r="U3" s="34">
        <f>VLOOKUP(A3,'SSP_March''19'!$A$3:$X$1193,21,0)</f>
        <v>2</v>
      </c>
      <c r="V3" s="34">
        <f>VLOOKUP(A3,'SSP_March''19'!$A$3:$X$1193,22,0)</f>
        <v>1</v>
      </c>
      <c r="W3" s="34">
        <f>VLOOKUP(A3,'SSP_March''19'!$A$3:$X$1193,23,0)</f>
        <v>0</v>
      </c>
      <c r="X3" s="34">
        <f>VLOOKUP(A3,'SSP_March''19'!$A$3:$X$1193,24,0)</f>
        <v>2</v>
      </c>
    </row>
    <row r="4" spans="1:24">
      <c r="A4" s="54" t="s">
        <v>2796</v>
      </c>
      <c r="B4" s="54" t="s">
        <v>818</v>
      </c>
      <c r="C4" s="54" t="s">
        <v>71</v>
      </c>
      <c r="D4" s="54" t="s">
        <v>72</v>
      </c>
      <c r="E4" s="54" t="s">
        <v>0</v>
      </c>
      <c r="F4" s="54" t="s">
        <v>2797</v>
      </c>
      <c r="G4" s="54">
        <v>1757808021</v>
      </c>
      <c r="H4" s="54" t="s">
        <v>229</v>
      </c>
      <c r="I4" s="54" t="s">
        <v>3514</v>
      </c>
      <c r="J4" s="34" t="s">
        <v>3419</v>
      </c>
      <c r="K4" s="43">
        <f>VLOOKUP(A4,'SSP_March''19'!$A$3:$L$1193,11,0)</f>
        <v>140000</v>
      </c>
      <c r="L4" s="43">
        <f>VLOOKUP(A4,'SSP_March''19'!$A$3:$L$1193,12,0)</f>
        <v>15970</v>
      </c>
      <c r="M4" s="44">
        <f t="shared" ref="M4:M15" si="3">L4/K4</f>
        <v>0.11407142857142857</v>
      </c>
      <c r="N4" s="49">
        <f>ROUND(VLOOKUP(A4,'SSP_March''19'!$A$3:$N$1193,14,0),0)</f>
        <v>49507</v>
      </c>
      <c r="O4" s="44">
        <f t="shared" ref="O4:O15" si="4">N4/K4</f>
        <v>0.35362142857142859</v>
      </c>
      <c r="P4" s="45">
        <f>VLOOKUP(A4,'SSP_March''19'!$A$3:$Q$1193,16,0)</f>
        <v>10</v>
      </c>
      <c r="Q4" s="34">
        <f>VLOOKUP(A4,'SSP_March''19'!$A$3:$Q$1193,17,0)</f>
        <v>1</v>
      </c>
      <c r="R4" s="35">
        <f t="shared" ref="R4:R15" si="5">Q4/P4</f>
        <v>0.1</v>
      </c>
      <c r="S4" s="49">
        <f>ROUND(VLOOKUP(A4,'SSP_March''19'!$A$3:$T$1193,19,0),0)</f>
        <v>3</v>
      </c>
      <c r="T4" s="44">
        <f>VLOOKUP(A4,'SSP_March''19'!$A$3:$T$1193,20,0)</f>
        <v>0.3</v>
      </c>
      <c r="U4" s="34">
        <f>VLOOKUP(A4,'SSP_March''19'!$A$3:$X$1193,21,0)</f>
        <v>0</v>
      </c>
      <c r="V4" s="34">
        <f>VLOOKUP(A4,'SSP_March''19'!$A$3:$X$1193,22,0)</f>
        <v>0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54" t="s">
        <v>2659</v>
      </c>
      <c r="B5" s="54" t="s">
        <v>2660</v>
      </c>
      <c r="C5" s="54" t="s">
        <v>71</v>
      </c>
      <c r="D5" s="54" t="s">
        <v>72</v>
      </c>
      <c r="E5" s="54" t="s">
        <v>0</v>
      </c>
      <c r="F5" s="54" t="s">
        <v>2624</v>
      </c>
      <c r="G5" s="54">
        <v>1716230040</v>
      </c>
      <c r="H5" s="54" t="s">
        <v>229</v>
      </c>
      <c r="I5" s="54" t="s">
        <v>3518</v>
      </c>
      <c r="J5" s="34" t="s">
        <v>3419</v>
      </c>
      <c r="K5" s="43">
        <f>VLOOKUP(A5,'SSP_March''19'!$A$3:$L$1193,11,0)</f>
        <v>359556</v>
      </c>
      <c r="L5" s="43">
        <f>VLOOKUP(A5,'SSP_March''19'!$A$3:$L$1193,12,0)</f>
        <v>170514</v>
      </c>
      <c r="M5" s="44">
        <f t="shared" si="3"/>
        <v>0.47423488969729333</v>
      </c>
      <c r="N5" s="49">
        <f>ROUND(VLOOKUP(A5,'SSP_March''19'!$A$3:$N$1193,14,0),0)</f>
        <v>528593</v>
      </c>
      <c r="O5" s="44">
        <f t="shared" si="4"/>
        <v>1.4701270455784357</v>
      </c>
      <c r="P5" s="45">
        <f>VLOOKUP(A5,'SSP_March''19'!$A$3:$Q$1193,16,0)</f>
        <v>11</v>
      </c>
      <c r="Q5" s="34">
        <f>VLOOKUP(A5,'SSP_March''19'!$A$3:$Q$1193,17,0)</f>
        <v>10</v>
      </c>
      <c r="R5" s="35">
        <f t="shared" si="5"/>
        <v>0.90909090909090906</v>
      </c>
      <c r="S5" s="49">
        <f>ROUND(VLOOKUP(A5,'SSP_March''19'!$A$3:$T$1193,19,0),0)</f>
        <v>31</v>
      </c>
      <c r="T5" s="44">
        <f>VLOOKUP(A5,'SSP_March''19'!$A$3:$T$1193,20,0)</f>
        <v>2.8181818181818183</v>
      </c>
      <c r="U5" s="34">
        <f>VLOOKUP(A5,'SSP_March''19'!$A$3:$X$1193,21,0)</f>
        <v>4</v>
      </c>
      <c r="V5" s="34">
        <f>VLOOKUP(A5,'SSP_March''19'!$A$3:$X$1193,22,0)</f>
        <v>3</v>
      </c>
      <c r="W5" s="34">
        <f>VLOOKUP(A5,'SSP_March''19'!$A$3:$X$1193,23,0)</f>
        <v>0</v>
      </c>
      <c r="X5" s="34">
        <f>VLOOKUP(A5,'SSP_March''19'!$A$3:$X$1193,24,0)</f>
        <v>2</v>
      </c>
    </row>
    <row r="6" spans="1:24">
      <c r="A6" s="54" t="s">
        <v>2596</v>
      </c>
      <c r="B6" s="54" t="s">
        <v>2597</v>
      </c>
      <c r="C6" s="54" t="s">
        <v>71</v>
      </c>
      <c r="D6" s="54" t="s">
        <v>72</v>
      </c>
      <c r="E6" s="54" t="s">
        <v>0</v>
      </c>
      <c r="F6" s="54" t="s">
        <v>2598</v>
      </c>
      <c r="G6" s="54">
        <v>1711179716</v>
      </c>
      <c r="H6" s="54" t="s">
        <v>229</v>
      </c>
      <c r="I6" s="54" t="s">
        <v>3514</v>
      </c>
      <c r="J6" s="34" t="s">
        <v>3515</v>
      </c>
      <c r="K6" s="43">
        <f>VLOOKUP(A6,'SSP_March''19'!$A$3:$L$1193,11,0)</f>
        <v>140000</v>
      </c>
      <c r="L6" s="43">
        <f>VLOOKUP(A6,'SSP_March''19'!$A$3:$L$1193,12,0)</f>
        <v>11880</v>
      </c>
      <c r="M6" s="44">
        <f t="shared" si="3"/>
        <v>8.4857142857142853E-2</v>
      </c>
      <c r="N6" s="49">
        <f>ROUND(VLOOKUP(A6,'SSP_March''19'!$A$3:$N$1193,14,0),0)</f>
        <v>36828</v>
      </c>
      <c r="O6" s="44">
        <f t="shared" si="4"/>
        <v>0.26305714285714288</v>
      </c>
      <c r="P6" s="45">
        <f>VLOOKUP(A6,'SSP_March''19'!$A$3:$Q$1193,16,0)</f>
        <v>10</v>
      </c>
      <c r="Q6" s="34">
        <f>VLOOKUP(A6,'SSP_March''19'!$A$3:$Q$1193,17,0)</f>
        <v>1</v>
      </c>
      <c r="R6" s="35">
        <f t="shared" si="5"/>
        <v>0.1</v>
      </c>
      <c r="S6" s="49">
        <f>ROUND(VLOOKUP(A6,'SSP_March''19'!$A$3:$T$1193,19,0),0)</f>
        <v>3</v>
      </c>
      <c r="T6" s="44">
        <f>VLOOKUP(A6,'SSP_March''19'!$A$3:$T$1193,20,0)</f>
        <v>0.3</v>
      </c>
      <c r="U6" s="34">
        <f>VLOOKUP(A6,'SSP_March''19'!$A$3:$X$1193,21,0)</f>
        <v>0</v>
      </c>
      <c r="V6" s="34">
        <f>VLOOKUP(A6,'SSP_March''19'!$A$3:$X$1193,22,0)</f>
        <v>0</v>
      </c>
      <c r="W6" s="34">
        <f>VLOOKUP(A6,'SSP_March''19'!$A$3:$X$1193,23,0)</f>
        <v>0</v>
      </c>
      <c r="X6" s="34">
        <f>VLOOKUP(A6,'SSP_March''19'!$A$3:$X$1193,24,0)</f>
        <v>0</v>
      </c>
    </row>
    <row r="7" spans="1:24">
      <c r="A7" s="54" t="s">
        <v>3269</v>
      </c>
      <c r="B7" s="54" t="s">
        <v>3270</v>
      </c>
      <c r="C7" s="54" t="s">
        <v>71</v>
      </c>
      <c r="D7" s="54" t="s">
        <v>72</v>
      </c>
      <c r="E7" s="54" t="s">
        <v>0</v>
      </c>
      <c r="F7" s="54" t="s">
        <v>3271</v>
      </c>
      <c r="G7" s="54">
        <v>1931732592</v>
      </c>
      <c r="H7" s="54" t="s">
        <v>229</v>
      </c>
      <c r="I7" s="54" t="s">
        <v>3514</v>
      </c>
      <c r="J7" s="34" t="s">
        <v>3515</v>
      </c>
      <c r="K7" s="43">
        <f>VLOOKUP(A7,'SSP_March''19'!$A$3:$L$1193,11,0)</f>
        <v>140000</v>
      </c>
      <c r="L7" s="43">
        <f>VLOOKUP(A7,'SSP_March''19'!$A$3:$L$1193,12,0)</f>
        <v>29085</v>
      </c>
      <c r="M7" s="44">
        <f t="shared" si="3"/>
        <v>0.20774999999999999</v>
      </c>
      <c r="N7" s="49">
        <f>ROUND(VLOOKUP(A7,'SSP_March''19'!$A$3:$N$1193,14,0),0)</f>
        <v>90164</v>
      </c>
      <c r="O7" s="44">
        <f t="shared" si="4"/>
        <v>0.64402857142857139</v>
      </c>
      <c r="P7" s="45">
        <f>VLOOKUP(A7,'SSP_March''19'!$A$3:$Q$1193,16,0)</f>
        <v>11</v>
      </c>
      <c r="Q7" s="34">
        <f>VLOOKUP(A7,'SSP_March''19'!$A$3:$Q$1193,17,0)</f>
        <v>1</v>
      </c>
      <c r="R7" s="35">
        <f t="shared" si="5"/>
        <v>9.0909090909090912E-2</v>
      </c>
      <c r="S7" s="49">
        <f>ROUND(VLOOKUP(A7,'SSP_March''19'!$A$3:$T$1193,19,0),0)</f>
        <v>3</v>
      </c>
      <c r="T7" s="44">
        <f>VLOOKUP(A7,'SSP_March''19'!$A$3:$T$1193,20,0)</f>
        <v>0.27272727272727271</v>
      </c>
      <c r="U7" s="34">
        <f>VLOOKUP(A7,'SSP_March''19'!$A$3:$X$1193,21,0)</f>
        <v>2</v>
      </c>
      <c r="V7" s="34">
        <f>VLOOKUP(A7,'SSP_March''19'!$A$3:$X$1193,22,0)</f>
        <v>0</v>
      </c>
      <c r="W7" s="34">
        <f>VLOOKUP(A7,'SSP_March''19'!$A$3:$X$1193,23,0)</f>
        <v>0</v>
      </c>
      <c r="X7" s="34">
        <f>VLOOKUP(A7,'SSP_March''19'!$A$3:$X$1193,24,0)</f>
        <v>0</v>
      </c>
    </row>
    <row r="8" spans="1:24">
      <c r="A8" s="54" t="s">
        <v>2848</v>
      </c>
      <c r="B8" s="54" t="s">
        <v>2849</v>
      </c>
      <c r="C8" s="54" t="s">
        <v>71</v>
      </c>
      <c r="D8" s="54" t="s">
        <v>72</v>
      </c>
      <c r="E8" s="54" t="s">
        <v>0</v>
      </c>
      <c r="F8" s="54" t="s">
        <v>2850</v>
      </c>
      <c r="G8" s="54">
        <v>1715281357</v>
      </c>
      <c r="H8" s="54" t="s">
        <v>229</v>
      </c>
      <c r="I8" s="54" t="s">
        <v>3514</v>
      </c>
      <c r="J8" s="34" t="s">
        <v>3515</v>
      </c>
      <c r="K8" s="43">
        <f>VLOOKUP(A8,'SSP_March''19'!$A$3:$L$1193,11,0)</f>
        <v>140000</v>
      </c>
      <c r="L8" s="43">
        <f>VLOOKUP(A8,'SSP_March''19'!$A$3:$L$1193,12,0)</f>
        <v>10980</v>
      </c>
      <c r="M8" s="44">
        <f t="shared" si="3"/>
        <v>7.8428571428571431E-2</v>
      </c>
      <c r="N8" s="49">
        <f>ROUND(VLOOKUP(A8,'SSP_March''19'!$A$3:$N$1193,14,0),0)</f>
        <v>34038</v>
      </c>
      <c r="O8" s="44">
        <f t="shared" si="4"/>
        <v>0.24312857142857142</v>
      </c>
      <c r="P8" s="45">
        <f>VLOOKUP(A8,'SSP_March''19'!$A$3:$Q$1193,16,0)</f>
        <v>10</v>
      </c>
      <c r="Q8" s="34">
        <f>VLOOKUP(A8,'SSP_March''19'!$A$3:$Q$1193,17,0)</f>
        <v>0</v>
      </c>
      <c r="R8" s="35">
        <f t="shared" si="5"/>
        <v>0</v>
      </c>
      <c r="S8" s="49">
        <f>ROUND(VLOOKUP(A8,'SSP_March''19'!$A$3:$T$1193,19,0),0)</f>
        <v>0</v>
      </c>
      <c r="T8" s="44">
        <f>VLOOKUP(A8,'SSP_March''19'!$A$3:$T$1193,20,0)</f>
        <v>0</v>
      </c>
      <c r="U8" s="34">
        <f>VLOOKUP(A8,'SSP_March''19'!$A$3:$X$1193,21,0)</f>
        <v>0</v>
      </c>
      <c r="V8" s="34">
        <f>VLOOKUP(A8,'SSP_March''19'!$A$3:$X$1193,22,0)</f>
        <v>0</v>
      </c>
      <c r="W8" s="34">
        <f>VLOOKUP(A8,'SSP_March''19'!$A$3:$X$1193,23,0)</f>
        <v>0</v>
      </c>
      <c r="X8" s="34">
        <f>VLOOKUP(A8,'SSP_March''19'!$A$3:$X$1193,24,0)</f>
        <v>0</v>
      </c>
    </row>
    <row r="9" spans="1:24">
      <c r="A9" s="54" t="s">
        <v>2693</v>
      </c>
      <c r="B9" s="54" t="s">
        <v>2694</v>
      </c>
      <c r="C9" s="54" t="s">
        <v>71</v>
      </c>
      <c r="D9" s="54" t="s">
        <v>72</v>
      </c>
      <c r="E9" s="54" t="s">
        <v>0</v>
      </c>
      <c r="F9" s="54" t="s">
        <v>2695</v>
      </c>
      <c r="G9" s="54">
        <v>1716192618</v>
      </c>
      <c r="H9" s="54" t="s">
        <v>229</v>
      </c>
      <c r="I9" s="54" t="s">
        <v>3514</v>
      </c>
      <c r="J9" s="34" t="s">
        <v>3419</v>
      </c>
      <c r="K9" s="43">
        <f>VLOOKUP(A9,'SSP_March''19'!$A$3:$L$1193,11,0)</f>
        <v>181415</v>
      </c>
      <c r="L9" s="43">
        <f>VLOOKUP(A9,'SSP_March''19'!$A$3:$L$1193,12,0)</f>
        <v>48210</v>
      </c>
      <c r="M9" s="44">
        <f t="shared" si="3"/>
        <v>0.2657442879585481</v>
      </c>
      <c r="N9" s="49">
        <f>ROUND(VLOOKUP(A9,'SSP_March''19'!$A$3:$N$1193,14,0),0)</f>
        <v>149451</v>
      </c>
      <c r="O9" s="44">
        <f t="shared" si="4"/>
        <v>0.8238072926714991</v>
      </c>
      <c r="P9" s="45">
        <f>VLOOKUP(A9,'SSP_March''19'!$A$3:$Q$1193,16,0)</f>
        <v>12</v>
      </c>
      <c r="Q9" s="34">
        <f>VLOOKUP(A9,'SSP_March''19'!$A$3:$Q$1193,17,0)</f>
        <v>1</v>
      </c>
      <c r="R9" s="35">
        <f t="shared" si="5"/>
        <v>8.3333333333333329E-2</v>
      </c>
      <c r="S9" s="49">
        <f>ROUND(VLOOKUP(A9,'SSP_March''19'!$A$3:$T$1193,19,0),0)</f>
        <v>3</v>
      </c>
      <c r="T9" s="44">
        <f>VLOOKUP(A9,'SSP_March''19'!$A$3:$T$1193,20,0)</f>
        <v>0.25</v>
      </c>
      <c r="U9" s="34">
        <f>VLOOKUP(A9,'SSP_March''19'!$A$3:$X$1193,21,0)</f>
        <v>2</v>
      </c>
      <c r="V9" s="34">
        <f>VLOOKUP(A9,'SSP_March''19'!$A$3:$X$1193,22,0)</f>
        <v>1</v>
      </c>
      <c r="W9" s="34">
        <f>VLOOKUP(A9,'SSP_March''19'!$A$3:$X$1193,23,0)</f>
        <v>0</v>
      </c>
      <c r="X9" s="34">
        <f>VLOOKUP(A9,'SSP_March''19'!$A$3:$X$1193,24,0)</f>
        <v>0</v>
      </c>
    </row>
    <row r="10" spans="1:24">
      <c r="A10" s="54" t="s">
        <v>2553</v>
      </c>
      <c r="B10" s="54" t="s">
        <v>1738</v>
      </c>
      <c r="C10" s="54" t="s">
        <v>71</v>
      </c>
      <c r="D10" s="54" t="s">
        <v>72</v>
      </c>
      <c r="E10" s="54" t="s">
        <v>0</v>
      </c>
      <c r="F10" s="54" t="s">
        <v>2554</v>
      </c>
      <c r="G10" s="54">
        <v>1710153637</v>
      </c>
      <c r="H10" s="54" t="s">
        <v>229</v>
      </c>
      <c r="I10" s="54" t="s">
        <v>3514</v>
      </c>
      <c r="J10" s="34" t="s">
        <v>3515</v>
      </c>
      <c r="K10" s="43">
        <f>VLOOKUP(A10,'SSP_March''19'!$A$3:$L$1193,11,0)</f>
        <v>140000</v>
      </c>
      <c r="L10" s="43">
        <f>VLOOKUP(A10,'SSP_March''19'!$A$3:$L$1193,12,0)</f>
        <v>41030</v>
      </c>
      <c r="M10" s="44">
        <f t="shared" si="3"/>
        <v>0.29307142857142859</v>
      </c>
      <c r="N10" s="49">
        <f>ROUND(VLOOKUP(A10,'SSP_March''19'!$A$3:$N$1193,14,0),0)</f>
        <v>127193</v>
      </c>
      <c r="O10" s="44">
        <f t="shared" si="4"/>
        <v>0.90852142857142859</v>
      </c>
      <c r="P10" s="45">
        <f>VLOOKUP(A10,'SSP_March''19'!$A$3:$Q$1193,16,0)</f>
        <v>11</v>
      </c>
      <c r="Q10" s="34">
        <f>VLOOKUP(A10,'SSP_March''19'!$A$3:$Q$1193,17,0)</f>
        <v>2</v>
      </c>
      <c r="R10" s="35">
        <f t="shared" si="5"/>
        <v>0.18181818181818182</v>
      </c>
      <c r="S10" s="49">
        <f>ROUND(VLOOKUP(A10,'SSP_March''19'!$A$3:$T$1193,19,0),0)</f>
        <v>6</v>
      </c>
      <c r="T10" s="44">
        <f>VLOOKUP(A10,'SSP_March''19'!$A$3:$T$1193,20,0)</f>
        <v>0.54545454545454541</v>
      </c>
      <c r="U10" s="34">
        <f>VLOOKUP(A10,'SSP_March''19'!$A$3:$X$1193,21,0)</f>
        <v>0</v>
      </c>
      <c r="V10" s="34">
        <f>VLOOKUP(A10,'SSP_March''19'!$A$3:$X$1193,22,0)</f>
        <v>1</v>
      </c>
      <c r="W10" s="34">
        <f>VLOOKUP(A10,'SSP_March''19'!$A$3:$X$1193,23,0)</f>
        <v>0</v>
      </c>
      <c r="X10" s="34">
        <f>VLOOKUP(A10,'SSP_March''19'!$A$3:$X$1193,24,0)</f>
        <v>0</v>
      </c>
    </row>
    <row r="11" spans="1:24">
      <c r="A11" s="54" t="s">
        <v>2710</v>
      </c>
      <c r="B11" s="54" t="s">
        <v>73</v>
      </c>
      <c r="C11" s="54" t="s">
        <v>71</v>
      </c>
      <c r="D11" s="54" t="s">
        <v>72</v>
      </c>
      <c r="E11" s="54" t="s">
        <v>0</v>
      </c>
      <c r="F11" s="54" t="s">
        <v>2711</v>
      </c>
      <c r="G11" s="54">
        <v>1768544552</v>
      </c>
      <c r="H11" s="54" t="s">
        <v>229</v>
      </c>
      <c r="I11" s="54" t="s">
        <v>3514</v>
      </c>
      <c r="J11" s="34" t="s">
        <v>3419</v>
      </c>
      <c r="K11" s="43">
        <f>VLOOKUP(A11,'SSP_March''19'!$A$3:$L$1193,11,0)</f>
        <v>162143</v>
      </c>
      <c r="L11" s="43">
        <f>VLOOKUP(A11,'SSP_March''19'!$A$3:$L$1193,12,0)</f>
        <v>95100</v>
      </c>
      <c r="M11" s="44">
        <f t="shared" si="3"/>
        <v>0.5865193070314475</v>
      </c>
      <c r="N11" s="49">
        <f>ROUND(VLOOKUP(A11,'SSP_March''19'!$A$3:$N$1193,14,0),0)</f>
        <v>294810</v>
      </c>
      <c r="O11" s="44">
        <f t="shared" si="4"/>
        <v>1.8182098517974874</v>
      </c>
      <c r="P11" s="45">
        <f>VLOOKUP(A11,'SSP_March''19'!$A$3:$Q$1193,16,0)</f>
        <v>11</v>
      </c>
      <c r="Q11" s="34">
        <f>VLOOKUP(A11,'SSP_March''19'!$A$3:$Q$1193,17,0)</f>
        <v>5</v>
      </c>
      <c r="R11" s="35">
        <f t="shared" si="5"/>
        <v>0.45454545454545453</v>
      </c>
      <c r="S11" s="49">
        <f>ROUND(VLOOKUP(A11,'SSP_March''19'!$A$3:$T$1193,19,0),0)</f>
        <v>16</v>
      </c>
      <c r="T11" s="44">
        <f>VLOOKUP(A11,'SSP_March''19'!$A$3:$T$1193,20,0)</f>
        <v>1.4545454545454546</v>
      </c>
      <c r="U11" s="34">
        <f>VLOOKUP(A11,'SSP_March''19'!$A$3:$X$1193,21,0)</f>
        <v>1</v>
      </c>
      <c r="V11" s="34">
        <f>VLOOKUP(A11,'SSP_March''19'!$A$3:$X$1193,22,0)</f>
        <v>1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54" t="s">
        <v>2550</v>
      </c>
      <c r="B12" s="54" t="s">
        <v>2551</v>
      </c>
      <c r="C12" s="54" t="s">
        <v>71</v>
      </c>
      <c r="D12" s="54" t="s">
        <v>72</v>
      </c>
      <c r="E12" s="54" t="s">
        <v>0</v>
      </c>
      <c r="F12" s="54" t="s">
        <v>2552</v>
      </c>
      <c r="G12" s="54">
        <v>1986131415</v>
      </c>
      <c r="H12" s="54" t="s">
        <v>229</v>
      </c>
      <c r="I12" s="54" t="s">
        <v>3514</v>
      </c>
      <c r="J12" s="34" t="s">
        <v>3419</v>
      </c>
      <c r="K12" s="43">
        <f>VLOOKUP(A12,'SSP_March''19'!$A$3:$L$1193,11,0)</f>
        <v>140000</v>
      </c>
      <c r="L12" s="43">
        <f>VLOOKUP(A12,'SSP_March''19'!$A$3:$L$1193,12,0)</f>
        <v>13770</v>
      </c>
      <c r="M12" s="44">
        <f t="shared" si="3"/>
        <v>9.8357142857142851E-2</v>
      </c>
      <c r="N12" s="49">
        <f>ROUND(VLOOKUP(A12,'SSP_March''19'!$A$3:$N$1193,14,0),0)</f>
        <v>42687</v>
      </c>
      <c r="O12" s="44">
        <f t="shared" si="4"/>
        <v>0.30490714285714288</v>
      </c>
      <c r="P12" s="45">
        <f>VLOOKUP(A12,'SSP_March''19'!$A$3:$Q$1193,16,0)</f>
        <v>10</v>
      </c>
      <c r="Q12" s="34">
        <f>VLOOKUP(A12,'SSP_March''19'!$A$3:$Q$1193,17,0)</f>
        <v>0</v>
      </c>
      <c r="R12" s="35">
        <f t="shared" si="5"/>
        <v>0</v>
      </c>
      <c r="S12" s="49">
        <f>ROUND(VLOOKUP(A12,'SSP_March''19'!$A$3:$T$1193,19,0),0)</f>
        <v>0</v>
      </c>
      <c r="T12" s="44">
        <f>VLOOKUP(A12,'SSP_March''19'!$A$3:$T$1193,20,0)</f>
        <v>0</v>
      </c>
      <c r="U12" s="34">
        <f>VLOOKUP(A12,'SSP_March''19'!$A$3:$X$1193,21,0)</f>
        <v>0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54" t="s">
        <v>2602</v>
      </c>
      <c r="B13" s="54" t="s">
        <v>2603</v>
      </c>
      <c r="C13" s="54" t="s">
        <v>71</v>
      </c>
      <c r="D13" s="54" t="s">
        <v>72</v>
      </c>
      <c r="E13" s="54" t="s">
        <v>0</v>
      </c>
      <c r="F13" s="54" t="s">
        <v>2604</v>
      </c>
      <c r="G13" s="54">
        <v>1820573235</v>
      </c>
      <c r="H13" s="54" t="s">
        <v>229</v>
      </c>
      <c r="I13" s="54" t="s">
        <v>3514</v>
      </c>
      <c r="J13" s="34" t="s">
        <v>3421</v>
      </c>
      <c r="K13" s="43">
        <f>VLOOKUP(A13,'SSP_March''19'!$A$3:$L$1193,11,0)</f>
        <v>140000</v>
      </c>
      <c r="L13" s="43">
        <f>VLOOKUP(A13,'SSP_March''19'!$A$3:$L$1193,12,0)</f>
        <v>11480</v>
      </c>
      <c r="M13" s="44">
        <f t="shared" si="3"/>
        <v>8.2000000000000003E-2</v>
      </c>
      <c r="N13" s="49">
        <f>ROUND(VLOOKUP(A13,'SSP_March''19'!$A$3:$N$1193,14,0),0)</f>
        <v>35588</v>
      </c>
      <c r="O13" s="44">
        <f t="shared" si="4"/>
        <v>0.25419999999999998</v>
      </c>
      <c r="P13" s="45">
        <f>VLOOKUP(A13,'SSP_March''19'!$A$3:$Q$1193,16,0)</f>
        <v>10</v>
      </c>
      <c r="Q13" s="34">
        <f>VLOOKUP(A13,'SSP_March''19'!$A$3:$Q$1193,17,0)</f>
        <v>1</v>
      </c>
      <c r="R13" s="35">
        <f t="shared" si="5"/>
        <v>0.1</v>
      </c>
      <c r="S13" s="49">
        <f>ROUND(VLOOKUP(A13,'SSP_March''19'!$A$3:$T$1193,19,0),0)</f>
        <v>3</v>
      </c>
      <c r="T13" s="44">
        <f>VLOOKUP(A13,'SSP_March''19'!$A$3:$T$1193,20,0)</f>
        <v>0.3</v>
      </c>
      <c r="U13" s="34">
        <f>VLOOKUP(A13,'SSP_March''19'!$A$3:$X$1193,21,0)</f>
        <v>0</v>
      </c>
      <c r="V13" s="34">
        <f>VLOOKUP(A13,'SSP_March''19'!$A$3:$X$1193,22,0)</f>
        <v>0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54" t="s">
        <v>2860</v>
      </c>
      <c r="B14" s="54" t="s">
        <v>2861</v>
      </c>
      <c r="C14" s="54" t="s">
        <v>71</v>
      </c>
      <c r="D14" s="54" t="s">
        <v>72</v>
      </c>
      <c r="E14" s="54" t="s">
        <v>0</v>
      </c>
      <c r="F14" s="54" t="s">
        <v>2862</v>
      </c>
      <c r="G14" s="54">
        <v>1818363381</v>
      </c>
      <c r="H14" s="54" t="s">
        <v>229</v>
      </c>
      <c r="I14" s="54" t="s">
        <v>3514</v>
      </c>
      <c r="J14" s="34" t="s">
        <v>3421</v>
      </c>
      <c r="K14" s="43">
        <f>VLOOKUP(A14,'SSP_March''19'!$A$3:$L$1193,11,0)</f>
        <v>140000</v>
      </c>
      <c r="L14" s="43">
        <f>VLOOKUP(A14,'SSP_March''19'!$A$3:$L$1193,12,0)</f>
        <v>14680</v>
      </c>
      <c r="M14" s="44">
        <f t="shared" si="3"/>
        <v>0.10485714285714286</v>
      </c>
      <c r="N14" s="49">
        <f>ROUND(VLOOKUP(A14,'SSP_March''19'!$A$3:$N$1193,14,0),0)</f>
        <v>45508</v>
      </c>
      <c r="O14" s="44">
        <f t="shared" si="4"/>
        <v>0.32505714285714288</v>
      </c>
      <c r="P14" s="45">
        <f>VLOOKUP(A14,'SSP_March''19'!$A$3:$Q$1193,16,0)</f>
        <v>10</v>
      </c>
      <c r="Q14" s="34">
        <f>VLOOKUP(A14,'SSP_March''19'!$A$3:$Q$1193,17,0)</f>
        <v>2</v>
      </c>
      <c r="R14" s="35">
        <f t="shared" si="5"/>
        <v>0.2</v>
      </c>
      <c r="S14" s="49">
        <f>ROUND(VLOOKUP(A14,'SSP_March''19'!$A$3:$T$1193,19,0),0)</f>
        <v>6</v>
      </c>
      <c r="T14" s="44">
        <f>VLOOKUP(A14,'SSP_March''19'!$A$3:$T$1193,20,0)</f>
        <v>0.6</v>
      </c>
      <c r="U14" s="34">
        <f>VLOOKUP(A14,'SSP_March''19'!$A$3:$X$1193,21,0)</f>
        <v>0</v>
      </c>
      <c r="V14" s="34">
        <f>VLOOKUP(A14,'SSP_March''19'!$A$3:$X$1193,22,0)</f>
        <v>0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54" t="s">
        <v>2417</v>
      </c>
      <c r="B15" s="54" t="s">
        <v>2418</v>
      </c>
      <c r="C15" s="54" t="s">
        <v>71</v>
      </c>
      <c r="D15" s="54" t="s">
        <v>72</v>
      </c>
      <c r="E15" s="54" t="s">
        <v>0</v>
      </c>
      <c r="F15" s="54" t="s">
        <v>2419</v>
      </c>
      <c r="G15" s="54">
        <v>1813072099</v>
      </c>
      <c r="H15" s="54" t="s">
        <v>229</v>
      </c>
      <c r="I15" s="54" t="s">
        <v>3514</v>
      </c>
      <c r="J15" s="34" t="s">
        <v>3419</v>
      </c>
      <c r="K15" s="43">
        <f>VLOOKUP(A15,'SSP_March''19'!$A$3:$L$1193,11,0)</f>
        <v>187949</v>
      </c>
      <c r="L15" s="43">
        <f>VLOOKUP(A15,'SSP_March''19'!$A$3:$L$1193,12,0)</f>
        <v>88044</v>
      </c>
      <c r="M15" s="44">
        <f t="shared" si="3"/>
        <v>0.46844622743403797</v>
      </c>
      <c r="N15" s="49">
        <f>ROUND(VLOOKUP(A15,'SSP_March''19'!$A$3:$N$1193,14,0),0)</f>
        <v>272936</v>
      </c>
      <c r="O15" s="44">
        <f t="shared" si="4"/>
        <v>1.4521811768086024</v>
      </c>
      <c r="P15" s="45">
        <f>VLOOKUP(A15,'SSP_March''19'!$A$3:$Q$1193,16,0)</f>
        <v>11</v>
      </c>
      <c r="Q15" s="34">
        <f>VLOOKUP(A15,'SSP_March''19'!$A$3:$Q$1193,17,0)</f>
        <v>6</v>
      </c>
      <c r="R15" s="35">
        <f t="shared" si="5"/>
        <v>0.54545454545454541</v>
      </c>
      <c r="S15" s="49">
        <f>ROUND(VLOOKUP(A15,'SSP_March''19'!$A$3:$T$1193,19,0),0)</f>
        <v>19</v>
      </c>
      <c r="T15" s="44">
        <f>VLOOKUP(A15,'SSP_March''19'!$A$3:$T$1193,20,0)</f>
        <v>1.7272727272727273</v>
      </c>
      <c r="U15" s="34">
        <f>VLOOKUP(A15,'SSP_March''19'!$A$3:$X$1193,21,0)</f>
        <v>0</v>
      </c>
      <c r="V15" s="34">
        <f>VLOOKUP(A15,'SSP_March''19'!$A$3:$X$1193,22,0)</f>
        <v>1</v>
      </c>
      <c r="W15" s="34">
        <f>VLOOKUP(A15,'SSP_March''19'!$A$3:$X$1193,23,0)</f>
        <v>0</v>
      </c>
      <c r="X15" s="34">
        <f>VLOOKUP(A15,'SSP_March''19'!$A$3:$X$1193,24,0)</f>
        <v>0</v>
      </c>
    </row>
    <row r="16" spans="1:24">
      <c r="A16" s="54" t="s">
        <v>2809</v>
      </c>
      <c r="B16" s="54" t="s">
        <v>2810</v>
      </c>
      <c r="C16" s="54" t="s">
        <v>71</v>
      </c>
      <c r="D16" s="54" t="s">
        <v>72</v>
      </c>
      <c r="E16" s="54" t="s">
        <v>0</v>
      </c>
      <c r="F16" s="54" t="s">
        <v>2811</v>
      </c>
      <c r="G16" s="54">
        <v>1713586580</v>
      </c>
      <c r="H16" s="54" t="s">
        <v>229</v>
      </c>
      <c r="I16" s="54" t="s">
        <v>3514</v>
      </c>
      <c r="J16" s="34" t="s">
        <v>3421</v>
      </c>
      <c r="K16" s="43">
        <f>VLOOKUP(A16,'SSP_March''19'!$A$3:$L$1193,11,0)</f>
        <v>140000</v>
      </c>
      <c r="L16" s="43">
        <f>VLOOKUP(A16,'SSP_March''19'!$A$3:$L$1193,12,0)</f>
        <v>8490</v>
      </c>
      <c r="M16" s="44">
        <f t="shared" si="0"/>
        <v>6.0642857142857144E-2</v>
      </c>
      <c r="N16" s="49">
        <f>ROUND(VLOOKUP(A16,'SSP_March''19'!$A$3:$N$1193,14,0),0)</f>
        <v>26319</v>
      </c>
      <c r="O16" s="44">
        <f t="shared" si="1"/>
        <v>0.18799285714285716</v>
      </c>
      <c r="P16" s="45">
        <f>VLOOKUP(A16,'SSP_March''19'!$A$3:$Q$1193,16,0)</f>
        <v>10</v>
      </c>
      <c r="Q16" s="34">
        <f>VLOOKUP(A16,'SSP_March''19'!$A$3:$Q$1193,17,0)</f>
        <v>1</v>
      </c>
      <c r="R16" s="35">
        <f t="shared" si="2"/>
        <v>0.1</v>
      </c>
      <c r="S16" s="49">
        <f>ROUND(VLOOKUP(A16,'SSP_March''19'!$A$3:$T$1193,19,0),0)</f>
        <v>3</v>
      </c>
      <c r="T16" s="44">
        <f>VLOOKUP(A16,'SSP_March''19'!$A$3:$T$1193,20,0)</f>
        <v>0.3</v>
      </c>
      <c r="U16" s="34">
        <f>VLOOKUP(A16,'SSP_March''19'!$A$3:$X$1193,21,0)</f>
        <v>0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54" t="s">
        <v>2871</v>
      </c>
      <c r="B17" s="54" t="s">
        <v>2872</v>
      </c>
      <c r="C17" s="54" t="s">
        <v>71</v>
      </c>
      <c r="D17" s="54" t="s">
        <v>72</v>
      </c>
      <c r="E17" s="54" t="s">
        <v>0</v>
      </c>
      <c r="F17" s="54" t="s">
        <v>2873</v>
      </c>
      <c r="G17" s="54">
        <v>1711669519</v>
      </c>
      <c r="H17" s="54" t="s">
        <v>229</v>
      </c>
      <c r="I17" s="54" t="s">
        <v>3514</v>
      </c>
      <c r="J17" s="34" t="s">
        <v>3419</v>
      </c>
      <c r="K17" s="43">
        <f>VLOOKUP(A17,'SSP_March''19'!$A$3:$L$1193,11,0)</f>
        <v>237392</v>
      </c>
      <c r="L17" s="43">
        <f>VLOOKUP(A17,'SSP_March''19'!$A$3:$L$1193,12,0)</f>
        <v>44810</v>
      </c>
      <c r="M17" s="44">
        <f t="shared" si="0"/>
        <v>0.18875952011862238</v>
      </c>
      <c r="N17" s="49">
        <f>ROUND(VLOOKUP(A17,'SSP_March''19'!$A$3:$N$1193,14,0),0)</f>
        <v>138911</v>
      </c>
      <c r="O17" s="44">
        <f t="shared" si="1"/>
        <v>0.58515451236772931</v>
      </c>
      <c r="P17" s="45">
        <f>VLOOKUP(A17,'SSP_March''19'!$A$3:$Q$1193,16,0)</f>
        <v>10</v>
      </c>
      <c r="Q17" s="34">
        <f>VLOOKUP(A17,'SSP_March''19'!$A$3:$Q$1193,17,0)</f>
        <v>0</v>
      </c>
      <c r="R17" s="35">
        <f t="shared" si="2"/>
        <v>0</v>
      </c>
      <c r="S17" s="49">
        <f>ROUND(VLOOKUP(A17,'SSP_March''19'!$A$3:$T$1193,19,0),0)</f>
        <v>0</v>
      </c>
      <c r="T17" s="44">
        <f>VLOOKUP(A17,'SSP_March''19'!$A$3:$T$1193,20,0)</f>
        <v>0</v>
      </c>
      <c r="U17" s="34">
        <f>VLOOKUP(A17,'SSP_March''19'!$A$3:$X$1193,21,0)</f>
        <v>1</v>
      </c>
      <c r="V17" s="34">
        <f>VLOOKUP(A17,'SSP_March''19'!$A$3:$X$1193,22,0)</f>
        <v>0</v>
      </c>
      <c r="W17" s="34">
        <f>VLOOKUP(A17,'SSP_March''19'!$A$3:$X$1193,23,0)</f>
        <v>0</v>
      </c>
      <c r="X17" s="34">
        <f>VLOOKUP(A17,'SSP_March''19'!$A$3:$X$1193,24,0)</f>
        <v>0</v>
      </c>
    </row>
    <row r="18" spans="1:24">
      <c r="A18" s="54" t="s">
        <v>2631</v>
      </c>
      <c r="B18" s="54" t="s">
        <v>2632</v>
      </c>
      <c r="C18" s="54" t="s">
        <v>71</v>
      </c>
      <c r="D18" s="54" t="s">
        <v>72</v>
      </c>
      <c r="E18" s="54" t="s">
        <v>0</v>
      </c>
      <c r="F18" s="54" t="s">
        <v>2633</v>
      </c>
      <c r="G18" s="54">
        <v>1711938262</v>
      </c>
      <c r="H18" s="54" t="s">
        <v>229</v>
      </c>
      <c r="I18" s="54" t="s">
        <v>3514</v>
      </c>
      <c r="J18" s="34" t="s">
        <v>3421</v>
      </c>
      <c r="K18" s="43">
        <f>VLOOKUP(A18,'SSP_March''19'!$A$3:$L$1193,11,0)</f>
        <v>140000</v>
      </c>
      <c r="L18" s="43">
        <f>VLOOKUP(A18,'SSP_March''19'!$A$3:$L$1193,12,0)</f>
        <v>5290</v>
      </c>
      <c r="M18" s="44">
        <f t="shared" si="0"/>
        <v>3.7785714285714284E-2</v>
      </c>
      <c r="N18" s="49">
        <f>ROUND(VLOOKUP(A18,'SSP_March''19'!$A$3:$N$1193,14,0),0)</f>
        <v>16399</v>
      </c>
      <c r="O18" s="44">
        <f t="shared" si="1"/>
        <v>0.11713571428571429</v>
      </c>
      <c r="P18" s="45">
        <f>VLOOKUP(A18,'SSP_March''19'!$A$3:$Q$1193,16,0)</f>
        <v>10</v>
      </c>
      <c r="Q18" s="34">
        <f>VLOOKUP(A18,'SSP_March''19'!$A$3:$Q$1193,17,0)</f>
        <v>0</v>
      </c>
      <c r="R18" s="35">
        <f t="shared" si="2"/>
        <v>0</v>
      </c>
      <c r="S18" s="49">
        <f>ROUND(VLOOKUP(A18,'SSP_March''19'!$A$3:$T$1193,19,0),0)</f>
        <v>0</v>
      </c>
      <c r="T18" s="44">
        <f>VLOOKUP(A18,'SSP_March''19'!$A$3:$T$1193,20,0)</f>
        <v>0</v>
      </c>
      <c r="U18" s="34">
        <f>VLOOKUP(A18,'SSP_March''19'!$A$3:$X$1193,21,0)</f>
        <v>0</v>
      </c>
      <c r="V18" s="34">
        <f>VLOOKUP(A18,'SSP_March''19'!$A$3:$X$1193,22,0)</f>
        <v>0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54" t="s">
        <v>2505</v>
      </c>
      <c r="B19" s="54" t="s">
        <v>2506</v>
      </c>
      <c r="C19" s="54" t="s">
        <v>168</v>
      </c>
      <c r="D19" s="54" t="s">
        <v>72</v>
      </c>
      <c r="E19" s="54" t="s">
        <v>0</v>
      </c>
      <c r="F19" s="54" t="s">
        <v>2507</v>
      </c>
      <c r="G19" s="54">
        <v>1986753423</v>
      </c>
      <c r="H19" s="54" t="s">
        <v>229</v>
      </c>
      <c r="I19" s="54" t="s">
        <v>3514</v>
      </c>
      <c r="J19" s="34" t="s">
        <v>3421</v>
      </c>
      <c r="K19" s="43">
        <f>VLOOKUP(A19,'SSP_March''19'!$A$3:$L$1193,11,0)</f>
        <v>205377</v>
      </c>
      <c r="L19" s="43">
        <f>VLOOKUP(A19,'SSP_March''19'!$A$3:$L$1193,12,0)</f>
        <v>87924</v>
      </c>
      <c r="M19" s="44">
        <f t="shared" si="0"/>
        <v>0.42811025577352868</v>
      </c>
      <c r="N19" s="49">
        <f>ROUND(VLOOKUP(A19,'SSP_March''19'!$A$3:$N$1193,14,0),0)</f>
        <v>272564</v>
      </c>
      <c r="O19" s="44">
        <f t="shared" si="1"/>
        <v>1.3271398452601801</v>
      </c>
      <c r="P19" s="45">
        <f>VLOOKUP(A19,'SSP_March''19'!$A$3:$Q$1193,16,0)</f>
        <v>11</v>
      </c>
      <c r="Q19" s="34">
        <f>VLOOKUP(A19,'SSP_March''19'!$A$3:$Q$1193,17,0)</f>
        <v>9</v>
      </c>
      <c r="R19" s="35">
        <f t="shared" si="2"/>
        <v>0.81818181818181823</v>
      </c>
      <c r="S19" s="49">
        <f>ROUND(VLOOKUP(A19,'SSP_March''19'!$A$3:$T$1193,19,0),0)</f>
        <v>28</v>
      </c>
      <c r="T19" s="44">
        <f>VLOOKUP(A19,'SSP_March''19'!$A$3:$T$1193,20,0)</f>
        <v>2.5454545454545454</v>
      </c>
      <c r="U19" s="34">
        <f>VLOOKUP(A19,'SSP_March''19'!$A$3:$X$1193,21,0)</f>
        <v>0</v>
      </c>
      <c r="V19" s="34">
        <f>VLOOKUP(A19,'SSP_March''19'!$A$3:$X$1193,22,0)</f>
        <v>2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54" t="s">
        <v>2497</v>
      </c>
      <c r="B20" s="54" t="s">
        <v>2498</v>
      </c>
      <c r="C20" s="54" t="s">
        <v>168</v>
      </c>
      <c r="D20" s="54" t="s">
        <v>72</v>
      </c>
      <c r="E20" s="54" t="s">
        <v>0</v>
      </c>
      <c r="F20" s="54" t="s">
        <v>351</v>
      </c>
      <c r="G20" s="54">
        <v>1911625251</v>
      </c>
      <c r="H20" s="54" t="s">
        <v>229</v>
      </c>
      <c r="I20" s="54" t="s">
        <v>3514</v>
      </c>
      <c r="J20" s="34" t="s">
        <v>3419</v>
      </c>
      <c r="K20" s="43">
        <f>VLOOKUP(A20,'SSP_March''19'!$A$3:$L$1193,11,0)</f>
        <v>174643</v>
      </c>
      <c r="L20" s="43">
        <f>VLOOKUP(A20,'SSP_March''19'!$A$3:$L$1193,12,0)</f>
        <v>60490</v>
      </c>
      <c r="M20" s="44">
        <f t="shared" si="0"/>
        <v>0.34636372485584876</v>
      </c>
      <c r="N20" s="49">
        <f>ROUND(VLOOKUP(A20,'SSP_March''19'!$A$3:$N$1193,14,0),0)</f>
        <v>187519</v>
      </c>
      <c r="O20" s="44">
        <f t="shared" si="1"/>
        <v>1.0737275470531313</v>
      </c>
      <c r="P20" s="45">
        <f>VLOOKUP(A20,'SSP_March''19'!$A$3:$Q$1193,16,0)</f>
        <v>10</v>
      </c>
      <c r="Q20" s="34">
        <f>VLOOKUP(A20,'SSP_March''19'!$A$3:$Q$1193,17,0)</f>
        <v>3</v>
      </c>
      <c r="R20" s="35">
        <f t="shared" si="2"/>
        <v>0.3</v>
      </c>
      <c r="S20" s="49">
        <f>ROUND(VLOOKUP(A20,'SSP_March''19'!$A$3:$T$1193,19,0),0)</f>
        <v>9</v>
      </c>
      <c r="T20" s="44">
        <f>VLOOKUP(A20,'SSP_March''19'!$A$3:$T$1193,20,0)</f>
        <v>0.9</v>
      </c>
      <c r="U20" s="34">
        <f>VLOOKUP(A20,'SSP_March''19'!$A$3:$X$1193,21,0)</f>
        <v>1</v>
      </c>
      <c r="V20" s="34">
        <f>VLOOKUP(A20,'SSP_March''19'!$A$3:$X$1193,22,0)</f>
        <v>0</v>
      </c>
      <c r="W20" s="34">
        <f>VLOOKUP(A20,'SSP_March''19'!$A$3:$X$1193,23,0)</f>
        <v>0</v>
      </c>
      <c r="X20" s="34">
        <f>VLOOKUP(A20,'SSP_March''19'!$A$3:$X$1193,24,0)</f>
        <v>0</v>
      </c>
    </row>
    <row r="21" spans="1:24">
      <c r="A21" s="54" t="s">
        <v>3272</v>
      </c>
      <c r="B21" s="54" t="s">
        <v>1485</v>
      </c>
      <c r="C21" s="54" t="s">
        <v>168</v>
      </c>
      <c r="D21" s="54" t="s">
        <v>72</v>
      </c>
      <c r="E21" s="54" t="s">
        <v>0</v>
      </c>
      <c r="F21" s="54" t="s">
        <v>3273</v>
      </c>
      <c r="G21" s="54">
        <v>1716846694</v>
      </c>
      <c r="H21" s="54" t="s">
        <v>229</v>
      </c>
      <c r="I21" s="54" t="s">
        <v>3514</v>
      </c>
      <c r="J21" s="34" t="s">
        <v>3421</v>
      </c>
      <c r="K21" s="43">
        <f>VLOOKUP(A21,'SSP_March''19'!$A$3:$L$1193,11,0)</f>
        <v>150000</v>
      </c>
      <c r="L21" s="43">
        <f>VLOOKUP(A21,'SSP_March''19'!$A$3:$L$1193,12,0)</f>
        <v>54290</v>
      </c>
      <c r="M21" s="44">
        <f t="shared" si="0"/>
        <v>0.36193333333333333</v>
      </c>
      <c r="N21" s="49">
        <f>ROUND(VLOOKUP(A21,'SSP_March''19'!$A$3:$N$1193,14,0),0)</f>
        <v>168299</v>
      </c>
      <c r="O21" s="44">
        <f t="shared" si="1"/>
        <v>1.1219933333333334</v>
      </c>
      <c r="P21" s="45">
        <f>VLOOKUP(A21,'SSP_March''19'!$A$3:$Q$1193,16,0)</f>
        <v>10</v>
      </c>
      <c r="Q21" s="34">
        <f>VLOOKUP(A21,'SSP_March''19'!$A$3:$Q$1193,17,0)</f>
        <v>0</v>
      </c>
      <c r="R21" s="35">
        <f t="shared" si="2"/>
        <v>0</v>
      </c>
      <c r="S21" s="49">
        <f>ROUND(VLOOKUP(A21,'SSP_March''19'!$A$3:$T$1193,19,0),0)</f>
        <v>0</v>
      </c>
      <c r="T21" s="44">
        <f>VLOOKUP(A21,'SSP_March''19'!$A$3:$T$1193,20,0)</f>
        <v>0</v>
      </c>
      <c r="U21" s="34">
        <f>VLOOKUP(A21,'SSP_March''19'!$A$3:$X$1193,21,0)</f>
        <v>2</v>
      </c>
      <c r="V21" s="34">
        <f>VLOOKUP(A21,'SSP_March''19'!$A$3:$X$1193,22,0)</f>
        <v>0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54" t="s">
        <v>2748</v>
      </c>
      <c r="B22" s="54" t="s">
        <v>2749</v>
      </c>
      <c r="C22" s="54" t="s">
        <v>168</v>
      </c>
      <c r="D22" s="54" t="s">
        <v>72</v>
      </c>
      <c r="E22" s="54" t="s">
        <v>0</v>
      </c>
      <c r="F22" s="54" t="s">
        <v>2750</v>
      </c>
      <c r="G22" s="54">
        <v>1711900882</v>
      </c>
      <c r="H22" s="54" t="s">
        <v>229</v>
      </c>
      <c r="I22" s="54" t="s">
        <v>3514</v>
      </c>
      <c r="J22" s="34" t="s">
        <v>3421</v>
      </c>
      <c r="K22" s="43">
        <f>VLOOKUP(A22,'SSP_March''19'!$A$3:$L$1193,11,0)</f>
        <v>184176</v>
      </c>
      <c r="L22" s="43">
        <f>VLOOKUP(A22,'SSP_March''19'!$A$3:$L$1193,12,0)</f>
        <v>54800</v>
      </c>
      <c r="M22" s="44">
        <f t="shared" si="0"/>
        <v>0.29754148206063763</v>
      </c>
      <c r="N22" s="49">
        <f>ROUND(VLOOKUP(A22,'SSP_March''19'!$A$3:$N$1193,14,0),0)</f>
        <v>169880</v>
      </c>
      <c r="O22" s="44">
        <f t="shared" si="1"/>
        <v>0.92237859438797676</v>
      </c>
      <c r="P22" s="45">
        <f>VLOOKUP(A22,'SSP_March''19'!$A$3:$Q$1193,16,0)</f>
        <v>11</v>
      </c>
      <c r="Q22" s="34">
        <f>VLOOKUP(A22,'SSP_March''19'!$A$3:$Q$1193,17,0)</f>
        <v>1</v>
      </c>
      <c r="R22" s="35">
        <f t="shared" si="2"/>
        <v>9.0909090909090912E-2</v>
      </c>
      <c r="S22" s="49">
        <f>ROUND(VLOOKUP(A22,'SSP_March''19'!$A$3:$T$1193,19,0),0)</f>
        <v>3</v>
      </c>
      <c r="T22" s="44">
        <f>VLOOKUP(A22,'SSP_March''19'!$A$3:$T$1193,20,0)</f>
        <v>0.27272727272727271</v>
      </c>
      <c r="U22" s="34">
        <f>VLOOKUP(A22,'SSP_March''19'!$A$3:$X$1193,21,0)</f>
        <v>0</v>
      </c>
      <c r="V22" s="34">
        <f>VLOOKUP(A22,'SSP_March''19'!$A$3:$X$1193,22,0)</f>
        <v>0</v>
      </c>
      <c r="W22" s="34">
        <f>VLOOKUP(A22,'SSP_March''19'!$A$3:$X$1193,23,0)</f>
        <v>0</v>
      </c>
      <c r="X22" s="34">
        <f>VLOOKUP(A22,'SSP_March''19'!$A$3:$X$1193,24,0)</f>
        <v>0</v>
      </c>
    </row>
    <row r="23" spans="1:24">
      <c r="A23" s="54" t="s">
        <v>2414</v>
      </c>
      <c r="B23" s="54" t="s">
        <v>2415</v>
      </c>
      <c r="C23" s="54" t="s">
        <v>168</v>
      </c>
      <c r="D23" s="54" t="s">
        <v>72</v>
      </c>
      <c r="E23" s="54" t="s">
        <v>0</v>
      </c>
      <c r="F23" s="54" t="s">
        <v>2416</v>
      </c>
      <c r="G23" s="54">
        <v>1990513271</v>
      </c>
      <c r="H23" s="54" t="s">
        <v>229</v>
      </c>
      <c r="I23" s="54" t="s">
        <v>3514</v>
      </c>
      <c r="J23" s="34" t="s">
        <v>3421</v>
      </c>
      <c r="K23" s="43">
        <f>VLOOKUP(A23,'SSP_March''19'!$A$3:$L$1193,11,0)</f>
        <v>150000</v>
      </c>
      <c r="L23" s="43">
        <f>VLOOKUP(A23,'SSP_March''19'!$A$3:$L$1193,12,0)</f>
        <v>35340</v>
      </c>
      <c r="M23" s="44">
        <f t="shared" si="0"/>
        <v>0.2356</v>
      </c>
      <c r="N23" s="49">
        <f>ROUND(VLOOKUP(A23,'SSP_March''19'!$A$3:$N$1193,14,0),0)</f>
        <v>109554</v>
      </c>
      <c r="O23" s="44">
        <f t="shared" si="1"/>
        <v>0.73036000000000001</v>
      </c>
      <c r="P23" s="45">
        <f>VLOOKUP(A23,'SSP_March''19'!$A$3:$Q$1193,16,0)</f>
        <v>11</v>
      </c>
      <c r="Q23" s="34">
        <f>VLOOKUP(A23,'SSP_March''19'!$A$3:$Q$1193,17,0)</f>
        <v>4</v>
      </c>
      <c r="R23" s="35">
        <f t="shared" si="2"/>
        <v>0.36363636363636365</v>
      </c>
      <c r="S23" s="49">
        <f>ROUND(VLOOKUP(A23,'SSP_March''19'!$A$3:$T$1193,19,0),0)</f>
        <v>12</v>
      </c>
      <c r="T23" s="44">
        <f>VLOOKUP(A23,'SSP_March''19'!$A$3:$T$1193,20,0)</f>
        <v>1.0909090909090908</v>
      </c>
      <c r="U23" s="34">
        <f>VLOOKUP(A23,'SSP_March''19'!$A$3:$X$1193,21,0)</f>
        <v>0</v>
      </c>
      <c r="V23" s="34">
        <f>VLOOKUP(A23,'SSP_March''19'!$A$3:$X$1193,22,0)</f>
        <v>3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54" t="s">
        <v>2400</v>
      </c>
      <c r="B24" s="54" t="s">
        <v>2401</v>
      </c>
      <c r="C24" s="54" t="s">
        <v>168</v>
      </c>
      <c r="D24" s="54" t="s">
        <v>72</v>
      </c>
      <c r="E24" s="54" t="s">
        <v>0</v>
      </c>
      <c r="F24" s="54" t="s">
        <v>2402</v>
      </c>
      <c r="G24" s="54">
        <v>1926867949</v>
      </c>
      <c r="H24" s="54" t="s">
        <v>229</v>
      </c>
      <c r="I24" s="54" t="s">
        <v>3514</v>
      </c>
      <c r="J24" s="34" t="s">
        <v>3515</v>
      </c>
      <c r="K24" s="43">
        <f>VLOOKUP(A24,'SSP_March''19'!$A$3:$L$1193,11,0)</f>
        <v>278021</v>
      </c>
      <c r="L24" s="43">
        <f>VLOOKUP(A24,'SSP_March''19'!$A$3:$L$1193,12,0)</f>
        <v>73275</v>
      </c>
      <c r="M24" s="44">
        <f t="shared" si="0"/>
        <v>0.26355922754036565</v>
      </c>
      <c r="N24" s="49">
        <f>ROUND(VLOOKUP(A24,'SSP_March''19'!$A$3:$N$1193,14,0),0)</f>
        <v>227153</v>
      </c>
      <c r="O24" s="44">
        <f t="shared" si="1"/>
        <v>0.81703540380043238</v>
      </c>
      <c r="P24" s="45">
        <f>VLOOKUP(A24,'SSP_March''19'!$A$3:$Q$1193,16,0)</f>
        <v>22</v>
      </c>
      <c r="Q24" s="34">
        <f>VLOOKUP(A24,'SSP_March''19'!$A$3:$Q$1193,17,0)</f>
        <v>7</v>
      </c>
      <c r="R24" s="35">
        <f t="shared" si="2"/>
        <v>0.31818181818181818</v>
      </c>
      <c r="S24" s="49">
        <f>ROUND(VLOOKUP(A24,'SSP_March''19'!$A$3:$T$1193,19,0),0)</f>
        <v>22</v>
      </c>
      <c r="T24" s="44">
        <f>VLOOKUP(A24,'SSP_March''19'!$A$3:$T$1193,20,0)</f>
        <v>1</v>
      </c>
      <c r="U24" s="34">
        <f>VLOOKUP(A24,'SSP_March''19'!$A$3:$X$1193,21,0)</f>
        <v>0</v>
      </c>
      <c r="V24" s="34">
        <f>VLOOKUP(A24,'SSP_March''19'!$A$3:$X$1193,22,0)</f>
        <v>2</v>
      </c>
      <c r="W24" s="34">
        <f>VLOOKUP(A24,'SSP_March''19'!$A$3:$X$1193,23,0)</f>
        <v>0</v>
      </c>
      <c r="X24" s="34">
        <f>VLOOKUP(A24,'SSP_March''19'!$A$3:$X$1193,24,0)</f>
        <v>0</v>
      </c>
    </row>
    <row r="25" spans="1:24">
      <c r="A25" s="54" t="s">
        <v>2537</v>
      </c>
      <c r="B25" s="54" t="s">
        <v>2538</v>
      </c>
      <c r="C25" s="54" t="s">
        <v>168</v>
      </c>
      <c r="D25" s="54" t="s">
        <v>72</v>
      </c>
      <c r="E25" s="54" t="s">
        <v>0</v>
      </c>
      <c r="F25" s="54" t="s">
        <v>2539</v>
      </c>
      <c r="G25" s="54">
        <v>1973011011</v>
      </c>
      <c r="H25" s="54" t="s">
        <v>229</v>
      </c>
      <c r="I25" s="54" t="s">
        <v>3514</v>
      </c>
      <c r="J25" s="34" t="s">
        <v>3419</v>
      </c>
      <c r="K25" s="43">
        <f>VLOOKUP(A25,'SSP_March''19'!$A$3:$L$1193,11,0)</f>
        <v>215438</v>
      </c>
      <c r="L25" s="43">
        <f>VLOOKUP(A25,'SSP_March''19'!$A$3:$L$1193,12,0)</f>
        <v>36730</v>
      </c>
      <c r="M25" s="44">
        <f t="shared" si="0"/>
        <v>0.17048988572118196</v>
      </c>
      <c r="N25" s="49">
        <f>ROUND(VLOOKUP(A25,'SSP_March''19'!$A$3:$N$1193,14,0),0)</f>
        <v>113863</v>
      </c>
      <c r="O25" s="44">
        <f t="shared" si="1"/>
        <v>0.52851864573566409</v>
      </c>
      <c r="P25" s="45">
        <f>VLOOKUP(A25,'SSP_March''19'!$A$3:$Q$1193,16,0)</f>
        <v>17</v>
      </c>
      <c r="Q25" s="34">
        <f>VLOOKUP(A25,'SSP_March''19'!$A$3:$Q$1193,17,0)</f>
        <v>2</v>
      </c>
      <c r="R25" s="35">
        <f t="shared" si="2"/>
        <v>0.11764705882352941</v>
      </c>
      <c r="S25" s="49">
        <f>ROUND(VLOOKUP(A25,'SSP_March''19'!$A$3:$T$1193,19,0),0)</f>
        <v>6</v>
      </c>
      <c r="T25" s="44">
        <f>VLOOKUP(A25,'SSP_March''19'!$A$3:$T$1193,20,0)</f>
        <v>0.35294117647058826</v>
      </c>
      <c r="U25" s="34">
        <f>VLOOKUP(A25,'SSP_March''19'!$A$3:$X$1193,21,0)</f>
        <v>0</v>
      </c>
      <c r="V25" s="34">
        <f>VLOOKUP(A25,'SSP_March''19'!$A$3:$X$1193,22,0)</f>
        <v>0</v>
      </c>
      <c r="W25" s="34">
        <f>VLOOKUP(A25,'SSP_March''19'!$A$3:$X$1193,23,0)</f>
        <v>0</v>
      </c>
      <c r="X25" s="34">
        <f>VLOOKUP(A25,'SSP_March''19'!$A$3:$X$1193,24,0)</f>
        <v>0</v>
      </c>
    </row>
    <row r="26" spans="1:24">
      <c r="A26" s="54" t="s">
        <v>2926</v>
      </c>
      <c r="B26" s="54" t="s">
        <v>880</v>
      </c>
      <c r="C26" s="54" t="s">
        <v>168</v>
      </c>
      <c r="D26" s="54" t="s">
        <v>72</v>
      </c>
      <c r="E26" s="54" t="s">
        <v>0</v>
      </c>
      <c r="F26" s="54" t="s">
        <v>1100</v>
      </c>
      <c r="G26" s="54">
        <v>1921505152</v>
      </c>
      <c r="H26" s="54" t="s">
        <v>229</v>
      </c>
      <c r="I26" s="54" t="s">
        <v>3514</v>
      </c>
      <c r="J26" s="34" t="s">
        <v>3421</v>
      </c>
      <c r="K26" s="43">
        <f>VLOOKUP(A26,'SSP_March''19'!$A$3:$L$1193,11,0)</f>
        <v>140000</v>
      </c>
      <c r="L26" s="43">
        <f>VLOOKUP(A26,'SSP_March''19'!$A$3:$L$1193,12,0)</f>
        <v>17870</v>
      </c>
      <c r="M26" s="44">
        <f t="shared" si="0"/>
        <v>0.12764285714285714</v>
      </c>
      <c r="N26" s="49">
        <f>ROUND(VLOOKUP(A26,'SSP_March''19'!$A$3:$N$1193,14,0),0)</f>
        <v>55397</v>
      </c>
      <c r="O26" s="44">
        <f t="shared" si="1"/>
        <v>0.39569285714285712</v>
      </c>
      <c r="P26" s="45">
        <f>VLOOKUP(A26,'SSP_March''19'!$A$3:$Q$1193,16,0)</f>
        <v>10</v>
      </c>
      <c r="Q26" s="34">
        <f>VLOOKUP(A26,'SSP_March''19'!$A$3:$Q$1193,17,0)</f>
        <v>1</v>
      </c>
      <c r="R26" s="35">
        <f t="shared" si="2"/>
        <v>0.1</v>
      </c>
      <c r="S26" s="49">
        <f>ROUND(VLOOKUP(A26,'SSP_March''19'!$A$3:$T$1193,19,0),0)</f>
        <v>3</v>
      </c>
      <c r="T26" s="44">
        <f>VLOOKUP(A26,'SSP_March''19'!$A$3:$T$1193,20,0)</f>
        <v>0.3</v>
      </c>
      <c r="U26" s="34">
        <f>VLOOKUP(A26,'SSP_March''19'!$A$3:$X$1193,21,0)</f>
        <v>0</v>
      </c>
      <c r="V26" s="34">
        <f>VLOOKUP(A26,'SSP_March''19'!$A$3:$X$1193,22,0)</f>
        <v>0</v>
      </c>
      <c r="W26" s="34">
        <f>VLOOKUP(A26,'SSP_March''19'!$A$3:$X$1193,23,0)</f>
        <v>0</v>
      </c>
      <c r="X26" s="34">
        <f>VLOOKUP(A26,'SSP_March''19'!$A$3:$X$1193,24,0)</f>
        <v>0</v>
      </c>
    </row>
    <row r="27" spans="1:24">
      <c r="A27" s="54" t="s">
        <v>2398</v>
      </c>
      <c r="B27" s="54" t="s">
        <v>2399</v>
      </c>
      <c r="C27" s="54" t="s">
        <v>168</v>
      </c>
      <c r="D27" s="54" t="s">
        <v>72</v>
      </c>
      <c r="E27" s="54" t="s">
        <v>0</v>
      </c>
      <c r="F27" s="54" t="s">
        <v>2005</v>
      </c>
      <c r="G27" s="54">
        <v>1846662267</v>
      </c>
      <c r="H27" s="54" t="s">
        <v>229</v>
      </c>
      <c r="I27" s="54" t="s">
        <v>3522</v>
      </c>
      <c r="J27" s="34" t="s">
        <v>3419</v>
      </c>
      <c r="K27" s="43">
        <f>VLOOKUP(A27,'SSP_March''19'!$A$3:$L$1193,11,0)</f>
        <v>663091</v>
      </c>
      <c r="L27" s="43">
        <f>VLOOKUP(A27,'SSP_March''19'!$A$3:$L$1193,12,0)</f>
        <v>172400</v>
      </c>
      <c r="M27" s="44">
        <f t="shared" si="0"/>
        <v>0.2599944803956018</v>
      </c>
      <c r="N27" s="49">
        <f>ROUND(VLOOKUP(A27,'SSP_March''19'!$A$3:$N$1193,14,0),0)</f>
        <v>534440</v>
      </c>
      <c r="O27" s="44">
        <f t="shared" si="1"/>
        <v>0.80598288922636563</v>
      </c>
      <c r="P27" s="45">
        <f>VLOOKUP(A27,'SSP_March''19'!$A$3:$Q$1193,16,0)</f>
        <v>40</v>
      </c>
      <c r="Q27" s="34">
        <f>VLOOKUP(A27,'SSP_March''19'!$A$3:$Q$1193,17,0)</f>
        <v>17</v>
      </c>
      <c r="R27" s="35">
        <f t="shared" si="2"/>
        <v>0.42499999999999999</v>
      </c>
      <c r="S27" s="49">
        <f>ROUND(VLOOKUP(A27,'SSP_March''19'!$A$3:$T$1193,19,0),0)</f>
        <v>53</v>
      </c>
      <c r="T27" s="44">
        <f>VLOOKUP(A27,'SSP_March''19'!$A$3:$T$1193,20,0)</f>
        <v>1.325</v>
      </c>
      <c r="U27" s="34">
        <f>VLOOKUP(A27,'SSP_March''19'!$A$3:$X$1193,21,0)</f>
        <v>1</v>
      </c>
      <c r="V27" s="34">
        <f>VLOOKUP(A27,'SSP_March''19'!$A$3:$X$1193,22,0)</f>
        <v>6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54" t="s">
        <v>2587</v>
      </c>
      <c r="B28" s="54" t="s">
        <v>2588</v>
      </c>
      <c r="C28" s="54" t="s">
        <v>168</v>
      </c>
      <c r="D28" s="54" t="s">
        <v>72</v>
      </c>
      <c r="E28" s="54" t="s">
        <v>0</v>
      </c>
      <c r="F28" s="54" t="s">
        <v>2589</v>
      </c>
      <c r="G28" s="54">
        <v>1923423640</v>
      </c>
      <c r="H28" s="54" t="s">
        <v>229</v>
      </c>
      <c r="I28" s="54" t="s">
        <v>3514</v>
      </c>
      <c r="J28" s="34" t="s">
        <v>3421</v>
      </c>
      <c r="K28" s="43">
        <f>VLOOKUP(A28,'SSP_March''19'!$A$3:$L$1193,11,0)</f>
        <v>130000</v>
      </c>
      <c r="L28" s="43">
        <f>VLOOKUP(A28,'SSP_March''19'!$A$3:$L$1193,12,0)</f>
        <v>35180</v>
      </c>
      <c r="M28" s="44">
        <f t="shared" si="0"/>
        <v>0.27061538461538459</v>
      </c>
      <c r="N28" s="49">
        <f>ROUND(VLOOKUP(A28,'SSP_March''19'!$A$3:$N$1193,14,0),0)</f>
        <v>109058</v>
      </c>
      <c r="O28" s="44">
        <f t="shared" si="1"/>
        <v>0.83890769230769235</v>
      </c>
      <c r="P28" s="45">
        <f>VLOOKUP(A28,'SSP_March''19'!$A$3:$Q$1193,16,0)</f>
        <v>10</v>
      </c>
      <c r="Q28" s="34">
        <f>VLOOKUP(A28,'SSP_March''19'!$A$3:$Q$1193,17,0)</f>
        <v>0</v>
      </c>
      <c r="R28" s="35">
        <f t="shared" si="2"/>
        <v>0</v>
      </c>
      <c r="S28" s="49">
        <f>ROUND(VLOOKUP(A28,'SSP_March''19'!$A$3:$T$1193,19,0),0)</f>
        <v>0</v>
      </c>
      <c r="T28" s="44">
        <f>VLOOKUP(A28,'SSP_March''19'!$A$3:$T$1193,20,0)</f>
        <v>0</v>
      </c>
      <c r="U28" s="34">
        <f>VLOOKUP(A28,'SSP_March''19'!$A$3:$X$1193,21,0)</f>
        <v>0</v>
      </c>
      <c r="V28" s="34">
        <f>VLOOKUP(A28,'SSP_March''19'!$A$3:$X$1193,22,0)</f>
        <v>0</v>
      </c>
      <c r="W28" s="34">
        <f>VLOOKUP(A28,'SSP_March''19'!$A$3:$X$1193,23,0)</f>
        <v>0</v>
      </c>
      <c r="X28" s="34">
        <f>VLOOKUP(A28,'SSP_March''19'!$A$3:$X$1193,24,0)</f>
        <v>0</v>
      </c>
    </row>
    <row r="29" spans="1:24">
      <c r="A29" s="54" t="s">
        <v>2769</v>
      </c>
      <c r="B29" s="54" t="s">
        <v>2770</v>
      </c>
      <c r="C29" s="54" t="s">
        <v>168</v>
      </c>
      <c r="D29" s="54" t="s">
        <v>72</v>
      </c>
      <c r="E29" s="54" t="s">
        <v>0</v>
      </c>
      <c r="F29" s="54" t="s">
        <v>2771</v>
      </c>
      <c r="G29" s="54">
        <v>1848070964</v>
      </c>
      <c r="H29" s="54" t="s">
        <v>229</v>
      </c>
      <c r="I29" s="54" t="s">
        <v>3514</v>
      </c>
      <c r="J29" s="34" t="s">
        <v>3515</v>
      </c>
      <c r="K29" s="43">
        <f>VLOOKUP(A29,'SSP_March''19'!$A$3:$L$1193,11,0)</f>
        <v>130000</v>
      </c>
      <c r="L29" s="43">
        <f>VLOOKUP(A29,'SSP_March''19'!$A$3:$L$1193,12,0)</f>
        <v>15150</v>
      </c>
      <c r="M29" s="44">
        <f t="shared" si="0"/>
        <v>0.11653846153846154</v>
      </c>
      <c r="N29" s="49">
        <f>ROUND(VLOOKUP(A29,'SSP_March''19'!$A$3:$N$1193,14,0),0)</f>
        <v>46965</v>
      </c>
      <c r="O29" s="44">
        <f t="shared" si="1"/>
        <v>0.36126923076923079</v>
      </c>
      <c r="P29" s="45">
        <f>VLOOKUP(A29,'SSP_March''19'!$A$3:$Q$1193,16,0)</f>
        <v>10</v>
      </c>
      <c r="Q29" s="34">
        <f>VLOOKUP(A29,'SSP_March''19'!$A$3:$Q$1193,17,0)</f>
        <v>2</v>
      </c>
      <c r="R29" s="35">
        <f t="shared" si="2"/>
        <v>0.2</v>
      </c>
      <c r="S29" s="49">
        <f>ROUND(VLOOKUP(A29,'SSP_March''19'!$A$3:$T$1193,19,0),0)</f>
        <v>6</v>
      </c>
      <c r="T29" s="44">
        <f>VLOOKUP(A29,'SSP_March''19'!$A$3:$T$1193,20,0)</f>
        <v>0.6</v>
      </c>
      <c r="U29" s="34">
        <f>VLOOKUP(A29,'SSP_March''19'!$A$3:$X$1193,21,0)</f>
        <v>0</v>
      </c>
      <c r="V29" s="34">
        <f>VLOOKUP(A29,'SSP_March''19'!$A$3:$X$1193,22,0)</f>
        <v>0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54" t="s">
        <v>3274</v>
      </c>
      <c r="B30" s="54" t="s">
        <v>3275</v>
      </c>
      <c r="C30" s="54" t="s">
        <v>168</v>
      </c>
      <c r="D30" s="54" t="s">
        <v>72</v>
      </c>
      <c r="E30" s="54" t="s">
        <v>0</v>
      </c>
      <c r="F30" s="54" t="s">
        <v>3276</v>
      </c>
      <c r="G30" s="54">
        <v>1715279936</v>
      </c>
      <c r="H30" s="54" t="s">
        <v>229</v>
      </c>
      <c r="I30" s="54" t="s">
        <v>3514</v>
      </c>
      <c r="J30" s="34" t="s">
        <v>3419</v>
      </c>
      <c r="K30" s="43">
        <f>VLOOKUP(A30,'SSP_March''19'!$A$3:$L$1193,11,0)</f>
        <v>130000</v>
      </c>
      <c r="L30" s="43">
        <f>VLOOKUP(A30,'SSP_March''19'!$A$3:$L$1193,12,0)</f>
        <v>33190</v>
      </c>
      <c r="M30" s="44">
        <f t="shared" si="0"/>
        <v>0.25530769230769229</v>
      </c>
      <c r="N30" s="49">
        <f>ROUND(VLOOKUP(A30,'SSP_March''19'!$A$3:$N$1193,14,0),0)</f>
        <v>102889</v>
      </c>
      <c r="O30" s="44">
        <f t="shared" si="1"/>
        <v>0.79145384615384617</v>
      </c>
      <c r="P30" s="45">
        <f>VLOOKUP(A30,'SSP_March''19'!$A$3:$Q$1193,16,0)</f>
        <v>12</v>
      </c>
      <c r="Q30" s="34">
        <f>VLOOKUP(A30,'SSP_March''19'!$A$3:$Q$1193,17,0)</f>
        <v>1</v>
      </c>
      <c r="R30" s="35">
        <f t="shared" si="2"/>
        <v>8.3333333333333329E-2</v>
      </c>
      <c r="S30" s="49">
        <f>ROUND(VLOOKUP(A30,'SSP_March''19'!$A$3:$T$1193,19,0),0)</f>
        <v>3</v>
      </c>
      <c r="T30" s="44">
        <f>VLOOKUP(A30,'SSP_March''19'!$A$3:$T$1193,20,0)</f>
        <v>0.25</v>
      </c>
      <c r="U30" s="34">
        <f>VLOOKUP(A30,'SSP_March''19'!$A$3:$X$1193,21,0)</f>
        <v>0</v>
      </c>
      <c r="V30" s="34">
        <f>VLOOKUP(A30,'SSP_March''19'!$A$3:$X$1193,22,0)</f>
        <v>0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54" t="s">
        <v>2721</v>
      </c>
      <c r="B31" s="54" t="s">
        <v>2722</v>
      </c>
      <c r="C31" s="54" t="s">
        <v>2441</v>
      </c>
      <c r="D31" s="54" t="s">
        <v>72</v>
      </c>
      <c r="E31" s="54" t="s">
        <v>0</v>
      </c>
      <c r="F31" s="54" t="s">
        <v>2723</v>
      </c>
      <c r="G31" s="54">
        <v>1713517676</v>
      </c>
      <c r="H31" s="54" t="s">
        <v>229</v>
      </c>
      <c r="I31" s="54" t="s">
        <v>3514</v>
      </c>
      <c r="J31" s="34" t="s">
        <v>3419</v>
      </c>
      <c r="K31" s="43">
        <f>VLOOKUP(A31,'SSP_March''19'!$A$3:$L$1193,11,0)</f>
        <v>174415</v>
      </c>
      <c r="L31" s="43">
        <f>VLOOKUP(A31,'SSP_March''19'!$A$3:$L$1193,12,0)</f>
        <v>18370</v>
      </c>
      <c r="M31" s="44">
        <f t="shared" si="0"/>
        <v>0.10532351001920706</v>
      </c>
      <c r="N31" s="49">
        <f>ROUND(VLOOKUP(A31,'SSP_March''19'!$A$3:$N$1193,14,0),0)</f>
        <v>56947</v>
      </c>
      <c r="O31" s="44">
        <f t="shared" si="1"/>
        <v>0.32650288105954189</v>
      </c>
      <c r="P31" s="45">
        <f>VLOOKUP(A31,'SSP_March''19'!$A$3:$Q$1193,16,0)</f>
        <v>10</v>
      </c>
      <c r="Q31" s="34">
        <f>VLOOKUP(A31,'SSP_March''19'!$A$3:$Q$1193,17,0)</f>
        <v>2</v>
      </c>
      <c r="R31" s="35">
        <f t="shared" si="2"/>
        <v>0.2</v>
      </c>
      <c r="S31" s="49">
        <f>ROUND(VLOOKUP(A31,'SSP_March''19'!$A$3:$T$1193,19,0),0)</f>
        <v>6</v>
      </c>
      <c r="T31" s="44">
        <f>VLOOKUP(A31,'SSP_March''19'!$A$3:$T$1193,20,0)</f>
        <v>0.6</v>
      </c>
      <c r="U31" s="34">
        <f>VLOOKUP(A31,'SSP_March''19'!$A$3:$X$1193,21,0)</f>
        <v>0</v>
      </c>
      <c r="V31" s="34">
        <f>VLOOKUP(A31,'SSP_March''19'!$A$3:$X$1193,22,0)</f>
        <v>2</v>
      </c>
      <c r="W31" s="34">
        <f>VLOOKUP(A31,'SSP_March''19'!$A$3:$X$1193,23,0)</f>
        <v>0</v>
      </c>
      <c r="X31" s="34">
        <f>VLOOKUP(A31,'SSP_March''19'!$A$3:$X$1193,24,0)</f>
        <v>0</v>
      </c>
    </row>
    <row r="32" spans="1:24">
      <c r="A32" s="54" t="s">
        <v>2439</v>
      </c>
      <c r="B32" s="54" t="s">
        <v>2440</v>
      </c>
      <c r="C32" s="54" t="s">
        <v>2441</v>
      </c>
      <c r="D32" s="54" t="s">
        <v>72</v>
      </c>
      <c r="E32" s="54" t="s">
        <v>0</v>
      </c>
      <c r="F32" s="54" t="s">
        <v>2442</v>
      </c>
      <c r="G32" s="54">
        <v>1713526700</v>
      </c>
      <c r="H32" s="54" t="s">
        <v>229</v>
      </c>
      <c r="I32" s="54" t="s">
        <v>3514</v>
      </c>
      <c r="J32" s="34" t="s">
        <v>3421</v>
      </c>
      <c r="K32" s="43">
        <f>VLOOKUP(A32,'SSP_March''19'!$A$3:$L$1193,11,0)</f>
        <v>140000</v>
      </c>
      <c r="L32" s="43">
        <f>VLOOKUP(A32,'SSP_March''19'!$A$3:$L$1193,12,0)</f>
        <v>12280</v>
      </c>
      <c r="M32" s="44">
        <f t="shared" si="0"/>
        <v>8.7714285714285717E-2</v>
      </c>
      <c r="N32" s="49">
        <f>ROUND(VLOOKUP(A32,'SSP_March''19'!$A$3:$N$1193,14,0),0)</f>
        <v>38068</v>
      </c>
      <c r="O32" s="44">
        <f t="shared" si="1"/>
        <v>0.27191428571428572</v>
      </c>
      <c r="P32" s="45">
        <f>VLOOKUP(A32,'SSP_March''19'!$A$3:$Q$1193,16,0)</f>
        <v>10</v>
      </c>
      <c r="Q32" s="34">
        <f>VLOOKUP(A32,'SSP_March''19'!$A$3:$Q$1193,17,0)</f>
        <v>1</v>
      </c>
      <c r="R32" s="35">
        <f t="shared" si="2"/>
        <v>0.1</v>
      </c>
      <c r="S32" s="49">
        <f>ROUND(VLOOKUP(A32,'SSP_March''19'!$A$3:$T$1193,19,0),0)</f>
        <v>3</v>
      </c>
      <c r="T32" s="44">
        <f>VLOOKUP(A32,'SSP_March''19'!$A$3:$T$1193,20,0)</f>
        <v>0.3</v>
      </c>
      <c r="U32" s="34">
        <f>VLOOKUP(A32,'SSP_March''19'!$A$3:$X$1193,21,0)</f>
        <v>1</v>
      </c>
      <c r="V32" s="34">
        <f>VLOOKUP(A32,'SSP_March''19'!$A$3:$X$1193,22,0)</f>
        <v>0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54" t="s">
        <v>2452</v>
      </c>
      <c r="B33" s="54" t="s">
        <v>1788</v>
      </c>
      <c r="C33" s="54" t="s">
        <v>2441</v>
      </c>
      <c r="D33" s="54" t="s">
        <v>72</v>
      </c>
      <c r="E33" s="54" t="s">
        <v>0</v>
      </c>
      <c r="F33" s="54" t="s">
        <v>2453</v>
      </c>
      <c r="G33" s="54">
        <v>1717442000</v>
      </c>
      <c r="H33" s="54" t="s">
        <v>229</v>
      </c>
      <c r="I33" s="54" t="s">
        <v>3514</v>
      </c>
      <c r="J33" s="34" t="s">
        <v>3419</v>
      </c>
      <c r="K33" s="43">
        <f>VLOOKUP(A33,'SSP_March''19'!$A$3:$L$1193,11,0)</f>
        <v>140000</v>
      </c>
      <c r="L33" s="43">
        <f>VLOOKUP(A33,'SSP_March''19'!$A$3:$L$1193,12,0)</f>
        <v>37365</v>
      </c>
      <c r="M33" s="44">
        <f t="shared" si="0"/>
        <v>0.26689285714285715</v>
      </c>
      <c r="N33" s="49">
        <f>ROUND(VLOOKUP(A33,'SSP_March''19'!$A$3:$N$1193,14,0),0)</f>
        <v>115832</v>
      </c>
      <c r="O33" s="44">
        <f t="shared" si="1"/>
        <v>0.82737142857142854</v>
      </c>
      <c r="P33" s="45">
        <f>VLOOKUP(A33,'SSP_March''19'!$A$3:$Q$1193,16,0)</f>
        <v>10</v>
      </c>
      <c r="Q33" s="34">
        <f>VLOOKUP(A33,'SSP_March''19'!$A$3:$Q$1193,17,0)</f>
        <v>2</v>
      </c>
      <c r="R33" s="35">
        <f t="shared" si="2"/>
        <v>0.2</v>
      </c>
      <c r="S33" s="49">
        <f>ROUND(VLOOKUP(A33,'SSP_March''19'!$A$3:$T$1193,19,0),0)</f>
        <v>6</v>
      </c>
      <c r="T33" s="44">
        <f>VLOOKUP(A33,'SSP_March''19'!$A$3:$T$1193,20,0)</f>
        <v>0.6</v>
      </c>
      <c r="U33" s="34">
        <f>VLOOKUP(A33,'SSP_March''19'!$A$3:$X$1193,21,0)</f>
        <v>1</v>
      </c>
      <c r="V33" s="34">
        <f>VLOOKUP(A33,'SSP_March''19'!$A$3:$X$1193,22,0)</f>
        <v>0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54" t="s">
        <v>2703</v>
      </c>
      <c r="B34" s="54" t="s">
        <v>2704</v>
      </c>
      <c r="C34" s="54" t="s">
        <v>2441</v>
      </c>
      <c r="D34" s="54" t="s">
        <v>72</v>
      </c>
      <c r="E34" s="54" t="s">
        <v>0</v>
      </c>
      <c r="F34" s="54" t="s">
        <v>2705</v>
      </c>
      <c r="G34" s="54">
        <v>1916090708</v>
      </c>
      <c r="H34" s="54" t="s">
        <v>229</v>
      </c>
      <c r="I34" s="54" t="s">
        <v>3514</v>
      </c>
      <c r="J34" s="34" t="s">
        <v>3419</v>
      </c>
      <c r="K34" s="43">
        <f>VLOOKUP(A34,'SSP_March''19'!$A$3:$L$1193,11,0)</f>
        <v>140000</v>
      </c>
      <c r="L34" s="43">
        <f>VLOOKUP(A34,'SSP_March''19'!$A$3:$L$1193,12,0)</f>
        <v>72220</v>
      </c>
      <c r="M34" s="44">
        <f t="shared" si="0"/>
        <v>0.5158571428571429</v>
      </c>
      <c r="N34" s="49">
        <f>ROUND(VLOOKUP(A34,'SSP_March''19'!$A$3:$N$1193,14,0),0)</f>
        <v>223882</v>
      </c>
      <c r="O34" s="44">
        <f t="shared" si="1"/>
        <v>1.5991571428571429</v>
      </c>
      <c r="P34" s="45">
        <f>VLOOKUP(A34,'SSP_March''19'!$A$3:$Q$1193,16,0)</f>
        <v>10</v>
      </c>
      <c r="Q34" s="34">
        <f>VLOOKUP(A34,'SSP_March''19'!$A$3:$Q$1193,17,0)</f>
        <v>4</v>
      </c>
      <c r="R34" s="35">
        <f t="shared" si="2"/>
        <v>0.4</v>
      </c>
      <c r="S34" s="49">
        <f>ROUND(VLOOKUP(A34,'SSP_March''19'!$A$3:$T$1193,19,0),0)</f>
        <v>12</v>
      </c>
      <c r="T34" s="44">
        <f>VLOOKUP(A34,'SSP_March''19'!$A$3:$T$1193,20,0)</f>
        <v>1.2</v>
      </c>
      <c r="U34" s="34">
        <f>VLOOKUP(A34,'SSP_March''19'!$A$3:$X$1193,21,0)</f>
        <v>1</v>
      </c>
      <c r="V34" s="34">
        <f>VLOOKUP(A34,'SSP_March''19'!$A$3:$X$1193,22,0)</f>
        <v>3</v>
      </c>
      <c r="W34" s="34">
        <f>VLOOKUP(A34,'SSP_March''19'!$A$3:$X$1193,23,0)</f>
        <v>0</v>
      </c>
      <c r="X34" s="34">
        <f>VLOOKUP(A34,'SSP_March''19'!$A$3:$X$1193,24,0)</f>
        <v>0</v>
      </c>
    </row>
    <row r="35" spans="1:24">
      <c r="A35" s="54" t="s">
        <v>2622</v>
      </c>
      <c r="B35" s="54" t="s">
        <v>2623</v>
      </c>
      <c r="C35" s="54" t="s">
        <v>2441</v>
      </c>
      <c r="D35" s="54" t="s">
        <v>72</v>
      </c>
      <c r="E35" s="54" t="s">
        <v>0</v>
      </c>
      <c r="F35" s="54" t="s">
        <v>2624</v>
      </c>
      <c r="G35" s="54">
        <v>1722277710</v>
      </c>
      <c r="H35" s="54" t="s">
        <v>229</v>
      </c>
      <c r="I35" s="54" t="s">
        <v>3514</v>
      </c>
      <c r="J35" s="34" t="s">
        <v>3419</v>
      </c>
      <c r="K35" s="43">
        <f>VLOOKUP(A35,'SSP_March''19'!$A$3:$L$1193,11,0)</f>
        <v>267599</v>
      </c>
      <c r="L35" s="43">
        <f>VLOOKUP(A35,'SSP_March''19'!$A$3:$L$1193,12,0)</f>
        <v>97180</v>
      </c>
      <c r="M35" s="44">
        <f t="shared" si="0"/>
        <v>0.36315531821867797</v>
      </c>
      <c r="N35" s="49">
        <f>ROUND(VLOOKUP(A35,'SSP_March''19'!$A$3:$N$1193,14,0),0)</f>
        <v>301258</v>
      </c>
      <c r="O35" s="44">
        <f t="shared" si="1"/>
        <v>1.1257814864779017</v>
      </c>
      <c r="P35" s="45">
        <f>VLOOKUP(A35,'SSP_March''19'!$A$3:$Q$1193,16,0)</f>
        <v>17</v>
      </c>
      <c r="Q35" s="34">
        <f>VLOOKUP(A35,'SSP_March''19'!$A$3:$Q$1193,17,0)</f>
        <v>3</v>
      </c>
      <c r="R35" s="35">
        <f t="shared" si="2"/>
        <v>0.17647058823529413</v>
      </c>
      <c r="S35" s="49">
        <f>ROUND(VLOOKUP(A35,'SSP_March''19'!$A$3:$T$1193,19,0),0)</f>
        <v>9</v>
      </c>
      <c r="T35" s="44">
        <f>VLOOKUP(A35,'SSP_March''19'!$A$3:$T$1193,20,0)</f>
        <v>0.52941176470588236</v>
      </c>
      <c r="U35" s="34">
        <f>VLOOKUP(A35,'SSP_March''19'!$A$3:$X$1193,21,0)</f>
        <v>4</v>
      </c>
      <c r="V35" s="34">
        <f>VLOOKUP(A35,'SSP_March''19'!$A$3:$X$1193,22,0)</f>
        <v>1</v>
      </c>
      <c r="W35" s="34">
        <f>VLOOKUP(A35,'SSP_March''19'!$A$3:$X$1193,23,0)</f>
        <v>0</v>
      </c>
      <c r="X35" s="34">
        <f>VLOOKUP(A35,'SSP_March''19'!$A$3:$X$1193,24,0)</f>
        <v>0</v>
      </c>
    </row>
    <row r="36" spans="1:24">
      <c r="A36" s="54" t="s">
        <v>2751</v>
      </c>
      <c r="B36" s="54" t="s">
        <v>2752</v>
      </c>
      <c r="C36" s="54" t="s">
        <v>2441</v>
      </c>
      <c r="D36" s="54" t="s">
        <v>72</v>
      </c>
      <c r="E36" s="54" t="s">
        <v>0</v>
      </c>
      <c r="F36" s="54" t="s">
        <v>2753</v>
      </c>
      <c r="G36" s="54">
        <v>1713528437</v>
      </c>
      <c r="H36" s="54" t="s">
        <v>229</v>
      </c>
      <c r="I36" s="54" t="s">
        <v>3514</v>
      </c>
      <c r="J36" s="34" t="s">
        <v>3419</v>
      </c>
      <c r="K36" s="43">
        <f>VLOOKUP(A36,'SSP_March''19'!$A$3:$L$1193,11,0)</f>
        <v>140000</v>
      </c>
      <c r="L36" s="43">
        <f>VLOOKUP(A36,'SSP_March''19'!$A$3:$L$1193,12,0)</f>
        <v>0</v>
      </c>
      <c r="M36" s="44">
        <f t="shared" si="0"/>
        <v>0</v>
      </c>
      <c r="N36" s="49">
        <f>ROUND(VLOOKUP(A36,'SSP_March''19'!$A$3:$N$1193,14,0),0)</f>
        <v>0</v>
      </c>
      <c r="O36" s="44">
        <f t="shared" si="1"/>
        <v>0</v>
      </c>
      <c r="P36" s="45">
        <f>VLOOKUP(A36,'SSP_March''19'!$A$3:$Q$1193,16,0)</f>
        <v>10</v>
      </c>
      <c r="Q36" s="34">
        <f>VLOOKUP(A36,'SSP_March''19'!$A$3:$Q$1193,17,0)</f>
        <v>0</v>
      </c>
      <c r="R36" s="35">
        <f t="shared" si="2"/>
        <v>0</v>
      </c>
      <c r="S36" s="49">
        <f>ROUND(VLOOKUP(A36,'SSP_March''19'!$A$3:$T$1193,19,0),0)</f>
        <v>0</v>
      </c>
      <c r="T36" s="44">
        <f>VLOOKUP(A36,'SSP_March''19'!$A$3:$T$1193,20,0)</f>
        <v>0</v>
      </c>
      <c r="U36" s="34">
        <f>VLOOKUP(A36,'SSP_March''19'!$A$3:$X$1193,21,0)</f>
        <v>0</v>
      </c>
      <c r="V36" s="34">
        <f>VLOOKUP(A36,'SSP_March''19'!$A$3:$X$1193,22,0)</f>
        <v>0</v>
      </c>
      <c r="W36" s="34">
        <f>VLOOKUP(A36,'SSP_March''19'!$A$3:$X$1193,23,0)</f>
        <v>0</v>
      </c>
      <c r="X36" s="34">
        <f>VLOOKUP(A36,'SSP_March''19'!$A$3:$X$1193,24,0)</f>
        <v>0</v>
      </c>
    </row>
    <row r="37" spans="1:24">
      <c r="A37" s="54" t="s">
        <v>2732</v>
      </c>
      <c r="B37" s="54" t="s">
        <v>1937</v>
      </c>
      <c r="C37" s="54" t="s">
        <v>138</v>
      </c>
      <c r="D37" s="54" t="s">
        <v>139</v>
      </c>
      <c r="E37" s="54" t="s">
        <v>0</v>
      </c>
      <c r="F37" s="54" t="s">
        <v>2733</v>
      </c>
      <c r="G37" s="54">
        <v>1676091062</v>
      </c>
      <c r="H37" s="54" t="s">
        <v>229</v>
      </c>
      <c r="I37" s="54" t="s">
        <v>3514</v>
      </c>
      <c r="J37" s="34" t="s">
        <v>3421</v>
      </c>
      <c r="K37" s="43">
        <f>VLOOKUP(A37,'SSP_March''19'!$A$3:$L$1193,11,0)</f>
        <v>130000</v>
      </c>
      <c r="L37" s="43">
        <f>VLOOKUP(A37,'SSP_March''19'!$A$3:$L$1193,12,0)</f>
        <v>8180</v>
      </c>
      <c r="M37" s="44">
        <f t="shared" si="0"/>
        <v>6.2923076923076929E-2</v>
      </c>
      <c r="N37" s="49">
        <f>ROUND(VLOOKUP(A37,'SSP_March''19'!$A$3:$N$1193,14,0),0)</f>
        <v>25358</v>
      </c>
      <c r="O37" s="44">
        <f t="shared" si="1"/>
        <v>0.19506153846153845</v>
      </c>
      <c r="P37" s="45">
        <f>VLOOKUP(A37,'SSP_March''19'!$A$3:$Q$1193,16,0)</f>
        <v>10</v>
      </c>
      <c r="Q37" s="34">
        <f>VLOOKUP(A37,'SSP_March''19'!$A$3:$Q$1193,17,0)</f>
        <v>0</v>
      </c>
      <c r="R37" s="35">
        <f t="shared" si="2"/>
        <v>0</v>
      </c>
      <c r="S37" s="49">
        <f>ROUND(VLOOKUP(A37,'SSP_March''19'!$A$3:$T$1193,19,0),0)</f>
        <v>0</v>
      </c>
      <c r="T37" s="44">
        <f>VLOOKUP(A37,'SSP_March''19'!$A$3:$T$1193,20,0)</f>
        <v>0</v>
      </c>
      <c r="U37" s="34">
        <f>VLOOKUP(A37,'SSP_March''19'!$A$3:$X$1193,21,0)</f>
        <v>0</v>
      </c>
      <c r="V37" s="34">
        <f>VLOOKUP(A37,'SSP_March''19'!$A$3:$X$1193,22,0)</f>
        <v>0</v>
      </c>
      <c r="W37" s="34">
        <f>VLOOKUP(A37,'SSP_March''19'!$A$3:$X$1193,23,0)</f>
        <v>0</v>
      </c>
      <c r="X37" s="34">
        <f>VLOOKUP(A37,'SSP_March''19'!$A$3:$X$1193,24,0)</f>
        <v>0</v>
      </c>
    </row>
    <row r="38" spans="1:24">
      <c r="A38" s="54" t="s">
        <v>2467</v>
      </c>
      <c r="B38" s="54" t="s">
        <v>2468</v>
      </c>
      <c r="C38" s="54" t="s">
        <v>138</v>
      </c>
      <c r="D38" s="54" t="s">
        <v>139</v>
      </c>
      <c r="E38" s="54" t="s">
        <v>0</v>
      </c>
      <c r="F38" s="54" t="s">
        <v>2469</v>
      </c>
      <c r="G38" s="54">
        <v>1674617638</v>
      </c>
      <c r="H38" s="54" t="s">
        <v>229</v>
      </c>
      <c r="I38" s="54" t="s">
        <v>3518</v>
      </c>
      <c r="J38" s="34" t="s">
        <v>3419</v>
      </c>
      <c r="K38" s="43">
        <f>VLOOKUP(A38,'SSP_March''19'!$A$3:$L$1193,11,0)</f>
        <v>301183</v>
      </c>
      <c r="L38" s="43">
        <f>VLOOKUP(A38,'SSP_March''19'!$A$3:$L$1193,12,0)</f>
        <v>84899</v>
      </c>
      <c r="M38" s="44">
        <f t="shared" si="0"/>
        <v>0.28188509975662634</v>
      </c>
      <c r="N38" s="49">
        <f>ROUND(VLOOKUP(A38,'SSP_March''19'!$A$3:$N$1193,14,0),0)</f>
        <v>263187</v>
      </c>
      <c r="O38" s="44">
        <f t="shared" si="1"/>
        <v>0.87384414126959353</v>
      </c>
      <c r="P38" s="45">
        <f>VLOOKUP(A38,'SSP_March''19'!$A$3:$Q$1193,16,0)</f>
        <v>16</v>
      </c>
      <c r="Q38" s="34">
        <f>VLOOKUP(A38,'SSP_March''19'!$A$3:$Q$1193,17,0)</f>
        <v>1</v>
      </c>
      <c r="R38" s="35">
        <f t="shared" si="2"/>
        <v>6.25E-2</v>
      </c>
      <c r="S38" s="49">
        <f>ROUND(VLOOKUP(A38,'SSP_March''19'!$A$3:$T$1193,19,0),0)</f>
        <v>3</v>
      </c>
      <c r="T38" s="44">
        <f>VLOOKUP(A38,'SSP_March''19'!$A$3:$T$1193,20,0)</f>
        <v>0.1875</v>
      </c>
      <c r="U38" s="34">
        <f>VLOOKUP(A38,'SSP_March''19'!$A$3:$X$1193,21,0)</f>
        <v>1</v>
      </c>
      <c r="V38" s="34">
        <f>VLOOKUP(A38,'SSP_March''19'!$A$3:$X$1193,22,0)</f>
        <v>0</v>
      </c>
      <c r="W38" s="34">
        <f>VLOOKUP(A38,'SSP_March''19'!$A$3:$X$1193,23,0)</f>
        <v>1</v>
      </c>
      <c r="X38" s="34">
        <f>VLOOKUP(A38,'SSP_March''19'!$A$3:$X$1193,24,0)</f>
        <v>0</v>
      </c>
    </row>
    <row r="39" spans="1:24">
      <c r="A39" s="54" t="s">
        <v>2629</v>
      </c>
      <c r="B39" s="54" t="s">
        <v>2630</v>
      </c>
      <c r="C39" s="54" t="s">
        <v>138</v>
      </c>
      <c r="D39" s="54" t="s">
        <v>139</v>
      </c>
      <c r="E39" s="54" t="s">
        <v>0</v>
      </c>
      <c r="F39" s="54" t="s">
        <v>2513</v>
      </c>
      <c r="G39" s="54">
        <v>1712011872</v>
      </c>
      <c r="H39" s="54" t="s">
        <v>229</v>
      </c>
      <c r="I39" s="54" t="s">
        <v>3514</v>
      </c>
      <c r="J39" s="34" t="s">
        <v>3421</v>
      </c>
      <c r="K39" s="43">
        <f>VLOOKUP(A39,'SSP_March''19'!$A$3:$L$1193,11,0)</f>
        <v>130000</v>
      </c>
      <c r="L39" s="43">
        <f>VLOOKUP(A39,'SSP_March''19'!$A$3:$L$1193,12,0)</f>
        <v>18870</v>
      </c>
      <c r="M39" s="44">
        <f t="shared" si="0"/>
        <v>0.14515384615384616</v>
      </c>
      <c r="N39" s="49">
        <f>ROUND(VLOOKUP(A39,'SSP_March''19'!$A$3:$N$1193,14,0),0)</f>
        <v>58497</v>
      </c>
      <c r="O39" s="44">
        <f t="shared" si="1"/>
        <v>0.44997692307692305</v>
      </c>
      <c r="P39" s="45">
        <f>VLOOKUP(A39,'SSP_March''19'!$A$3:$Q$1193,16,0)</f>
        <v>10</v>
      </c>
      <c r="Q39" s="34">
        <f>VLOOKUP(A39,'SSP_March''19'!$A$3:$Q$1193,17,0)</f>
        <v>2</v>
      </c>
      <c r="R39" s="35">
        <f t="shared" si="2"/>
        <v>0.2</v>
      </c>
      <c r="S39" s="49">
        <f>ROUND(VLOOKUP(A39,'SSP_March''19'!$A$3:$T$1193,19,0),0)</f>
        <v>6</v>
      </c>
      <c r="T39" s="44">
        <f>VLOOKUP(A39,'SSP_March''19'!$A$3:$T$1193,20,0)</f>
        <v>0.6</v>
      </c>
      <c r="U39" s="34">
        <f>VLOOKUP(A39,'SSP_March''19'!$A$3:$X$1193,21,0)</f>
        <v>0</v>
      </c>
      <c r="V39" s="34">
        <f>VLOOKUP(A39,'SSP_March''19'!$A$3:$X$1193,22,0)</f>
        <v>1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54" t="s">
        <v>2681</v>
      </c>
      <c r="B40" s="54" t="s">
        <v>2682</v>
      </c>
      <c r="C40" s="54" t="s">
        <v>138</v>
      </c>
      <c r="D40" s="54" t="s">
        <v>139</v>
      </c>
      <c r="E40" s="54" t="s">
        <v>0</v>
      </c>
      <c r="F40" s="54" t="s">
        <v>2683</v>
      </c>
      <c r="G40" s="54">
        <v>1912242966</v>
      </c>
      <c r="H40" s="54" t="s">
        <v>229</v>
      </c>
      <c r="I40" s="54" t="s">
        <v>3514</v>
      </c>
      <c r="J40" s="34" t="s">
        <v>3515</v>
      </c>
      <c r="K40" s="43">
        <f>VLOOKUP(A40,'SSP_March''19'!$A$3:$L$1193,11,0)</f>
        <v>130000</v>
      </c>
      <c r="L40" s="43">
        <f>VLOOKUP(A40,'SSP_March''19'!$A$3:$L$1193,12,0)</f>
        <v>23145</v>
      </c>
      <c r="M40" s="44">
        <f t="shared" si="0"/>
        <v>0.17803846153846153</v>
      </c>
      <c r="N40" s="49">
        <f>ROUND(VLOOKUP(A40,'SSP_March''19'!$A$3:$N$1193,14,0),0)</f>
        <v>71750</v>
      </c>
      <c r="O40" s="44">
        <f t="shared" si="1"/>
        <v>0.55192307692307696</v>
      </c>
      <c r="P40" s="45">
        <f>VLOOKUP(A40,'SSP_March''19'!$A$3:$Q$1193,16,0)</f>
        <v>10</v>
      </c>
      <c r="Q40" s="34">
        <f>VLOOKUP(A40,'SSP_March''19'!$A$3:$Q$1193,17,0)</f>
        <v>1</v>
      </c>
      <c r="R40" s="35">
        <f t="shared" si="2"/>
        <v>0.1</v>
      </c>
      <c r="S40" s="49">
        <f>ROUND(VLOOKUP(A40,'SSP_March''19'!$A$3:$T$1193,19,0),0)</f>
        <v>3</v>
      </c>
      <c r="T40" s="44">
        <f>VLOOKUP(A40,'SSP_March''19'!$A$3:$T$1193,20,0)</f>
        <v>0.3</v>
      </c>
      <c r="U40" s="34">
        <f>VLOOKUP(A40,'SSP_March''19'!$A$3:$X$1193,21,0)</f>
        <v>0</v>
      </c>
      <c r="V40" s="34">
        <f>VLOOKUP(A40,'SSP_March''19'!$A$3:$X$1193,22,0)</f>
        <v>0</v>
      </c>
      <c r="W40" s="34">
        <f>VLOOKUP(A40,'SSP_March''19'!$A$3:$X$1193,23,0)</f>
        <v>0</v>
      </c>
      <c r="X40" s="34">
        <f>VLOOKUP(A40,'SSP_March''19'!$A$3:$X$1193,24,0)</f>
        <v>0</v>
      </c>
    </row>
    <row r="41" spans="1:24">
      <c r="A41" s="54" t="s">
        <v>2476</v>
      </c>
      <c r="B41" s="54" t="s">
        <v>2477</v>
      </c>
      <c r="C41" s="54" t="s">
        <v>138</v>
      </c>
      <c r="D41" s="54" t="s">
        <v>139</v>
      </c>
      <c r="E41" s="54" t="s">
        <v>0</v>
      </c>
      <c r="F41" s="54" t="s">
        <v>2478</v>
      </c>
      <c r="G41" s="54">
        <v>1767054502</v>
      </c>
      <c r="H41" s="54" t="s">
        <v>229</v>
      </c>
      <c r="I41" s="54" t="s">
        <v>3514</v>
      </c>
      <c r="J41" s="34" t="s">
        <v>3419</v>
      </c>
      <c r="K41" s="43">
        <f>VLOOKUP(A41,'SSP_March''19'!$A$3:$L$1193,11,0)</f>
        <v>156630</v>
      </c>
      <c r="L41" s="43">
        <f>VLOOKUP(A41,'SSP_March''19'!$A$3:$L$1193,12,0)</f>
        <v>14680</v>
      </c>
      <c r="M41" s="44">
        <f t="shared" si="0"/>
        <v>9.3724063078592865E-2</v>
      </c>
      <c r="N41" s="49">
        <f>ROUND(VLOOKUP(A41,'SSP_March''19'!$A$3:$N$1193,14,0),0)</f>
        <v>45508</v>
      </c>
      <c r="O41" s="44">
        <f t="shared" si="1"/>
        <v>0.29054459554363787</v>
      </c>
      <c r="P41" s="45">
        <f>VLOOKUP(A41,'SSP_March''19'!$A$3:$Q$1193,16,0)</f>
        <v>10</v>
      </c>
      <c r="Q41" s="34">
        <f>VLOOKUP(A41,'SSP_March''19'!$A$3:$Q$1193,17,0)</f>
        <v>2</v>
      </c>
      <c r="R41" s="35">
        <f t="shared" si="2"/>
        <v>0.2</v>
      </c>
      <c r="S41" s="49">
        <f>ROUND(VLOOKUP(A41,'SSP_March''19'!$A$3:$T$1193,19,0),0)</f>
        <v>6</v>
      </c>
      <c r="T41" s="44">
        <f>VLOOKUP(A41,'SSP_March''19'!$A$3:$T$1193,20,0)</f>
        <v>0.6</v>
      </c>
      <c r="U41" s="34">
        <f>VLOOKUP(A41,'SSP_March''19'!$A$3:$X$1193,21,0)</f>
        <v>0</v>
      </c>
      <c r="V41" s="34">
        <f>VLOOKUP(A41,'SSP_March''19'!$A$3:$X$1193,22,0)</f>
        <v>0</v>
      </c>
      <c r="W41" s="34">
        <f>VLOOKUP(A41,'SSP_March''19'!$A$3:$X$1193,23,0)</f>
        <v>0</v>
      </c>
      <c r="X41" s="34">
        <f>VLOOKUP(A41,'SSP_March''19'!$A$3:$X$1193,24,0)</f>
        <v>0</v>
      </c>
    </row>
    <row r="42" spans="1:24">
      <c r="A42" s="54" t="s">
        <v>3210</v>
      </c>
      <c r="B42" s="54" t="s">
        <v>3211</v>
      </c>
      <c r="C42" s="54" t="s">
        <v>59</v>
      </c>
      <c r="D42" s="54" t="s">
        <v>139</v>
      </c>
      <c r="E42" s="54" t="s">
        <v>0</v>
      </c>
      <c r="F42" s="54" t="s">
        <v>3212</v>
      </c>
      <c r="G42" s="54">
        <v>1672649512</v>
      </c>
      <c r="H42" s="54" t="s">
        <v>229</v>
      </c>
      <c r="I42" s="54" t="s">
        <v>3518</v>
      </c>
      <c r="J42" s="34" t="s">
        <v>3419</v>
      </c>
      <c r="K42" s="43">
        <f>VLOOKUP(A42,'SSP_March''19'!$A$3:$L$1193,11,0)</f>
        <v>300000</v>
      </c>
      <c r="L42" s="43">
        <f>VLOOKUP(A42,'SSP_March''19'!$A$3:$L$1193,12,0)</f>
        <v>38940</v>
      </c>
      <c r="M42" s="44">
        <f t="shared" si="0"/>
        <v>0.1298</v>
      </c>
      <c r="N42" s="49">
        <f>ROUND(VLOOKUP(A42,'SSP_March''19'!$A$3:$N$1193,14,0),0)</f>
        <v>120714</v>
      </c>
      <c r="O42" s="44">
        <f t="shared" si="1"/>
        <v>0.40238000000000002</v>
      </c>
      <c r="P42" s="45">
        <f>VLOOKUP(A42,'SSP_March''19'!$A$3:$Q$1193,16,0)</f>
        <v>24</v>
      </c>
      <c r="Q42" s="34">
        <f>VLOOKUP(A42,'SSP_March''19'!$A$3:$Q$1193,17,0)</f>
        <v>4</v>
      </c>
      <c r="R42" s="35">
        <f t="shared" si="2"/>
        <v>0.16666666666666666</v>
      </c>
      <c r="S42" s="49">
        <f>ROUND(VLOOKUP(A42,'SSP_March''19'!$A$3:$T$1193,19,0),0)</f>
        <v>12</v>
      </c>
      <c r="T42" s="44">
        <f>VLOOKUP(A42,'SSP_March''19'!$A$3:$T$1193,20,0)</f>
        <v>0.5</v>
      </c>
      <c r="U42" s="34">
        <f>VLOOKUP(A42,'SSP_March''19'!$A$3:$X$1193,21,0)</f>
        <v>0</v>
      </c>
      <c r="V42" s="34">
        <f>VLOOKUP(A42,'SSP_March''19'!$A$3:$X$1193,22,0)</f>
        <v>3</v>
      </c>
      <c r="W42" s="34">
        <f>VLOOKUP(A42,'SSP_March''19'!$A$3:$X$1193,23,0)</f>
        <v>0</v>
      </c>
      <c r="X42" s="34">
        <f>VLOOKUP(A42,'SSP_March''19'!$A$3:$X$1193,24,0)</f>
        <v>0</v>
      </c>
    </row>
    <row r="43" spans="1:24">
      <c r="A43" s="76" t="s">
        <v>3604</v>
      </c>
      <c r="B43" s="76" t="s">
        <v>3605</v>
      </c>
      <c r="C43" s="75" t="s">
        <v>138</v>
      </c>
      <c r="D43" s="75" t="s">
        <v>139</v>
      </c>
      <c r="E43" s="75" t="s">
        <v>0</v>
      </c>
      <c r="F43" s="76" t="s">
        <v>3606</v>
      </c>
      <c r="G43" s="71">
        <v>1716757929</v>
      </c>
      <c r="H43" s="54" t="s">
        <v>229</v>
      </c>
      <c r="I43" s="54" t="s">
        <v>3514</v>
      </c>
      <c r="J43" s="34" t="s">
        <v>3421</v>
      </c>
      <c r="K43" s="43">
        <f>VLOOKUP(A43,'SSP_March''19'!$A$3:$L$1193,11,0)</f>
        <v>130000</v>
      </c>
      <c r="L43" s="43">
        <f>VLOOKUP(A43,'SSP_March''19'!$A$3:$L$1193,12,0)</f>
        <v>38330</v>
      </c>
      <c r="M43" s="44">
        <f t="shared" si="0"/>
        <v>0.29484615384615387</v>
      </c>
      <c r="N43" s="49">
        <f>ROUND(VLOOKUP(A43,'SSP_March''19'!$A$3:$N$1193,14,0),0)</f>
        <v>118823</v>
      </c>
      <c r="O43" s="44">
        <f t="shared" si="1"/>
        <v>0.91402307692307694</v>
      </c>
      <c r="P43" s="45">
        <f>VLOOKUP(A43,'SSP_March''19'!$A$3:$Q$1193,16,0)</f>
        <v>10</v>
      </c>
      <c r="Q43" s="34">
        <f>VLOOKUP(A43,'SSP_March''19'!$A$3:$Q$1193,17,0)</f>
        <v>2</v>
      </c>
      <c r="R43" s="35">
        <f t="shared" si="2"/>
        <v>0.2</v>
      </c>
      <c r="S43" s="49">
        <f>ROUND(VLOOKUP(A43,'SSP_March''19'!$A$3:$T$1193,19,0),0)</f>
        <v>6</v>
      </c>
      <c r="T43" s="44">
        <f>VLOOKUP(A43,'SSP_March''19'!$A$3:$T$1193,20,0)</f>
        <v>0.6</v>
      </c>
      <c r="U43" s="34">
        <f>VLOOKUP(A43,'SSP_March''19'!$A$3:$X$1193,21,0)</f>
        <v>1</v>
      </c>
      <c r="V43" s="34">
        <f>VLOOKUP(A43,'SSP_March''19'!$A$3:$X$1193,22,0)</f>
        <v>0</v>
      </c>
      <c r="W43" s="34">
        <f>VLOOKUP(A43,'SSP_March''19'!$A$3:$X$1193,23,0)</f>
        <v>0</v>
      </c>
      <c r="X43" s="34">
        <f>VLOOKUP(A43,'SSP_March''19'!$A$3:$X$1193,24,0)</f>
        <v>0</v>
      </c>
    </row>
    <row r="44" spans="1:24">
      <c r="A44" s="54" t="s">
        <v>2718</v>
      </c>
      <c r="B44" s="54" t="s">
        <v>2719</v>
      </c>
      <c r="C44" s="54" t="s">
        <v>138</v>
      </c>
      <c r="D44" s="54" t="s">
        <v>139</v>
      </c>
      <c r="E44" s="54" t="s">
        <v>0</v>
      </c>
      <c r="F44" s="54" t="s">
        <v>2720</v>
      </c>
      <c r="G44" s="54">
        <v>1971513355</v>
      </c>
      <c r="H44" s="54" t="s">
        <v>229</v>
      </c>
      <c r="I44" s="54" t="s">
        <v>3518</v>
      </c>
      <c r="J44" s="34" t="s">
        <v>3419</v>
      </c>
      <c r="K44" s="43">
        <f>VLOOKUP(A44,'SSP_March''19'!$A$3:$L$1193,11,0)</f>
        <v>300000</v>
      </c>
      <c r="L44" s="43">
        <f>VLOOKUP(A44,'SSP_March''19'!$A$3:$L$1193,12,0)</f>
        <v>80080</v>
      </c>
      <c r="M44" s="44">
        <f t="shared" si="0"/>
        <v>0.26693333333333336</v>
      </c>
      <c r="N44" s="49">
        <f>ROUND(VLOOKUP(A44,'SSP_March''19'!$A$3:$N$1193,14,0),0)</f>
        <v>248248</v>
      </c>
      <c r="O44" s="44">
        <f t="shared" si="1"/>
        <v>0.8274933333333333</v>
      </c>
      <c r="P44" s="45">
        <f>VLOOKUP(A44,'SSP_March''19'!$A$3:$Q$1193,16,0)</f>
        <v>15</v>
      </c>
      <c r="Q44" s="34">
        <f>VLOOKUP(A44,'SSP_March''19'!$A$3:$Q$1193,17,0)</f>
        <v>2</v>
      </c>
      <c r="R44" s="35">
        <f t="shared" si="2"/>
        <v>0.13333333333333333</v>
      </c>
      <c r="S44" s="49">
        <f>ROUND(VLOOKUP(A44,'SSP_March''19'!$A$3:$T$1193,19,0),0)</f>
        <v>6</v>
      </c>
      <c r="T44" s="44">
        <f>VLOOKUP(A44,'SSP_March''19'!$A$3:$T$1193,20,0)</f>
        <v>0.4</v>
      </c>
      <c r="U44" s="34">
        <f>VLOOKUP(A44,'SSP_March''19'!$A$3:$X$1193,21,0)</f>
        <v>1</v>
      </c>
      <c r="V44" s="34">
        <f>VLOOKUP(A44,'SSP_March''19'!$A$3:$X$1193,22,0)</f>
        <v>0</v>
      </c>
      <c r="W44" s="34">
        <f>VLOOKUP(A44,'SSP_March''19'!$A$3:$X$1193,23,0)</f>
        <v>0</v>
      </c>
      <c r="X44" s="34">
        <f>VLOOKUP(A44,'SSP_March''19'!$A$3:$X$1193,24,0)</f>
        <v>0</v>
      </c>
    </row>
    <row r="45" spans="1:24">
      <c r="A45" s="54" t="s">
        <v>2454</v>
      </c>
      <c r="B45" s="54" t="s">
        <v>3147</v>
      </c>
      <c r="C45" s="54" t="s">
        <v>138</v>
      </c>
      <c r="D45" s="54" t="s">
        <v>139</v>
      </c>
      <c r="E45" s="54" t="s">
        <v>0</v>
      </c>
      <c r="F45" s="54" t="s">
        <v>2455</v>
      </c>
      <c r="G45" s="54">
        <v>1818333094</v>
      </c>
      <c r="H45" s="54" t="s">
        <v>229</v>
      </c>
      <c r="I45" s="54" t="s">
        <v>3518</v>
      </c>
      <c r="J45" s="34" t="s">
        <v>3419</v>
      </c>
      <c r="K45" s="43">
        <f>VLOOKUP(A45,'SSP_March''19'!$A$3:$L$1193,11,0)</f>
        <v>350553</v>
      </c>
      <c r="L45" s="43">
        <f>VLOOKUP(A45,'SSP_March''19'!$A$3:$L$1193,12,0)</f>
        <v>75640</v>
      </c>
      <c r="M45" s="44">
        <f t="shared" si="0"/>
        <v>0.21577336379948253</v>
      </c>
      <c r="N45" s="49">
        <f>ROUND(VLOOKUP(A45,'SSP_March''19'!$A$3:$N$1193,14,0),0)</f>
        <v>234484</v>
      </c>
      <c r="O45" s="44">
        <f t="shared" si="1"/>
        <v>0.66889742777839589</v>
      </c>
      <c r="P45" s="45">
        <f>VLOOKUP(A45,'SSP_March''19'!$A$3:$Q$1193,16,0)</f>
        <v>13</v>
      </c>
      <c r="Q45" s="34">
        <f>VLOOKUP(A45,'SSP_March''19'!$A$3:$Q$1193,17,0)</f>
        <v>2</v>
      </c>
      <c r="R45" s="35">
        <f t="shared" si="2"/>
        <v>0.15384615384615385</v>
      </c>
      <c r="S45" s="49">
        <f>ROUND(VLOOKUP(A45,'SSP_March''19'!$A$3:$T$1193,19,0),0)</f>
        <v>6</v>
      </c>
      <c r="T45" s="44">
        <f>VLOOKUP(A45,'SSP_March''19'!$A$3:$T$1193,20,0)</f>
        <v>0.46153846153846156</v>
      </c>
      <c r="U45" s="34">
        <f>VLOOKUP(A45,'SSP_March''19'!$A$3:$X$1193,21,0)</f>
        <v>0</v>
      </c>
      <c r="V45" s="34">
        <f>VLOOKUP(A45,'SSP_March''19'!$A$3:$X$1193,22,0)</f>
        <v>0</v>
      </c>
      <c r="W45" s="34">
        <f>VLOOKUP(A45,'SSP_March''19'!$A$3:$X$1193,23,0)</f>
        <v>0</v>
      </c>
      <c r="X45" s="34">
        <f>VLOOKUP(A45,'SSP_March''19'!$A$3:$X$1193,24,0)</f>
        <v>1</v>
      </c>
    </row>
    <row r="46" spans="1:24">
      <c r="A46" s="54" t="s">
        <v>3174</v>
      </c>
      <c r="B46" s="54" t="s">
        <v>3175</v>
      </c>
      <c r="C46" s="54" t="s">
        <v>167</v>
      </c>
      <c r="D46" s="54" t="s">
        <v>139</v>
      </c>
      <c r="E46" s="54" t="s">
        <v>0</v>
      </c>
      <c r="F46" s="54" t="s">
        <v>3176</v>
      </c>
      <c r="G46" s="54">
        <v>1712038272</v>
      </c>
      <c r="H46" s="54" t="s">
        <v>229</v>
      </c>
      <c r="I46" s="54" t="s">
        <v>3514</v>
      </c>
      <c r="J46" s="34" t="s">
        <v>3421</v>
      </c>
      <c r="K46" s="43">
        <f>VLOOKUP(A46,'SSP_March''19'!$A$3:$L$1193,11,0)</f>
        <v>130000</v>
      </c>
      <c r="L46" s="43">
        <f>VLOOKUP(A46,'SSP_March''19'!$A$3:$L$1193,12,0)</f>
        <v>12980</v>
      </c>
      <c r="M46" s="44">
        <f t="shared" si="0"/>
        <v>9.9846153846153848E-2</v>
      </c>
      <c r="N46" s="49">
        <f>ROUND(VLOOKUP(A46,'SSP_March''19'!$A$3:$N$1193,14,0),0)</f>
        <v>40238</v>
      </c>
      <c r="O46" s="44">
        <f t="shared" si="1"/>
        <v>0.3095230769230769</v>
      </c>
      <c r="P46" s="45">
        <f>VLOOKUP(A46,'SSP_March''19'!$A$3:$Q$1193,16,0)</f>
        <v>10</v>
      </c>
      <c r="Q46" s="34">
        <f>VLOOKUP(A46,'SSP_March''19'!$A$3:$Q$1193,17,0)</f>
        <v>1</v>
      </c>
      <c r="R46" s="35">
        <f t="shared" si="2"/>
        <v>0.1</v>
      </c>
      <c r="S46" s="49">
        <f>ROUND(VLOOKUP(A46,'SSP_March''19'!$A$3:$T$1193,19,0),0)</f>
        <v>3</v>
      </c>
      <c r="T46" s="44">
        <f>VLOOKUP(A46,'SSP_March''19'!$A$3:$T$1193,20,0)</f>
        <v>0.3</v>
      </c>
      <c r="U46" s="34">
        <f>VLOOKUP(A46,'SSP_March''19'!$A$3:$X$1193,21,0)</f>
        <v>0</v>
      </c>
      <c r="V46" s="34">
        <f>VLOOKUP(A46,'SSP_March''19'!$A$3:$X$1193,22,0)</f>
        <v>0</v>
      </c>
      <c r="W46" s="34">
        <f>VLOOKUP(A46,'SSP_March''19'!$A$3:$X$1193,23,0)</f>
        <v>1</v>
      </c>
      <c r="X46" s="34">
        <f>VLOOKUP(A46,'SSP_March''19'!$A$3:$X$1193,24,0)</f>
        <v>0</v>
      </c>
    </row>
    <row r="47" spans="1:24">
      <c r="A47" s="54" t="s">
        <v>2528</v>
      </c>
      <c r="B47" s="54" t="s">
        <v>2529</v>
      </c>
      <c r="C47" s="54" t="s">
        <v>167</v>
      </c>
      <c r="D47" s="54" t="s">
        <v>139</v>
      </c>
      <c r="E47" s="54" t="s">
        <v>0</v>
      </c>
      <c r="F47" s="54" t="s">
        <v>2530</v>
      </c>
      <c r="G47" s="54">
        <v>1683009690</v>
      </c>
      <c r="H47" s="54" t="s">
        <v>229</v>
      </c>
      <c r="I47" s="54" t="s">
        <v>3514</v>
      </c>
      <c r="J47" s="34" t="s">
        <v>3419</v>
      </c>
      <c r="K47" s="43">
        <f>VLOOKUP(A47,'SSP_March''19'!$A$3:$L$1193,11,0)</f>
        <v>130000</v>
      </c>
      <c r="L47" s="43">
        <f>VLOOKUP(A47,'SSP_March''19'!$A$3:$L$1193,12,0)</f>
        <v>9730</v>
      </c>
      <c r="M47" s="44">
        <f t="shared" si="0"/>
        <v>7.484615384615384E-2</v>
      </c>
      <c r="N47" s="49">
        <f>ROUND(VLOOKUP(A47,'SSP_March''19'!$A$3:$N$1193,14,0),0)</f>
        <v>30163</v>
      </c>
      <c r="O47" s="44">
        <f t="shared" si="1"/>
        <v>0.23202307692307692</v>
      </c>
      <c r="P47" s="45">
        <f>VLOOKUP(A47,'SSP_March''19'!$A$3:$Q$1193,16,0)</f>
        <v>10</v>
      </c>
      <c r="Q47" s="34">
        <f>VLOOKUP(A47,'SSP_March''19'!$A$3:$Q$1193,17,0)</f>
        <v>0</v>
      </c>
      <c r="R47" s="35">
        <f t="shared" si="2"/>
        <v>0</v>
      </c>
      <c r="S47" s="49">
        <f>ROUND(VLOOKUP(A47,'SSP_March''19'!$A$3:$T$1193,19,0),0)</f>
        <v>0</v>
      </c>
      <c r="T47" s="44">
        <f>VLOOKUP(A47,'SSP_March''19'!$A$3:$T$1193,20,0)</f>
        <v>0</v>
      </c>
      <c r="U47" s="34">
        <f>VLOOKUP(A47,'SSP_March''19'!$A$3:$X$1193,21,0)</f>
        <v>0</v>
      </c>
      <c r="V47" s="34">
        <f>VLOOKUP(A47,'SSP_March''19'!$A$3:$X$1193,22,0)</f>
        <v>0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54" t="s">
        <v>2525</v>
      </c>
      <c r="B48" s="54" t="s">
        <v>2526</v>
      </c>
      <c r="C48" s="54" t="s">
        <v>167</v>
      </c>
      <c r="D48" s="54" t="s">
        <v>139</v>
      </c>
      <c r="E48" s="54" t="s">
        <v>0</v>
      </c>
      <c r="F48" s="54" t="s">
        <v>2527</v>
      </c>
      <c r="G48" s="54">
        <v>1765008585</v>
      </c>
      <c r="H48" s="54" t="s">
        <v>229</v>
      </c>
      <c r="I48" s="54" t="s">
        <v>3514</v>
      </c>
      <c r="J48" s="34" t="s">
        <v>3515</v>
      </c>
      <c r="K48" s="43">
        <f>VLOOKUP(A48,'SSP_March''19'!$A$3:$L$1193,11,0)</f>
        <v>249286</v>
      </c>
      <c r="L48" s="43">
        <f>VLOOKUP(A48,'SSP_March''19'!$A$3:$L$1193,12,0)</f>
        <v>55600</v>
      </c>
      <c r="M48" s="44">
        <f t="shared" si="0"/>
        <v>0.22303699365387547</v>
      </c>
      <c r="N48" s="49">
        <f>ROUND(VLOOKUP(A48,'SSP_March''19'!$A$3:$N$1193,14,0),0)</f>
        <v>172360</v>
      </c>
      <c r="O48" s="44">
        <f t="shared" si="1"/>
        <v>0.69141468032701392</v>
      </c>
      <c r="P48" s="45">
        <f>VLOOKUP(A48,'SSP_March''19'!$A$3:$Q$1193,16,0)</f>
        <v>17</v>
      </c>
      <c r="Q48" s="34">
        <f>VLOOKUP(A48,'SSP_March''19'!$A$3:$Q$1193,17,0)</f>
        <v>2</v>
      </c>
      <c r="R48" s="35">
        <f t="shared" si="2"/>
        <v>0.11764705882352941</v>
      </c>
      <c r="S48" s="49">
        <f>ROUND(VLOOKUP(A48,'SSP_March''19'!$A$3:$T$1193,19,0),0)</f>
        <v>6</v>
      </c>
      <c r="T48" s="44">
        <f>VLOOKUP(A48,'SSP_March''19'!$A$3:$T$1193,20,0)</f>
        <v>0.35294117647058826</v>
      </c>
      <c r="U48" s="34">
        <f>VLOOKUP(A48,'SSP_March''19'!$A$3:$X$1193,21,0)</f>
        <v>1</v>
      </c>
      <c r="V48" s="34">
        <f>VLOOKUP(A48,'SSP_March''19'!$A$3:$X$1193,22,0)</f>
        <v>1</v>
      </c>
      <c r="W48" s="34">
        <f>VLOOKUP(A48,'SSP_March''19'!$A$3:$X$1193,23,0)</f>
        <v>0</v>
      </c>
      <c r="X48" s="34">
        <f>VLOOKUP(A48,'SSP_March''19'!$A$3:$X$1193,24,0)</f>
        <v>0</v>
      </c>
    </row>
    <row r="49" spans="1:24">
      <c r="A49" s="54" t="s">
        <v>2737</v>
      </c>
      <c r="B49" s="54" t="s">
        <v>2738</v>
      </c>
      <c r="C49" s="54" t="s">
        <v>167</v>
      </c>
      <c r="D49" s="54" t="s">
        <v>139</v>
      </c>
      <c r="E49" s="54" t="s">
        <v>0</v>
      </c>
      <c r="F49" s="54" t="s">
        <v>2739</v>
      </c>
      <c r="G49" s="54">
        <v>1924512279</v>
      </c>
      <c r="H49" s="54" t="s">
        <v>229</v>
      </c>
      <c r="I49" s="54" t="s">
        <v>3518</v>
      </c>
      <c r="J49" s="34" t="s">
        <v>3419</v>
      </c>
      <c r="K49" s="43">
        <f>VLOOKUP(A49,'SSP_March''19'!$A$3:$L$1193,11,0)</f>
        <v>319971</v>
      </c>
      <c r="L49" s="43">
        <f>VLOOKUP(A49,'SSP_March''19'!$A$3:$L$1193,12,0)</f>
        <v>152024</v>
      </c>
      <c r="M49" s="44">
        <f t="shared" si="0"/>
        <v>0.47511805757396763</v>
      </c>
      <c r="N49" s="49">
        <f>ROUND(VLOOKUP(A49,'SSP_March''19'!$A$3:$N$1193,14,0),0)</f>
        <v>471274</v>
      </c>
      <c r="O49" s="44">
        <f t="shared" si="1"/>
        <v>1.4728647283660081</v>
      </c>
      <c r="P49" s="45">
        <f>VLOOKUP(A49,'SSP_March''19'!$A$3:$Q$1193,16,0)</f>
        <v>25</v>
      </c>
      <c r="Q49" s="34">
        <f>VLOOKUP(A49,'SSP_March''19'!$A$3:$Q$1193,17,0)</f>
        <v>10</v>
      </c>
      <c r="R49" s="35">
        <f t="shared" si="2"/>
        <v>0.4</v>
      </c>
      <c r="S49" s="49">
        <f>ROUND(VLOOKUP(A49,'SSP_March''19'!$A$3:$T$1193,19,0),0)</f>
        <v>31</v>
      </c>
      <c r="T49" s="44">
        <f>VLOOKUP(A49,'SSP_March''19'!$A$3:$T$1193,20,0)</f>
        <v>1.24</v>
      </c>
      <c r="U49" s="34">
        <f>VLOOKUP(A49,'SSP_March''19'!$A$3:$X$1193,21,0)</f>
        <v>0</v>
      </c>
      <c r="V49" s="34">
        <f>VLOOKUP(A49,'SSP_March''19'!$A$3:$X$1193,22,0)</f>
        <v>1</v>
      </c>
      <c r="W49" s="34">
        <f>VLOOKUP(A49,'SSP_March''19'!$A$3:$X$1193,23,0)</f>
        <v>0</v>
      </c>
      <c r="X49" s="34">
        <f>VLOOKUP(A49,'SSP_March''19'!$A$3:$X$1193,24,0)</f>
        <v>0</v>
      </c>
    </row>
    <row r="50" spans="1:24">
      <c r="A50" s="54" t="s">
        <v>2449</v>
      </c>
      <c r="B50" s="54" t="s">
        <v>2450</v>
      </c>
      <c r="C50" s="54" t="s">
        <v>167</v>
      </c>
      <c r="D50" s="54" t="s">
        <v>139</v>
      </c>
      <c r="E50" s="54" t="s">
        <v>0</v>
      </c>
      <c r="F50" s="54" t="s">
        <v>2451</v>
      </c>
      <c r="G50" s="54">
        <v>1973217321</v>
      </c>
      <c r="H50" s="54" t="s">
        <v>229</v>
      </c>
      <c r="I50" s="54" t="s">
        <v>3522</v>
      </c>
      <c r="J50" s="34" t="s">
        <v>3419</v>
      </c>
      <c r="K50" s="43">
        <f>VLOOKUP(A50,'SSP_March''19'!$A$3:$L$1193,11,0)</f>
        <v>500000</v>
      </c>
      <c r="L50" s="43">
        <f>VLOOKUP(A50,'SSP_March''19'!$A$3:$L$1193,12,0)</f>
        <v>104870</v>
      </c>
      <c r="M50" s="44">
        <f t="shared" si="0"/>
        <v>0.20974000000000001</v>
      </c>
      <c r="N50" s="49">
        <f>ROUND(VLOOKUP(A50,'SSP_March''19'!$A$3:$N$1193,14,0),0)</f>
        <v>325097</v>
      </c>
      <c r="O50" s="44">
        <f t="shared" si="1"/>
        <v>0.65019400000000005</v>
      </c>
      <c r="P50" s="45">
        <f>VLOOKUP(A50,'SSP_March''19'!$A$3:$Q$1193,16,0)</f>
        <v>32</v>
      </c>
      <c r="Q50" s="34">
        <f>VLOOKUP(A50,'SSP_March''19'!$A$3:$Q$1193,17,0)</f>
        <v>9</v>
      </c>
      <c r="R50" s="35">
        <f t="shared" si="2"/>
        <v>0.28125</v>
      </c>
      <c r="S50" s="49">
        <f>ROUND(VLOOKUP(A50,'SSP_March''19'!$A$3:$T$1193,19,0),0)</f>
        <v>28</v>
      </c>
      <c r="T50" s="44">
        <f>VLOOKUP(A50,'SSP_March''19'!$A$3:$T$1193,20,0)</f>
        <v>0.875</v>
      </c>
      <c r="U50" s="34">
        <f>VLOOKUP(A50,'SSP_March''19'!$A$3:$X$1193,21,0)</f>
        <v>2</v>
      </c>
      <c r="V50" s="34">
        <f>VLOOKUP(A50,'SSP_March''19'!$A$3:$X$1193,22,0)</f>
        <v>2</v>
      </c>
      <c r="W50" s="34">
        <f>VLOOKUP(A50,'SSP_March''19'!$A$3:$X$1193,23,0)</f>
        <v>0</v>
      </c>
      <c r="X50" s="34">
        <f>VLOOKUP(A50,'SSP_March''19'!$A$3:$X$1193,24,0)</f>
        <v>3</v>
      </c>
    </row>
    <row r="51" spans="1:24">
      <c r="A51" s="54" t="s">
        <v>3172</v>
      </c>
      <c r="B51" s="54" t="s">
        <v>2222</v>
      </c>
      <c r="C51" s="54" t="s">
        <v>167</v>
      </c>
      <c r="D51" s="54" t="s">
        <v>139</v>
      </c>
      <c r="E51" s="54" t="s">
        <v>0</v>
      </c>
      <c r="F51" s="54" t="s">
        <v>3173</v>
      </c>
      <c r="G51" s="54">
        <v>1712290395</v>
      </c>
      <c r="H51" s="54" t="s">
        <v>229</v>
      </c>
      <c r="I51" s="54" t="s">
        <v>3514</v>
      </c>
      <c r="J51" s="34" t="s">
        <v>3421</v>
      </c>
      <c r="K51" s="43">
        <f>VLOOKUP(A51,'SSP_March''19'!$A$3:$L$1193,11,0)</f>
        <v>190432</v>
      </c>
      <c r="L51" s="43">
        <f>VLOOKUP(A51,'SSP_March''19'!$A$3:$L$1193,12,0)</f>
        <v>72265</v>
      </c>
      <c r="M51" s="44">
        <f t="shared" si="0"/>
        <v>0.37947928919509327</v>
      </c>
      <c r="N51" s="49">
        <f>ROUND(VLOOKUP(A51,'SSP_March''19'!$A$3:$N$1193,14,0),0)</f>
        <v>224022</v>
      </c>
      <c r="O51" s="44">
        <f t="shared" si="1"/>
        <v>1.1763884221139305</v>
      </c>
      <c r="P51" s="45">
        <f>VLOOKUP(A51,'SSP_March''19'!$A$3:$Q$1193,16,0)</f>
        <v>10</v>
      </c>
      <c r="Q51" s="34">
        <f>VLOOKUP(A51,'SSP_March''19'!$A$3:$Q$1193,17,0)</f>
        <v>4</v>
      </c>
      <c r="R51" s="35">
        <f t="shared" si="2"/>
        <v>0.4</v>
      </c>
      <c r="S51" s="49">
        <f>ROUND(VLOOKUP(A51,'SSP_March''19'!$A$3:$T$1193,19,0),0)</f>
        <v>12</v>
      </c>
      <c r="T51" s="44">
        <f>VLOOKUP(A51,'SSP_March''19'!$A$3:$T$1193,20,0)</f>
        <v>1.2</v>
      </c>
      <c r="U51" s="34">
        <f>VLOOKUP(A51,'SSP_March''19'!$A$3:$X$1193,21,0)</f>
        <v>0</v>
      </c>
      <c r="V51" s="34">
        <f>VLOOKUP(A51,'SSP_March''19'!$A$3:$X$1193,22,0)</f>
        <v>0</v>
      </c>
      <c r="W51" s="34">
        <f>VLOOKUP(A51,'SSP_March''19'!$A$3:$X$1193,23,0)</f>
        <v>0</v>
      </c>
      <c r="X51" s="34">
        <f>VLOOKUP(A51,'SSP_March''19'!$A$3:$X$1193,24,0)</f>
        <v>2</v>
      </c>
    </row>
    <row r="52" spans="1:24">
      <c r="A52" s="54" t="s">
        <v>2793</v>
      </c>
      <c r="B52" s="54" t="s">
        <v>2794</v>
      </c>
      <c r="C52" s="54" t="s">
        <v>167</v>
      </c>
      <c r="D52" s="54" t="s">
        <v>139</v>
      </c>
      <c r="E52" s="54" t="s">
        <v>0</v>
      </c>
      <c r="F52" s="54" t="s">
        <v>2795</v>
      </c>
      <c r="G52" s="54">
        <v>1935012700</v>
      </c>
      <c r="H52" s="54" t="s">
        <v>229</v>
      </c>
      <c r="I52" s="54" t="s">
        <v>3514</v>
      </c>
      <c r="J52" s="34" t="s">
        <v>3421</v>
      </c>
      <c r="K52" s="43">
        <f>VLOOKUP(A52,'SSP_March''19'!$A$3:$L$1193,11,0)</f>
        <v>201949</v>
      </c>
      <c r="L52" s="43">
        <f>VLOOKUP(A52,'SSP_March''19'!$A$3:$L$1193,12,0)</f>
        <v>37489</v>
      </c>
      <c r="M52" s="44">
        <f t="shared" si="0"/>
        <v>0.18563597740023471</v>
      </c>
      <c r="N52" s="49">
        <f>ROUND(VLOOKUP(A52,'SSP_March''19'!$A$3:$N$1193,14,0),0)</f>
        <v>116216</v>
      </c>
      <c r="O52" s="44">
        <f t="shared" si="1"/>
        <v>0.57547202511525186</v>
      </c>
      <c r="P52" s="45">
        <f>VLOOKUP(A52,'SSP_March''19'!$A$3:$Q$1193,16,0)</f>
        <v>10</v>
      </c>
      <c r="Q52" s="34">
        <f>VLOOKUP(A52,'SSP_March''19'!$A$3:$Q$1193,17,0)</f>
        <v>1</v>
      </c>
      <c r="R52" s="35">
        <f t="shared" si="2"/>
        <v>0.1</v>
      </c>
      <c r="S52" s="49">
        <f>ROUND(VLOOKUP(A52,'SSP_March''19'!$A$3:$T$1193,19,0),0)</f>
        <v>3</v>
      </c>
      <c r="T52" s="44">
        <f>VLOOKUP(A52,'SSP_March''19'!$A$3:$T$1193,20,0)</f>
        <v>0.3</v>
      </c>
      <c r="U52" s="34">
        <f>VLOOKUP(A52,'SSP_March''19'!$A$3:$X$1193,21,0)</f>
        <v>0</v>
      </c>
      <c r="V52" s="34">
        <f>VLOOKUP(A52,'SSP_March''19'!$A$3:$X$1193,22,0)</f>
        <v>0</v>
      </c>
      <c r="W52" s="34">
        <f>VLOOKUP(A52,'SSP_March''19'!$A$3:$X$1193,23,0)</f>
        <v>0</v>
      </c>
      <c r="X52" s="34">
        <f>VLOOKUP(A52,'SSP_March''19'!$A$3:$X$1193,24,0)</f>
        <v>0</v>
      </c>
    </row>
    <row r="53" spans="1:24">
      <c r="A53" s="54" t="s">
        <v>2724</v>
      </c>
      <c r="B53" s="54" t="s">
        <v>156</v>
      </c>
      <c r="C53" s="54" t="s">
        <v>167</v>
      </c>
      <c r="D53" s="54" t="s">
        <v>139</v>
      </c>
      <c r="E53" s="54" t="s">
        <v>0</v>
      </c>
      <c r="F53" s="54" t="s">
        <v>2725</v>
      </c>
      <c r="G53" s="54">
        <v>1751788580</v>
      </c>
      <c r="H53" s="54" t="s">
        <v>229</v>
      </c>
      <c r="I53" s="54" t="s">
        <v>3514</v>
      </c>
      <c r="J53" s="34" t="s">
        <v>3421</v>
      </c>
      <c r="K53" s="43">
        <f>VLOOKUP(A53,'SSP_March''19'!$A$3:$L$1193,11,0)</f>
        <v>130000</v>
      </c>
      <c r="L53" s="43">
        <f>VLOOKUP(A53,'SSP_March''19'!$A$3:$L$1193,12,0)</f>
        <v>20350</v>
      </c>
      <c r="M53" s="44">
        <f t="shared" si="0"/>
        <v>0.15653846153846154</v>
      </c>
      <c r="N53" s="49">
        <f>ROUND(VLOOKUP(A53,'SSP_March''19'!$A$3:$N$1193,14,0),0)</f>
        <v>63085</v>
      </c>
      <c r="O53" s="44">
        <f t="shared" si="1"/>
        <v>0.48526923076923079</v>
      </c>
      <c r="P53" s="45">
        <f>VLOOKUP(A53,'SSP_March''19'!$A$3:$Q$1193,16,0)</f>
        <v>10</v>
      </c>
      <c r="Q53" s="34">
        <f>VLOOKUP(A53,'SSP_March''19'!$A$3:$Q$1193,17,0)</f>
        <v>0</v>
      </c>
      <c r="R53" s="35">
        <f t="shared" si="2"/>
        <v>0</v>
      </c>
      <c r="S53" s="49">
        <f>ROUND(VLOOKUP(A53,'SSP_March''19'!$A$3:$T$1193,19,0),0)</f>
        <v>0</v>
      </c>
      <c r="T53" s="44">
        <f>VLOOKUP(A53,'SSP_March''19'!$A$3:$T$1193,20,0)</f>
        <v>0</v>
      </c>
      <c r="U53" s="34">
        <f>VLOOKUP(A53,'SSP_March''19'!$A$3:$X$1193,21,0)</f>
        <v>0</v>
      </c>
      <c r="V53" s="34">
        <f>VLOOKUP(A53,'SSP_March''19'!$A$3:$X$1193,22,0)</f>
        <v>0</v>
      </c>
      <c r="W53" s="34">
        <f>VLOOKUP(A53,'SSP_March''19'!$A$3:$X$1193,23,0)</f>
        <v>0</v>
      </c>
      <c r="X53" s="34">
        <f>VLOOKUP(A53,'SSP_March''19'!$A$3:$X$1193,24,0)</f>
        <v>0</v>
      </c>
    </row>
    <row r="54" spans="1:24">
      <c r="A54" s="75" t="s">
        <v>3607</v>
      </c>
      <c r="B54" s="75" t="s">
        <v>503</v>
      </c>
      <c r="C54" s="75" t="s">
        <v>167</v>
      </c>
      <c r="D54" s="75" t="s">
        <v>139</v>
      </c>
      <c r="E54" s="75" t="s">
        <v>0</v>
      </c>
      <c r="F54" s="76" t="s">
        <v>3608</v>
      </c>
      <c r="G54" s="71">
        <v>1925773102</v>
      </c>
      <c r="H54" s="54" t="s">
        <v>229</v>
      </c>
      <c r="I54" s="54" t="s">
        <v>3514</v>
      </c>
      <c r="J54" s="34" t="s">
        <v>3421</v>
      </c>
      <c r="K54" s="43">
        <f>VLOOKUP(A54,'SSP_March''19'!$A$3:$L$1193,11,0)</f>
        <v>130000</v>
      </c>
      <c r="L54" s="43">
        <f>VLOOKUP(A54,'SSP_March''19'!$A$3:$L$1193,12,0)</f>
        <v>57960</v>
      </c>
      <c r="M54" s="44">
        <f t="shared" si="0"/>
        <v>0.44584615384615384</v>
      </c>
      <c r="N54" s="49">
        <f>ROUND(VLOOKUP(A54,'SSP_March''19'!$A$3:$N$1193,14,0),0)</f>
        <v>179676</v>
      </c>
      <c r="O54" s="44">
        <f t="shared" si="1"/>
        <v>1.382123076923077</v>
      </c>
      <c r="P54" s="45">
        <f>VLOOKUP(A54,'SSP_March''19'!$A$3:$Q$1193,16,0)</f>
        <v>10</v>
      </c>
      <c r="Q54" s="34">
        <f>VLOOKUP(A54,'SSP_March''19'!$A$3:$Q$1193,17,0)</f>
        <v>5</v>
      </c>
      <c r="R54" s="35">
        <f t="shared" si="2"/>
        <v>0.5</v>
      </c>
      <c r="S54" s="49">
        <f>ROUND(VLOOKUP(A54,'SSP_March''19'!$A$3:$T$1193,19,0),0)</f>
        <v>16</v>
      </c>
      <c r="T54" s="44">
        <f>VLOOKUP(A54,'SSP_March''19'!$A$3:$T$1193,20,0)</f>
        <v>1.6</v>
      </c>
      <c r="U54" s="34">
        <f>VLOOKUP(A54,'SSP_March''19'!$A$3:$X$1193,21,0)</f>
        <v>1</v>
      </c>
      <c r="V54" s="34">
        <f>VLOOKUP(A54,'SSP_March''19'!$A$3:$X$1193,22,0)</f>
        <v>1</v>
      </c>
      <c r="W54" s="34">
        <f>VLOOKUP(A54,'SSP_March''19'!$A$3:$X$1193,23,0)</f>
        <v>0</v>
      </c>
      <c r="X54" s="34">
        <f>VLOOKUP(A54,'SSP_March''19'!$A$3:$X$1193,24,0)</f>
        <v>0</v>
      </c>
    </row>
    <row r="55" spans="1:24">
      <c r="A55" s="54" t="s">
        <v>2778</v>
      </c>
      <c r="B55" s="54" t="s">
        <v>2779</v>
      </c>
      <c r="C55" s="54" t="s">
        <v>167</v>
      </c>
      <c r="D55" s="54" t="s">
        <v>139</v>
      </c>
      <c r="E55" s="54" t="s">
        <v>0</v>
      </c>
      <c r="F55" s="54" t="s">
        <v>2780</v>
      </c>
      <c r="G55" s="54">
        <v>1722797979</v>
      </c>
      <c r="H55" s="54" t="s">
        <v>229</v>
      </c>
      <c r="I55" s="54" t="s">
        <v>3514</v>
      </c>
      <c r="J55" s="34" t="s">
        <v>3515</v>
      </c>
      <c r="K55" s="43">
        <f>VLOOKUP(A55,'SSP_March''19'!$A$3:$L$1193,11,0)</f>
        <v>130000</v>
      </c>
      <c r="L55" s="43">
        <f>VLOOKUP(A55,'SSP_March''19'!$A$3:$L$1193,12,0)</f>
        <v>24160</v>
      </c>
      <c r="M55" s="44">
        <f t="shared" si="0"/>
        <v>0.18584615384615386</v>
      </c>
      <c r="N55" s="49">
        <f>ROUND(VLOOKUP(A55,'SSP_March''19'!$A$3:$N$1193,14,0),0)</f>
        <v>74896</v>
      </c>
      <c r="O55" s="44">
        <f t="shared" si="1"/>
        <v>0.57612307692307696</v>
      </c>
      <c r="P55" s="45">
        <f>VLOOKUP(A55,'SSP_March''19'!$A$3:$Q$1193,16,0)</f>
        <v>10</v>
      </c>
      <c r="Q55" s="34">
        <f>VLOOKUP(A55,'SSP_March''19'!$A$3:$Q$1193,17,0)</f>
        <v>3</v>
      </c>
      <c r="R55" s="35">
        <f t="shared" si="2"/>
        <v>0.3</v>
      </c>
      <c r="S55" s="49">
        <f>ROUND(VLOOKUP(A55,'SSP_March''19'!$A$3:$T$1193,19,0),0)</f>
        <v>9</v>
      </c>
      <c r="T55" s="44">
        <f>VLOOKUP(A55,'SSP_March''19'!$A$3:$T$1193,20,0)</f>
        <v>0.9</v>
      </c>
      <c r="U55" s="34">
        <f>VLOOKUP(A55,'SSP_March''19'!$A$3:$X$1193,21,0)</f>
        <v>0</v>
      </c>
      <c r="V55" s="34">
        <f>VLOOKUP(A55,'SSP_March''19'!$A$3:$X$1193,22,0)</f>
        <v>2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54" t="s">
        <v>3075</v>
      </c>
      <c r="B56" s="54" t="s">
        <v>1687</v>
      </c>
      <c r="C56" s="54" t="s">
        <v>167</v>
      </c>
      <c r="D56" s="54" t="s">
        <v>139</v>
      </c>
      <c r="E56" s="54" t="s">
        <v>0</v>
      </c>
      <c r="F56" s="54" t="s">
        <v>3076</v>
      </c>
      <c r="G56" s="54">
        <v>1711676678</v>
      </c>
      <c r="H56" s="54" t="s">
        <v>229</v>
      </c>
      <c r="I56" s="54" t="s">
        <v>3514</v>
      </c>
      <c r="J56" s="34" t="s">
        <v>3421</v>
      </c>
      <c r="K56" s="43">
        <f>VLOOKUP(A56,'SSP_March''19'!$A$3:$L$1193,11,0)</f>
        <v>130000</v>
      </c>
      <c r="L56" s="43">
        <f>VLOOKUP(A56,'SSP_March''19'!$A$3:$L$1193,12,0)</f>
        <v>11280</v>
      </c>
      <c r="M56" s="44">
        <f t="shared" si="0"/>
        <v>8.6769230769230765E-2</v>
      </c>
      <c r="N56" s="49">
        <f>ROUND(VLOOKUP(A56,'SSP_March''19'!$A$3:$N$1193,14,0),0)</f>
        <v>34968</v>
      </c>
      <c r="O56" s="44">
        <f t="shared" si="1"/>
        <v>0.26898461538461538</v>
      </c>
      <c r="P56" s="45">
        <f>VLOOKUP(A56,'SSP_March''19'!$A$3:$Q$1193,16,0)</f>
        <v>10</v>
      </c>
      <c r="Q56" s="34">
        <f>VLOOKUP(A56,'SSP_March''19'!$A$3:$Q$1193,17,0)</f>
        <v>1</v>
      </c>
      <c r="R56" s="35">
        <f t="shared" si="2"/>
        <v>0.1</v>
      </c>
      <c r="S56" s="49">
        <f>ROUND(VLOOKUP(A56,'SSP_March''19'!$A$3:$T$1193,19,0),0)</f>
        <v>3</v>
      </c>
      <c r="T56" s="44">
        <f>VLOOKUP(A56,'SSP_March''19'!$A$3:$T$1193,20,0)</f>
        <v>0.3</v>
      </c>
      <c r="U56" s="34">
        <f>VLOOKUP(A56,'SSP_March''19'!$A$3:$X$1193,21,0)</f>
        <v>0</v>
      </c>
      <c r="V56" s="34">
        <f>VLOOKUP(A56,'SSP_March''19'!$A$3:$X$1193,22,0)</f>
        <v>1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54" t="s">
        <v>2443</v>
      </c>
      <c r="B57" s="54" t="s">
        <v>2444</v>
      </c>
      <c r="C57" s="54" t="s">
        <v>167</v>
      </c>
      <c r="D57" s="54" t="s">
        <v>139</v>
      </c>
      <c r="E57" s="54" t="s">
        <v>0</v>
      </c>
      <c r="F57" s="54" t="s">
        <v>2445</v>
      </c>
      <c r="G57" s="54">
        <v>1916718175</v>
      </c>
      <c r="H57" s="54" t="s">
        <v>229</v>
      </c>
      <c r="I57" s="54" t="s">
        <v>3514</v>
      </c>
      <c r="J57" s="34" t="s">
        <v>3419</v>
      </c>
      <c r="K57" s="43">
        <f>VLOOKUP(A57,'SSP_March''19'!$A$3:$L$1193,11,0)</f>
        <v>165998</v>
      </c>
      <c r="L57" s="43">
        <f>VLOOKUP(A57,'SSP_March''19'!$A$3:$L$1193,12,0)</f>
        <v>84750</v>
      </c>
      <c r="M57" s="44">
        <f t="shared" si="0"/>
        <v>0.5105483198592754</v>
      </c>
      <c r="N57" s="49">
        <f>ROUND(VLOOKUP(A57,'SSP_March''19'!$A$3:$N$1193,14,0),0)</f>
        <v>262725</v>
      </c>
      <c r="O57" s="44">
        <f t="shared" si="1"/>
        <v>1.5826997915637537</v>
      </c>
      <c r="P57" s="45">
        <f>VLOOKUP(A57,'SSP_March''19'!$A$3:$Q$1193,16,0)</f>
        <v>10</v>
      </c>
      <c r="Q57" s="34">
        <f>VLOOKUP(A57,'SSP_March''19'!$A$3:$Q$1193,17,0)</f>
        <v>4</v>
      </c>
      <c r="R57" s="35">
        <f t="shared" si="2"/>
        <v>0.4</v>
      </c>
      <c r="S57" s="49">
        <f>ROUND(VLOOKUP(A57,'SSP_March''19'!$A$3:$T$1193,19,0),0)</f>
        <v>12</v>
      </c>
      <c r="T57" s="44">
        <f>VLOOKUP(A57,'SSP_March''19'!$A$3:$T$1193,20,0)</f>
        <v>1.2</v>
      </c>
      <c r="U57" s="34">
        <f>VLOOKUP(A57,'SSP_March''19'!$A$3:$X$1193,21,0)</f>
        <v>1</v>
      </c>
      <c r="V57" s="34">
        <f>VLOOKUP(A57,'SSP_March''19'!$A$3:$X$1193,22,0)</f>
        <v>1</v>
      </c>
      <c r="W57" s="34">
        <f>VLOOKUP(A57,'SSP_March''19'!$A$3:$X$1193,23,0)</f>
        <v>1</v>
      </c>
      <c r="X57" s="34">
        <f>VLOOKUP(A57,'SSP_March''19'!$A$3:$X$1193,24,0)</f>
        <v>0</v>
      </c>
    </row>
    <row r="58" spans="1:24">
      <c r="A58" s="54" t="s">
        <v>2625</v>
      </c>
      <c r="B58" s="54" t="s">
        <v>175</v>
      </c>
      <c r="C58" s="54" t="s">
        <v>167</v>
      </c>
      <c r="D58" s="54" t="s">
        <v>139</v>
      </c>
      <c r="E58" s="54" t="s">
        <v>0</v>
      </c>
      <c r="F58" s="54" t="s">
        <v>2513</v>
      </c>
      <c r="G58" s="54">
        <v>1712011872</v>
      </c>
      <c r="H58" s="54" t="s">
        <v>229</v>
      </c>
      <c r="I58" s="54" t="s">
        <v>3514</v>
      </c>
      <c r="J58" s="34" t="s">
        <v>3421</v>
      </c>
      <c r="K58" s="43">
        <f>VLOOKUP(A58,'SSP_March''19'!$A$3:$L$1193,11,0)</f>
        <v>181087</v>
      </c>
      <c r="L58" s="43">
        <f>VLOOKUP(A58,'SSP_March''19'!$A$3:$L$1193,12,0)</f>
        <v>26750</v>
      </c>
      <c r="M58" s="44">
        <f t="shared" si="0"/>
        <v>0.14771905216829478</v>
      </c>
      <c r="N58" s="49">
        <f>ROUND(VLOOKUP(A58,'SSP_March''19'!$A$3:$N$1193,14,0),0)</f>
        <v>82925</v>
      </c>
      <c r="O58" s="44">
        <f t="shared" si="1"/>
        <v>0.45792906172171388</v>
      </c>
      <c r="P58" s="45">
        <f>VLOOKUP(A58,'SSP_March''19'!$A$3:$Q$1193,16,0)</f>
        <v>12</v>
      </c>
      <c r="Q58" s="34">
        <f>VLOOKUP(A58,'SSP_March''19'!$A$3:$Q$1193,17,0)</f>
        <v>2</v>
      </c>
      <c r="R58" s="35">
        <f t="shared" si="2"/>
        <v>0.16666666666666666</v>
      </c>
      <c r="S58" s="49">
        <f>ROUND(VLOOKUP(A58,'SSP_March''19'!$A$3:$T$1193,19,0),0)</f>
        <v>6</v>
      </c>
      <c r="T58" s="44">
        <f>VLOOKUP(A58,'SSP_March''19'!$A$3:$T$1193,20,0)</f>
        <v>0.5</v>
      </c>
      <c r="U58" s="34">
        <f>VLOOKUP(A58,'SSP_March''19'!$A$3:$X$1193,21,0)</f>
        <v>0</v>
      </c>
      <c r="V58" s="34">
        <f>VLOOKUP(A58,'SSP_March''19'!$A$3:$X$1193,22,0)</f>
        <v>1</v>
      </c>
      <c r="W58" s="34">
        <f>VLOOKUP(A58,'SSP_March''19'!$A$3:$X$1193,23,0)</f>
        <v>1</v>
      </c>
      <c r="X58" s="34">
        <f>VLOOKUP(A58,'SSP_March''19'!$A$3:$X$1193,24,0)</f>
        <v>0</v>
      </c>
    </row>
    <row r="59" spans="1:24">
      <c r="A59" s="54" t="s">
        <v>2514</v>
      </c>
      <c r="B59" s="54" t="s">
        <v>2515</v>
      </c>
      <c r="C59" s="54" t="s">
        <v>167</v>
      </c>
      <c r="D59" s="54" t="s">
        <v>139</v>
      </c>
      <c r="E59" s="54" t="s">
        <v>0</v>
      </c>
      <c r="F59" s="54" t="s">
        <v>2516</v>
      </c>
      <c r="G59" s="54">
        <v>1728202321</v>
      </c>
      <c r="H59" s="54" t="s">
        <v>229</v>
      </c>
      <c r="I59" s="54" t="s">
        <v>3514</v>
      </c>
      <c r="J59" s="34" t="s">
        <v>3419</v>
      </c>
      <c r="K59" s="43">
        <f>VLOOKUP(A59,'SSP_March''19'!$A$3:$L$1193,11,0)</f>
        <v>130000</v>
      </c>
      <c r="L59" s="43">
        <f>VLOOKUP(A59,'SSP_March''19'!$A$3:$L$1193,12,0)</f>
        <v>41420</v>
      </c>
      <c r="M59" s="44">
        <f t="shared" si="0"/>
        <v>0.31861538461538463</v>
      </c>
      <c r="N59" s="49">
        <f>ROUND(VLOOKUP(A59,'SSP_March''19'!$A$3:$N$1193,14,0),0)</f>
        <v>128402</v>
      </c>
      <c r="O59" s="44">
        <f t="shared" si="1"/>
        <v>0.98770769230769229</v>
      </c>
      <c r="P59" s="45">
        <f>VLOOKUP(A59,'SSP_March''19'!$A$3:$Q$1193,16,0)</f>
        <v>10</v>
      </c>
      <c r="Q59" s="34">
        <f>VLOOKUP(A59,'SSP_March''19'!$A$3:$Q$1193,17,0)</f>
        <v>1</v>
      </c>
      <c r="R59" s="35">
        <f t="shared" si="2"/>
        <v>0.1</v>
      </c>
      <c r="S59" s="49">
        <f>ROUND(VLOOKUP(A59,'SSP_March''19'!$A$3:$T$1193,19,0),0)</f>
        <v>3</v>
      </c>
      <c r="T59" s="44">
        <f>VLOOKUP(A59,'SSP_March''19'!$A$3:$T$1193,20,0)</f>
        <v>0.3</v>
      </c>
      <c r="U59" s="34">
        <f>VLOOKUP(A59,'SSP_March''19'!$A$3:$X$1193,21,0)</f>
        <v>2</v>
      </c>
      <c r="V59" s="34">
        <f>VLOOKUP(A59,'SSP_March''19'!$A$3:$X$1193,22,0)</f>
        <v>0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54" t="s">
        <v>2571</v>
      </c>
      <c r="B60" s="54" t="s">
        <v>2572</v>
      </c>
      <c r="C60" s="54" t="s">
        <v>167</v>
      </c>
      <c r="D60" s="54" t="s">
        <v>139</v>
      </c>
      <c r="E60" s="54" t="s">
        <v>0</v>
      </c>
      <c r="F60" s="54" t="s">
        <v>2573</v>
      </c>
      <c r="G60" s="54">
        <v>1738763428</v>
      </c>
      <c r="H60" s="54" t="s">
        <v>229</v>
      </c>
      <c r="I60" s="54" t="s">
        <v>3514</v>
      </c>
      <c r="J60" s="34" t="s">
        <v>3421</v>
      </c>
      <c r="K60" s="43">
        <f>VLOOKUP(A60,'SSP_March''19'!$A$3:$L$1193,11,0)</f>
        <v>130000</v>
      </c>
      <c r="L60" s="43">
        <f>VLOOKUP(A60,'SSP_March''19'!$A$3:$L$1193,12,0)</f>
        <v>39840</v>
      </c>
      <c r="M60" s="44">
        <f t="shared" si="0"/>
        <v>0.30646153846153845</v>
      </c>
      <c r="N60" s="49">
        <f>ROUND(VLOOKUP(A60,'SSP_March''19'!$A$3:$N$1193,14,0),0)</f>
        <v>123504</v>
      </c>
      <c r="O60" s="44">
        <f t="shared" si="1"/>
        <v>0.95003076923076923</v>
      </c>
      <c r="P60" s="45">
        <f>VLOOKUP(A60,'SSP_March''19'!$A$3:$Q$1193,16,0)</f>
        <v>10</v>
      </c>
      <c r="Q60" s="34">
        <f>VLOOKUP(A60,'SSP_March''19'!$A$3:$Q$1193,17,0)</f>
        <v>3</v>
      </c>
      <c r="R60" s="35">
        <f t="shared" si="2"/>
        <v>0.3</v>
      </c>
      <c r="S60" s="49">
        <f>ROUND(VLOOKUP(A60,'SSP_March''19'!$A$3:$T$1193,19,0),0)</f>
        <v>9</v>
      </c>
      <c r="T60" s="44">
        <f>VLOOKUP(A60,'SSP_March''19'!$A$3:$T$1193,20,0)</f>
        <v>0.9</v>
      </c>
      <c r="U60" s="34">
        <f>VLOOKUP(A60,'SSP_March''19'!$A$3:$X$1193,21,0)</f>
        <v>1</v>
      </c>
      <c r="V60" s="34">
        <f>VLOOKUP(A60,'SSP_March''19'!$A$3:$X$1193,22,0)</f>
        <v>0</v>
      </c>
      <c r="W60" s="34">
        <f>VLOOKUP(A60,'SSP_March''19'!$A$3:$X$1193,23,0)</f>
        <v>0</v>
      </c>
      <c r="X60" s="34">
        <f>VLOOKUP(A60,'SSP_March''19'!$A$3:$X$1193,24,0)</f>
        <v>0</v>
      </c>
    </row>
    <row r="61" spans="1:24">
      <c r="A61" s="54" t="s">
        <v>2706</v>
      </c>
      <c r="B61" s="54" t="s">
        <v>2707</v>
      </c>
      <c r="C61" s="54" t="s">
        <v>167</v>
      </c>
      <c r="D61" s="54" t="s">
        <v>139</v>
      </c>
      <c r="E61" s="54" t="s">
        <v>0</v>
      </c>
      <c r="F61" s="54" t="s">
        <v>1152</v>
      </c>
      <c r="G61" s="54">
        <v>1736983929</v>
      </c>
      <c r="H61" s="54" t="s">
        <v>229</v>
      </c>
      <c r="I61" s="54" t="s">
        <v>3514</v>
      </c>
      <c r="J61" s="34" t="s">
        <v>3421</v>
      </c>
      <c r="K61" s="43">
        <f>VLOOKUP(A61,'SSP_March''19'!$A$3:$L$1193,11,0)</f>
        <v>130000</v>
      </c>
      <c r="L61" s="43">
        <f>VLOOKUP(A61,'SSP_March''19'!$A$3:$L$1193,12,0)</f>
        <v>12990</v>
      </c>
      <c r="M61" s="44">
        <f t="shared" si="0"/>
        <v>9.992307692307692E-2</v>
      </c>
      <c r="N61" s="49">
        <f>ROUND(VLOOKUP(A61,'SSP_March''19'!$A$3:$N$1193,14,0),0)</f>
        <v>40269</v>
      </c>
      <c r="O61" s="44">
        <f t="shared" si="1"/>
        <v>0.30976153846153848</v>
      </c>
      <c r="P61" s="45">
        <f>VLOOKUP(A61,'SSP_March''19'!$A$3:$Q$1193,16,0)</f>
        <v>10</v>
      </c>
      <c r="Q61" s="34">
        <f>VLOOKUP(A61,'SSP_March''19'!$A$3:$Q$1193,17,0)</f>
        <v>1</v>
      </c>
      <c r="R61" s="35">
        <f t="shared" si="2"/>
        <v>0.1</v>
      </c>
      <c r="S61" s="49">
        <f>ROUND(VLOOKUP(A61,'SSP_March''19'!$A$3:$T$1193,19,0),0)</f>
        <v>3</v>
      </c>
      <c r="T61" s="44">
        <f>VLOOKUP(A61,'SSP_March''19'!$A$3:$T$1193,20,0)</f>
        <v>0.3</v>
      </c>
      <c r="U61" s="34">
        <f>VLOOKUP(A61,'SSP_March''19'!$A$3:$X$1193,21,0)</f>
        <v>0</v>
      </c>
      <c r="V61" s="34">
        <f>VLOOKUP(A61,'SSP_March''19'!$A$3:$X$1193,22,0)</f>
        <v>0</v>
      </c>
      <c r="W61" s="34">
        <f>VLOOKUP(A61,'SSP_March''19'!$A$3:$X$1193,23,0)</f>
        <v>0</v>
      </c>
      <c r="X61" s="34">
        <f>VLOOKUP(A61,'SSP_March''19'!$A$3:$X$1193,24,0)</f>
        <v>0</v>
      </c>
    </row>
    <row r="62" spans="1:24">
      <c r="A62" s="54" t="s">
        <v>2482</v>
      </c>
      <c r="B62" s="54" t="s">
        <v>2483</v>
      </c>
      <c r="C62" s="54" t="s">
        <v>167</v>
      </c>
      <c r="D62" s="54" t="s">
        <v>139</v>
      </c>
      <c r="E62" s="54" t="s">
        <v>0</v>
      </c>
      <c r="F62" s="54" t="s">
        <v>2484</v>
      </c>
      <c r="G62" s="54">
        <v>1714275612</v>
      </c>
      <c r="H62" s="54" t="s">
        <v>229</v>
      </c>
      <c r="I62" s="54" t="s">
        <v>3514</v>
      </c>
      <c r="J62" s="34" t="s">
        <v>3419</v>
      </c>
      <c r="K62" s="43">
        <f>VLOOKUP(A62,'SSP_March''19'!$A$3:$L$1193,11,0)</f>
        <v>207595</v>
      </c>
      <c r="L62" s="43">
        <f>VLOOKUP(A62,'SSP_March''19'!$A$3:$L$1193,12,0)</f>
        <v>28635</v>
      </c>
      <c r="M62" s="44">
        <f t="shared" si="0"/>
        <v>0.13793684818998531</v>
      </c>
      <c r="N62" s="49">
        <f>ROUND(VLOOKUP(A62,'SSP_March''19'!$A$3:$N$1193,14,0),0)</f>
        <v>88769</v>
      </c>
      <c r="O62" s="44">
        <f t="shared" si="1"/>
        <v>0.42760663792480552</v>
      </c>
      <c r="P62" s="45">
        <f>VLOOKUP(A62,'SSP_March''19'!$A$3:$Q$1193,16,0)</f>
        <v>10</v>
      </c>
      <c r="Q62" s="34">
        <f>VLOOKUP(A62,'SSP_March''19'!$A$3:$Q$1193,17,0)</f>
        <v>2</v>
      </c>
      <c r="R62" s="35">
        <f t="shared" si="2"/>
        <v>0.2</v>
      </c>
      <c r="S62" s="49">
        <f>ROUND(VLOOKUP(A62,'SSP_March''19'!$A$3:$T$1193,19,0),0)</f>
        <v>6</v>
      </c>
      <c r="T62" s="44">
        <f>VLOOKUP(A62,'SSP_March''19'!$A$3:$T$1193,20,0)</f>
        <v>0.6</v>
      </c>
      <c r="U62" s="34">
        <f>VLOOKUP(A62,'SSP_March''19'!$A$3:$X$1193,21,0)</f>
        <v>0</v>
      </c>
      <c r="V62" s="34">
        <f>VLOOKUP(A62,'SSP_March''19'!$A$3:$X$1193,22,0)</f>
        <v>0</v>
      </c>
      <c r="W62" s="34">
        <f>VLOOKUP(A62,'SSP_March''19'!$A$3:$X$1193,23,0)</f>
        <v>0</v>
      </c>
      <c r="X62" s="34">
        <f>VLOOKUP(A62,'SSP_March''19'!$A$3:$X$1193,24,0)</f>
        <v>0</v>
      </c>
    </row>
    <row r="63" spans="1:24">
      <c r="A63" s="54" t="s">
        <v>2846</v>
      </c>
      <c r="B63" s="54" t="s">
        <v>2847</v>
      </c>
      <c r="C63" s="54" t="s">
        <v>167</v>
      </c>
      <c r="D63" s="54" t="s">
        <v>139</v>
      </c>
      <c r="E63" s="54" t="s">
        <v>0</v>
      </c>
      <c r="F63" s="54" t="s">
        <v>511</v>
      </c>
      <c r="G63" s="54">
        <v>1776668885</v>
      </c>
      <c r="H63" s="54" t="s">
        <v>229</v>
      </c>
      <c r="I63" s="54" t="s">
        <v>3514</v>
      </c>
      <c r="J63" s="34" t="s">
        <v>3421</v>
      </c>
      <c r="K63" s="43">
        <f>VLOOKUP(A63,'SSP_March''19'!$A$3:$L$1193,11,0)</f>
        <v>130000</v>
      </c>
      <c r="L63" s="43">
        <f>VLOOKUP(A63,'SSP_March''19'!$A$3:$L$1193,12,0)</f>
        <v>13480</v>
      </c>
      <c r="M63" s="44">
        <f t="shared" si="0"/>
        <v>0.10369230769230769</v>
      </c>
      <c r="N63" s="49">
        <f>ROUND(VLOOKUP(A63,'SSP_March''19'!$A$3:$N$1193,14,0),0)</f>
        <v>41788</v>
      </c>
      <c r="O63" s="44">
        <f t="shared" si="1"/>
        <v>0.32144615384615383</v>
      </c>
      <c r="P63" s="45">
        <f>VLOOKUP(A63,'SSP_March''19'!$A$3:$Q$1193,16,0)</f>
        <v>10</v>
      </c>
      <c r="Q63" s="34">
        <f>VLOOKUP(A63,'SSP_March''19'!$A$3:$Q$1193,17,0)</f>
        <v>1</v>
      </c>
      <c r="R63" s="35">
        <f t="shared" si="2"/>
        <v>0.1</v>
      </c>
      <c r="S63" s="49">
        <f>ROUND(VLOOKUP(A63,'SSP_March''19'!$A$3:$T$1193,19,0),0)</f>
        <v>3</v>
      </c>
      <c r="T63" s="44">
        <f>VLOOKUP(A63,'SSP_March''19'!$A$3:$T$1193,20,0)</f>
        <v>0.3</v>
      </c>
      <c r="U63" s="34">
        <f>VLOOKUP(A63,'SSP_March''19'!$A$3:$X$1193,21,0)</f>
        <v>0</v>
      </c>
      <c r="V63" s="34">
        <f>VLOOKUP(A63,'SSP_March''19'!$A$3:$X$1193,22,0)</f>
        <v>0</v>
      </c>
      <c r="W63" s="34">
        <f>VLOOKUP(A63,'SSP_March''19'!$A$3:$X$1193,23,0)</f>
        <v>0</v>
      </c>
      <c r="X63" s="34">
        <f>VLOOKUP(A63,'SSP_March''19'!$A$3:$X$1193,24,0)</f>
        <v>0</v>
      </c>
    </row>
    <row r="64" spans="1:24">
      <c r="A64" s="54" t="s">
        <v>2818</v>
      </c>
      <c r="B64" s="54" t="s">
        <v>2819</v>
      </c>
      <c r="C64" s="54" t="s">
        <v>167</v>
      </c>
      <c r="D64" s="54" t="s">
        <v>139</v>
      </c>
      <c r="E64" s="54" t="s">
        <v>0</v>
      </c>
      <c r="F64" s="54" t="s">
        <v>2820</v>
      </c>
      <c r="G64" s="54">
        <v>1675800856</v>
      </c>
      <c r="H64" s="54" t="s">
        <v>229</v>
      </c>
      <c r="I64" s="54" t="s">
        <v>3514</v>
      </c>
      <c r="J64" s="34" t="s">
        <v>3419</v>
      </c>
      <c r="K64" s="43">
        <f>VLOOKUP(A64,'SSP_March''19'!$A$3:$L$1193,11,0)</f>
        <v>130000</v>
      </c>
      <c r="L64" s="43">
        <f>VLOOKUP(A64,'SSP_March''19'!$A$3:$L$1193,12,0)</f>
        <v>41780</v>
      </c>
      <c r="M64" s="44">
        <f t="shared" si="0"/>
        <v>0.32138461538461538</v>
      </c>
      <c r="N64" s="49">
        <f>ROUND(VLOOKUP(A64,'SSP_March''19'!$A$3:$N$1193,14,0),0)</f>
        <v>129518</v>
      </c>
      <c r="O64" s="44">
        <f t="shared" si="1"/>
        <v>0.9962923076923077</v>
      </c>
      <c r="P64" s="45">
        <f>VLOOKUP(A64,'SSP_March''19'!$A$3:$Q$1193,16,0)</f>
        <v>10</v>
      </c>
      <c r="Q64" s="34">
        <f>VLOOKUP(A64,'SSP_March''19'!$A$3:$Q$1193,17,0)</f>
        <v>2</v>
      </c>
      <c r="R64" s="35">
        <f t="shared" si="2"/>
        <v>0.2</v>
      </c>
      <c r="S64" s="49">
        <f>ROUND(VLOOKUP(A64,'SSP_March''19'!$A$3:$T$1193,19,0),0)</f>
        <v>6</v>
      </c>
      <c r="T64" s="44">
        <f>VLOOKUP(A64,'SSP_March''19'!$A$3:$T$1193,20,0)</f>
        <v>0.6</v>
      </c>
      <c r="U64" s="34">
        <f>VLOOKUP(A64,'SSP_March''19'!$A$3:$X$1193,21,0)</f>
        <v>0</v>
      </c>
      <c r="V64" s="34">
        <f>VLOOKUP(A64,'SSP_March''19'!$A$3:$X$1193,22,0)</f>
        <v>0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54" t="s">
        <v>2760</v>
      </c>
      <c r="B65" s="54" t="s">
        <v>2761</v>
      </c>
      <c r="C65" s="54" t="s">
        <v>167</v>
      </c>
      <c r="D65" s="54" t="s">
        <v>139</v>
      </c>
      <c r="E65" s="54" t="s">
        <v>0</v>
      </c>
      <c r="F65" s="54" t="s">
        <v>2762</v>
      </c>
      <c r="G65" s="54">
        <v>1834122522</v>
      </c>
      <c r="H65" s="54" t="s">
        <v>229</v>
      </c>
      <c r="I65" s="54" t="s">
        <v>3514</v>
      </c>
      <c r="J65" s="34" t="s">
        <v>3419</v>
      </c>
      <c r="K65" s="43">
        <f>VLOOKUP(A65,'SSP_March''19'!$A$3:$L$1193,11,0)</f>
        <v>130000</v>
      </c>
      <c r="L65" s="43">
        <f>VLOOKUP(A65,'SSP_March''19'!$A$3:$L$1193,12,0)</f>
        <v>13380</v>
      </c>
      <c r="M65" s="44">
        <f t="shared" si="0"/>
        <v>0.10292307692307692</v>
      </c>
      <c r="N65" s="49">
        <f>ROUND(VLOOKUP(A65,'SSP_March''19'!$A$3:$N$1193,14,0),0)</f>
        <v>41478</v>
      </c>
      <c r="O65" s="44">
        <f t="shared" si="1"/>
        <v>0.31906153846153845</v>
      </c>
      <c r="P65" s="45">
        <f>VLOOKUP(A65,'SSP_March''19'!$A$3:$Q$1193,16,0)</f>
        <v>10</v>
      </c>
      <c r="Q65" s="34">
        <f>VLOOKUP(A65,'SSP_March''19'!$A$3:$Q$1193,17,0)</f>
        <v>2</v>
      </c>
      <c r="R65" s="35">
        <f t="shared" si="2"/>
        <v>0.2</v>
      </c>
      <c r="S65" s="49">
        <f>ROUND(VLOOKUP(A65,'SSP_March''19'!$A$3:$T$1193,19,0),0)</f>
        <v>6</v>
      </c>
      <c r="T65" s="44">
        <f>VLOOKUP(A65,'SSP_March''19'!$A$3:$T$1193,20,0)</f>
        <v>0.6</v>
      </c>
      <c r="U65" s="34">
        <f>VLOOKUP(A65,'SSP_March''19'!$A$3:$X$1193,21,0)</f>
        <v>0</v>
      </c>
      <c r="V65" s="34">
        <f>VLOOKUP(A65,'SSP_March''19'!$A$3:$X$1193,22,0)</f>
        <v>2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54" t="s">
        <v>3077</v>
      </c>
      <c r="B66" s="54" t="s">
        <v>3078</v>
      </c>
      <c r="C66" s="54" t="s">
        <v>167</v>
      </c>
      <c r="D66" s="54" t="s">
        <v>139</v>
      </c>
      <c r="E66" s="54" t="s">
        <v>0</v>
      </c>
      <c r="F66" s="54" t="s">
        <v>3079</v>
      </c>
      <c r="G66" s="54">
        <v>1971514200</v>
      </c>
      <c r="H66" s="54" t="s">
        <v>229</v>
      </c>
      <c r="I66" s="54" t="s">
        <v>3514</v>
      </c>
      <c r="J66" s="34" t="s">
        <v>3419</v>
      </c>
      <c r="K66" s="43">
        <f>VLOOKUP(A66,'SSP_March''19'!$A$3:$L$1193,11,0)</f>
        <v>130000</v>
      </c>
      <c r="L66" s="43">
        <f>VLOOKUP(A66,'SSP_March''19'!$A$3:$L$1193,12,0)</f>
        <v>55589</v>
      </c>
      <c r="M66" s="44">
        <f t="shared" si="0"/>
        <v>0.4276076923076923</v>
      </c>
      <c r="N66" s="49">
        <f>ROUND(VLOOKUP(A66,'SSP_March''19'!$A$3:$N$1193,14,0),0)</f>
        <v>172326</v>
      </c>
      <c r="O66" s="44">
        <f t="shared" si="1"/>
        <v>1.3255846153846154</v>
      </c>
      <c r="P66" s="45">
        <f>VLOOKUP(A66,'SSP_March''19'!$A$3:$Q$1193,16,0)</f>
        <v>10</v>
      </c>
      <c r="Q66" s="34">
        <f>VLOOKUP(A66,'SSP_March''19'!$A$3:$Q$1193,17,0)</f>
        <v>0</v>
      </c>
      <c r="R66" s="35">
        <f t="shared" si="2"/>
        <v>0</v>
      </c>
      <c r="S66" s="49">
        <f>ROUND(VLOOKUP(A66,'SSP_March''19'!$A$3:$T$1193,19,0),0)</f>
        <v>0</v>
      </c>
      <c r="T66" s="44">
        <f>VLOOKUP(A66,'SSP_March''19'!$A$3:$T$1193,20,0)</f>
        <v>0</v>
      </c>
      <c r="U66" s="34">
        <f>VLOOKUP(A66,'SSP_March''19'!$A$3:$X$1193,21,0)</f>
        <v>2</v>
      </c>
      <c r="V66" s="34">
        <f>VLOOKUP(A66,'SSP_March''19'!$A$3:$X$1193,22,0)</f>
        <v>0</v>
      </c>
      <c r="W66" s="34">
        <f>VLOOKUP(A66,'SSP_March''19'!$A$3:$X$1193,23,0)</f>
        <v>0</v>
      </c>
      <c r="X66" s="34">
        <f>VLOOKUP(A66,'SSP_March''19'!$A$3:$X$1193,24,0)</f>
        <v>0</v>
      </c>
    </row>
    <row r="67" spans="1:24">
      <c r="A67" s="54" t="s">
        <v>2605</v>
      </c>
      <c r="B67" s="54" t="s">
        <v>2606</v>
      </c>
      <c r="C67" s="54" t="s">
        <v>167</v>
      </c>
      <c r="D67" s="54" t="s">
        <v>139</v>
      </c>
      <c r="E67" s="54" t="s">
        <v>0</v>
      </c>
      <c r="F67" s="54" t="s">
        <v>2607</v>
      </c>
      <c r="G67" s="54">
        <v>1912505005</v>
      </c>
      <c r="H67" s="54" t="s">
        <v>229</v>
      </c>
      <c r="I67" s="54" t="s">
        <v>3514</v>
      </c>
      <c r="J67" s="34" t="s">
        <v>3421</v>
      </c>
      <c r="K67" s="43">
        <f>VLOOKUP(A67,'SSP_March''19'!$A$3:$L$1193,11,0)</f>
        <v>130000</v>
      </c>
      <c r="L67" s="43">
        <f>VLOOKUP(A67,'SSP_March''19'!$A$3:$L$1193,12,0)</f>
        <v>14270</v>
      </c>
      <c r="M67" s="44">
        <f t="shared" si="0"/>
        <v>0.10976923076923077</v>
      </c>
      <c r="N67" s="49">
        <f>ROUND(VLOOKUP(A67,'SSP_March''19'!$A$3:$N$1193,14,0),0)</f>
        <v>44237</v>
      </c>
      <c r="O67" s="44">
        <f t="shared" si="1"/>
        <v>0.34028461538461541</v>
      </c>
      <c r="P67" s="45">
        <f>VLOOKUP(A67,'SSP_March''19'!$A$3:$Q$1193,16,0)</f>
        <v>10</v>
      </c>
      <c r="Q67" s="34">
        <f>VLOOKUP(A67,'SSP_March''19'!$A$3:$Q$1193,17,0)</f>
        <v>0</v>
      </c>
      <c r="R67" s="35">
        <f t="shared" si="2"/>
        <v>0</v>
      </c>
      <c r="S67" s="49">
        <f>ROUND(VLOOKUP(A67,'SSP_March''19'!$A$3:$T$1193,19,0),0)</f>
        <v>0</v>
      </c>
      <c r="T67" s="44">
        <f>VLOOKUP(A67,'SSP_March''19'!$A$3:$T$1193,20,0)</f>
        <v>0</v>
      </c>
      <c r="U67" s="34">
        <f>VLOOKUP(A67,'SSP_March''19'!$A$3:$X$1193,21,0)</f>
        <v>0</v>
      </c>
      <c r="V67" s="34">
        <f>VLOOKUP(A67,'SSP_March''19'!$A$3:$X$1193,22,0)</f>
        <v>0</v>
      </c>
      <c r="W67" s="34">
        <f>VLOOKUP(A67,'SSP_March''19'!$A$3:$X$1193,23,0)</f>
        <v>0</v>
      </c>
      <c r="X67" s="34">
        <f>VLOOKUP(A67,'SSP_March''19'!$A$3:$X$1193,24,0)</f>
        <v>0</v>
      </c>
    </row>
    <row r="68" spans="1:24">
      <c r="A68" s="54" t="s">
        <v>2664</v>
      </c>
      <c r="B68" s="54" t="s">
        <v>2665</v>
      </c>
      <c r="C68" s="54" t="s">
        <v>167</v>
      </c>
      <c r="D68" s="54" t="s">
        <v>139</v>
      </c>
      <c r="E68" s="54" t="s">
        <v>0</v>
      </c>
      <c r="F68" s="54" t="s">
        <v>2666</v>
      </c>
      <c r="G68" s="54">
        <v>1733270111</v>
      </c>
      <c r="H68" s="54" t="s">
        <v>229</v>
      </c>
      <c r="I68" s="54" t="s">
        <v>3514</v>
      </c>
      <c r="J68" s="34" t="s">
        <v>3419</v>
      </c>
      <c r="K68" s="43">
        <f>VLOOKUP(A68,'SSP_March''19'!$A$3:$L$1193,11,0)</f>
        <v>230702</v>
      </c>
      <c r="L68" s="43">
        <f>VLOOKUP(A68,'SSP_March''19'!$A$3:$L$1193,12,0)</f>
        <v>57414</v>
      </c>
      <c r="M68" s="44">
        <f t="shared" si="0"/>
        <v>0.24886650310790542</v>
      </c>
      <c r="N68" s="49">
        <f>ROUND(VLOOKUP(A68,'SSP_March''19'!$A$3:$N$1193,14,0),0)</f>
        <v>177983</v>
      </c>
      <c r="O68" s="44">
        <f t="shared" si="1"/>
        <v>0.77148442579604859</v>
      </c>
      <c r="P68" s="45">
        <f>VLOOKUP(A68,'SSP_March''19'!$A$3:$Q$1193,16,0)</f>
        <v>14</v>
      </c>
      <c r="Q68" s="34">
        <f>VLOOKUP(A68,'SSP_March''19'!$A$3:$Q$1193,17,0)</f>
        <v>4</v>
      </c>
      <c r="R68" s="35">
        <f t="shared" si="2"/>
        <v>0.2857142857142857</v>
      </c>
      <c r="S68" s="49">
        <f>ROUND(VLOOKUP(A68,'SSP_March''19'!$A$3:$T$1193,19,0),0)</f>
        <v>12</v>
      </c>
      <c r="T68" s="44">
        <f>VLOOKUP(A68,'SSP_March''19'!$A$3:$T$1193,20,0)</f>
        <v>0.8571428571428571</v>
      </c>
      <c r="U68" s="34">
        <f>VLOOKUP(A68,'SSP_March''19'!$A$3:$X$1193,21,0)</f>
        <v>1</v>
      </c>
      <c r="V68" s="34">
        <f>VLOOKUP(A68,'SSP_March''19'!$A$3:$X$1193,22,0)</f>
        <v>0</v>
      </c>
      <c r="W68" s="34">
        <f>VLOOKUP(A68,'SSP_March''19'!$A$3:$X$1193,23,0)</f>
        <v>0</v>
      </c>
      <c r="X68" s="34">
        <f>VLOOKUP(A68,'SSP_March''19'!$A$3:$X$1193,24,0)</f>
        <v>2</v>
      </c>
    </row>
    <row r="69" spans="1:24">
      <c r="A69" s="75" t="s">
        <v>3609</v>
      </c>
      <c r="B69" s="75" t="s">
        <v>3610</v>
      </c>
      <c r="C69" s="75" t="s">
        <v>167</v>
      </c>
      <c r="D69" s="75" t="s">
        <v>139</v>
      </c>
      <c r="E69" s="75" t="s">
        <v>0</v>
      </c>
      <c r="F69" s="76" t="s">
        <v>3611</v>
      </c>
      <c r="G69" s="71">
        <v>1862700600</v>
      </c>
      <c r="H69" s="54" t="s">
        <v>229</v>
      </c>
      <c r="I69" s="54" t="s">
        <v>3518</v>
      </c>
      <c r="J69" s="34" t="s">
        <v>3419</v>
      </c>
      <c r="K69" s="43">
        <f>VLOOKUP(A69,'SSP_March''19'!$A$3:$L$1193,11,0)</f>
        <v>300000</v>
      </c>
      <c r="L69" s="43">
        <f>VLOOKUP(A69,'SSP_March''19'!$A$3:$L$1193,12,0)</f>
        <v>79860</v>
      </c>
      <c r="M69" s="44">
        <f t="shared" si="0"/>
        <v>0.26619999999999999</v>
      </c>
      <c r="N69" s="49">
        <f>ROUND(VLOOKUP(A69,'SSP_March''19'!$A$3:$N$1193,14,0),0)</f>
        <v>247566</v>
      </c>
      <c r="O69" s="44">
        <f t="shared" si="1"/>
        <v>0.82521999999999995</v>
      </c>
      <c r="P69" s="45">
        <f>VLOOKUP(A69,'SSP_March''19'!$A$3:$Q$1193,16,0)</f>
        <v>15</v>
      </c>
      <c r="Q69" s="34">
        <f>VLOOKUP(A69,'SSP_March''19'!$A$3:$Q$1193,17,0)</f>
        <v>3</v>
      </c>
      <c r="R69" s="35">
        <f t="shared" si="2"/>
        <v>0.2</v>
      </c>
      <c r="S69" s="49">
        <f>ROUND(VLOOKUP(A69,'SSP_March''19'!$A$3:$T$1193,19,0),0)</f>
        <v>9</v>
      </c>
      <c r="T69" s="44">
        <f>VLOOKUP(A69,'SSP_March''19'!$A$3:$T$1193,20,0)</f>
        <v>0.6</v>
      </c>
      <c r="U69" s="34">
        <f>VLOOKUP(A69,'SSP_March''19'!$A$3:$X$1193,21,0)</f>
        <v>1</v>
      </c>
      <c r="V69" s="34">
        <f>VLOOKUP(A69,'SSP_March''19'!$A$3:$X$1193,22,0)</f>
        <v>0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54" t="s">
        <v>2584</v>
      </c>
      <c r="B70" s="54" t="s">
        <v>2585</v>
      </c>
      <c r="C70" s="54" t="s">
        <v>167</v>
      </c>
      <c r="D70" s="54" t="s">
        <v>139</v>
      </c>
      <c r="E70" s="54" t="s">
        <v>0</v>
      </c>
      <c r="F70" s="54" t="s">
        <v>2586</v>
      </c>
      <c r="G70" s="54">
        <v>1686472090</v>
      </c>
      <c r="H70" s="54" t="s">
        <v>229</v>
      </c>
      <c r="I70" s="54" t="s">
        <v>3514</v>
      </c>
      <c r="J70" s="34" t="s">
        <v>3419</v>
      </c>
      <c r="K70" s="43">
        <f>VLOOKUP(A70,'SSP_March''19'!$A$3:$L$1193,11,0)</f>
        <v>130000</v>
      </c>
      <c r="L70" s="43">
        <f>VLOOKUP(A70,'SSP_March''19'!$A$3:$L$1193,12,0)</f>
        <v>10530</v>
      </c>
      <c r="M70" s="44">
        <f t="shared" si="0"/>
        <v>8.1000000000000003E-2</v>
      </c>
      <c r="N70" s="49">
        <f>ROUND(VLOOKUP(A70,'SSP_March''19'!$A$3:$N$1193,14,0),0)</f>
        <v>32643</v>
      </c>
      <c r="O70" s="44">
        <f t="shared" si="1"/>
        <v>0.25109999999999999</v>
      </c>
      <c r="P70" s="45">
        <f>VLOOKUP(A70,'SSP_March''19'!$A$3:$Q$1193,16,0)</f>
        <v>10</v>
      </c>
      <c r="Q70" s="34">
        <f>VLOOKUP(A70,'SSP_March''19'!$A$3:$Q$1193,17,0)</f>
        <v>0</v>
      </c>
      <c r="R70" s="35">
        <f t="shared" si="2"/>
        <v>0</v>
      </c>
      <c r="S70" s="49">
        <f>ROUND(VLOOKUP(A70,'SSP_March''19'!$A$3:$T$1193,19,0),0)</f>
        <v>0</v>
      </c>
      <c r="T70" s="44">
        <f>VLOOKUP(A70,'SSP_March''19'!$A$3:$T$1193,20,0)</f>
        <v>0</v>
      </c>
      <c r="U70" s="34">
        <f>VLOOKUP(A70,'SSP_March''19'!$A$3:$X$1193,21,0)</f>
        <v>1</v>
      </c>
      <c r="V70" s="34">
        <f>VLOOKUP(A70,'SSP_March''19'!$A$3:$X$1193,22,0)</f>
        <v>0</v>
      </c>
      <c r="W70" s="34">
        <f>VLOOKUP(A70,'SSP_March''19'!$A$3:$X$1193,23,0)</f>
        <v>0</v>
      </c>
      <c r="X70" s="34">
        <f>VLOOKUP(A70,'SSP_March''19'!$A$3:$X$1193,24,0)</f>
        <v>0</v>
      </c>
    </row>
    <row r="71" spans="1:24">
      <c r="A71" s="54" t="s">
        <v>2574</v>
      </c>
      <c r="B71" s="54" t="s">
        <v>2575</v>
      </c>
      <c r="C71" s="54" t="s">
        <v>167</v>
      </c>
      <c r="D71" s="54" t="s">
        <v>139</v>
      </c>
      <c r="E71" s="54" t="s">
        <v>0</v>
      </c>
      <c r="F71" s="54" t="s">
        <v>2576</v>
      </c>
      <c r="G71" s="54">
        <v>1719573602</v>
      </c>
      <c r="H71" s="54" t="s">
        <v>229</v>
      </c>
      <c r="I71" s="54" t="s">
        <v>3514</v>
      </c>
      <c r="J71" s="34" t="s">
        <v>3421</v>
      </c>
      <c r="K71" s="43">
        <f>VLOOKUP(A71,'SSP_March''19'!$A$3:$L$1193,11,0)</f>
        <v>175037</v>
      </c>
      <c r="L71" s="43">
        <f>VLOOKUP(A71,'SSP_March''19'!$A$3:$L$1193,12,0)</f>
        <v>57125</v>
      </c>
      <c r="M71" s="44">
        <f t="shared" si="0"/>
        <v>0.32635956969097962</v>
      </c>
      <c r="N71" s="49">
        <f>ROUND(VLOOKUP(A71,'SSP_March''19'!$A$3:$N$1193,14,0),0)</f>
        <v>177088</v>
      </c>
      <c r="O71" s="44">
        <f t="shared" si="1"/>
        <v>1.0117175225809401</v>
      </c>
      <c r="P71" s="45">
        <f>VLOOKUP(A71,'SSP_March''19'!$A$3:$Q$1193,16,0)</f>
        <v>10</v>
      </c>
      <c r="Q71" s="34">
        <f>VLOOKUP(A71,'SSP_March''19'!$A$3:$Q$1193,17,0)</f>
        <v>2</v>
      </c>
      <c r="R71" s="35">
        <f t="shared" si="2"/>
        <v>0.2</v>
      </c>
      <c r="S71" s="49">
        <f>ROUND(VLOOKUP(A71,'SSP_March''19'!$A$3:$T$1193,19,0),0)</f>
        <v>6</v>
      </c>
      <c r="T71" s="44">
        <f>VLOOKUP(A71,'SSP_March''19'!$A$3:$T$1193,20,0)</f>
        <v>0.6</v>
      </c>
      <c r="U71" s="34">
        <f>VLOOKUP(A71,'SSP_March''19'!$A$3:$X$1193,21,0)</f>
        <v>0</v>
      </c>
      <c r="V71" s="34">
        <f>VLOOKUP(A71,'SSP_March''19'!$A$3:$X$1193,22,0)</f>
        <v>1</v>
      </c>
      <c r="W71" s="34">
        <f>VLOOKUP(A71,'SSP_March''19'!$A$3:$X$1193,23,0)</f>
        <v>0</v>
      </c>
      <c r="X71" s="34">
        <f>VLOOKUP(A71,'SSP_March''19'!$A$3:$X$1193,24,0)</f>
        <v>0</v>
      </c>
    </row>
    <row r="72" spans="1:24">
      <c r="A72" s="54" t="s">
        <v>2775</v>
      </c>
      <c r="B72" s="54" t="s">
        <v>2776</v>
      </c>
      <c r="C72" s="54" t="s">
        <v>57</v>
      </c>
      <c r="D72" s="54" t="s">
        <v>58</v>
      </c>
      <c r="E72" s="54" t="s">
        <v>0</v>
      </c>
      <c r="F72" s="54" t="s">
        <v>2777</v>
      </c>
      <c r="G72" s="54">
        <v>1726403461</v>
      </c>
      <c r="H72" s="54" t="s">
        <v>229</v>
      </c>
      <c r="I72" s="54" t="s">
        <v>3514</v>
      </c>
      <c r="J72" s="34" t="s">
        <v>3421</v>
      </c>
      <c r="K72" s="43">
        <f>VLOOKUP(A72,'SSP_March''19'!$A$3:$L$1193,11,0)</f>
        <v>130000</v>
      </c>
      <c r="L72" s="43">
        <f>VLOOKUP(A72,'SSP_March''19'!$A$3:$L$1193,12,0)</f>
        <v>17870</v>
      </c>
      <c r="M72" s="44">
        <f t="shared" si="0"/>
        <v>0.13746153846153847</v>
      </c>
      <c r="N72" s="49">
        <f>ROUND(VLOOKUP(A72,'SSP_March''19'!$A$3:$N$1193,14,0),0)</f>
        <v>55397</v>
      </c>
      <c r="O72" s="44">
        <f t="shared" si="1"/>
        <v>0.42613076923076926</v>
      </c>
      <c r="P72" s="45">
        <f>VLOOKUP(A72,'SSP_March''19'!$A$3:$Q$1193,16,0)</f>
        <v>10</v>
      </c>
      <c r="Q72" s="34">
        <f>VLOOKUP(A72,'SSP_March''19'!$A$3:$Q$1193,17,0)</f>
        <v>1</v>
      </c>
      <c r="R72" s="35">
        <f t="shared" si="2"/>
        <v>0.1</v>
      </c>
      <c r="S72" s="49">
        <f>ROUND(VLOOKUP(A72,'SSP_March''19'!$A$3:$T$1193,19,0),0)</f>
        <v>3</v>
      </c>
      <c r="T72" s="44">
        <f>VLOOKUP(A72,'SSP_March''19'!$A$3:$T$1193,20,0)</f>
        <v>0.3</v>
      </c>
      <c r="U72" s="34">
        <f>VLOOKUP(A72,'SSP_March''19'!$A$3:$X$1193,21,0)</f>
        <v>0</v>
      </c>
      <c r="V72" s="34">
        <f>VLOOKUP(A72,'SSP_March''19'!$A$3:$X$1193,22,0)</f>
        <v>0</v>
      </c>
      <c r="W72" s="34">
        <f>VLOOKUP(A72,'SSP_March''19'!$A$3:$X$1193,23,0)</f>
        <v>0</v>
      </c>
      <c r="X72" s="34">
        <f>VLOOKUP(A72,'SSP_March''19'!$A$3:$X$1193,24,0)</f>
        <v>0</v>
      </c>
    </row>
    <row r="73" spans="1:24">
      <c r="A73" s="54" t="s">
        <v>2488</v>
      </c>
      <c r="B73" s="54" t="s">
        <v>2489</v>
      </c>
      <c r="C73" s="54" t="s">
        <v>57</v>
      </c>
      <c r="D73" s="54" t="s">
        <v>58</v>
      </c>
      <c r="E73" s="54" t="s">
        <v>0</v>
      </c>
      <c r="F73" s="54" t="s">
        <v>2490</v>
      </c>
      <c r="G73" s="54">
        <v>1824333333</v>
      </c>
      <c r="H73" s="54" t="s">
        <v>229</v>
      </c>
      <c r="I73" s="54" t="s">
        <v>3518</v>
      </c>
      <c r="J73" s="34" t="s">
        <v>3419</v>
      </c>
      <c r="K73" s="43">
        <f>VLOOKUP(A73,'SSP_March''19'!$A$3:$L$1193,11,0)</f>
        <v>451914</v>
      </c>
      <c r="L73" s="43">
        <f>VLOOKUP(A73,'SSP_March''19'!$A$3:$L$1193,12,0)</f>
        <v>102570</v>
      </c>
      <c r="M73" s="44">
        <f t="shared" si="0"/>
        <v>0.22696796293100013</v>
      </c>
      <c r="N73" s="49">
        <f>ROUND(VLOOKUP(A73,'SSP_March''19'!$A$3:$N$1193,14,0),0)</f>
        <v>317967</v>
      </c>
      <c r="O73" s="44">
        <f t="shared" si="1"/>
        <v>0.70360068508610041</v>
      </c>
      <c r="P73" s="45">
        <f>VLOOKUP(A73,'SSP_March''19'!$A$3:$Q$1193,16,0)</f>
        <v>22</v>
      </c>
      <c r="Q73" s="34">
        <f>VLOOKUP(A73,'SSP_March''19'!$A$3:$Q$1193,17,0)</f>
        <v>4</v>
      </c>
      <c r="R73" s="35">
        <f t="shared" si="2"/>
        <v>0.18181818181818182</v>
      </c>
      <c r="S73" s="49">
        <f>ROUND(VLOOKUP(A73,'SSP_March''19'!$A$3:$T$1193,19,0),0)</f>
        <v>12</v>
      </c>
      <c r="T73" s="44">
        <f>VLOOKUP(A73,'SSP_March''19'!$A$3:$T$1193,20,0)</f>
        <v>0.54545454545454541</v>
      </c>
      <c r="U73" s="34">
        <f>VLOOKUP(A73,'SSP_March''19'!$A$3:$X$1193,21,0)</f>
        <v>1</v>
      </c>
      <c r="V73" s="34">
        <f>VLOOKUP(A73,'SSP_March''19'!$A$3:$X$1193,22,0)</f>
        <v>1</v>
      </c>
      <c r="W73" s="34">
        <f>VLOOKUP(A73,'SSP_March''19'!$A$3:$X$1193,23,0)</f>
        <v>0</v>
      </c>
      <c r="X73" s="34">
        <f>VLOOKUP(A73,'SSP_March''19'!$A$3:$X$1193,24,0)</f>
        <v>0</v>
      </c>
    </row>
    <row r="74" spans="1:24">
      <c r="A74" s="54" t="s">
        <v>3480</v>
      </c>
      <c r="B74" s="54" t="s">
        <v>3481</v>
      </c>
      <c r="C74" s="54" t="s">
        <v>57</v>
      </c>
      <c r="D74" s="54" t="s">
        <v>58</v>
      </c>
      <c r="E74" s="54" t="s">
        <v>0</v>
      </c>
      <c r="F74" s="54" t="s">
        <v>3482</v>
      </c>
      <c r="G74" s="54">
        <v>1918263141</v>
      </c>
      <c r="H74" s="54" t="s">
        <v>229</v>
      </c>
      <c r="I74" s="54" t="s">
        <v>3514</v>
      </c>
      <c r="J74" s="34" t="s">
        <v>3421</v>
      </c>
      <c r="K74" s="43">
        <f>VLOOKUP(A74,'SSP_March''19'!$A$3:$L$1193,11,0)</f>
        <v>130000</v>
      </c>
      <c r="L74" s="43">
        <f>VLOOKUP(A74,'SSP_March''19'!$A$3:$L$1193,12,0)</f>
        <v>33435</v>
      </c>
      <c r="M74" s="44">
        <f t="shared" si="0"/>
        <v>0.25719230769230772</v>
      </c>
      <c r="N74" s="49">
        <f>ROUND(VLOOKUP(A74,'SSP_March''19'!$A$3:$N$1193,14,0),0)</f>
        <v>103649</v>
      </c>
      <c r="O74" s="44">
        <f t="shared" si="1"/>
        <v>0.79730000000000001</v>
      </c>
      <c r="P74" s="45">
        <f>VLOOKUP(A74,'SSP_March''19'!$A$3:$Q$1193,16,0)</f>
        <v>10</v>
      </c>
      <c r="Q74" s="34">
        <f>VLOOKUP(A74,'SSP_March''19'!$A$3:$Q$1193,17,0)</f>
        <v>3</v>
      </c>
      <c r="R74" s="35">
        <f t="shared" si="2"/>
        <v>0.3</v>
      </c>
      <c r="S74" s="49">
        <f>ROUND(VLOOKUP(A74,'SSP_March''19'!$A$3:$T$1193,19,0),0)</f>
        <v>9</v>
      </c>
      <c r="T74" s="44">
        <f>VLOOKUP(A74,'SSP_March''19'!$A$3:$T$1193,20,0)</f>
        <v>0.9</v>
      </c>
      <c r="U74" s="34">
        <f>VLOOKUP(A74,'SSP_March''19'!$A$3:$X$1193,21,0)</f>
        <v>1</v>
      </c>
      <c r="V74" s="34">
        <f>VLOOKUP(A74,'SSP_March''19'!$A$3:$X$1193,22,0)</f>
        <v>0</v>
      </c>
      <c r="W74" s="34">
        <f>VLOOKUP(A74,'SSP_March''19'!$A$3:$X$1193,23,0)</f>
        <v>0</v>
      </c>
      <c r="X74" s="34">
        <f>VLOOKUP(A74,'SSP_March''19'!$A$3:$X$1193,24,0)</f>
        <v>0</v>
      </c>
    </row>
    <row r="75" spans="1:24">
      <c r="A75" s="54" t="s">
        <v>2646</v>
      </c>
      <c r="B75" s="54" t="s">
        <v>2647</v>
      </c>
      <c r="C75" s="54" t="s">
        <v>57</v>
      </c>
      <c r="D75" s="54" t="s">
        <v>58</v>
      </c>
      <c r="E75" s="54" t="s">
        <v>0</v>
      </c>
      <c r="F75" s="54" t="s">
        <v>2648</v>
      </c>
      <c r="G75" s="54">
        <v>1712723165</v>
      </c>
      <c r="H75" s="54" t="s">
        <v>229</v>
      </c>
      <c r="I75" s="54" t="s">
        <v>3514</v>
      </c>
      <c r="J75" s="34" t="s">
        <v>3419</v>
      </c>
      <c r="K75" s="43">
        <f>VLOOKUP(A75,'SSP_March''19'!$A$3:$L$1193,11,0)</f>
        <v>151026</v>
      </c>
      <c r="L75" s="43">
        <f>VLOOKUP(A75,'SSP_March''19'!$A$3:$L$1193,12,0)</f>
        <v>44370</v>
      </c>
      <c r="M75" s="44">
        <f t="shared" si="0"/>
        <v>0.29379047316356122</v>
      </c>
      <c r="N75" s="49">
        <f>ROUND(VLOOKUP(A75,'SSP_March''19'!$A$3:$N$1193,14,0),0)</f>
        <v>137547</v>
      </c>
      <c r="O75" s="44">
        <f t="shared" si="1"/>
        <v>0.91075046680703986</v>
      </c>
      <c r="P75" s="45">
        <f>VLOOKUP(A75,'SSP_March''19'!$A$3:$Q$1193,16,0)</f>
        <v>10</v>
      </c>
      <c r="Q75" s="34">
        <f>VLOOKUP(A75,'SSP_March''19'!$A$3:$Q$1193,17,0)</f>
        <v>2</v>
      </c>
      <c r="R75" s="35">
        <f t="shared" si="2"/>
        <v>0.2</v>
      </c>
      <c r="S75" s="49">
        <f>ROUND(VLOOKUP(A75,'SSP_March''19'!$A$3:$T$1193,19,0),0)</f>
        <v>6</v>
      </c>
      <c r="T75" s="44">
        <f>VLOOKUP(A75,'SSP_March''19'!$A$3:$T$1193,20,0)</f>
        <v>0.6</v>
      </c>
      <c r="U75" s="34">
        <f>VLOOKUP(A75,'SSP_March''19'!$A$3:$X$1193,21,0)</f>
        <v>0</v>
      </c>
      <c r="V75" s="34">
        <f>VLOOKUP(A75,'SSP_March''19'!$A$3:$X$1193,22,0)</f>
        <v>1</v>
      </c>
      <c r="W75" s="34">
        <f>VLOOKUP(A75,'SSP_March''19'!$A$3:$X$1193,23,0)</f>
        <v>0</v>
      </c>
      <c r="X75" s="34">
        <f>VLOOKUP(A75,'SSP_March''19'!$A$3:$X$1193,24,0)</f>
        <v>0</v>
      </c>
    </row>
    <row r="76" spans="1:24">
      <c r="A76" s="54" t="s">
        <v>2511</v>
      </c>
      <c r="B76" s="54" t="s">
        <v>2512</v>
      </c>
      <c r="C76" s="54" t="s">
        <v>57</v>
      </c>
      <c r="D76" s="54" t="s">
        <v>58</v>
      </c>
      <c r="E76" s="54" t="s">
        <v>0</v>
      </c>
      <c r="F76" s="54" t="s">
        <v>2513</v>
      </c>
      <c r="G76" s="54">
        <v>1712011872</v>
      </c>
      <c r="H76" s="54" t="s">
        <v>229</v>
      </c>
      <c r="I76" s="54" t="s">
        <v>3514</v>
      </c>
      <c r="J76" s="34" t="s">
        <v>3421</v>
      </c>
      <c r="K76" s="43">
        <f>VLOOKUP(A76,'SSP_March''19'!$A$3:$L$1193,11,0)</f>
        <v>130000</v>
      </c>
      <c r="L76" s="43">
        <f>VLOOKUP(A76,'SSP_March''19'!$A$3:$L$1193,12,0)</f>
        <v>32590</v>
      </c>
      <c r="M76" s="44">
        <f t="shared" si="0"/>
        <v>0.25069230769230771</v>
      </c>
      <c r="N76" s="49">
        <f>ROUND(VLOOKUP(A76,'SSP_March''19'!$A$3:$N$1193,14,0),0)</f>
        <v>101029</v>
      </c>
      <c r="O76" s="44">
        <f t="shared" si="1"/>
        <v>0.77714615384615382</v>
      </c>
      <c r="P76" s="45">
        <f>VLOOKUP(A76,'SSP_March''19'!$A$3:$Q$1193,16,0)</f>
        <v>10</v>
      </c>
      <c r="Q76" s="34">
        <f>VLOOKUP(A76,'SSP_March''19'!$A$3:$Q$1193,17,0)</f>
        <v>1</v>
      </c>
      <c r="R76" s="35">
        <f t="shared" si="2"/>
        <v>0.1</v>
      </c>
      <c r="S76" s="49">
        <f>ROUND(VLOOKUP(A76,'SSP_March''19'!$A$3:$T$1193,19,0),0)</f>
        <v>3</v>
      </c>
      <c r="T76" s="44">
        <f>VLOOKUP(A76,'SSP_March''19'!$A$3:$T$1193,20,0)</f>
        <v>0.3</v>
      </c>
      <c r="U76" s="34">
        <f>VLOOKUP(A76,'SSP_March''19'!$A$3:$X$1193,21,0)</f>
        <v>1</v>
      </c>
      <c r="V76" s="34">
        <f>VLOOKUP(A76,'SSP_March''19'!$A$3:$X$1193,22,0)</f>
        <v>0</v>
      </c>
      <c r="W76" s="34">
        <f>VLOOKUP(A76,'SSP_March''19'!$A$3:$X$1193,23,0)</f>
        <v>0</v>
      </c>
      <c r="X76" s="34">
        <f>VLOOKUP(A76,'SSP_March''19'!$A$3:$X$1193,24,0)</f>
        <v>0</v>
      </c>
    </row>
    <row r="77" spans="1:24">
      <c r="A77" s="54" t="s">
        <v>2679</v>
      </c>
      <c r="B77" s="54" t="s">
        <v>59</v>
      </c>
      <c r="C77" s="54" t="s">
        <v>57</v>
      </c>
      <c r="D77" s="54" t="s">
        <v>58</v>
      </c>
      <c r="E77" s="54" t="s">
        <v>0</v>
      </c>
      <c r="F77" s="54" t="s">
        <v>2680</v>
      </c>
      <c r="G77" s="54">
        <v>1616956060</v>
      </c>
      <c r="H77" s="54" t="s">
        <v>229</v>
      </c>
      <c r="I77" s="54" t="s">
        <v>3514</v>
      </c>
      <c r="J77" s="34" t="s">
        <v>3419</v>
      </c>
      <c r="K77" s="43">
        <f>VLOOKUP(A77,'SSP_March''19'!$A$3:$L$1193,11,0)</f>
        <v>179121</v>
      </c>
      <c r="L77" s="43">
        <f>VLOOKUP(A77,'SSP_March''19'!$A$3:$L$1193,12,0)</f>
        <v>48760</v>
      </c>
      <c r="M77" s="44">
        <f t="shared" si="0"/>
        <v>0.27221822120242739</v>
      </c>
      <c r="N77" s="49">
        <f>ROUND(VLOOKUP(A77,'SSP_March''19'!$A$3:$N$1193,14,0),0)</f>
        <v>151156</v>
      </c>
      <c r="O77" s="44">
        <f t="shared" si="1"/>
        <v>0.84387648572752494</v>
      </c>
      <c r="P77" s="45">
        <f>VLOOKUP(A77,'SSP_March''19'!$A$3:$Q$1193,16,0)</f>
        <v>10</v>
      </c>
      <c r="Q77" s="34">
        <f>VLOOKUP(A77,'SSP_March''19'!$A$3:$Q$1193,17,0)</f>
        <v>2</v>
      </c>
      <c r="R77" s="35">
        <f t="shared" si="2"/>
        <v>0.2</v>
      </c>
      <c r="S77" s="49">
        <f>ROUND(VLOOKUP(A77,'SSP_March''19'!$A$3:$T$1193,19,0),0)</f>
        <v>6</v>
      </c>
      <c r="T77" s="44">
        <f>VLOOKUP(A77,'SSP_March''19'!$A$3:$T$1193,20,0)</f>
        <v>0.6</v>
      </c>
      <c r="U77" s="34">
        <f>VLOOKUP(A77,'SSP_March''19'!$A$3:$X$1193,21,0)</f>
        <v>0</v>
      </c>
      <c r="V77" s="34">
        <f>VLOOKUP(A77,'SSP_March''19'!$A$3:$X$1193,22,0)</f>
        <v>0</v>
      </c>
      <c r="W77" s="34">
        <f>VLOOKUP(A77,'SSP_March''19'!$A$3:$X$1193,23,0)</f>
        <v>0</v>
      </c>
      <c r="X77" s="34">
        <f>VLOOKUP(A77,'SSP_March''19'!$A$3:$X$1193,24,0)</f>
        <v>0</v>
      </c>
    </row>
    <row r="78" spans="1:24">
      <c r="A78" s="54" t="s">
        <v>2543</v>
      </c>
      <c r="B78" s="54" t="s">
        <v>269</v>
      </c>
      <c r="C78" s="54" t="s">
        <v>57</v>
      </c>
      <c r="D78" s="54" t="s">
        <v>58</v>
      </c>
      <c r="E78" s="54" t="s">
        <v>0</v>
      </c>
      <c r="F78" s="54" t="s">
        <v>2544</v>
      </c>
      <c r="G78" s="54">
        <v>1915690704</v>
      </c>
      <c r="H78" s="54" t="s">
        <v>229</v>
      </c>
      <c r="I78" s="54" t="s">
        <v>3514</v>
      </c>
      <c r="J78" s="34" t="s">
        <v>3419</v>
      </c>
      <c r="K78" s="43">
        <f>VLOOKUP(A78,'SSP_March''19'!$A$3:$L$1193,11,0)</f>
        <v>130000</v>
      </c>
      <c r="L78" s="43">
        <f>VLOOKUP(A78,'SSP_March''19'!$A$3:$L$1193,12,0)</f>
        <v>45970</v>
      </c>
      <c r="M78" s="44">
        <f t="shared" si="0"/>
        <v>0.35361538461538461</v>
      </c>
      <c r="N78" s="49">
        <f>ROUND(VLOOKUP(A78,'SSP_March''19'!$A$3:$N$1193,14,0),0)</f>
        <v>142507</v>
      </c>
      <c r="O78" s="44">
        <f t="shared" si="1"/>
        <v>1.0962076923076922</v>
      </c>
      <c r="P78" s="45">
        <f>VLOOKUP(A78,'SSP_March''19'!$A$3:$Q$1193,16,0)</f>
        <v>10</v>
      </c>
      <c r="Q78" s="34">
        <f>VLOOKUP(A78,'SSP_March''19'!$A$3:$Q$1193,17,0)</f>
        <v>3</v>
      </c>
      <c r="R78" s="35">
        <f t="shared" si="2"/>
        <v>0.3</v>
      </c>
      <c r="S78" s="49">
        <f>ROUND(VLOOKUP(A78,'SSP_March''19'!$A$3:$T$1193,19,0),0)</f>
        <v>9</v>
      </c>
      <c r="T78" s="44">
        <f>VLOOKUP(A78,'SSP_March''19'!$A$3:$T$1193,20,0)</f>
        <v>0.9</v>
      </c>
      <c r="U78" s="34">
        <f>VLOOKUP(A78,'SSP_March''19'!$A$3:$X$1193,21,0)</f>
        <v>1</v>
      </c>
      <c r="V78" s="34">
        <f>VLOOKUP(A78,'SSP_March''19'!$A$3:$X$1193,22,0)</f>
        <v>1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54" t="s">
        <v>2491</v>
      </c>
      <c r="B79" s="54" t="s">
        <v>2492</v>
      </c>
      <c r="C79" s="54" t="s">
        <v>57</v>
      </c>
      <c r="D79" s="54" t="s">
        <v>58</v>
      </c>
      <c r="E79" s="54" t="s">
        <v>0</v>
      </c>
      <c r="F79" s="54" t="s">
        <v>2493</v>
      </c>
      <c r="G79" s="54">
        <v>1771933839</v>
      </c>
      <c r="H79" s="54" t="s">
        <v>229</v>
      </c>
      <c r="I79" s="54" t="s">
        <v>3514</v>
      </c>
      <c r="J79" s="34" t="s">
        <v>3515</v>
      </c>
      <c r="K79" s="43">
        <f>VLOOKUP(A79,'SSP_March''19'!$A$3:$L$1193,11,0)</f>
        <v>205911</v>
      </c>
      <c r="L79" s="43">
        <f>VLOOKUP(A79,'SSP_March''19'!$A$3:$L$1193,12,0)</f>
        <v>62675</v>
      </c>
      <c r="M79" s="44">
        <f t="shared" ref="M79:M142" si="6">L79/K79</f>
        <v>0.30437907639708417</v>
      </c>
      <c r="N79" s="49">
        <f>ROUND(VLOOKUP(A79,'SSP_March''19'!$A$3:$N$1193,14,0),0)</f>
        <v>194293</v>
      </c>
      <c r="O79" s="44">
        <f t="shared" ref="O79:O142" si="7">N79/K79</f>
        <v>0.94357756506451818</v>
      </c>
      <c r="P79" s="45">
        <f>VLOOKUP(A79,'SSP_March''19'!$A$3:$Q$1193,16,0)</f>
        <v>10</v>
      </c>
      <c r="Q79" s="34">
        <f>VLOOKUP(A79,'SSP_March''19'!$A$3:$Q$1193,17,0)</f>
        <v>3</v>
      </c>
      <c r="R79" s="35">
        <f t="shared" ref="R79:R142" si="8">Q79/P79</f>
        <v>0.3</v>
      </c>
      <c r="S79" s="49">
        <f>ROUND(VLOOKUP(A79,'SSP_March''19'!$A$3:$T$1193,19,0),0)</f>
        <v>9</v>
      </c>
      <c r="T79" s="44">
        <f>VLOOKUP(A79,'SSP_March''19'!$A$3:$T$1193,20,0)</f>
        <v>0.9</v>
      </c>
      <c r="U79" s="34">
        <f>VLOOKUP(A79,'SSP_March''19'!$A$3:$X$1193,21,0)</f>
        <v>2</v>
      </c>
      <c r="V79" s="34">
        <f>VLOOKUP(A79,'SSP_March''19'!$A$3:$X$1193,22,0)</f>
        <v>2</v>
      </c>
      <c r="W79" s="34">
        <f>VLOOKUP(A79,'SSP_March''19'!$A$3:$X$1193,23,0)</f>
        <v>0</v>
      </c>
      <c r="X79" s="34">
        <f>VLOOKUP(A79,'SSP_March''19'!$A$3:$X$1193,24,0)</f>
        <v>0</v>
      </c>
    </row>
    <row r="80" spans="1:24">
      <c r="A80" s="54" t="s">
        <v>2462</v>
      </c>
      <c r="B80" s="54" t="s">
        <v>2463</v>
      </c>
      <c r="C80" s="54" t="s">
        <v>57</v>
      </c>
      <c r="D80" s="54" t="s">
        <v>58</v>
      </c>
      <c r="E80" s="54" t="s">
        <v>0</v>
      </c>
      <c r="F80" s="54" t="s">
        <v>2464</v>
      </c>
      <c r="G80" s="54">
        <v>1738918738</v>
      </c>
      <c r="H80" s="54" t="s">
        <v>229</v>
      </c>
      <c r="I80" s="54" t="s">
        <v>3514</v>
      </c>
      <c r="J80" s="34" t="s">
        <v>3515</v>
      </c>
      <c r="K80" s="43">
        <f>VLOOKUP(A80,'SSP_March''19'!$A$3:$L$1193,11,0)</f>
        <v>172361</v>
      </c>
      <c r="L80" s="43">
        <f>VLOOKUP(A80,'SSP_March''19'!$A$3:$L$1193,12,0)</f>
        <v>49160</v>
      </c>
      <c r="M80" s="44">
        <f t="shared" si="6"/>
        <v>0.28521533293494467</v>
      </c>
      <c r="N80" s="49">
        <f>ROUND(VLOOKUP(A80,'SSP_March''19'!$A$3:$N$1193,14,0),0)</f>
        <v>152396</v>
      </c>
      <c r="O80" s="44">
        <f t="shared" si="7"/>
        <v>0.88416753209832855</v>
      </c>
      <c r="P80" s="45">
        <f>VLOOKUP(A80,'SSP_March''19'!$A$3:$Q$1193,16,0)</f>
        <v>10</v>
      </c>
      <c r="Q80" s="34">
        <f>VLOOKUP(A80,'SSP_March''19'!$A$3:$Q$1193,17,0)</f>
        <v>3</v>
      </c>
      <c r="R80" s="35">
        <f t="shared" si="8"/>
        <v>0.3</v>
      </c>
      <c r="S80" s="49">
        <f>ROUND(VLOOKUP(A80,'SSP_March''19'!$A$3:$T$1193,19,0),0)</f>
        <v>9</v>
      </c>
      <c r="T80" s="44">
        <f>VLOOKUP(A80,'SSP_March''19'!$A$3:$T$1193,20,0)</f>
        <v>0.9</v>
      </c>
      <c r="U80" s="34">
        <f>VLOOKUP(A80,'SSP_March''19'!$A$3:$X$1193,21,0)</f>
        <v>0</v>
      </c>
      <c r="V80" s="34">
        <f>VLOOKUP(A80,'SSP_March''19'!$A$3:$X$1193,22,0)</f>
        <v>0</v>
      </c>
      <c r="W80" s="34">
        <f>VLOOKUP(A80,'SSP_March''19'!$A$3:$X$1193,23,0)</f>
        <v>0</v>
      </c>
      <c r="X80" s="34">
        <f>VLOOKUP(A80,'SSP_March''19'!$A$3:$X$1193,24,0)</f>
        <v>0</v>
      </c>
    </row>
    <row r="81" spans="1:24">
      <c r="A81" s="54" t="s">
        <v>2654</v>
      </c>
      <c r="B81" s="54" t="s">
        <v>1977</v>
      </c>
      <c r="C81" s="54" t="s">
        <v>57</v>
      </c>
      <c r="D81" s="54" t="s">
        <v>58</v>
      </c>
      <c r="E81" s="54" t="s">
        <v>0</v>
      </c>
      <c r="F81" s="54" t="s">
        <v>2655</v>
      </c>
      <c r="G81" s="54">
        <v>1911559383</v>
      </c>
      <c r="H81" s="54" t="s">
        <v>229</v>
      </c>
      <c r="I81" s="54" t="s">
        <v>3514</v>
      </c>
      <c r="J81" s="34" t="s">
        <v>3515</v>
      </c>
      <c r="K81" s="43">
        <f>VLOOKUP(A81,'SSP_March''19'!$A$3:$L$1193,11,0)</f>
        <v>226302</v>
      </c>
      <c r="L81" s="43">
        <f>VLOOKUP(A81,'SSP_March''19'!$A$3:$L$1193,12,0)</f>
        <v>59140</v>
      </c>
      <c r="M81" s="44">
        <f t="shared" si="6"/>
        <v>0.26133220210161645</v>
      </c>
      <c r="N81" s="49">
        <f>ROUND(VLOOKUP(A81,'SSP_March''19'!$A$3:$N$1193,14,0),0)</f>
        <v>183334</v>
      </c>
      <c r="O81" s="44">
        <f t="shared" si="7"/>
        <v>0.81012982651501086</v>
      </c>
      <c r="P81" s="45">
        <f>VLOOKUP(A81,'SSP_March''19'!$A$3:$Q$1193,16,0)</f>
        <v>10</v>
      </c>
      <c r="Q81" s="34">
        <f>VLOOKUP(A81,'SSP_March''19'!$A$3:$Q$1193,17,0)</f>
        <v>3</v>
      </c>
      <c r="R81" s="35">
        <f t="shared" si="8"/>
        <v>0.3</v>
      </c>
      <c r="S81" s="49">
        <f>ROUND(VLOOKUP(A81,'SSP_March''19'!$A$3:$T$1193,19,0),0)</f>
        <v>9</v>
      </c>
      <c r="T81" s="44">
        <f>VLOOKUP(A81,'SSP_March''19'!$A$3:$T$1193,20,0)</f>
        <v>0.9</v>
      </c>
      <c r="U81" s="34">
        <f>VLOOKUP(A81,'SSP_March''19'!$A$3:$X$1193,21,0)</f>
        <v>1</v>
      </c>
      <c r="V81" s="34">
        <f>VLOOKUP(A81,'SSP_March''19'!$A$3:$X$1193,22,0)</f>
        <v>2</v>
      </c>
      <c r="W81" s="34">
        <f>VLOOKUP(A81,'SSP_March''19'!$A$3:$X$1193,23,0)</f>
        <v>0</v>
      </c>
      <c r="X81" s="34">
        <f>VLOOKUP(A81,'SSP_March''19'!$A$3:$X$1193,24,0)</f>
        <v>0</v>
      </c>
    </row>
    <row r="82" spans="1:24">
      <c r="A82" s="54" t="s">
        <v>2577</v>
      </c>
      <c r="B82" s="54" t="s">
        <v>2578</v>
      </c>
      <c r="C82" s="54" t="s">
        <v>57</v>
      </c>
      <c r="D82" s="54" t="s">
        <v>58</v>
      </c>
      <c r="E82" s="54" t="s">
        <v>0</v>
      </c>
      <c r="F82" s="54" t="s">
        <v>2579</v>
      </c>
      <c r="G82" s="54">
        <v>1740602260</v>
      </c>
      <c r="H82" s="54" t="s">
        <v>229</v>
      </c>
      <c r="I82" s="54" t="s">
        <v>3514</v>
      </c>
      <c r="J82" s="34" t="s">
        <v>3515</v>
      </c>
      <c r="K82" s="43">
        <f>VLOOKUP(A82,'SSP_March''19'!$A$3:$L$1193,11,0)</f>
        <v>130000</v>
      </c>
      <c r="L82" s="43">
        <f>VLOOKUP(A82,'SSP_March''19'!$A$3:$L$1193,12,0)</f>
        <v>44010</v>
      </c>
      <c r="M82" s="44">
        <f t="shared" si="6"/>
        <v>0.33853846153846157</v>
      </c>
      <c r="N82" s="49">
        <f>ROUND(VLOOKUP(A82,'SSP_March''19'!$A$3:$N$1193,14,0),0)</f>
        <v>136431</v>
      </c>
      <c r="O82" s="44">
        <f t="shared" si="7"/>
        <v>1.0494692307692308</v>
      </c>
      <c r="P82" s="45">
        <f>VLOOKUP(A82,'SSP_March''19'!$A$3:$Q$1193,16,0)</f>
        <v>10</v>
      </c>
      <c r="Q82" s="34">
        <f>VLOOKUP(A82,'SSP_March''19'!$A$3:$Q$1193,17,0)</f>
        <v>1</v>
      </c>
      <c r="R82" s="35">
        <f t="shared" si="8"/>
        <v>0.1</v>
      </c>
      <c r="S82" s="49">
        <f>ROUND(VLOOKUP(A82,'SSP_March''19'!$A$3:$T$1193,19,0),0)</f>
        <v>3</v>
      </c>
      <c r="T82" s="44">
        <f>VLOOKUP(A82,'SSP_March''19'!$A$3:$T$1193,20,0)</f>
        <v>0.3</v>
      </c>
      <c r="U82" s="34">
        <f>VLOOKUP(A82,'SSP_March''19'!$A$3:$X$1193,21,0)</f>
        <v>1</v>
      </c>
      <c r="V82" s="34">
        <f>VLOOKUP(A82,'SSP_March''19'!$A$3:$X$1193,22,0)</f>
        <v>0</v>
      </c>
      <c r="W82" s="34">
        <f>VLOOKUP(A82,'SSP_March''19'!$A$3:$X$1193,23,0)</f>
        <v>0</v>
      </c>
      <c r="X82" s="34">
        <f>VLOOKUP(A82,'SSP_March''19'!$A$3:$X$1193,24,0)</f>
        <v>0</v>
      </c>
    </row>
    <row r="83" spans="1:24">
      <c r="A83" s="54" t="s">
        <v>2381</v>
      </c>
      <c r="B83" s="54" t="s">
        <v>2382</v>
      </c>
      <c r="C83" s="54" t="s">
        <v>57</v>
      </c>
      <c r="D83" s="54" t="s">
        <v>58</v>
      </c>
      <c r="E83" s="54" t="s">
        <v>0</v>
      </c>
      <c r="F83" s="54" t="s">
        <v>2383</v>
      </c>
      <c r="G83" s="54">
        <v>1911563014</v>
      </c>
      <c r="H83" s="54" t="s">
        <v>229</v>
      </c>
      <c r="I83" s="54" t="s">
        <v>3514</v>
      </c>
      <c r="J83" s="34" t="s">
        <v>3515</v>
      </c>
      <c r="K83" s="43">
        <f>VLOOKUP(A83,'SSP_March''19'!$A$3:$L$1193,11,0)</f>
        <v>130000</v>
      </c>
      <c r="L83" s="43">
        <f>VLOOKUP(A83,'SSP_March''19'!$A$3:$L$1193,12,0)</f>
        <v>24050</v>
      </c>
      <c r="M83" s="44">
        <f t="shared" si="6"/>
        <v>0.185</v>
      </c>
      <c r="N83" s="49">
        <f>ROUND(VLOOKUP(A83,'SSP_March''19'!$A$3:$N$1193,14,0),0)</f>
        <v>74555</v>
      </c>
      <c r="O83" s="44">
        <f t="shared" si="7"/>
        <v>0.57350000000000001</v>
      </c>
      <c r="P83" s="45">
        <f>VLOOKUP(A83,'SSP_March''19'!$A$3:$Q$1193,16,0)</f>
        <v>10</v>
      </c>
      <c r="Q83" s="34">
        <f>VLOOKUP(A83,'SSP_March''19'!$A$3:$Q$1193,17,0)</f>
        <v>0</v>
      </c>
      <c r="R83" s="35">
        <f t="shared" si="8"/>
        <v>0</v>
      </c>
      <c r="S83" s="49">
        <f>ROUND(VLOOKUP(A83,'SSP_March''19'!$A$3:$T$1193,19,0),0)</f>
        <v>0</v>
      </c>
      <c r="T83" s="44">
        <f>VLOOKUP(A83,'SSP_March''19'!$A$3:$T$1193,20,0)</f>
        <v>0</v>
      </c>
      <c r="U83" s="34">
        <f>VLOOKUP(A83,'SSP_March''19'!$A$3:$X$1193,21,0)</f>
        <v>0</v>
      </c>
      <c r="V83" s="34">
        <f>VLOOKUP(A83,'SSP_March''19'!$A$3:$X$1193,22,0)</f>
        <v>0</v>
      </c>
      <c r="W83" s="34">
        <f>VLOOKUP(A83,'SSP_March''19'!$A$3:$X$1193,23,0)</f>
        <v>0</v>
      </c>
      <c r="X83" s="34">
        <f>VLOOKUP(A83,'SSP_March''19'!$A$3:$X$1193,24,0)</f>
        <v>0</v>
      </c>
    </row>
    <row r="84" spans="1:24">
      <c r="A84" s="75" t="s">
        <v>3612</v>
      </c>
      <c r="B84" s="75" t="s">
        <v>3613</v>
      </c>
      <c r="C84" s="75" t="s">
        <v>108</v>
      </c>
      <c r="D84" s="75" t="s">
        <v>58</v>
      </c>
      <c r="E84" s="75" t="s">
        <v>0</v>
      </c>
      <c r="F84" s="75" t="s">
        <v>3614</v>
      </c>
      <c r="G84" s="67">
        <v>1965396476</v>
      </c>
      <c r="H84" s="54" t="s">
        <v>229</v>
      </c>
      <c r="I84" s="54" t="s">
        <v>3514</v>
      </c>
      <c r="J84" s="34" t="s">
        <v>3421</v>
      </c>
      <c r="K84" s="43">
        <f>VLOOKUP(A84,'SSP_March''19'!$A$3:$L$1193,11,0)</f>
        <v>130000</v>
      </c>
      <c r="L84" s="43">
        <f>VLOOKUP(A84,'SSP_March''19'!$A$3:$L$1193,12,0)</f>
        <v>21660</v>
      </c>
      <c r="M84" s="44">
        <f t="shared" si="6"/>
        <v>0.16661538461538461</v>
      </c>
      <c r="N84" s="49">
        <f>ROUND(VLOOKUP(A84,'SSP_March''19'!$A$3:$N$1193,14,0),0)</f>
        <v>67146</v>
      </c>
      <c r="O84" s="44">
        <f t="shared" si="7"/>
        <v>0.51650769230769233</v>
      </c>
      <c r="P84" s="45">
        <f>VLOOKUP(A84,'SSP_March''19'!$A$3:$Q$1193,16,0)</f>
        <v>10</v>
      </c>
      <c r="Q84" s="34">
        <f>VLOOKUP(A84,'SSP_March''19'!$A$3:$Q$1193,17,0)</f>
        <v>0</v>
      </c>
      <c r="R84" s="35">
        <f t="shared" si="8"/>
        <v>0</v>
      </c>
      <c r="S84" s="49">
        <f>ROUND(VLOOKUP(A84,'SSP_March''19'!$A$3:$T$1193,19,0),0)</f>
        <v>0</v>
      </c>
      <c r="T84" s="44">
        <f>VLOOKUP(A84,'SSP_March''19'!$A$3:$T$1193,20,0)</f>
        <v>0</v>
      </c>
      <c r="U84" s="34">
        <f>VLOOKUP(A84,'SSP_March''19'!$A$3:$X$1193,21,0)</f>
        <v>0</v>
      </c>
      <c r="V84" s="34">
        <f>VLOOKUP(A84,'SSP_March''19'!$A$3:$X$1193,22,0)</f>
        <v>0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54" t="s">
        <v>2933</v>
      </c>
      <c r="B85" s="54" t="s">
        <v>2934</v>
      </c>
      <c r="C85" s="54" t="s">
        <v>108</v>
      </c>
      <c r="D85" s="54" t="s">
        <v>58</v>
      </c>
      <c r="E85" s="54" t="s">
        <v>0</v>
      </c>
      <c r="F85" s="54" t="s">
        <v>2935</v>
      </c>
      <c r="G85" s="54">
        <v>1712861204</v>
      </c>
      <c r="H85" s="54" t="s">
        <v>229</v>
      </c>
      <c r="I85" s="54" t="s">
        <v>3514</v>
      </c>
      <c r="J85" s="34" t="s">
        <v>3421</v>
      </c>
      <c r="K85" s="43">
        <f>VLOOKUP(A85,'SSP_March''19'!$A$3:$L$1193,11,0)</f>
        <v>130000</v>
      </c>
      <c r="L85" s="43">
        <f>VLOOKUP(A85,'SSP_March''19'!$A$3:$L$1193,12,0)</f>
        <v>7990</v>
      </c>
      <c r="M85" s="44">
        <f t="shared" si="6"/>
        <v>6.1461538461538463E-2</v>
      </c>
      <c r="N85" s="49">
        <f>ROUND(VLOOKUP(A85,'SSP_March''19'!$A$3:$N$1193,14,0),0)</f>
        <v>24769</v>
      </c>
      <c r="O85" s="44">
        <f t="shared" si="7"/>
        <v>0.19053076923076923</v>
      </c>
      <c r="P85" s="45">
        <f>VLOOKUP(A85,'SSP_March''19'!$A$3:$Q$1193,16,0)</f>
        <v>10</v>
      </c>
      <c r="Q85" s="34">
        <f>VLOOKUP(A85,'SSP_March''19'!$A$3:$Q$1193,17,0)</f>
        <v>1</v>
      </c>
      <c r="R85" s="35">
        <f t="shared" si="8"/>
        <v>0.1</v>
      </c>
      <c r="S85" s="49">
        <f>ROUND(VLOOKUP(A85,'SSP_March''19'!$A$3:$T$1193,19,0),0)</f>
        <v>3</v>
      </c>
      <c r="T85" s="44">
        <f>VLOOKUP(A85,'SSP_March''19'!$A$3:$T$1193,20,0)</f>
        <v>0.3</v>
      </c>
      <c r="U85" s="34">
        <f>VLOOKUP(A85,'SSP_March''19'!$A$3:$X$1193,21,0)</f>
        <v>0</v>
      </c>
      <c r="V85" s="34">
        <f>VLOOKUP(A85,'SSP_March''19'!$A$3:$X$1193,22,0)</f>
        <v>0</v>
      </c>
      <c r="W85" s="34">
        <f>VLOOKUP(A85,'SSP_March''19'!$A$3:$X$1193,23,0)</f>
        <v>0</v>
      </c>
      <c r="X85" s="34">
        <f>VLOOKUP(A85,'SSP_March''19'!$A$3:$X$1193,24,0)</f>
        <v>0</v>
      </c>
    </row>
    <row r="86" spans="1:24">
      <c r="A86" s="75" t="s">
        <v>3615</v>
      </c>
      <c r="B86" s="75" t="s">
        <v>3616</v>
      </c>
      <c r="C86" s="75" t="s">
        <v>108</v>
      </c>
      <c r="D86" s="75" t="s">
        <v>58</v>
      </c>
      <c r="E86" s="75" t="s">
        <v>0</v>
      </c>
      <c r="F86" s="75" t="s">
        <v>3617</v>
      </c>
      <c r="G86" s="67">
        <v>1917498980</v>
      </c>
      <c r="H86" s="54" t="s">
        <v>229</v>
      </c>
      <c r="I86" s="54" t="s">
        <v>3514</v>
      </c>
      <c r="J86" s="34" t="s">
        <v>3421</v>
      </c>
      <c r="K86" s="43">
        <f>VLOOKUP(A86,'SSP_March''19'!$A$3:$L$1193,11,0)</f>
        <v>130000</v>
      </c>
      <c r="L86" s="43">
        <f>VLOOKUP(A86,'SSP_March''19'!$A$3:$L$1193,12,0)</f>
        <v>40805</v>
      </c>
      <c r="M86" s="44">
        <f t="shared" si="6"/>
        <v>0.31388461538461537</v>
      </c>
      <c r="N86" s="49">
        <f>ROUND(VLOOKUP(A86,'SSP_March''19'!$A$3:$N$1193,14,0),0)</f>
        <v>126496</v>
      </c>
      <c r="O86" s="44">
        <f t="shared" si="7"/>
        <v>0.97304615384615389</v>
      </c>
      <c r="P86" s="45">
        <f>VLOOKUP(A86,'SSP_March''19'!$A$3:$Q$1193,16,0)</f>
        <v>10</v>
      </c>
      <c r="Q86" s="34">
        <f>VLOOKUP(A86,'SSP_March''19'!$A$3:$Q$1193,17,0)</f>
        <v>1</v>
      </c>
      <c r="R86" s="35">
        <f t="shared" si="8"/>
        <v>0.1</v>
      </c>
      <c r="S86" s="49">
        <f>ROUND(VLOOKUP(A86,'SSP_March''19'!$A$3:$T$1193,19,0),0)</f>
        <v>3</v>
      </c>
      <c r="T86" s="44">
        <f>VLOOKUP(A86,'SSP_March''19'!$A$3:$T$1193,20,0)</f>
        <v>0.3</v>
      </c>
      <c r="U86" s="34">
        <f>VLOOKUP(A86,'SSP_March''19'!$A$3:$X$1193,21,0)</f>
        <v>0</v>
      </c>
      <c r="V86" s="34">
        <f>VLOOKUP(A86,'SSP_March''19'!$A$3:$X$1193,22,0)</f>
        <v>0</v>
      </c>
      <c r="W86" s="34">
        <f>VLOOKUP(A86,'SSP_March''19'!$A$3:$X$1193,23,0)</f>
        <v>0</v>
      </c>
      <c r="X86" s="34">
        <f>VLOOKUP(A86,'SSP_March''19'!$A$3:$X$1193,24,0)</f>
        <v>0</v>
      </c>
    </row>
    <row r="87" spans="1:24">
      <c r="A87" s="54" t="s">
        <v>2555</v>
      </c>
      <c r="B87" s="54" t="s">
        <v>2556</v>
      </c>
      <c r="C87" s="54" t="s">
        <v>108</v>
      </c>
      <c r="D87" s="54" t="s">
        <v>58</v>
      </c>
      <c r="E87" s="54" t="s">
        <v>0</v>
      </c>
      <c r="F87" s="54" t="s">
        <v>2557</v>
      </c>
      <c r="G87" s="54">
        <v>1706939394</v>
      </c>
      <c r="H87" s="54" t="s">
        <v>229</v>
      </c>
      <c r="I87" s="54" t="s">
        <v>3514</v>
      </c>
      <c r="J87" s="34" t="s">
        <v>3419</v>
      </c>
      <c r="K87" s="43">
        <f>VLOOKUP(A87,'SSP_March''19'!$A$3:$L$1193,11,0)</f>
        <v>170920</v>
      </c>
      <c r="L87" s="43">
        <f>VLOOKUP(A87,'SSP_March''19'!$A$3:$L$1193,12,0)</f>
        <v>60750</v>
      </c>
      <c r="M87" s="44">
        <f t="shared" si="6"/>
        <v>0.35542944067399951</v>
      </c>
      <c r="N87" s="49">
        <f>ROUND(VLOOKUP(A87,'SSP_March''19'!$A$3:$N$1193,14,0),0)</f>
        <v>188325</v>
      </c>
      <c r="O87" s="44">
        <f t="shared" si="7"/>
        <v>1.1018312660893985</v>
      </c>
      <c r="P87" s="45">
        <f>VLOOKUP(A87,'SSP_March''19'!$A$3:$Q$1193,16,0)</f>
        <v>10</v>
      </c>
      <c r="Q87" s="34">
        <f>VLOOKUP(A87,'SSP_March''19'!$A$3:$Q$1193,17,0)</f>
        <v>4</v>
      </c>
      <c r="R87" s="35">
        <f t="shared" si="8"/>
        <v>0.4</v>
      </c>
      <c r="S87" s="49">
        <f>ROUND(VLOOKUP(A87,'SSP_March''19'!$A$3:$T$1193,19,0),0)</f>
        <v>12</v>
      </c>
      <c r="T87" s="44">
        <f>VLOOKUP(A87,'SSP_March''19'!$A$3:$T$1193,20,0)</f>
        <v>1.2</v>
      </c>
      <c r="U87" s="34">
        <f>VLOOKUP(A87,'SSP_March''19'!$A$3:$X$1193,21,0)</f>
        <v>1</v>
      </c>
      <c r="V87" s="34">
        <f>VLOOKUP(A87,'SSP_March''19'!$A$3:$X$1193,22,0)</f>
        <v>2</v>
      </c>
      <c r="W87" s="34">
        <f>VLOOKUP(A87,'SSP_March''19'!$A$3:$X$1193,23,0)</f>
        <v>0</v>
      </c>
      <c r="X87" s="34">
        <f>VLOOKUP(A87,'SSP_March''19'!$A$3:$X$1193,24,0)</f>
        <v>0</v>
      </c>
    </row>
    <row r="88" spans="1:24">
      <c r="A88" s="54" t="s">
        <v>2656</v>
      </c>
      <c r="B88" s="54" t="s">
        <v>2657</v>
      </c>
      <c r="C88" s="54" t="s">
        <v>108</v>
      </c>
      <c r="D88" s="54" t="s">
        <v>58</v>
      </c>
      <c r="E88" s="54" t="s">
        <v>0</v>
      </c>
      <c r="F88" s="54" t="s">
        <v>2658</v>
      </c>
      <c r="G88" s="54">
        <v>1191112650</v>
      </c>
      <c r="H88" s="54" t="s">
        <v>229</v>
      </c>
      <c r="I88" s="54" t="s">
        <v>3514</v>
      </c>
      <c r="J88" s="34" t="s">
        <v>3419</v>
      </c>
      <c r="K88" s="43">
        <f>VLOOKUP(A88,'SSP_March''19'!$A$3:$L$1193,11,0)</f>
        <v>151236</v>
      </c>
      <c r="L88" s="43">
        <f>VLOOKUP(A88,'SSP_March''19'!$A$3:$L$1193,12,0)</f>
        <v>53020</v>
      </c>
      <c r="M88" s="44">
        <f t="shared" si="6"/>
        <v>0.35057790473167766</v>
      </c>
      <c r="N88" s="49">
        <f>ROUND(VLOOKUP(A88,'SSP_March''19'!$A$3:$N$1193,14,0),0)</f>
        <v>164362</v>
      </c>
      <c r="O88" s="44">
        <f t="shared" si="7"/>
        <v>1.0867915046682006</v>
      </c>
      <c r="P88" s="45">
        <f>VLOOKUP(A88,'SSP_March''19'!$A$3:$Q$1193,16,0)</f>
        <v>10</v>
      </c>
      <c r="Q88" s="34">
        <f>VLOOKUP(A88,'SSP_March''19'!$A$3:$Q$1193,17,0)</f>
        <v>5</v>
      </c>
      <c r="R88" s="35">
        <f t="shared" si="8"/>
        <v>0.5</v>
      </c>
      <c r="S88" s="49">
        <f>ROUND(VLOOKUP(A88,'SSP_March''19'!$A$3:$T$1193,19,0),0)</f>
        <v>16</v>
      </c>
      <c r="T88" s="44">
        <f>VLOOKUP(A88,'SSP_March''19'!$A$3:$T$1193,20,0)</f>
        <v>1.6</v>
      </c>
      <c r="U88" s="34">
        <f>VLOOKUP(A88,'SSP_March''19'!$A$3:$X$1193,21,0)</f>
        <v>0</v>
      </c>
      <c r="V88" s="34">
        <f>VLOOKUP(A88,'SSP_March''19'!$A$3:$X$1193,22,0)</f>
        <v>1</v>
      </c>
      <c r="W88" s="34">
        <f>VLOOKUP(A88,'SSP_March''19'!$A$3:$X$1193,23,0)</f>
        <v>0</v>
      </c>
      <c r="X88" s="34">
        <f>VLOOKUP(A88,'SSP_March''19'!$A$3:$X$1193,24,0)</f>
        <v>0</v>
      </c>
    </row>
    <row r="89" spans="1:24">
      <c r="A89" s="75" t="s">
        <v>3618</v>
      </c>
      <c r="B89" s="75" t="s">
        <v>3619</v>
      </c>
      <c r="C89" s="75" t="s">
        <v>108</v>
      </c>
      <c r="D89" s="75" t="s">
        <v>58</v>
      </c>
      <c r="E89" s="75" t="s">
        <v>0</v>
      </c>
      <c r="F89" s="75" t="s">
        <v>3620</v>
      </c>
      <c r="G89" s="67">
        <v>1671446436</v>
      </c>
      <c r="H89" s="54" t="s">
        <v>229</v>
      </c>
      <c r="I89" s="54" t="s">
        <v>3514</v>
      </c>
      <c r="J89" s="34" t="s">
        <v>3421</v>
      </c>
      <c r="K89" s="43">
        <f>VLOOKUP(A89,'SSP_March''19'!$A$3:$L$1193,11,0)</f>
        <v>130000</v>
      </c>
      <c r="L89" s="43">
        <f>VLOOKUP(A89,'SSP_March''19'!$A$3:$L$1193,12,0)</f>
        <v>46060</v>
      </c>
      <c r="M89" s="44">
        <f t="shared" si="6"/>
        <v>0.35430769230769232</v>
      </c>
      <c r="N89" s="49">
        <f>ROUND(VLOOKUP(A89,'SSP_March''19'!$A$3:$N$1193,14,0),0)</f>
        <v>142786</v>
      </c>
      <c r="O89" s="44">
        <f t="shared" si="7"/>
        <v>1.0983538461538462</v>
      </c>
      <c r="P89" s="45">
        <f>VLOOKUP(A89,'SSP_March''19'!$A$3:$Q$1193,16,0)</f>
        <v>10</v>
      </c>
      <c r="Q89" s="34">
        <f>VLOOKUP(A89,'SSP_March''19'!$A$3:$Q$1193,17,0)</f>
        <v>1</v>
      </c>
      <c r="R89" s="35">
        <f t="shared" si="8"/>
        <v>0.1</v>
      </c>
      <c r="S89" s="49">
        <f>ROUND(VLOOKUP(A89,'SSP_March''19'!$A$3:$T$1193,19,0),0)</f>
        <v>3</v>
      </c>
      <c r="T89" s="44">
        <f>VLOOKUP(A89,'SSP_March''19'!$A$3:$T$1193,20,0)</f>
        <v>0.3</v>
      </c>
      <c r="U89" s="34">
        <f>VLOOKUP(A89,'SSP_March''19'!$A$3:$X$1193,21,0)</f>
        <v>1</v>
      </c>
      <c r="V89" s="34">
        <f>VLOOKUP(A89,'SSP_March''19'!$A$3:$X$1193,22,0)</f>
        <v>0</v>
      </c>
      <c r="W89" s="34">
        <f>VLOOKUP(A89,'SSP_March''19'!$A$3:$X$1193,23,0)</f>
        <v>0</v>
      </c>
      <c r="X89" s="34">
        <f>VLOOKUP(A89,'SSP_March''19'!$A$3:$X$1193,24,0)</f>
        <v>0</v>
      </c>
    </row>
    <row r="90" spans="1:24">
      <c r="A90" s="54" t="s">
        <v>2626</v>
      </c>
      <c r="B90" s="54" t="s">
        <v>2627</v>
      </c>
      <c r="C90" s="54" t="s">
        <v>108</v>
      </c>
      <c r="D90" s="54" t="s">
        <v>58</v>
      </c>
      <c r="E90" s="54" t="s">
        <v>0</v>
      </c>
      <c r="F90" s="54" t="s">
        <v>2628</v>
      </c>
      <c r="G90" s="54">
        <v>1911850280</v>
      </c>
      <c r="H90" s="54" t="s">
        <v>229</v>
      </c>
      <c r="I90" s="54" t="s">
        <v>3514</v>
      </c>
      <c r="J90" s="34" t="s">
        <v>3421</v>
      </c>
      <c r="K90" s="43">
        <f>VLOOKUP(A90,'SSP_March''19'!$A$3:$L$1193,11,0)</f>
        <v>130000</v>
      </c>
      <c r="L90" s="43">
        <f>VLOOKUP(A90,'SSP_March''19'!$A$3:$L$1193,12,0)</f>
        <v>23850</v>
      </c>
      <c r="M90" s="44">
        <f t="shared" si="6"/>
        <v>0.18346153846153845</v>
      </c>
      <c r="N90" s="49">
        <f>ROUND(VLOOKUP(A90,'SSP_March''19'!$A$3:$N$1193,14,0),0)</f>
        <v>73935</v>
      </c>
      <c r="O90" s="44">
        <f t="shared" si="7"/>
        <v>0.56873076923076926</v>
      </c>
      <c r="P90" s="45">
        <f>VLOOKUP(A90,'SSP_March''19'!$A$3:$Q$1193,16,0)</f>
        <v>10</v>
      </c>
      <c r="Q90" s="34">
        <f>VLOOKUP(A90,'SSP_March''19'!$A$3:$Q$1193,17,0)</f>
        <v>0</v>
      </c>
      <c r="R90" s="35">
        <f t="shared" si="8"/>
        <v>0</v>
      </c>
      <c r="S90" s="49">
        <f>ROUND(VLOOKUP(A90,'SSP_March''19'!$A$3:$T$1193,19,0),0)</f>
        <v>0</v>
      </c>
      <c r="T90" s="44">
        <f>VLOOKUP(A90,'SSP_March''19'!$A$3:$T$1193,20,0)</f>
        <v>0</v>
      </c>
      <c r="U90" s="34">
        <f>VLOOKUP(A90,'SSP_March''19'!$A$3:$X$1193,21,0)</f>
        <v>0</v>
      </c>
      <c r="V90" s="34">
        <f>VLOOKUP(A90,'SSP_March''19'!$A$3:$X$1193,22,0)</f>
        <v>0</v>
      </c>
      <c r="W90" s="34">
        <f>VLOOKUP(A90,'SSP_March''19'!$A$3:$X$1193,23,0)</f>
        <v>0</v>
      </c>
      <c r="X90" s="34">
        <f>VLOOKUP(A90,'SSP_March''19'!$A$3:$X$1193,24,0)</f>
        <v>0</v>
      </c>
    </row>
    <row r="91" spans="1:24">
      <c r="A91" s="54" t="s">
        <v>2763</v>
      </c>
      <c r="B91" s="54" t="s">
        <v>2764</v>
      </c>
      <c r="C91" s="54" t="s">
        <v>108</v>
      </c>
      <c r="D91" s="54" t="s">
        <v>58</v>
      </c>
      <c r="E91" s="54" t="s">
        <v>0</v>
      </c>
      <c r="F91" s="54" t="s">
        <v>2765</v>
      </c>
      <c r="G91" s="54">
        <v>1763519085</v>
      </c>
      <c r="H91" s="54" t="s">
        <v>229</v>
      </c>
      <c r="I91" s="54" t="s">
        <v>3514</v>
      </c>
      <c r="J91" s="34" t="s">
        <v>3419</v>
      </c>
      <c r="K91" s="43">
        <f>VLOOKUP(A91,'SSP_March''19'!$A$3:$L$1193,11,0)</f>
        <v>174075</v>
      </c>
      <c r="L91" s="43">
        <f>VLOOKUP(A91,'SSP_March''19'!$A$3:$L$1193,12,0)</f>
        <v>34200</v>
      </c>
      <c r="M91" s="44">
        <f t="shared" si="6"/>
        <v>0.19646704006893581</v>
      </c>
      <c r="N91" s="49">
        <f>ROUND(VLOOKUP(A91,'SSP_March''19'!$A$3:$N$1193,14,0),0)</f>
        <v>106020</v>
      </c>
      <c r="O91" s="44">
        <f t="shared" si="7"/>
        <v>0.60904782421370096</v>
      </c>
      <c r="P91" s="45">
        <f>VLOOKUP(A91,'SSP_March''19'!$A$3:$Q$1193,16,0)</f>
        <v>10</v>
      </c>
      <c r="Q91" s="34">
        <f>VLOOKUP(A91,'SSP_March''19'!$A$3:$Q$1193,17,0)</f>
        <v>2</v>
      </c>
      <c r="R91" s="35">
        <f t="shared" si="8"/>
        <v>0.2</v>
      </c>
      <c r="S91" s="49">
        <f>ROUND(VLOOKUP(A91,'SSP_March''19'!$A$3:$T$1193,19,0),0)</f>
        <v>6</v>
      </c>
      <c r="T91" s="44">
        <f>VLOOKUP(A91,'SSP_March''19'!$A$3:$T$1193,20,0)</f>
        <v>0.6</v>
      </c>
      <c r="U91" s="34">
        <f>VLOOKUP(A91,'SSP_March''19'!$A$3:$X$1193,21,0)</f>
        <v>1</v>
      </c>
      <c r="V91" s="34">
        <f>VLOOKUP(A91,'SSP_March''19'!$A$3:$X$1193,22,0)</f>
        <v>0</v>
      </c>
      <c r="W91" s="34">
        <f>VLOOKUP(A91,'SSP_March''19'!$A$3:$X$1193,23,0)</f>
        <v>0</v>
      </c>
      <c r="X91" s="34">
        <f>VLOOKUP(A91,'SSP_March''19'!$A$3:$X$1193,24,0)</f>
        <v>1</v>
      </c>
    </row>
    <row r="92" spans="1:24">
      <c r="A92" s="54" t="s">
        <v>3179</v>
      </c>
      <c r="B92" s="54" t="s">
        <v>3180</v>
      </c>
      <c r="C92" s="54" t="s">
        <v>108</v>
      </c>
      <c r="D92" s="54" t="s">
        <v>58</v>
      </c>
      <c r="E92" s="54" t="s">
        <v>0</v>
      </c>
      <c r="F92" s="54" t="s">
        <v>3181</v>
      </c>
      <c r="G92" s="54">
        <v>1718216334</v>
      </c>
      <c r="H92" s="54" t="s">
        <v>229</v>
      </c>
      <c r="I92" s="54" t="s">
        <v>3514</v>
      </c>
      <c r="J92" s="34" t="s">
        <v>3421</v>
      </c>
      <c r="K92" s="43">
        <f>VLOOKUP(A92,'SSP_March''19'!$A$3:$L$1193,11,0)</f>
        <v>130000</v>
      </c>
      <c r="L92" s="43">
        <f>VLOOKUP(A92,'SSP_March''19'!$A$3:$L$1193,12,0)</f>
        <v>40040</v>
      </c>
      <c r="M92" s="44">
        <f t="shared" si="6"/>
        <v>0.308</v>
      </c>
      <c r="N92" s="49">
        <f>ROUND(VLOOKUP(A92,'SSP_March''19'!$A$3:$N$1193,14,0),0)</f>
        <v>124124</v>
      </c>
      <c r="O92" s="44">
        <f t="shared" si="7"/>
        <v>0.95479999999999998</v>
      </c>
      <c r="P92" s="45">
        <f>VLOOKUP(A92,'SSP_March''19'!$A$3:$Q$1193,16,0)</f>
        <v>10</v>
      </c>
      <c r="Q92" s="34">
        <f>VLOOKUP(A92,'SSP_March''19'!$A$3:$Q$1193,17,0)</f>
        <v>3</v>
      </c>
      <c r="R92" s="35">
        <f t="shared" si="8"/>
        <v>0.3</v>
      </c>
      <c r="S92" s="49">
        <f>ROUND(VLOOKUP(A92,'SSP_March''19'!$A$3:$T$1193,19,0),0)</f>
        <v>9</v>
      </c>
      <c r="T92" s="44">
        <f>VLOOKUP(A92,'SSP_March''19'!$A$3:$T$1193,20,0)</f>
        <v>0.9</v>
      </c>
      <c r="U92" s="34">
        <f>VLOOKUP(A92,'SSP_March''19'!$A$3:$X$1193,21,0)</f>
        <v>0</v>
      </c>
      <c r="V92" s="34">
        <f>VLOOKUP(A92,'SSP_March''19'!$A$3:$X$1193,22,0)</f>
        <v>1</v>
      </c>
      <c r="W92" s="34">
        <f>VLOOKUP(A92,'SSP_March''19'!$A$3:$X$1193,23,0)</f>
        <v>0</v>
      </c>
      <c r="X92" s="34">
        <f>VLOOKUP(A92,'SSP_March''19'!$A$3:$X$1193,24,0)</f>
        <v>0</v>
      </c>
    </row>
    <row r="93" spans="1:24">
      <c r="A93" s="75" t="s">
        <v>3621</v>
      </c>
      <c r="B93" s="75" t="s">
        <v>3622</v>
      </c>
      <c r="C93" s="75" t="s">
        <v>108</v>
      </c>
      <c r="D93" s="75" t="s">
        <v>58</v>
      </c>
      <c r="E93" s="75" t="s">
        <v>0</v>
      </c>
      <c r="F93" s="75" t="s">
        <v>2702</v>
      </c>
      <c r="G93" s="67">
        <v>1712377448</v>
      </c>
      <c r="H93" s="54" t="s">
        <v>229</v>
      </c>
      <c r="I93" s="54" t="s">
        <v>3514</v>
      </c>
      <c r="J93" s="34" t="s">
        <v>3421</v>
      </c>
      <c r="K93" s="43">
        <f>VLOOKUP(A93,'SSP_March''19'!$A$3:$L$1193,11,0)</f>
        <v>130000</v>
      </c>
      <c r="L93" s="43">
        <f>VLOOKUP(A93,'SSP_March''19'!$A$3:$L$1193,12,0)</f>
        <v>30750</v>
      </c>
      <c r="M93" s="44">
        <f t="shared" si="6"/>
        <v>0.23653846153846153</v>
      </c>
      <c r="N93" s="49">
        <f>ROUND(VLOOKUP(A93,'SSP_March''19'!$A$3:$N$1193,14,0),0)</f>
        <v>95325</v>
      </c>
      <c r="O93" s="44">
        <f t="shared" si="7"/>
        <v>0.73326923076923078</v>
      </c>
      <c r="P93" s="45">
        <f>VLOOKUP(A93,'SSP_March''19'!$A$3:$Q$1193,16,0)</f>
        <v>10</v>
      </c>
      <c r="Q93" s="34">
        <f>VLOOKUP(A93,'SSP_March''19'!$A$3:$Q$1193,17,0)</f>
        <v>2</v>
      </c>
      <c r="R93" s="35">
        <f t="shared" si="8"/>
        <v>0.2</v>
      </c>
      <c r="S93" s="49">
        <f>ROUND(VLOOKUP(A93,'SSP_March''19'!$A$3:$T$1193,19,0),0)</f>
        <v>6</v>
      </c>
      <c r="T93" s="44">
        <f>VLOOKUP(A93,'SSP_March''19'!$A$3:$T$1193,20,0)</f>
        <v>0.6</v>
      </c>
      <c r="U93" s="34">
        <f>VLOOKUP(A93,'SSP_March''19'!$A$3:$X$1193,21,0)</f>
        <v>1</v>
      </c>
      <c r="V93" s="34">
        <f>VLOOKUP(A93,'SSP_March''19'!$A$3:$X$1193,22,0)</f>
        <v>0</v>
      </c>
      <c r="W93" s="34">
        <f>VLOOKUP(A93,'SSP_March''19'!$A$3:$X$1193,23,0)</f>
        <v>0</v>
      </c>
      <c r="X93" s="34">
        <f>VLOOKUP(A93,'SSP_March''19'!$A$3:$X$1193,24,0)</f>
        <v>0</v>
      </c>
    </row>
    <row r="94" spans="1:24">
      <c r="A94" s="75" t="s">
        <v>3623</v>
      </c>
      <c r="B94" s="75" t="s">
        <v>3624</v>
      </c>
      <c r="C94" s="75" t="s">
        <v>108</v>
      </c>
      <c r="D94" s="75" t="s">
        <v>58</v>
      </c>
      <c r="E94" s="75" t="s">
        <v>0</v>
      </c>
      <c r="F94" s="75" t="s">
        <v>3614</v>
      </c>
      <c r="G94" s="67">
        <v>1916218004</v>
      </c>
      <c r="H94" s="54" t="s">
        <v>229</v>
      </c>
      <c r="I94" s="54" t="s">
        <v>3514</v>
      </c>
      <c r="J94" s="34" t="s">
        <v>3421</v>
      </c>
      <c r="K94" s="43">
        <f>VLOOKUP(A94,'SSP_March''19'!$A$3:$L$1193,11,0)</f>
        <v>130000</v>
      </c>
      <c r="L94" s="43">
        <f>VLOOKUP(A94,'SSP_March''19'!$A$3:$L$1193,12,0)</f>
        <v>14670</v>
      </c>
      <c r="M94" s="44">
        <f t="shared" si="6"/>
        <v>0.11284615384615385</v>
      </c>
      <c r="N94" s="49">
        <f>ROUND(VLOOKUP(A94,'SSP_March''19'!$A$3:$N$1193,14,0),0)</f>
        <v>45477</v>
      </c>
      <c r="O94" s="44">
        <f t="shared" si="7"/>
        <v>0.3498230769230769</v>
      </c>
      <c r="P94" s="45">
        <f>VLOOKUP(A94,'SSP_March''19'!$A$3:$Q$1193,16,0)</f>
        <v>10</v>
      </c>
      <c r="Q94" s="34">
        <f>VLOOKUP(A94,'SSP_March''19'!$A$3:$Q$1193,17,0)</f>
        <v>1</v>
      </c>
      <c r="R94" s="35">
        <f t="shared" si="8"/>
        <v>0.1</v>
      </c>
      <c r="S94" s="49">
        <f>ROUND(VLOOKUP(A94,'SSP_March''19'!$A$3:$T$1193,19,0),0)</f>
        <v>3</v>
      </c>
      <c r="T94" s="44">
        <f>VLOOKUP(A94,'SSP_March''19'!$A$3:$T$1193,20,0)</f>
        <v>0.3</v>
      </c>
      <c r="U94" s="34">
        <f>VLOOKUP(A94,'SSP_March''19'!$A$3:$X$1193,21,0)</f>
        <v>0</v>
      </c>
      <c r="V94" s="34">
        <f>VLOOKUP(A94,'SSP_March''19'!$A$3:$X$1193,22,0)</f>
        <v>0</v>
      </c>
      <c r="W94" s="34">
        <f>VLOOKUP(A94,'SSP_March''19'!$A$3:$X$1193,23,0)</f>
        <v>0</v>
      </c>
      <c r="X94" s="34">
        <f>VLOOKUP(A94,'SSP_March''19'!$A$3:$X$1193,24,0)</f>
        <v>0</v>
      </c>
    </row>
    <row r="95" spans="1:24">
      <c r="A95" s="54" t="s">
        <v>2508</v>
      </c>
      <c r="B95" s="54" t="s">
        <v>2509</v>
      </c>
      <c r="C95" s="54" t="s">
        <v>108</v>
      </c>
      <c r="D95" s="54" t="s">
        <v>58</v>
      </c>
      <c r="E95" s="54" t="s">
        <v>0</v>
      </c>
      <c r="F95" s="54" t="s">
        <v>2510</v>
      </c>
      <c r="G95" s="54">
        <v>1715840306</v>
      </c>
      <c r="H95" s="54" t="s">
        <v>229</v>
      </c>
      <c r="I95" s="54" t="s">
        <v>3514</v>
      </c>
      <c r="J95" s="34" t="s">
        <v>3515</v>
      </c>
      <c r="K95" s="43">
        <f>VLOOKUP(A95,'SSP_March''19'!$A$3:$L$1193,11,0)</f>
        <v>189289</v>
      </c>
      <c r="L95" s="43">
        <f>VLOOKUP(A95,'SSP_March''19'!$A$3:$L$1193,12,0)</f>
        <v>51700</v>
      </c>
      <c r="M95" s="44">
        <f t="shared" si="6"/>
        <v>0.27312733439344072</v>
      </c>
      <c r="N95" s="49">
        <f>ROUND(VLOOKUP(A95,'SSP_March''19'!$A$3:$N$1193,14,0),0)</f>
        <v>160270</v>
      </c>
      <c r="O95" s="44">
        <f t="shared" si="7"/>
        <v>0.84669473661966621</v>
      </c>
      <c r="P95" s="45">
        <f>VLOOKUP(A95,'SSP_March''19'!$A$3:$Q$1193,16,0)</f>
        <v>10</v>
      </c>
      <c r="Q95" s="34">
        <f>VLOOKUP(A95,'SSP_March''19'!$A$3:$Q$1193,17,0)</f>
        <v>2</v>
      </c>
      <c r="R95" s="35">
        <f t="shared" si="8"/>
        <v>0.2</v>
      </c>
      <c r="S95" s="49">
        <f>ROUND(VLOOKUP(A95,'SSP_March''19'!$A$3:$T$1193,19,0),0)</f>
        <v>6</v>
      </c>
      <c r="T95" s="44">
        <f>VLOOKUP(A95,'SSP_March''19'!$A$3:$T$1193,20,0)</f>
        <v>0.6</v>
      </c>
      <c r="U95" s="34">
        <f>VLOOKUP(A95,'SSP_March''19'!$A$3:$X$1193,21,0)</f>
        <v>0</v>
      </c>
      <c r="V95" s="34">
        <f>VLOOKUP(A95,'SSP_March''19'!$A$3:$X$1193,22,0)</f>
        <v>1</v>
      </c>
      <c r="W95" s="34">
        <f>VLOOKUP(A95,'SSP_March''19'!$A$3:$X$1193,23,0)</f>
        <v>0</v>
      </c>
      <c r="X95" s="34">
        <f>VLOOKUP(A95,'SSP_March''19'!$A$3:$X$1193,24,0)</f>
        <v>0</v>
      </c>
    </row>
    <row r="96" spans="1:24">
      <c r="A96" s="54" t="s">
        <v>2479</v>
      </c>
      <c r="B96" s="54" t="s">
        <v>2480</v>
      </c>
      <c r="C96" s="54" t="s">
        <v>108</v>
      </c>
      <c r="D96" s="54" t="s">
        <v>58</v>
      </c>
      <c r="E96" s="54" t="s">
        <v>0</v>
      </c>
      <c r="F96" s="54" t="s">
        <v>2481</v>
      </c>
      <c r="G96" s="54">
        <v>1921666077</v>
      </c>
      <c r="H96" s="54" t="s">
        <v>229</v>
      </c>
      <c r="I96" s="54" t="s">
        <v>3514</v>
      </c>
      <c r="J96" s="34" t="s">
        <v>3419</v>
      </c>
      <c r="K96" s="43">
        <f>VLOOKUP(A96,'SSP_March''19'!$A$3:$L$1193,11,0)</f>
        <v>227086</v>
      </c>
      <c r="L96" s="43">
        <f>VLOOKUP(A96,'SSP_March''19'!$A$3:$L$1193,12,0)</f>
        <v>85404</v>
      </c>
      <c r="M96" s="44">
        <f t="shared" si="6"/>
        <v>0.37608659274459894</v>
      </c>
      <c r="N96" s="49">
        <f>ROUND(VLOOKUP(A96,'SSP_March''19'!$A$3:$N$1193,14,0),0)</f>
        <v>264752</v>
      </c>
      <c r="O96" s="44">
        <f t="shared" si="7"/>
        <v>1.1658666760610517</v>
      </c>
      <c r="P96" s="45">
        <f>VLOOKUP(A96,'SSP_March''19'!$A$3:$Q$1193,16,0)</f>
        <v>15</v>
      </c>
      <c r="Q96" s="34">
        <f>VLOOKUP(A96,'SSP_March''19'!$A$3:$Q$1193,17,0)</f>
        <v>8</v>
      </c>
      <c r="R96" s="35">
        <f t="shared" si="8"/>
        <v>0.53333333333333333</v>
      </c>
      <c r="S96" s="49">
        <f>ROUND(VLOOKUP(A96,'SSP_March''19'!$A$3:$T$1193,19,0),0)</f>
        <v>25</v>
      </c>
      <c r="T96" s="44">
        <f>VLOOKUP(A96,'SSP_March''19'!$A$3:$T$1193,20,0)</f>
        <v>1.6666666666666667</v>
      </c>
      <c r="U96" s="34">
        <f>VLOOKUP(A96,'SSP_March''19'!$A$3:$X$1193,21,0)</f>
        <v>0</v>
      </c>
      <c r="V96" s="34">
        <f>VLOOKUP(A96,'SSP_March''19'!$A$3:$X$1193,22,0)</f>
        <v>2</v>
      </c>
      <c r="W96" s="34">
        <f>VLOOKUP(A96,'SSP_March''19'!$A$3:$X$1193,23,0)</f>
        <v>1</v>
      </c>
      <c r="X96" s="34">
        <f>VLOOKUP(A96,'SSP_March''19'!$A$3:$X$1193,24,0)</f>
        <v>0</v>
      </c>
    </row>
    <row r="97" spans="1:24">
      <c r="A97" s="54" t="s">
        <v>2545</v>
      </c>
      <c r="B97" s="54" t="s">
        <v>2064</v>
      </c>
      <c r="C97" s="54" t="s">
        <v>108</v>
      </c>
      <c r="D97" s="54" t="s">
        <v>58</v>
      </c>
      <c r="E97" s="54" t="s">
        <v>0</v>
      </c>
      <c r="F97" s="54" t="s">
        <v>2546</v>
      </c>
      <c r="G97" s="54">
        <v>1735993663</v>
      </c>
      <c r="H97" s="54" t="s">
        <v>229</v>
      </c>
      <c r="I97" s="54" t="s">
        <v>3514</v>
      </c>
      <c r="J97" s="34" t="s">
        <v>3515</v>
      </c>
      <c r="K97" s="43">
        <f>VLOOKUP(A97,'SSP_March''19'!$A$3:$L$1193,11,0)</f>
        <v>158027</v>
      </c>
      <c r="L97" s="43">
        <f>VLOOKUP(A97,'SSP_March''19'!$A$3:$L$1193,12,0)</f>
        <v>25750</v>
      </c>
      <c r="M97" s="44">
        <f t="shared" si="6"/>
        <v>0.1629468381985357</v>
      </c>
      <c r="N97" s="49">
        <f>ROUND(VLOOKUP(A97,'SSP_March''19'!$A$3:$N$1193,14,0),0)</f>
        <v>79825</v>
      </c>
      <c r="O97" s="44">
        <f t="shared" si="7"/>
        <v>0.50513519841546062</v>
      </c>
      <c r="P97" s="45">
        <f>VLOOKUP(A97,'SSP_March''19'!$A$3:$Q$1193,16,0)</f>
        <v>10</v>
      </c>
      <c r="Q97" s="34">
        <f>VLOOKUP(A97,'SSP_March''19'!$A$3:$Q$1193,17,0)</f>
        <v>0</v>
      </c>
      <c r="R97" s="35">
        <f t="shared" si="8"/>
        <v>0</v>
      </c>
      <c r="S97" s="49">
        <f>ROUND(VLOOKUP(A97,'SSP_March''19'!$A$3:$T$1193,19,0),0)</f>
        <v>0</v>
      </c>
      <c r="T97" s="44">
        <f>VLOOKUP(A97,'SSP_March''19'!$A$3:$T$1193,20,0)</f>
        <v>0</v>
      </c>
      <c r="U97" s="34">
        <f>VLOOKUP(A97,'SSP_March''19'!$A$3:$X$1193,21,0)</f>
        <v>1</v>
      </c>
      <c r="V97" s="34">
        <f>VLOOKUP(A97,'SSP_March''19'!$A$3:$X$1193,22,0)</f>
        <v>0</v>
      </c>
      <c r="W97" s="34">
        <f>VLOOKUP(A97,'SSP_March''19'!$A$3:$X$1193,23,0)</f>
        <v>0</v>
      </c>
      <c r="X97" s="34">
        <f>VLOOKUP(A97,'SSP_March''19'!$A$3:$X$1193,24,0)</f>
        <v>0</v>
      </c>
    </row>
    <row r="98" spans="1:24">
      <c r="A98" s="54" t="s">
        <v>2930</v>
      </c>
      <c r="B98" s="54" t="s">
        <v>2931</v>
      </c>
      <c r="C98" s="54" t="s">
        <v>108</v>
      </c>
      <c r="D98" s="54" t="s">
        <v>58</v>
      </c>
      <c r="E98" s="54" t="s">
        <v>0</v>
      </c>
      <c r="F98" s="54" t="s">
        <v>2932</v>
      </c>
      <c r="G98" s="54">
        <v>1906734269</v>
      </c>
      <c r="H98" s="54" t="s">
        <v>229</v>
      </c>
      <c r="I98" s="54" t="s">
        <v>3514</v>
      </c>
      <c r="J98" s="34" t="s">
        <v>3419</v>
      </c>
      <c r="K98" s="43">
        <f>VLOOKUP(A98,'SSP_March''19'!$A$3:$L$1193,11,0)</f>
        <v>195049</v>
      </c>
      <c r="L98" s="43">
        <f>VLOOKUP(A98,'SSP_March''19'!$A$3:$L$1193,12,0)</f>
        <v>34000</v>
      </c>
      <c r="M98" s="44">
        <f t="shared" si="6"/>
        <v>0.17431517208496328</v>
      </c>
      <c r="N98" s="49">
        <f>ROUND(VLOOKUP(A98,'SSP_March''19'!$A$3:$N$1193,14,0),0)</f>
        <v>105400</v>
      </c>
      <c r="O98" s="44">
        <f t="shared" si="7"/>
        <v>0.54037703346338617</v>
      </c>
      <c r="P98" s="45">
        <f>VLOOKUP(A98,'SSP_March''19'!$A$3:$Q$1193,16,0)</f>
        <v>13</v>
      </c>
      <c r="Q98" s="34">
        <f>VLOOKUP(A98,'SSP_March''19'!$A$3:$Q$1193,17,0)</f>
        <v>3</v>
      </c>
      <c r="R98" s="35">
        <f t="shared" si="8"/>
        <v>0.23076923076923078</v>
      </c>
      <c r="S98" s="49">
        <f>ROUND(VLOOKUP(A98,'SSP_March''19'!$A$3:$T$1193,19,0),0)</f>
        <v>9</v>
      </c>
      <c r="T98" s="44">
        <f>VLOOKUP(A98,'SSP_March''19'!$A$3:$T$1193,20,0)</f>
        <v>0.69230769230769229</v>
      </c>
      <c r="U98" s="34">
        <f>VLOOKUP(A98,'SSP_March''19'!$A$3:$X$1193,21,0)</f>
        <v>0</v>
      </c>
      <c r="V98" s="34">
        <f>VLOOKUP(A98,'SSP_March''19'!$A$3:$X$1193,22,0)</f>
        <v>0</v>
      </c>
      <c r="W98" s="34">
        <f>VLOOKUP(A98,'SSP_March''19'!$A$3:$X$1193,23,0)</f>
        <v>0</v>
      </c>
      <c r="X98" s="34">
        <f>VLOOKUP(A98,'SSP_March''19'!$A$3:$X$1193,24,0)</f>
        <v>0</v>
      </c>
    </row>
    <row r="99" spans="1:24">
      <c r="A99" s="54" t="s">
        <v>2456</v>
      </c>
      <c r="B99" s="54" t="s">
        <v>2457</v>
      </c>
      <c r="C99" s="54" t="s">
        <v>108</v>
      </c>
      <c r="D99" s="54" t="s">
        <v>58</v>
      </c>
      <c r="E99" s="54" t="s">
        <v>0</v>
      </c>
      <c r="F99" s="54" t="s">
        <v>2458</v>
      </c>
      <c r="G99" s="54">
        <v>1725864490</v>
      </c>
      <c r="H99" s="54" t="s">
        <v>229</v>
      </c>
      <c r="I99" s="54" t="s">
        <v>3514</v>
      </c>
      <c r="J99" s="34" t="s">
        <v>3419</v>
      </c>
      <c r="K99" s="43">
        <f>VLOOKUP(A99,'SSP_March''19'!$A$3:$L$1193,11,0)</f>
        <v>277935</v>
      </c>
      <c r="L99" s="43">
        <f>VLOOKUP(A99,'SSP_March''19'!$A$3:$L$1193,12,0)</f>
        <v>119153</v>
      </c>
      <c r="M99" s="44">
        <f t="shared" si="6"/>
        <v>0.42870815118642847</v>
      </c>
      <c r="N99" s="49">
        <f>ROUND(VLOOKUP(A99,'SSP_March''19'!$A$3:$N$1193,14,0),0)</f>
        <v>369374</v>
      </c>
      <c r="O99" s="44">
        <f t="shared" si="7"/>
        <v>1.3289941892888626</v>
      </c>
      <c r="P99" s="45">
        <f>VLOOKUP(A99,'SSP_March''19'!$A$3:$Q$1193,16,0)</f>
        <v>15</v>
      </c>
      <c r="Q99" s="34">
        <f>VLOOKUP(A99,'SSP_March''19'!$A$3:$Q$1193,17,0)</f>
        <v>7</v>
      </c>
      <c r="R99" s="35">
        <f t="shared" si="8"/>
        <v>0.46666666666666667</v>
      </c>
      <c r="S99" s="49">
        <f>ROUND(VLOOKUP(A99,'SSP_March''19'!$A$3:$T$1193,19,0),0)</f>
        <v>22</v>
      </c>
      <c r="T99" s="44">
        <f>VLOOKUP(A99,'SSP_March''19'!$A$3:$T$1193,20,0)</f>
        <v>1.4666666666666666</v>
      </c>
      <c r="U99" s="34">
        <f>VLOOKUP(A99,'SSP_March''19'!$A$3:$X$1193,21,0)</f>
        <v>3</v>
      </c>
      <c r="V99" s="34">
        <f>VLOOKUP(A99,'SSP_March''19'!$A$3:$X$1193,22,0)</f>
        <v>1</v>
      </c>
      <c r="W99" s="34">
        <f>VLOOKUP(A99,'SSP_March''19'!$A$3:$X$1193,23,0)</f>
        <v>0</v>
      </c>
      <c r="X99" s="34">
        <f>VLOOKUP(A99,'SSP_March''19'!$A$3:$X$1193,24,0)</f>
        <v>0</v>
      </c>
    </row>
    <row r="100" spans="1:24">
      <c r="A100" s="54" t="s">
        <v>2643</v>
      </c>
      <c r="B100" s="54" t="s">
        <v>2644</v>
      </c>
      <c r="C100" s="54" t="s">
        <v>108</v>
      </c>
      <c r="D100" s="54" t="s">
        <v>58</v>
      </c>
      <c r="E100" s="54" t="s">
        <v>0</v>
      </c>
      <c r="F100" s="54" t="s">
        <v>2645</v>
      </c>
      <c r="G100" s="54">
        <v>1727533877</v>
      </c>
      <c r="H100" s="54" t="s">
        <v>229</v>
      </c>
      <c r="I100" s="54" t="s">
        <v>3514</v>
      </c>
      <c r="J100" s="34" t="s">
        <v>3419</v>
      </c>
      <c r="K100" s="43">
        <f>VLOOKUP(A100,'SSP_March''19'!$A$3:$L$1193,11,0)</f>
        <v>130000</v>
      </c>
      <c r="L100" s="43">
        <f>VLOOKUP(A100,'SSP_March''19'!$A$3:$L$1193,12,0)</f>
        <v>42270</v>
      </c>
      <c r="M100" s="44">
        <f t="shared" si="6"/>
        <v>0.32515384615384613</v>
      </c>
      <c r="N100" s="49">
        <f>ROUND(VLOOKUP(A100,'SSP_March''19'!$A$3:$N$1193,14,0),0)</f>
        <v>131037</v>
      </c>
      <c r="O100" s="44">
        <f t="shared" si="7"/>
        <v>1.0079769230769231</v>
      </c>
      <c r="P100" s="45">
        <f>VLOOKUP(A100,'SSP_March''19'!$A$3:$Q$1193,16,0)</f>
        <v>10</v>
      </c>
      <c r="Q100" s="34">
        <f>VLOOKUP(A100,'SSP_March''19'!$A$3:$Q$1193,17,0)</f>
        <v>1</v>
      </c>
      <c r="R100" s="35">
        <f t="shared" si="8"/>
        <v>0.1</v>
      </c>
      <c r="S100" s="49">
        <f>ROUND(VLOOKUP(A100,'SSP_March''19'!$A$3:$T$1193,19,0),0)</f>
        <v>3</v>
      </c>
      <c r="T100" s="44">
        <f>VLOOKUP(A100,'SSP_March''19'!$A$3:$T$1193,20,0)</f>
        <v>0.3</v>
      </c>
      <c r="U100" s="34">
        <f>VLOOKUP(A100,'SSP_March''19'!$A$3:$X$1193,21,0)</f>
        <v>1</v>
      </c>
      <c r="V100" s="34">
        <f>VLOOKUP(A100,'SSP_March''19'!$A$3:$X$1193,22,0)</f>
        <v>0</v>
      </c>
      <c r="W100" s="34">
        <f>VLOOKUP(A100,'SSP_March''19'!$A$3:$X$1193,23,0)</f>
        <v>0</v>
      </c>
      <c r="X100" s="34">
        <f>VLOOKUP(A100,'SSP_March''19'!$A$3:$X$1193,24,0)</f>
        <v>0</v>
      </c>
    </row>
    <row r="101" spans="1:24">
      <c r="A101" s="54" t="s">
        <v>2673</v>
      </c>
      <c r="B101" s="54" t="s">
        <v>2674</v>
      </c>
      <c r="C101" s="54" t="s">
        <v>108</v>
      </c>
      <c r="D101" s="54" t="s">
        <v>58</v>
      </c>
      <c r="E101" s="54" t="s">
        <v>0</v>
      </c>
      <c r="F101" s="54" t="s">
        <v>2675</v>
      </c>
      <c r="G101" s="54">
        <v>1912325852</v>
      </c>
      <c r="H101" s="54" t="s">
        <v>229</v>
      </c>
      <c r="I101" s="54" t="s">
        <v>3514</v>
      </c>
      <c r="J101" s="34" t="s">
        <v>3419</v>
      </c>
      <c r="K101" s="43">
        <f>VLOOKUP(A101,'SSP_March''19'!$A$3:$L$1193,11,0)</f>
        <v>152853</v>
      </c>
      <c r="L101" s="43">
        <f>VLOOKUP(A101,'SSP_March''19'!$A$3:$L$1193,12,0)</f>
        <v>52819</v>
      </c>
      <c r="M101" s="44">
        <f t="shared" si="6"/>
        <v>0.34555422530143343</v>
      </c>
      <c r="N101" s="49">
        <f>ROUND(VLOOKUP(A101,'SSP_March''19'!$A$3:$N$1193,14,0),0)</f>
        <v>163739</v>
      </c>
      <c r="O101" s="44">
        <f t="shared" si="7"/>
        <v>1.0712187526577823</v>
      </c>
      <c r="P101" s="45">
        <f>VLOOKUP(A101,'SSP_March''19'!$A$3:$Q$1193,16,0)</f>
        <v>10</v>
      </c>
      <c r="Q101" s="34">
        <f>VLOOKUP(A101,'SSP_March''19'!$A$3:$Q$1193,17,0)</f>
        <v>3</v>
      </c>
      <c r="R101" s="35">
        <f t="shared" si="8"/>
        <v>0.3</v>
      </c>
      <c r="S101" s="49">
        <f>ROUND(VLOOKUP(A101,'SSP_March''19'!$A$3:$T$1193,19,0),0)</f>
        <v>9</v>
      </c>
      <c r="T101" s="44">
        <f>VLOOKUP(A101,'SSP_March''19'!$A$3:$T$1193,20,0)</f>
        <v>0.9</v>
      </c>
      <c r="U101" s="34">
        <f>VLOOKUP(A101,'SSP_March''19'!$A$3:$X$1193,21,0)</f>
        <v>0</v>
      </c>
      <c r="V101" s="34">
        <f>VLOOKUP(A101,'SSP_March''19'!$A$3:$X$1193,22,0)</f>
        <v>1</v>
      </c>
      <c r="W101" s="34">
        <f>VLOOKUP(A101,'SSP_March''19'!$A$3:$X$1193,23,0)</f>
        <v>0</v>
      </c>
      <c r="X101" s="34">
        <f>VLOOKUP(A101,'SSP_March''19'!$A$3:$X$1193,24,0)</f>
        <v>0</v>
      </c>
    </row>
    <row r="102" spans="1:24">
      <c r="A102" s="75" t="s">
        <v>3625</v>
      </c>
      <c r="B102" s="75" t="s">
        <v>3626</v>
      </c>
      <c r="C102" s="75" t="s">
        <v>108</v>
      </c>
      <c r="D102" s="75" t="s">
        <v>58</v>
      </c>
      <c r="E102" s="75" t="s">
        <v>0</v>
      </c>
      <c r="F102" s="75" t="s">
        <v>3627</v>
      </c>
      <c r="G102" s="67">
        <v>1712395130</v>
      </c>
      <c r="H102" s="54" t="s">
        <v>229</v>
      </c>
      <c r="I102" s="54" t="s">
        <v>3514</v>
      </c>
      <c r="J102" s="34" t="s">
        <v>3421</v>
      </c>
      <c r="K102" s="43">
        <f>VLOOKUP(A102,'SSP_March''19'!$A$3:$L$1193,11,0)</f>
        <v>130000</v>
      </c>
      <c r="L102" s="43">
        <f>VLOOKUP(A102,'SSP_March''19'!$A$3:$L$1193,12,0)</f>
        <v>65125</v>
      </c>
      <c r="M102" s="44">
        <f t="shared" si="6"/>
        <v>0.50096153846153846</v>
      </c>
      <c r="N102" s="49">
        <f>ROUND(VLOOKUP(A102,'SSP_March''19'!$A$3:$N$1193,14,0),0)</f>
        <v>201888</v>
      </c>
      <c r="O102" s="44">
        <f t="shared" si="7"/>
        <v>1.5529846153846154</v>
      </c>
      <c r="P102" s="45">
        <f>VLOOKUP(A102,'SSP_March''19'!$A$3:$Q$1193,16,0)</f>
        <v>10</v>
      </c>
      <c r="Q102" s="34">
        <f>VLOOKUP(A102,'SSP_March''19'!$A$3:$Q$1193,17,0)</f>
        <v>5</v>
      </c>
      <c r="R102" s="35">
        <f t="shared" si="8"/>
        <v>0.5</v>
      </c>
      <c r="S102" s="49">
        <f>ROUND(VLOOKUP(A102,'SSP_March''19'!$A$3:$T$1193,19,0),0)</f>
        <v>16</v>
      </c>
      <c r="T102" s="44">
        <f>VLOOKUP(A102,'SSP_March''19'!$A$3:$T$1193,20,0)</f>
        <v>1.6</v>
      </c>
      <c r="U102" s="34">
        <f>VLOOKUP(A102,'SSP_March''19'!$A$3:$X$1193,21,0)</f>
        <v>0</v>
      </c>
      <c r="V102" s="34">
        <f>VLOOKUP(A102,'SSP_March''19'!$A$3:$X$1193,22,0)</f>
        <v>2</v>
      </c>
      <c r="W102" s="34">
        <f>VLOOKUP(A102,'SSP_March''19'!$A$3:$X$1193,23,0)</f>
        <v>0</v>
      </c>
      <c r="X102" s="34">
        <f>VLOOKUP(A102,'SSP_March''19'!$A$3:$X$1193,24,0)</f>
        <v>0</v>
      </c>
    </row>
    <row r="103" spans="1:24">
      <c r="A103" s="54" t="s">
        <v>3083</v>
      </c>
      <c r="B103" s="54" t="s">
        <v>3084</v>
      </c>
      <c r="C103" s="54" t="s">
        <v>108</v>
      </c>
      <c r="D103" s="54" t="s">
        <v>58</v>
      </c>
      <c r="E103" s="54" t="s">
        <v>0</v>
      </c>
      <c r="F103" s="54" t="s">
        <v>3085</v>
      </c>
      <c r="G103" s="54">
        <v>1715625181</v>
      </c>
      <c r="H103" s="54" t="s">
        <v>229</v>
      </c>
      <c r="I103" s="54" t="s">
        <v>3514</v>
      </c>
      <c r="J103" s="34" t="s">
        <v>3419</v>
      </c>
      <c r="K103" s="43">
        <f>VLOOKUP(A103,'SSP_March''19'!$A$3:$L$1193,11,0)</f>
        <v>130000</v>
      </c>
      <c r="L103" s="43">
        <f>VLOOKUP(A103,'SSP_March''19'!$A$3:$L$1193,12,0)</f>
        <v>17420</v>
      </c>
      <c r="M103" s="44">
        <f t="shared" si="6"/>
        <v>0.13400000000000001</v>
      </c>
      <c r="N103" s="49">
        <f>ROUND(VLOOKUP(A103,'SSP_March''19'!$A$3:$N$1193,14,0),0)</f>
        <v>54002</v>
      </c>
      <c r="O103" s="44">
        <f t="shared" si="7"/>
        <v>0.41539999999999999</v>
      </c>
      <c r="P103" s="45">
        <f>VLOOKUP(A103,'SSP_March''19'!$A$3:$Q$1193,16,0)</f>
        <v>10</v>
      </c>
      <c r="Q103" s="34">
        <f>VLOOKUP(A103,'SSP_March''19'!$A$3:$Q$1193,17,0)</f>
        <v>1</v>
      </c>
      <c r="R103" s="35">
        <f t="shared" si="8"/>
        <v>0.1</v>
      </c>
      <c r="S103" s="49">
        <f>ROUND(VLOOKUP(A103,'SSP_March''19'!$A$3:$T$1193,19,0),0)</f>
        <v>3</v>
      </c>
      <c r="T103" s="44">
        <f>VLOOKUP(A103,'SSP_March''19'!$A$3:$T$1193,20,0)</f>
        <v>0.3</v>
      </c>
      <c r="U103" s="34">
        <f>VLOOKUP(A103,'SSP_March''19'!$A$3:$X$1193,21,0)</f>
        <v>0</v>
      </c>
      <c r="V103" s="34">
        <f>VLOOKUP(A103,'SSP_March''19'!$A$3:$X$1193,22,0)</f>
        <v>0</v>
      </c>
      <c r="W103" s="34">
        <f>VLOOKUP(A103,'SSP_March''19'!$A$3:$X$1193,23,0)</f>
        <v>0</v>
      </c>
      <c r="X103" s="34">
        <f>VLOOKUP(A103,'SSP_March''19'!$A$3:$X$1193,24,0)</f>
        <v>0</v>
      </c>
    </row>
    <row r="104" spans="1:24">
      <c r="A104" s="54" t="s">
        <v>2517</v>
      </c>
      <c r="B104" s="54" t="s">
        <v>2518</v>
      </c>
      <c r="C104" s="54" t="s">
        <v>108</v>
      </c>
      <c r="D104" s="54" t="s">
        <v>58</v>
      </c>
      <c r="E104" s="54" t="s">
        <v>0</v>
      </c>
      <c r="F104" s="54" t="s">
        <v>2519</v>
      </c>
      <c r="G104" s="54">
        <v>1927187263</v>
      </c>
      <c r="H104" s="54" t="s">
        <v>229</v>
      </c>
      <c r="I104" s="54" t="s">
        <v>3514</v>
      </c>
      <c r="J104" s="34" t="s">
        <v>3419</v>
      </c>
      <c r="K104" s="43">
        <f>VLOOKUP(A104,'SSP_March''19'!$A$3:$L$1193,11,0)</f>
        <v>186118</v>
      </c>
      <c r="L104" s="43">
        <f>VLOOKUP(A104,'SSP_March''19'!$A$3:$L$1193,12,0)</f>
        <v>53595</v>
      </c>
      <c r="M104" s="44">
        <f t="shared" si="6"/>
        <v>0.28796247541882031</v>
      </c>
      <c r="N104" s="49">
        <f>ROUND(VLOOKUP(A104,'SSP_March''19'!$A$3:$N$1193,14,0),0)</f>
        <v>166145</v>
      </c>
      <c r="O104" s="44">
        <f t="shared" si="7"/>
        <v>0.89268636026606774</v>
      </c>
      <c r="P104" s="45">
        <f>VLOOKUP(A104,'SSP_March''19'!$A$3:$Q$1193,16,0)</f>
        <v>10</v>
      </c>
      <c r="Q104" s="34">
        <f>VLOOKUP(A104,'SSP_March''19'!$A$3:$Q$1193,17,0)</f>
        <v>2</v>
      </c>
      <c r="R104" s="35">
        <f t="shared" si="8"/>
        <v>0.2</v>
      </c>
      <c r="S104" s="49">
        <f>ROUND(VLOOKUP(A104,'SSP_March''19'!$A$3:$T$1193,19,0),0)</f>
        <v>6</v>
      </c>
      <c r="T104" s="44">
        <f>VLOOKUP(A104,'SSP_March''19'!$A$3:$T$1193,20,0)</f>
        <v>0.6</v>
      </c>
      <c r="U104" s="34">
        <f>VLOOKUP(A104,'SSP_March''19'!$A$3:$X$1193,21,0)</f>
        <v>1</v>
      </c>
      <c r="V104" s="34">
        <f>VLOOKUP(A104,'SSP_March''19'!$A$3:$X$1193,22,0)</f>
        <v>0</v>
      </c>
      <c r="W104" s="34">
        <f>VLOOKUP(A104,'SSP_March''19'!$A$3:$X$1193,23,0)</f>
        <v>0</v>
      </c>
      <c r="X104" s="34">
        <f>VLOOKUP(A104,'SSP_March''19'!$A$3:$X$1193,24,0)</f>
        <v>0</v>
      </c>
    </row>
    <row r="105" spans="1:24">
      <c r="A105" s="54" t="s">
        <v>2998</v>
      </c>
      <c r="B105" s="54" t="s">
        <v>2999</v>
      </c>
      <c r="C105" s="54" t="s">
        <v>108</v>
      </c>
      <c r="D105" s="54" t="s">
        <v>58</v>
      </c>
      <c r="E105" s="54" t="s">
        <v>0</v>
      </c>
      <c r="F105" s="54" t="s">
        <v>3000</v>
      </c>
      <c r="G105" s="54">
        <v>1812407763</v>
      </c>
      <c r="H105" s="54" t="s">
        <v>229</v>
      </c>
      <c r="I105" s="54" t="s">
        <v>3514</v>
      </c>
      <c r="J105" s="34" t="s">
        <v>3421</v>
      </c>
      <c r="K105" s="43">
        <f>VLOOKUP(A105,'SSP_March''19'!$A$3:$L$1193,11,0)</f>
        <v>130000</v>
      </c>
      <c r="L105" s="43">
        <f>VLOOKUP(A105,'SSP_March''19'!$A$3:$L$1193,12,0)</f>
        <v>15770</v>
      </c>
      <c r="M105" s="44">
        <f t="shared" si="6"/>
        <v>0.12130769230769231</v>
      </c>
      <c r="N105" s="49">
        <f>ROUND(VLOOKUP(A105,'SSP_March''19'!$A$3:$N$1193,14,0),0)</f>
        <v>48887</v>
      </c>
      <c r="O105" s="44">
        <f t="shared" si="7"/>
        <v>0.37605384615384613</v>
      </c>
      <c r="P105" s="45">
        <f>VLOOKUP(A105,'SSP_March''19'!$A$3:$Q$1193,16,0)</f>
        <v>10</v>
      </c>
      <c r="Q105" s="34">
        <f>VLOOKUP(A105,'SSP_March''19'!$A$3:$Q$1193,17,0)</f>
        <v>0</v>
      </c>
      <c r="R105" s="35">
        <f t="shared" si="8"/>
        <v>0</v>
      </c>
      <c r="S105" s="49">
        <f>ROUND(VLOOKUP(A105,'SSP_March''19'!$A$3:$T$1193,19,0),0)</f>
        <v>0</v>
      </c>
      <c r="T105" s="44">
        <f>VLOOKUP(A105,'SSP_March''19'!$A$3:$T$1193,20,0)</f>
        <v>0</v>
      </c>
      <c r="U105" s="34">
        <f>VLOOKUP(A105,'SSP_March''19'!$A$3:$X$1193,21,0)</f>
        <v>1</v>
      </c>
      <c r="V105" s="34">
        <f>VLOOKUP(A105,'SSP_March''19'!$A$3:$X$1193,22,0)</f>
        <v>0</v>
      </c>
      <c r="W105" s="34">
        <f>VLOOKUP(A105,'SSP_March''19'!$A$3:$X$1193,23,0)</f>
        <v>0</v>
      </c>
      <c r="X105" s="34">
        <f>VLOOKUP(A105,'SSP_March''19'!$A$3:$X$1193,24,0)</f>
        <v>0</v>
      </c>
    </row>
    <row r="106" spans="1:24">
      <c r="A106" s="54" t="s">
        <v>2617</v>
      </c>
      <c r="B106" s="54" t="s">
        <v>2618</v>
      </c>
      <c r="C106" s="54" t="s">
        <v>108</v>
      </c>
      <c r="D106" s="54" t="s">
        <v>58</v>
      </c>
      <c r="E106" s="54" t="s">
        <v>0</v>
      </c>
      <c r="F106" s="54" t="s">
        <v>2619</v>
      </c>
      <c r="G106" s="54">
        <v>1704476779</v>
      </c>
      <c r="H106" s="54" t="s">
        <v>229</v>
      </c>
      <c r="I106" s="54" t="s">
        <v>3518</v>
      </c>
      <c r="J106" s="34" t="s">
        <v>3419</v>
      </c>
      <c r="K106" s="43">
        <f>VLOOKUP(A106,'SSP_March''19'!$A$3:$L$1193,11,0)</f>
        <v>412090</v>
      </c>
      <c r="L106" s="43">
        <f>VLOOKUP(A106,'SSP_March''19'!$A$3:$L$1193,12,0)</f>
        <v>108660</v>
      </c>
      <c r="M106" s="44">
        <f t="shared" si="6"/>
        <v>0.26368026401999561</v>
      </c>
      <c r="N106" s="49">
        <f>ROUND(VLOOKUP(A106,'SSP_March''19'!$A$3:$N$1193,14,0),0)</f>
        <v>336846</v>
      </c>
      <c r="O106" s="44">
        <f t="shared" si="7"/>
        <v>0.81740881846198643</v>
      </c>
      <c r="P106" s="45">
        <f>VLOOKUP(A106,'SSP_March''19'!$A$3:$Q$1193,16,0)</f>
        <v>28</v>
      </c>
      <c r="Q106" s="34">
        <f>VLOOKUP(A106,'SSP_March''19'!$A$3:$Q$1193,17,0)</f>
        <v>11</v>
      </c>
      <c r="R106" s="35">
        <f t="shared" si="8"/>
        <v>0.39285714285714285</v>
      </c>
      <c r="S106" s="49">
        <f>ROUND(VLOOKUP(A106,'SSP_March''19'!$A$3:$T$1193,19,0),0)</f>
        <v>34</v>
      </c>
      <c r="T106" s="44">
        <f>VLOOKUP(A106,'SSP_March''19'!$A$3:$T$1193,20,0)</f>
        <v>1.2142857142857142</v>
      </c>
      <c r="U106" s="34">
        <f>VLOOKUP(A106,'SSP_March''19'!$A$3:$X$1193,21,0)</f>
        <v>1</v>
      </c>
      <c r="V106" s="34">
        <f>VLOOKUP(A106,'SSP_March''19'!$A$3:$X$1193,22,0)</f>
        <v>5</v>
      </c>
      <c r="W106" s="34">
        <f>VLOOKUP(A106,'SSP_March''19'!$A$3:$X$1193,23,0)</f>
        <v>0</v>
      </c>
      <c r="X106" s="34">
        <f>VLOOKUP(A106,'SSP_March''19'!$A$3:$X$1193,24,0)</f>
        <v>0</v>
      </c>
    </row>
    <row r="107" spans="1:24">
      <c r="A107" s="54" t="s">
        <v>2712</v>
      </c>
      <c r="B107" s="54" t="s">
        <v>2713</v>
      </c>
      <c r="C107" s="54" t="s">
        <v>108</v>
      </c>
      <c r="D107" s="54" t="s">
        <v>58</v>
      </c>
      <c r="E107" s="54" t="s">
        <v>0</v>
      </c>
      <c r="F107" s="54" t="s">
        <v>2714</v>
      </c>
      <c r="G107" s="54">
        <v>1627296541</v>
      </c>
      <c r="H107" s="54" t="s">
        <v>229</v>
      </c>
      <c r="I107" s="54" t="s">
        <v>3514</v>
      </c>
      <c r="J107" s="34" t="s">
        <v>3421</v>
      </c>
      <c r="K107" s="43">
        <f>VLOOKUP(A107,'SSP_March''19'!$A$3:$L$1193,11,0)</f>
        <v>130000</v>
      </c>
      <c r="L107" s="43">
        <f>VLOOKUP(A107,'SSP_March''19'!$A$3:$L$1193,12,0)</f>
        <v>14979</v>
      </c>
      <c r="M107" s="44">
        <f t="shared" si="6"/>
        <v>0.11522307692307693</v>
      </c>
      <c r="N107" s="49">
        <f>ROUND(VLOOKUP(A107,'SSP_March''19'!$A$3:$N$1193,14,0),0)</f>
        <v>46435</v>
      </c>
      <c r="O107" s="44">
        <f t="shared" si="7"/>
        <v>0.3571923076923077</v>
      </c>
      <c r="P107" s="45">
        <f>VLOOKUP(A107,'SSP_March''19'!$A$3:$Q$1193,16,0)</f>
        <v>10</v>
      </c>
      <c r="Q107" s="34">
        <f>VLOOKUP(A107,'SSP_March''19'!$A$3:$Q$1193,17,0)</f>
        <v>0</v>
      </c>
      <c r="R107" s="35">
        <f t="shared" si="8"/>
        <v>0</v>
      </c>
      <c r="S107" s="49">
        <f>ROUND(VLOOKUP(A107,'SSP_March''19'!$A$3:$T$1193,19,0),0)</f>
        <v>0</v>
      </c>
      <c r="T107" s="44">
        <f>VLOOKUP(A107,'SSP_March''19'!$A$3:$T$1193,20,0)</f>
        <v>0</v>
      </c>
      <c r="U107" s="34">
        <f>VLOOKUP(A107,'SSP_March''19'!$A$3:$X$1193,21,0)</f>
        <v>1</v>
      </c>
      <c r="V107" s="34">
        <f>VLOOKUP(A107,'SSP_March''19'!$A$3:$X$1193,22,0)</f>
        <v>0</v>
      </c>
      <c r="W107" s="34">
        <f>VLOOKUP(A107,'SSP_March''19'!$A$3:$X$1193,23,0)</f>
        <v>0</v>
      </c>
      <c r="X107" s="34">
        <f>VLOOKUP(A107,'SSP_March''19'!$A$3:$X$1193,24,0)</f>
        <v>0</v>
      </c>
    </row>
    <row r="108" spans="1:24">
      <c r="A108" s="54" t="s">
        <v>2569</v>
      </c>
      <c r="B108" s="54" t="s">
        <v>2307</v>
      </c>
      <c r="C108" s="54" t="s">
        <v>108</v>
      </c>
      <c r="D108" s="54" t="s">
        <v>58</v>
      </c>
      <c r="E108" s="54" t="s">
        <v>0</v>
      </c>
      <c r="F108" s="54" t="s">
        <v>2570</v>
      </c>
      <c r="G108" s="54">
        <v>1716523902</v>
      </c>
      <c r="H108" s="54" t="s">
        <v>229</v>
      </c>
      <c r="I108" s="54" t="s">
        <v>3514</v>
      </c>
      <c r="J108" s="34" t="s">
        <v>3515</v>
      </c>
      <c r="K108" s="43">
        <f>VLOOKUP(A108,'SSP_March''19'!$A$3:$L$1193,11,0)</f>
        <v>130000</v>
      </c>
      <c r="L108" s="43">
        <f>VLOOKUP(A108,'SSP_March''19'!$A$3:$L$1193,12,0)</f>
        <v>32190</v>
      </c>
      <c r="M108" s="44">
        <f t="shared" si="6"/>
        <v>0.24761538461538463</v>
      </c>
      <c r="N108" s="49">
        <f>ROUND(VLOOKUP(A108,'SSP_March''19'!$A$3:$N$1193,14,0),0)</f>
        <v>99789</v>
      </c>
      <c r="O108" s="44">
        <f t="shared" si="7"/>
        <v>0.76760769230769232</v>
      </c>
      <c r="P108" s="45">
        <f>VLOOKUP(A108,'SSP_March''19'!$A$3:$Q$1193,16,0)</f>
        <v>10</v>
      </c>
      <c r="Q108" s="34">
        <f>VLOOKUP(A108,'SSP_March''19'!$A$3:$Q$1193,17,0)</f>
        <v>1</v>
      </c>
      <c r="R108" s="35">
        <f t="shared" si="8"/>
        <v>0.1</v>
      </c>
      <c r="S108" s="49">
        <f>ROUND(VLOOKUP(A108,'SSP_March''19'!$A$3:$T$1193,19,0),0)</f>
        <v>3</v>
      </c>
      <c r="T108" s="44">
        <f>VLOOKUP(A108,'SSP_March''19'!$A$3:$T$1193,20,0)</f>
        <v>0.3</v>
      </c>
      <c r="U108" s="34">
        <f>VLOOKUP(A108,'SSP_March''19'!$A$3:$X$1193,21,0)</f>
        <v>1</v>
      </c>
      <c r="V108" s="34">
        <f>VLOOKUP(A108,'SSP_March''19'!$A$3:$X$1193,22,0)</f>
        <v>0</v>
      </c>
      <c r="W108" s="34">
        <f>VLOOKUP(A108,'SSP_March''19'!$A$3:$X$1193,23,0)</f>
        <v>0</v>
      </c>
      <c r="X108" s="34">
        <f>VLOOKUP(A108,'SSP_March''19'!$A$3:$X$1193,24,0)</f>
        <v>0</v>
      </c>
    </row>
    <row r="109" spans="1:24">
      <c r="A109" s="54" t="s">
        <v>2798</v>
      </c>
      <c r="B109" s="54" t="s">
        <v>2799</v>
      </c>
      <c r="C109" s="54" t="s">
        <v>108</v>
      </c>
      <c r="D109" s="54" t="s">
        <v>58</v>
      </c>
      <c r="E109" s="54" t="s">
        <v>0</v>
      </c>
      <c r="F109" s="54" t="s">
        <v>2800</v>
      </c>
      <c r="G109" s="54">
        <v>1730169481</v>
      </c>
      <c r="H109" s="54" t="s">
        <v>229</v>
      </c>
      <c r="I109" s="54" t="s">
        <v>3514</v>
      </c>
      <c r="J109" s="34" t="s">
        <v>3419</v>
      </c>
      <c r="K109" s="43">
        <f>VLOOKUP(A109,'SSP_March''19'!$A$3:$L$1193,11,0)</f>
        <v>130000</v>
      </c>
      <c r="L109" s="43">
        <f>VLOOKUP(A109,'SSP_March''19'!$A$3:$L$1193,12,0)</f>
        <v>24250</v>
      </c>
      <c r="M109" s="44">
        <f t="shared" si="6"/>
        <v>0.18653846153846154</v>
      </c>
      <c r="N109" s="49">
        <f>ROUND(VLOOKUP(A109,'SSP_March''19'!$A$3:$N$1193,14,0),0)</f>
        <v>75175</v>
      </c>
      <c r="O109" s="44">
        <f t="shared" si="7"/>
        <v>0.57826923076923076</v>
      </c>
      <c r="P109" s="45">
        <f>VLOOKUP(A109,'SSP_March''19'!$A$3:$Q$1193,16,0)</f>
        <v>10</v>
      </c>
      <c r="Q109" s="34">
        <f>VLOOKUP(A109,'SSP_March''19'!$A$3:$Q$1193,17,0)</f>
        <v>1</v>
      </c>
      <c r="R109" s="35">
        <f t="shared" si="8"/>
        <v>0.1</v>
      </c>
      <c r="S109" s="49">
        <f>ROUND(VLOOKUP(A109,'SSP_March''19'!$A$3:$T$1193,19,0),0)</f>
        <v>3</v>
      </c>
      <c r="T109" s="44">
        <f>VLOOKUP(A109,'SSP_March''19'!$A$3:$T$1193,20,0)</f>
        <v>0.3</v>
      </c>
      <c r="U109" s="34">
        <f>VLOOKUP(A109,'SSP_March''19'!$A$3:$X$1193,21,0)</f>
        <v>0</v>
      </c>
      <c r="V109" s="34">
        <f>VLOOKUP(A109,'SSP_March''19'!$A$3:$X$1193,22,0)</f>
        <v>0</v>
      </c>
      <c r="W109" s="34">
        <f>VLOOKUP(A109,'SSP_March''19'!$A$3:$X$1193,23,0)</f>
        <v>0</v>
      </c>
      <c r="X109" s="34">
        <f>VLOOKUP(A109,'SSP_March''19'!$A$3:$X$1193,24,0)</f>
        <v>0</v>
      </c>
    </row>
    <row r="110" spans="1:24">
      <c r="A110" s="54" t="s">
        <v>3001</v>
      </c>
      <c r="B110" s="54" t="s">
        <v>818</v>
      </c>
      <c r="C110" s="54" t="s">
        <v>112</v>
      </c>
      <c r="D110" s="54" t="s">
        <v>58</v>
      </c>
      <c r="E110" s="54" t="s">
        <v>0</v>
      </c>
      <c r="F110" s="54" t="s">
        <v>3002</v>
      </c>
      <c r="G110" s="54">
        <v>1751636330</v>
      </c>
      <c r="H110" s="54" t="s">
        <v>229</v>
      </c>
      <c r="I110" s="54" t="s">
        <v>3514</v>
      </c>
      <c r="J110" s="34" t="s">
        <v>3419</v>
      </c>
      <c r="K110" s="43">
        <f>VLOOKUP(A110,'SSP_March''19'!$A$3:$L$1193,11,0)</f>
        <v>130000</v>
      </c>
      <c r="L110" s="43">
        <f>VLOOKUP(A110,'SSP_March''19'!$A$3:$L$1193,12,0)</f>
        <v>20160</v>
      </c>
      <c r="M110" s="44">
        <f t="shared" si="6"/>
        <v>0.15507692307692308</v>
      </c>
      <c r="N110" s="49">
        <f>ROUND(VLOOKUP(A110,'SSP_March''19'!$A$3:$N$1193,14,0),0)</f>
        <v>62496</v>
      </c>
      <c r="O110" s="44">
        <f t="shared" si="7"/>
        <v>0.48073846153846156</v>
      </c>
      <c r="P110" s="45">
        <f>VLOOKUP(A110,'SSP_March''19'!$A$3:$Q$1193,16,0)</f>
        <v>10</v>
      </c>
      <c r="Q110" s="34">
        <f>VLOOKUP(A110,'SSP_March''19'!$A$3:$Q$1193,17,0)</f>
        <v>0</v>
      </c>
      <c r="R110" s="35">
        <f t="shared" si="8"/>
        <v>0</v>
      </c>
      <c r="S110" s="49">
        <f>ROUND(VLOOKUP(A110,'SSP_March''19'!$A$3:$T$1193,19,0),0)</f>
        <v>0</v>
      </c>
      <c r="T110" s="44">
        <f>VLOOKUP(A110,'SSP_March''19'!$A$3:$T$1193,20,0)</f>
        <v>0</v>
      </c>
      <c r="U110" s="34">
        <f>VLOOKUP(A110,'SSP_March''19'!$A$3:$X$1193,21,0)</f>
        <v>0</v>
      </c>
      <c r="V110" s="34">
        <f>VLOOKUP(A110,'SSP_March''19'!$A$3:$X$1193,22,0)</f>
        <v>0</v>
      </c>
      <c r="W110" s="34">
        <f>VLOOKUP(A110,'SSP_March''19'!$A$3:$X$1193,23,0)</f>
        <v>0</v>
      </c>
      <c r="X110" s="34">
        <f>VLOOKUP(A110,'SSP_March''19'!$A$3:$X$1193,24,0)</f>
        <v>0</v>
      </c>
    </row>
    <row r="111" spans="1:24">
      <c r="A111" s="54" t="s">
        <v>2499</v>
      </c>
      <c r="B111" s="54" t="s">
        <v>2500</v>
      </c>
      <c r="C111" s="54" t="s">
        <v>112</v>
      </c>
      <c r="D111" s="54" t="s">
        <v>58</v>
      </c>
      <c r="E111" s="54" t="s">
        <v>0</v>
      </c>
      <c r="F111" s="54" t="s">
        <v>2501</v>
      </c>
      <c r="G111" s="54">
        <v>1927050272</v>
      </c>
      <c r="H111" s="54" t="s">
        <v>229</v>
      </c>
      <c r="I111" s="54" t="s">
        <v>3514</v>
      </c>
      <c r="J111" s="34" t="s">
        <v>3421</v>
      </c>
      <c r="K111" s="43">
        <f>VLOOKUP(A111,'SSP_March''19'!$A$3:$L$1193,11,0)</f>
        <v>130000</v>
      </c>
      <c r="L111" s="43">
        <f>VLOOKUP(A111,'SSP_March''19'!$A$3:$L$1193,12,0)</f>
        <v>16170</v>
      </c>
      <c r="M111" s="44">
        <f t="shared" si="6"/>
        <v>0.12438461538461539</v>
      </c>
      <c r="N111" s="49">
        <f>ROUND(VLOOKUP(A111,'SSP_March''19'!$A$3:$N$1193,14,0),0)</f>
        <v>50127</v>
      </c>
      <c r="O111" s="44">
        <f t="shared" si="7"/>
        <v>0.38559230769230768</v>
      </c>
      <c r="P111" s="45">
        <f>VLOOKUP(A111,'SSP_March''19'!$A$3:$Q$1193,16,0)</f>
        <v>10</v>
      </c>
      <c r="Q111" s="34">
        <f>VLOOKUP(A111,'SSP_March''19'!$A$3:$Q$1193,17,0)</f>
        <v>0</v>
      </c>
      <c r="R111" s="35">
        <f t="shared" si="8"/>
        <v>0</v>
      </c>
      <c r="S111" s="49">
        <f>ROUND(VLOOKUP(A111,'SSP_March''19'!$A$3:$T$1193,19,0),0)</f>
        <v>0</v>
      </c>
      <c r="T111" s="44">
        <f>VLOOKUP(A111,'SSP_March''19'!$A$3:$T$1193,20,0)</f>
        <v>0</v>
      </c>
      <c r="U111" s="34">
        <f>VLOOKUP(A111,'SSP_March''19'!$A$3:$X$1193,21,0)</f>
        <v>2</v>
      </c>
      <c r="V111" s="34">
        <f>VLOOKUP(A111,'SSP_March''19'!$A$3:$X$1193,22,0)</f>
        <v>0</v>
      </c>
      <c r="W111" s="34">
        <f>VLOOKUP(A111,'SSP_March''19'!$A$3:$X$1193,23,0)</f>
        <v>0</v>
      </c>
      <c r="X111" s="34">
        <f>VLOOKUP(A111,'SSP_March''19'!$A$3:$X$1193,24,0)</f>
        <v>0</v>
      </c>
    </row>
    <row r="112" spans="1:24">
      <c r="A112" s="54" t="s">
        <v>2661</v>
      </c>
      <c r="B112" s="54" t="s">
        <v>2662</v>
      </c>
      <c r="C112" s="54" t="s">
        <v>112</v>
      </c>
      <c r="D112" s="54" t="s">
        <v>58</v>
      </c>
      <c r="E112" s="54" t="s">
        <v>0</v>
      </c>
      <c r="F112" s="54" t="s">
        <v>2663</v>
      </c>
      <c r="G112" s="54">
        <v>1954072653</v>
      </c>
      <c r="H112" s="54" t="s">
        <v>229</v>
      </c>
      <c r="I112" s="54" t="s">
        <v>3514</v>
      </c>
      <c r="J112" s="34" t="s">
        <v>3421</v>
      </c>
      <c r="K112" s="43">
        <f>VLOOKUP(A112,'SSP_March''19'!$A$3:$L$1193,11,0)</f>
        <v>130000</v>
      </c>
      <c r="L112" s="43">
        <f>VLOOKUP(A112,'SSP_March''19'!$A$3:$L$1193,12,0)</f>
        <v>11380</v>
      </c>
      <c r="M112" s="44">
        <f t="shared" si="6"/>
        <v>8.7538461538461537E-2</v>
      </c>
      <c r="N112" s="49">
        <f>ROUND(VLOOKUP(A112,'SSP_March''19'!$A$3:$N$1193,14,0),0)</f>
        <v>35278</v>
      </c>
      <c r="O112" s="44">
        <f t="shared" si="7"/>
        <v>0.27136923076923075</v>
      </c>
      <c r="P112" s="45">
        <f>VLOOKUP(A112,'SSP_March''19'!$A$3:$Q$1193,16,0)</f>
        <v>10</v>
      </c>
      <c r="Q112" s="34">
        <f>VLOOKUP(A112,'SSP_March''19'!$A$3:$Q$1193,17,0)</f>
        <v>0</v>
      </c>
      <c r="R112" s="35">
        <f t="shared" si="8"/>
        <v>0</v>
      </c>
      <c r="S112" s="49">
        <f>ROUND(VLOOKUP(A112,'SSP_March''19'!$A$3:$T$1193,19,0),0)</f>
        <v>0</v>
      </c>
      <c r="T112" s="44">
        <f>VLOOKUP(A112,'SSP_March''19'!$A$3:$T$1193,20,0)</f>
        <v>0</v>
      </c>
      <c r="U112" s="34">
        <f>VLOOKUP(A112,'SSP_March''19'!$A$3:$X$1193,21,0)</f>
        <v>0</v>
      </c>
      <c r="V112" s="34">
        <f>VLOOKUP(A112,'SSP_March''19'!$A$3:$X$1193,22,0)</f>
        <v>0</v>
      </c>
      <c r="W112" s="34">
        <f>VLOOKUP(A112,'SSP_March''19'!$A$3:$X$1193,23,0)</f>
        <v>0</v>
      </c>
      <c r="X112" s="34">
        <f>VLOOKUP(A112,'SSP_March''19'!$A$3:$X$1193,24,0)</f>
        <v>0</v>
      </c>
    </row>
    <row r="113" spans="1:24">
      <c r="A113" s="54" t="s">
        <v>2701</v>
      </c>
      <c r="B113" s="54" t="s">
        <v>73</v>
      </c>
      <c r="C113" s="54" t="s">
        <v>112</v>
      </c>
      <c r="D113" s="54" t="s">
        <v>58</v>
      </c>
      <c r="E113" s="54" t="s">
        <v>0</v>
      </c>
      <c r="F113" s="54" t="s">
        <v>2702</v>
      </c>
      <c r="G113" s="54">
        <v>1689468151</v>
      </c>
      <c r="H113" s="54" t="s">
        <v>229</v>
      </c>
      <c r="I113" s="54" t="s">
        <v>3514</v>
      </c>
      <c r="J113" s="34" t="s">
        <v>3419</v>
      </c>
      <c r="K113" s="43">
        <f>VLOOKUP(A113,'SSP_March''19'!$A$3:$L$1193,11,0)</f>
        <v>130000</v>
      </c>
      <c r="L113" s="43">
        <f>VLOOKUP(A113,'SSP_March''19'!$A$3:$L$1193,12,0)</f>
        <v>20210</v>
      </c>
      <c r="M113" s="44">
        <f t="shared" si="6"/>
        <v>0.15546153846153846</v>
      </c>
      <c r="N113" s="49">
        <f>ROUND(VLOOKUP(A113,'SSP_March''19'!$A$3:$N$1193,14,0),0)</f>
        <v>62651</v>
      </c>
      <c r="O113" s="44">
        <f t="shared" si="7"/>
        <v>0.48193076923076922</v>
      </c>
      <c r="P113" s="45">
        <f>VLOOKUP(A113,'SSP_March''19'!$A$3:$Q$1193,16,0)</f>
        <v>10</v>
      </c>
      <c r="Q113" s="34">
        <f>VLOOKUP(A113,'SSP_March''19'!$A$3:$Q$1193,17,0)</f>
        <v>0</v>
      </c>
      <c r="R113" s="35">
        <f t="shared" si="8"/>
        <v>0</v>
      </c>
      <c r="S113" s="49">
        <f>ROUND(VLOOKUP(A113,'SSP_March''19'!$A$3:$T$1193,19,0),0)</f>
        <v>0</v>
      </c>
      <c r="T113" s="44">
        <f>VLOOKUP(A113,'SSP_March''19'!$A$3:$T$1193,20,0)</f>
        <v>0</v>
      </c>
      <c r="U113" s="34">
        <f>VLOOKUP(A113,'SSP_March''19'!$A$3:$X$1193,21,0)</f>
        <v>0</v>
      </c>
      <c r="V113" s="34">
        <f>VLOOKUP(A113,'SSP_March''19'!$A$3:$X$1193,22,0)</f>
        <v>0</v>
      </c>
      <c r="W113" s="34">
        <f>VLOOKUP(A113,'SSP_March''19'!$A$3:$X$1193,23,0)</f>
        <v>0</v>
      </c>
      <c r="X113" s="34">
        <f>VLOOKUP(A113,'SSP_March''19'!$A$3:$X$1193,24,0)</f>
        <v>0</v>
      </c>
    </row>
    <row r="114" spans="1:24">
      <c r="A114" s="54" t="s">
        <v>2757</v>
      </c>
      <c r="B114" s="54" t="s">
        <v>2758</v>
      </c>
      <c r="C114" s="54" t="s">
        <v>112</v>
      </c>
      <c r="D114" s="54" t="s">
        <v>58</v>
      </c>
      <c r="E114" s="54" t="s">
        <v>0</v>
      </c>
      <c r="F114" s="54" t="s">
        <v>2759</v>
      </c>
      <c r="G114" s="54">
        <v>1797040658</v>
      </c>
      <c r="H114" s="54" t="s">
        <v>229</v>
      </c>
      <c r="I114" s="54" t="s">
        <v>3514</v>
      </c>
      <c r="J114" s="34" t="s">
        <v>3419</v>
      </c>
      <c r="K114" s="43">
        <f>VLOOKUP(A114,'SSP_March''19'!$A$3:$L$1193,11,0)</f>
        <v>293827</v>
      </c>
      <c r="L114" s="43">
        <f>VLOOKUP(A114,'SSP_March''19'!$A$3:$L$1193,12,0)</f>
        <v>85054</v>
      </c>
      <c r="M114" s="44">
        <f t="shared" si="6"/>
        <v>0.28946965391199586</v>
      </c>
      <c r="N114" s="49">
        <f>ROUND(VLOOKUP(A114,'SSP_March''19'!$A$3:$N$1193,14,0),0)</f>
        <v>263667</v>
      </c>
      <c r="O114" s="44">
        <f t="shared" si="7"/>
        <v>0.89735456578190564</v>
      </c>
      <c r="P114" s="45">
        <f>VLOOKUP(A114,'SSP_March''19'!$A$3:$Q$1193,16,0)</f>
        <v>15</v>
      </c>
      <c r="Q114" s="34">
        <f>VLOOKUP(A114,'SSP_March''19'!$A$3:$Q$1193,17,0)</f>
        <v>6</v>
      </c>
      <c r="R114" s="35">
        <f t="shared" si="8"/>
        <v>0.4</v>
      </c>
      <c r="S114" s="49">
        <f>ROUND(VLOOKUP(A114,'SSP_March''19'!$A$3:$T$1193,19,0),0)</f>
        <v>19</v>
      </c>
      <c r="T114" s="44">
        <f>VLOOKUP(A114,'SSP_March''19'!$A$3:$T$1193,20,0)</f>
        <v>1.2666666666666666</v>
      </c>
      <c r="U114" s="34">
        <f>VLOOKUP(A114,'SSP_March''19'!$A$3:$X$1193,21,0)</f>
        <v>1</v>
      </c>
      <c r="V114" s="34">
        <f>VLOOKUP(A114,'SSP_March''19'!$A$3:$X$1193,22,0)</f>
        <v>3</v>
      </c>
      <c r="W114" s="34">
        <f>VLOOKUP(A114,'SSP_March''19'!$A$3:$X$1193,23,0)</f>
        <v>0</v>
      </c>
      <c r="X114" s="34">
        <f>VLOOKUP(A114,'SSP_March''19'!$A$3:$X$1193,24,0)</f>
        <v>0</v>
      </c>
    </row>
    <row r="115" spans="1:24">
      <c r="A115" s="54" t="s">
        <v>2580</v>
      </c>
      <c r="B115" s="54" t="s">
        <v>59</v>
      </c>
      <c r="C115" s="54" t="s">
        <v>112</v>
      </c>
      <c r="D115" s="54" t="s">
        <v>58</v>
      </c>
      <c r="E115" s="54" t="s">
        <v>0</v>
      </c>
      <c r="F115" s="54" t="s">
        <v>517</v>
      </c>
      <c r="G115" s="54">
        <v>1858151677</v>
      </c>
      <c r="H115" s="54" t="s">
        <v>229</v>
      </c>
      <c r="I115" s="54" t="s">
        <v>3514</v>
      </c>
      <c r="J115" s="34" t="s">
        <v>3421</v>
      </c>
      <c r="K115" s="43">
        <f>VLOOKUP(A115,'SSP_March''19'!$A$3:$L$1193,11,0)</f>
        <v>188896</v>
      </c>
      <c r="L115" s="43">
        <f>VLOOKUP(A115,'SSP_March''19'!$A$3:$L$1193,12,0)</f>
        <v>37180</v>
      </c>
      <c r="M115" s="44">
        <f t="shared" si="6"/>
        <v>0.19682788412671523</v>
      </c>
      <c r="N115" s="49">
        <f>ROUND(VLOOKUP(A115,'SSP_March''19'!$A$3:$N$1193,14,0),0)</f>
        <v>115258</v>
      </c>
      <c r="O115" s="44">
        <f t="shared" si="7"/>
        <v>0.61016644079281723</v>
      </c>
      <c r="P115" s="45">
        <f>VLOOKUP(A115,'SSP_March''19'!$A$3:$Q$1193,16,0)</f>
        <v>13</v>
      </c>
      <c r="Q115" s="34">
        <f>VLOOKUP(A115,'SSP_March''19'!$A$3:$Q$1193,17,0)</f>
        <v>1</v>
      </c>
      <c r="R115" s="35">
        <f t="shared" si="8"/>
        <v>7.6923076923076927E-2</v>
      </c>
      <c r="S115" s="49">
        <f>ROUND(VLOOKUP(A115,'SSP_March''19'!$A$3:$T$1193,19,0),0)</f>
        <v>3</v>
      </c>
      <c r="T115" s="44">
        <f>VLOOKUP(A115,'SSP_March''19'!$A$3:$T$1193,20,0)</f>
        <v>0.23076923076923078</v>
      </c>
      <c r="U115" s="34">
        <f>VLOOKUP(A115,'SSP_March''19'!$A$3:$X$1193,21,0)</f>
        <v>0</v>
      </c>
      <c r="V115" s="34">
        <f>VLOOKUP(A115,'SSP_March''19'!$A$3:$X$1193,22,0)</f>
        <v>0</v>
      </c>
      <c r="W115" s="34">
        <f>VLOOKUP(A115,'SSP_March''19'!$A$3:$X$1193,23,0)</f>
        <v>0</v>
      </c>
      <c r="X115" s="34">
        <f>VLOOKUP(A115,'SSP_March''19'!$A$3:$X$1193,24,0)</f>
        <v>1</v>
      </c>
    </row>
    <row r="116" spans="1:24">
      <c r="A116" s="54" t="s">
        <v>2614</v>
      </c>
      <c r="B116" s="54" t="s">
        <v>2615</v>
      </c>
      <c r="C116" s="54" t="s">
        <v>112</v>
      </c>
      <c r="D116" s="54" t="s">
        <v>58</v>
      </c>
      <c r="E116" s="54" t="s">
        <v>0</v>
      </c>
      <c r="F116" s="54" t="s">
        <v>2616</v>
      </c>
      <c r="G116" s="54">
        <v>1919022192</v>
      </c>
      <c r="H116" s="54" t="s">
        <v>229</v>
      </c>
      <c r="I116" s="54" t="s">
        <v>3514</v>
      </c>
      <c r="J116" s="34" t="s">
        <v>3419</v>
      </c>
      <c r="K116" s="43">
        <f>VLOOKUP(A116,'SSP_March''19'!$A$3:$L$1193,11,0)</f>
        <v>176333</v>
      </c>
      <c r="L116" s="43">
        <f>VLOOKUP(A116,'SSP_March''19'!$A$3:$L$1193,12,0)</f>
        <v>26250</v>
      </c>
      <c r="M116" s="44">
        <f t="shared" si="6"/>
        <v>0.14886606590938736</v>
      </c>
      <c r="N116" s="49">
        <f>ROUND(VLOOKUP(A116,'SSP_March''19'!$A$3:$N$1193,14,0),0)</f>
        <v>81375</v>
      </c>
      <c r="O116" s="44">
        <f t="shared" si="7"/>
        <v>0.46148480431910077</v>
      </c>
      <c r="P116" s="45">
        <f>VLOOKUP(A116,'SSP_March''19'!$A$3:$Q$1193,16,0)</f>
        <v>10</v>
      </c>
      <c r="Q116" s="34">
        <f>VLOOKUP(A116,'SSP_March''19'!$A$3:$Q$1193,17,0)</f>
        <v>1</v>
      </c>
      <c r="R116" s="35">
        <f t="shared" si="8"/>
        <v>0.1</v>
      </c>
      <c r="S116" s="49">
        <f>ROUND(VLOOKUP(A116,'SSP_March''19'!$A$3:$T$1193,19,0),0)</f>
        <v>3</v>
      </c>
      <c r="T116" s="44">
        <f>VLOOKUP(A116,'SSP_March''19'!$A$3:$T$1193,20,0)</f>
        <v>0.3</v>
      </c>
      <c r="U116" s="34">
        <f>VLOOKUP(A116,'SSP_March''19'!$A$3:$X$1193,21,0)</f>
        <v>1</v>
      </c>
      <c r="V116" s="34">
        <f>VLOOKUP(A116,'SSP_March''19'!$A$3:$X$1193,22,0)</f>
        <v>0</v>
      </c>
      <c r="W116" s="34">
        <f>VLOOKUP(A116,'SSP_March''19'!$A$3:$X$1193,23,0)</f>
        <v>0</v>
      </c>
      <c r="X116" s="34">
        <f>VLOOKUP(A116,'SSP_March''19'!$A$3:$X$1193,24,0)</f>
        <v>0</v>
      </c>
    </row>
    <row r="117" spans="1:24">
      <c r="A117" s="54" t="s">
        <v>2667</v>
      </c>
      <c r="B117" s="54" t="s">
        <v>2668</v>
      </c>
      <c r="C117" s="54" t="s">
        <v>112</v>
      </c>
      <c r="D117" s="54" t="s">
        <v>58</v>
      </c>
      <c r="E117" s="54" t="s">
        <v>0</v>
      </c>
      <c r="F117" s="54" t="s">
        <v>2669</v>
      </c>
      <c r="G117" s="54">
        <v>1919973766</v>
      </c>
      <c r="H117" s="54" t="s">
        <v>229</v>
      </c>
      <c r="I117" s="54" t="s">
        <v>3514</v>
      </c>
      <c r="J117" s="34" t="s">
        <v>3421</v>
      </c>
      <c r="K117" s="43">
        <f>VLOOKUP(A117,'SSP_March''19'!$A$3:$L$1193,11,0)</f>
        <v>130000</v>
      </c>
      <c r="L117" s="43">
        <f>VLOOKUP(A117,'SSP_March''19'!$A$3:$L$1193,12,0)</f>
        <v>4999</v>
      </c>
      <c r="M117" s="44">
        <f t="shared" si="6"/>
        <v>3.8453846153846151E-2</v>
      </c>
      <c r="N117" s="49">
        <f>ROUND(VLOOKUP(A117,'SSP_March''19'!$A$3:$N$1193,14,0),0)</f>
        <v>15497</v>
      </c>
      <c r="O117" s="44">
        <f t="shared" si="7"/>
        <v>0.11920769230769231</v>
      </c>
      <c r="P117" s="45">
        <f>VLOOKUP(A117,'SSP_March''19'!$A$3:$Q$1193,16,0)</f>
        <v>10</v>
      </c>
      <c r="Q117" s="34">
        <f>VLOOKUP(A117,'SSP_March''19'!$A$3:$Q$1193,17,0)</f>
        <v>0</v>
      </c>
      <c r="R117" s="35">
        <f t="shared" si="8"/>
        <v>0</v>
      </c>
      <c r="S117" s="49">
        <f>ROUND(VLOOKUP(A117,'SSP_March''19'!$A$3:$T$1193,19,0),0)</f>
        <v>0</v>
      </c>
      <c r="T117" s="44">
        <f>VLOOKUP(A117,'SSP_March''19'!$A$3:$T$1193,20,0)</f>
        <v>0</v>
      </c>
      <c r="U117" s="34">
        <f>VLOOKUP(A117,'SSP_March''19'!$A$3:$X$1193,21,0)</f>
        <v>0</v>
      </c>
      <c r="V117" s="34">
        <f>VLOOKUP(A117,'SSP_March''19'!$A$3:$X$1193,22,0)</f>
        <v>0</v>
      </c>
      <c r="W117" s="34">
        <f>VLOOKUP(A117,'SSP_March''19'!$A$3:$X$1193,23,0)</f>
        <v>0</v>
      </c>
      <c r="X117" s="34">
        <f>VLOOKUP(A117,'SSP_March''19'!$A$3:$X$1193,24,0)</f>
        <v>0</v>
      </c>
    </row>
    <row r="118" spans="1:24">
      <c r="A118" s="54" t="s">
        <v>3003</v>
      </c>
      <c r="B118" s="54" t="s">
        <v>3004</v>
      </c>
      <c r="C118" s="54" t="s">
        <v>112</v>
      </c>
      <c r="D118" s="54" t="s">
        <v>58</v>
      </c>
      <c r="E118" s="54" t="s">
        <v>0</v>
      </c>
      <c r="F118" s="54" t="s">
        <v>3005</v>
      </c>
      <c r="G118" s="54">
        <v>1714893133</v>
      </c>
      <c r="H118" s="54" t="s">
        <v>229</v>
      </c>
      <c r="I118" s="54" t="s">
        <v>3514</v>
      </c>
      <c r="J118" s="34" t="s">
        <v>3421</v>
      </c>
      <c r="K118" s="43">
        <f>VLOOKUP(A118,'SSP_March''19'!$A$3:$L$1193,11,0)</f>
        <v>130000</v>
      </c>
      <c r="L118" s="43">
        <f>VLOOKUP(A118,'SSP_March''19'!$A$3:$L$1193,12,0)</f>
        <v>14720</v>
      </c>
      <c r="M118" s="44">
        <f t="shared" si="6"/>
        <v>0.11323076923076923</v>
      </c>
      <c r="N118" s="49">
        <f>ROUND(VLOOKUP(A118,'SSP_March''19'!$A$3:$N$1193,14,0),0)</f>
        <v>45632</v>
      </c>
      <c r="O118" s="44">
        <f t="shared" si="7"/>
        <v>0.35101538461538462</v>
      </c>
      <c r="P118" s="45">
        <f>VLOOKUP(A118,'SSP_March''19'!$A$3:$Q$1193,16,0)</f>
        <v>10</v>
      </c>
      <c r="Q118" s="34">
        <f>VLOOKUP(A118,'SSP_March''19'!$A$3:$Q$1193,17,0)</f>
        <v>0</v>
      </c>
      <c r="R118" s="35">
        <f t="shared" si="8"/>
        <v>0</v>
      </c>
      <c r="S118" s="49">
        <f>ROUND(VLOOKUP(A118,'SSP_March''19'!$A$3:$T$1193,19,0),0)</f>
        <v>0</v>
      </c>
      <c r="T118" s="44">
        <f>VLOOKUP(A118,'SSP_March''19'!$A$3:$T$1193,20,0)</f>
        <v>0</v>
      </c>
      <c r="U118" s="34">
        <f>VLOOKUP(A118,'SSP_March''19'!$A$3:$X$1193,21,0)</f>
        <v>0</v>
      </c>
      <c r="V118" s="34">
        <f>VLOOKUP(A118,'SSP_March''19'!$A$3:$X$1193,22,0)</f>
        <v>0</v>
      </c>
      <c r="W118" s="34">
        <f>VLOOKUP(A118,'SSP_March''19'!$A$3:$X$1193,23,0)</f>
        <v>0</v>
      </c>
      <c r="X118" s="34">
        <f>VLOOKUP(A118,'SSP_March''19'!$A$3:$X$1193,24,0)</f>
        <v>0</v>
      </c>
    </row>
    <row r="119" spans="1:24">
      <c r="A119" s="54" t="s">
        <v>2502</v>
      </c>
      <c r="B119" s="54" t="s">
        <v>2503</v>
      </c>
      <c r="C119" s="54" t="s">
        <v>112</v>
      </c>
      <c r="D119" s="54" t="s">
        <v>58</v>
      </c>
      <c r="E119" s="54" t="s">
        <v>0</v>
      </c>
      <c r="F119" s="54" t="s">
        <v>2504</v>
      </c>
      <c r="G119" s="54">
        <v>1712421978</v>
      </c>
      <c r="H119" s="54" t="s">
        <v>229</v>
      </c>
      <c r="I119" s="54" t="s">
        <v>3514</v>
      </c>
      <c r="J119" s="34" t="s">
        <v>3515</v>
      </c>
      <c r="K119" s="43">
        <f>VLOOKUP(A119,'SSP_March''19'!$A$3:$L$1193,11,0)</f>
        <v>173897</v>
      </c>
      <c r="L119" s="43">
        <f>VLOOKUP(A119,'SSP_March''19'!$A$3:$L$1193,12,0)</f>
        <v>57049</v>
      </c>
      <c r="M119" s="44">
        <f t="shared" si="6"/>
        <v>0.32806201372076577</v>
      </c>
      <c r="N119" s="49">
        <f>ROUND(VLOOKUP(A119,'SSP_March''19'!$A$3:$N$1193,14,0),0)</f>
        <v>176852</v>
      </c>
      <c r="O119" s="44">
        <f t="shared" si="7"/>
        <v>1.0169928175874225</v>
      </c>
      <c r="P119" s="45">
        <f>VLOOKUP(A119,'SSP_March''19'!$A$3:$Q$1193,16,0)</f>
        <v>10</v>
      </c>
      <c r="Q119" s="34">
        <f>VLOOKUP(A119,'SSP_March''19'!$A$3:$Q$1193,17,0)</f>
        <v>1</v>
      </c>
      <c r="R119" s="35">
        <f t="shared" si="8"/>
        <v>0.1</v>
      </c>
      <c r="S119" s="49">
        <f>ROUND(VLOOKUP(A119,'SSP_March''19'!$A$3:$T$1193,19,0),0)</f>
        <v>3</v>
      </c>
      <c r="T119" s="44">
        <f>VLOOKUP(A119,'SSP_March''19'!$A$3:$T$1193,20,0)</f>
        <v>0.3</v>
      </c>
      <c r="U119" s="34">
        <f>VLOOKUP(A119,'SSP_March''19'!$A$3:$X$1193,21,0)</f>
        <v>2</v>
      </c>
      <c r="V119" s="34">
        <f>VLOOKUP(A119,'SSP_March''19'!$A$3:$X$1193,22,0)</f>
        <v>0</v>
      </c>
      <c r="W119" s="34">
        <f>VLOOKUP(A119,'SSP_March''19'!$A$3:$X$1193,23,0)</f>
        <v>0</v>
      </c>
      <c r="X119" s="34">
        <f>VLOOKUP(A119,'SSP_March''19'!$A$3:$X$1193,24,0)</f>
        <v>0</v>
      </c>
    </row>
    <row r="120" spans="1:24">
      <c r="A120" s="54" t="s">
        <v>2806</v>
      </c>
      <c r="B120" s="54" t="s">
        <v>2807</v>
      </c>
      <c r="C120" s="54" t="s">
        <v>2535</v>
      </c>
      <c r="D120" s="54" t="s">
        <v>148</v>
      </c>
      <c r="E120" s="54" t="s">
        <v>0</v>
      </c>
      <c r="F120" s="54" t="s">
        <v>2808</v>
      </c>
      <c r="G120" s="54">
        <v>1711455538</v>
      </c>
      <c r="H120" s="54" t="s">
        <v>229</v>
      </c>
      <c r="I120" s="54" t="s">
        <v>3514</v>
      </c>
      <c r="J120" s="34" t="s">
        <v>3421</v>
      </c>
      <c r="K120" s="43">
        <f>VLOOKUP(A120,'SSP_March''19'!$A$3:$L$1193,11,0)</f>
        <v>130000</v>
      </c>
      <c r="L120" s="43">
        <f>VLOOKUP(A120,'SSP_March''19'!$A$3:$L$1193,12,0)</f>
        <v>17460</v>
      </c>
      <c r="M120" s="44">
        <f t="shared" si="6"/>
        <v>0.13430769230769229</v>
      </c>
      <c r="N120" s="49">
        <f>ROUND(VLOOKUP(A120,'SSP_March''19'!$A$3:$N$1193,14,0),0)</f>
        <v>54126</v>
      </c>
      <c r="O120" s="44">
        <f t="shared" si="7"/>
        <v>0.41635384615384613</v>
      </c>
      <c r="P120" s="45">
        <f>VLOOKUP(A120,'SSP_March''19'!$A$3:$Q$1193,16,0)</f>
        <v>10</v>
      </c>
      <c r="Q120" s="34">
        <f>VLOOKUP(A120,'SSP_March''19'!$A$3:$Q$1193,17,0)</f>
        <v>1</v>
      </c>
      <c r="R120" s="35">
        <f t="shared" si="8"/>
        <v>0.1</v>
      </c>
      <c r="S120" s="49">
        <f>ROUND(VLOOKUP(A120,'SSP_March''19'!$A$3:$T$1193,19,0),0)</f>
        <v>3</v>
      </c>
      <c r="T120" s="44">
        <f>VLOOKUP(A120,'SSP_March''19'!$A$3:$T$1193,20,0)</f>
        <v>0.3</v>
      </c>
      <c r="U120" s="34">
        <f>VLOOKUP(A120,'SSP_March''19'!$A$3:$X$1193,21,0)</f>
        <v>0</v>
      </c>
      <c r="V120" s="34">
        <f>VLOOKUP(A120,'SSP_March''19'!$A$3:$X$1193,22,0)</f>
        <v>1</v>
      </c>
      <c r="W120" s="34">
        <f>VLOOKUP(A120,'SSP_March''19'!$A$3:$X$1193,23,0)</f>
        <v>0</v>
      </c>
      <c r="X120" s="34">
        <f>VLOOKUP(A120,'SSP_March''19'!$A$3:$X$1193,24,0)</f>
        <v>0</v>
      </c>
    </row>
    <row r="121" spans="1:24">
      <c r="A121" s="54" t="s">
        <v>2684</v>
      </c>
      <c r="B121" s="54" t="s">
        <v>2685</v>
      </c>
      <c r="C121" s="54" t="s">
        <v>2535</v>
      </c>
      <c r="D121" s="54" t="s">
        <v>148</v>
      </c>
      <c r="E121" s="54" t="s">
        <v>0</v>
      </c>
      <c r="F121" s="54" t="s">
        <v>2686</v>
      </c>
      <c r="G121" s="54">
        <v>1714798618</v>
      </c>
      <c r="H121" s="54" t="s">
        <v>229</v>
      </c>
      <c r="I121" s="54" t="s">
        <v>3514</v>
      </c>
      <c r="J121" s="34" t="s">
        <v>3421</v>
      </c>
      <c r="K121" s="43">
        <f>VLOOKUP(A121,'SSP_March''19'!$A$3:$L$1193,11,0)</f>
        <v>130000</v>
      </c>
      <c r="L121" s="43">
        <f>VLOOKUP(A121,'SSP_March''19'!$A$3:$L$1193,12,0)</f>
        <v>24800</v>
      </c>
      <c r="M121" s="44">
        <f t="shared" si="6"/>
        <v>0.19076923076923077</v>
      </c>
      <c r="N121" s="49">
        <f>ROUND(VLOOKUP(A121,'SSP_March''19'!$A$3:$N$1193,14,0),0)</f>
        <v>76880</v>
      </c>
      <c r="O121" s="44">
        <f t="shared" si="7"/>
        <v>0.5913846153846154</v>
      </c>
      <c r="P121" s="45">
        <f>VLOOKUP(A121,'SSP_March''19'!$A$3:$Q$1193,16,0)</f>
        <v>10</v>
      </c>
      <c r="Q121" s="34">
        <f>VLOOKUP(A121,'SSP_March''19'!$A$3:$Q$1193,17,0)</f>
        <v>0</v>
      </c>
      <c r="R121" s="35">
        <f t="shared" si="8"/>
        <v>0</v>
      </c>
      <c r="S121" s="49">
        <f>ROUND(VLOOKUP(A121,'SSP_March''19'!$A$3:$T$1193,19,0),0)</f>
        <v>0</v>
      </c>
      <c r="T121" s="44">
        <f>VLOOKUP(A121,'SSP_March''19'!$A$3:$T$1193,20,0)</f>
        <v>0</v>
      </c>
      <c r="U121" s="34">
        <f>VLOOKUP(A121,'SSP_March''19'!$A$3:$X$1193,21,0)</f>
        <v>1</v>
      </c>
      <c r="V121" s="34">
        <f>VLOOKUP(A121,'SSP_March''19'!$A$3:$X$1193,22,0)</f>
        <v>0</v>
      </c>
      <c r="W121" s="34">
        <f>VLOOKUP(A121,'SSP_March''19'!$A$3:$X$1193,23,0)</f>
        <v>0</v>
      </c>
      <c r="X121" s="34">
        <f>VLOOKUP(A121,'SSP_March''19'!$A$3:$X$1193,24,0)</f>
        <v>0</v>
      </c>
    </row>
    <row r="122" spans="1:24">
      <c r="A122" s="54" t="s">
        <v>2863</v>
      </c>
      <c r="B122" s="54" t="s">
        <v>2864</v>
      </c>
      <c r="C122" s="54" t="s">
        <v>2535</v>
      </c>
      <c r="D122" s="54" t="s">
        <v>148</v>
      </c>
      <c r="E122" s="54" t="s">
        <v>0</v>
      </c>
      <c r="F122" s="54" t="s">
        <v>2865</v>
      </c>
      <c r="G122" s="54">
        <v>1818717171</v>
      </c>
      <c r="H122" s="54" t="s">
        <v>229</v>
      </c>
      <c r="I122" s="54" t="s">
        <v>3514</v>
      </c>
      <c r="J122" s="34" t="s">
        <v>3421</v>
      </c>
      <c r="K122" s="43">
        <f>VLOOKUP(A122,'SSP_March''19'!$A$3:$L$1193,11,0)</f>
        <v>130000</v>
      </c>
      <c r="L122" s="43">
        <f>VLOOKUP(A122,'SSP_March''19'!$A$3:$L$1193,12,0)</f>
        <v>9480</v>
      </c>
      <c r="M122" s="44">
        <f t="shared" si="6"/>
        <v>7.2923076923076924E-2</v>
      </c>
      <c r="N122" s="49">
        <f>ROUND(VLOOKUP(A122,'SSP_March''19'!$A$3:$N$1193,14,0),0)</f>
        <v>29388</v>
      </c>
      <c r="O122" s="44">
        <f t="shared" si="7"/>
        <v>0.22606153846153845</v>
      </c>
      <c r="P122" s="45">
        <f>VLOOKUP(A122,'SSP_March''19'!$A$3:$Q$1193,16,0)</f>
        <v>10</v>
      </c>
      <c r="Q122" s="34">
        <f>VLOOKUP(A122,'SSP_March''19'!$A$3:$Q$1193,17,0)</f>
        <v>0</v>
      </c>
      <c r="R122" s="35">
        <f t="shared" si="8"/>
        <v>0</v>
      </c>
      <c r="S122" s="49">
        <f>ROUND(VLOOKUP(A122,'SSP_March''19'!$A$3:$T$1193,19,0),0)</f>
        <v>0</v>
      </c>
      <c r="T122" s="44">
        <f>VLOOKUP(A122,'SSP_March''19'!$A$3:$T$1193,20,0)</f>
        <v>0</v>
      </c>
      <c r="U122" s="34">
        <f>VLOOKUP(A122,'SSP_March''19'!$A$3:$X$1193,21,0)</f>
        <v>0</v>
      </c>
      <c r="V122" s="34">
        <f>VLOOKUP(A122,'SSP_March''19'!$A$3:$X$1193,22,0)</f>
        <v>0</v>
      </c>
      <c r="W122" s="34">
        <f>VLOOKUP(A122,'SSP_March''19'!$A$3:$X$1193,23,0)</f>
        <v>0</v>
      </c>
      <c r="X122" s="34">
        <f>VLOOKUP(A122,'SSP_March''19'!$A$3:$X$1193,24,0)</f>
        <v>0</v>
      </c>
    </row>
    <row r="123" spans="1:24">
      <c r="A123" s="54" t="s">
        <v>2534</v>
      </c>
      <c r="B123" s="54" t="s">
        <v>2535</v>
      </c>
      <c r="C123" s="54" t="s">
        <v>2535</v>
      </c>
      <c r="D123" s="54" t="s">
        <v>148</v>
      </c>
      <c r="E123" s="54" t="s">
        <v>0</v>
      </c>
      <c r="F123" s="54" t="s">
        <v>2536</v>
      </c>
      <c r="G123" s="54">
        <v>1753182977</v>
      </c>
      <c r="H123" s="54" t="s">
        <v>229</v>
      </c>
      <c r="I123" s="54" t="s">
        <v>3514</v>
      </c>
      <c r="J123" s="34" t="s">
        <v>3419</v>
      </c>
      <c r="K123" s="43">
        <f>VLOOKUP(A123,'SSP_March''19'!$A$3:$L$1193,11,0)</f>
        <v>299322</v>
      </c>
      <c r="L123" s="43">
        <f>VLOOKUP(A123,'SSP_March''19'!$A$3:$L$1193,12,0)</f>
        <v>59090</v>
      </c>
      <c r="M123" s="44">
        <f t="shared" si="6"/>
        <v>0.19741281963905091</v>
      </c>
      <c r="N123" s="49">
        <f>ROUND(VLOOKUP(A123,'SSP_March''19'!$A$3:$N$1193,14,0),0)</f>
        <v>183179</v>
      </c>
      <c r="O123" s="44">
        <f t="shared" si="7"/>
        <v>0.61197974088105789</v>
      </c>
      <c r="P123" s="45">
        <f>VLOOKUP(A123,'SSP_March''19'!$A$3:$Q$1193,16,0)</f>
        <v>12</v>
      </c>
      <c r="Q123" s="34">
        <f>VLOOKUP(A123,'SSP_March''19'!$A$3:$Q$1193,17,0)</f>
        <v>2</v>
      </c>
      <c r="R123" s="35">
        <f t="shared" si="8"/>
        <v>0.16666666666666666</v>
      </c>
      <c r="S123" s="49">
        <f>ROUND(VLOOKUP(A123,'SSP_March''19'!$A$3:$T$1193,19,0),0)</f>
        <v>6</v>
      </c>
      <c r="T123" s="44">
        <f>VLOOKUP(A123,'SSP_March''19'!$A$3:$T$1193,20,0)</f>
        <v>0.5</v>
      </c>
      <c r="U123" s="34">
        <f>VLOOKUP(A123,'SSP_March''19'!$A$3:$X$1193,21,0)</f>
        <v>2</v>
      </c>
      <c r="V123" s="34">
        <f>VLOOKUP(A123,'SSP_March''19'!$A$3:$X$1193,22,0)</f>
        <v>0</v>
      </c>
      <c r="W123" s="34">
        <f>VLOOKUP(A123,'SSP_March''19'!$A$3:$X$1193,23,0)</f>
        <v>0</v>
      </c>
      <c r="X123" s="34">
        <f>VLOOKUP(A123,'SSP_March''19'!$A$3:$X$1193,24,0)</f>
        <v>1</v>
      </c>
    </row>
    <row r="124" spans="1:24">
      <c r="A124" s="54" t="s">
        <v>2840</v>
      </c>
      <c r="B124" s="54" t="s">
        <v>2841</v>
      </c>
      <c r="C124" s="54" t="s">
        <v>2535</v>
      </c>
      <c r="D124" s="54" t="s">
        <v>148</v>
      </c>
      <c r="E124" s="54" t="s">
        <v>0</v>
      </c>
      <c r="F124" s="54" t="s">
        <v>2842</v>
      </c>
      <c r="G124" s="54">
        <v>1779216000</v>
      </c>
      <c r="H124" s="54" t="s">
        <v>229</v>
      </c>
      <c r="I124" s="54" t="s">
        <v>3514</v>
      </c>
      <c r="J124" s="34" t="s">
        <v>3515</v>
      </c>
      <c r="K124" s="43">
        <f>VLOOKUP(A124,'SSP_March''19'!$A$3:$L$1193,11,0)</f>
        <v>130000</v>
      </c>
      <c r="L124" s="43">
        <f>VLOOKUP(A124,'SSP_March''19'!$A$3:$L$1193,12,0)</f>
        <v>4990</v>
      </c>
      <c r="M124" s="44">
        <f t="shared" si="6"/>
        <v>3.8384615384615385E-2</v>
      </c>
      <c r="N124" s="49">
        <f>ROUND(VLOOKUP(A124,'SSP_March''19'!$A$3:$N$1193,14,0),0)</f>
        <v>15469</v>
      </c>
      <c r="O124" s="44">
        <f t="shared" si="7"/>
        <v>0.11899230769230769</v>
      </c>
      <c r="P124" s="45">
        <f>VLOOKUP(A124,'SSP_March''19'!$A$3:$Q$1193,16,0)</f>
        <v>10</v>
      </c>
      <c r="Q124" s="34">
        <f>VLOOKUP(A124,'SSP_March''19'!$A$3:$Q$1193,17,0)</f>
        <v>0</v>
      </c>
      <c r="R124" s="35">
        <f t="shared" si="8"/>
        <v>0</v>
      </c>
      <c r="S124" s="49">
        <f>ROUND(VLOOKUP(A124,'SSP_March''19'!$A$3:$T$1193,19,0),0)</f>
        <v>0</v>
      </c>
      <c r="T124" s="44">
        <f>VLOOKUP(A124,'SSP_March''19'!$A$3:$T$1193,20,0)</f>
        <v>0</v>
      </c>
      <c r="U124" s="34">
        <f>VLOOKUP(A124,'SSP_March''19'!$A$3:$X$1193,21,0)</f>
        <v>0</v>
      </c>
      <c r="V124" s="34">
        <f>VLOOKUP(A124,'SSP_March''19'!$A$3:$X$1193,22,0)</f>
        <v>0</v>
      </c>
      <c r="W124" s="34">
        <f>VLOOKUP(A124,'SSP_March''19'!$A$3:$X$1193,23,0)</f>
        <v>0</v>
      </c>
      <c r="X124" s="34">
        <f>VLOOKUP(A124,'SSP_March''19'!$A$3:$X$1193,24,0)</f>
        <v>0</v>
      </c>
    </row>
    <row r="125" spans="1:24">
      <c r="A125" s="54" t="s">
        <v>2830</v>
      </c>
      <c r="B125" s="54" t="s">
        <v>2831</v>
      </c>
      <c r="C125" s="54" t="s">
        <v>2535</v>
      </c>
      <c r="D125" s="54" t="s">
        <v>148</v>
      </c>
      <c r="E125" s="54" t="s">
        <v>0</v>
      </c>
      <c r="F125" s="54" t="s">
        <v>2832</v>
      </c>
      <c r="G125" s="54">
        <v>1716213901</v>
      </c>
      <c r="H125" s="54" t="s">
        <v>229</v>
      </c>
      <c r="I125" s="54" t="s">
        <v>3514</v>
      </c>
      <c r="J125" s="34" t="s">
        <v>3419</v>
      </c>
      <c r="K125" s="43">
        <f>VLOOKUP(A125,'SSP_March''19'!$A$3:$L$1193,11,0)</f>
        <v>130000</v>
      </c>
      <c r="L125" s="43">
        <f>VLOOKUP(A125,'SSP_March''19'!$A$3:$L$1193,12,0)</f>
        <v>30785</v>
      </c>
      <c r="M125" s="44">
        <f t="shared" si="6"/>
        <v>0.2368076923076923</v>
      </c>
      <c r="N125" s="49">
        <f>ROUND(VLOOKUP(A125,'SSP_March''19'!$A$3:$N$1193,14,0),0)</f>
        <v>95434</v>
      </c>
      <c r="O125" s="44">
        <f t="shared" si="7"/>
        <v>0.73410769230769235</v>
      </c>
      <c r="P125" s="45">
        <f>VLOOKUP(A125,'SSP_March''19'!$A$3:$Q$1193,16,0)</f>
        <v>10</v>
      </c>
      <c r="Q125" s="34">
        <f>VLOOKUP(A125,'SSP_March''19'!$A$3:$Q$1193,17,0)</f>
        <v>2</v>
      </c>
      <c r="R125" s="35">
        <f t="shared" si="8"/>
        <v>0.2</v>
      </c>
      <c r="S125" s="49">
        <f>ROUND(VLOOKUP(A125,'SSP_March''19'!$A$3:$T$1193,19,0),0)</f>
        <v>6</v>
      </c>
      <c r="T125" s="44">
        <f>VLOOKUP(A125,'SSP_March''19'!$A$3:$T$1193,20,0)</f>
        <v>0.6</v>
      </c>
      <c r="U125" s="34">
        <f>VLOOKUP(A125,'SSP_March''19'!$A$3:$X$1193,21,0)</f>
        <v>0</v>
      </c>
      <c r="V125" s="34">
        <f>VLOOKUP(A125,'SSP_March''19'!$A$3:$X$1193,22,0)</f>
        <v>0</v>
      </c>
      <c r="W125" s="34">
        <f>VLOOKUP(A125,'SSP_March''19'!$A$3:$X$1193,23,0)</f>
        <v>0</v>
      </c>
      <c r="X125" s="34">
        <f>VLOOKUP(A125,'SSP_March''19'!$A$3:$X$1193,24,0)</f>
        <v>0</v>
      </c>
    </row>
    <row r="126" spans="1:24">
      <c r="A126" s="54" t="s">
        <v>2740</v>
      </c>
      <c r="B126" s="54" t="s">
        <v>296</v>
      </c>
      <c r="C126" s="54" t="s">
        <v>2535</v>
      </c>
      <c r="D126" s="54" t="s">
        <v>148</v>
      </c>
      <c r="E126" s="54" t="s">
        <v>0</v>
      </c>
      <c r="F126" s="54" t="s">
        <v>2741</v>
      </c>
      <c r="G126" s="54">
        <v>1718077059</v>
      </c>
      <c r="H126" s="54" t="s">
        <v>229</v>
      </c>
      <c r="I126" s="54" t="s">
        <v>3514</v>
      </c>
      <c r="J126" s="34" t="s">
        <v>3419</v>
      </c>
      <c r="K126" s="43">
        <f>VLOOKUP(A126,'SSP_March''19'!$A$3:$L$1193,11,0)</f>
        <v>130000</v>
      </c>
      <c r="L126" s="43">
        <f>VLOOKUP(A126,'SSP_March''19'!$A$3:$L$1193,12,0)</f>
        <v>24200</v>
      </c>
      <c r="M126" s="44">
        <f t="shared" si="6"/>
        <v>0.18615384615384614</v>
      </c>
      <c r="N126" s="49">
        <f>ROUND(VLOOKUP(A126,'SSP_March''19'!$A$3:$N$1193,14,0),0)</f>
        <v>75020</v>
      </c>
      <c r="O126" s="44">
        <f t="shared" si="7"/>
        <v>0.57707692307692304</v>
      </c>
      <c r="P126" s="45">
        <f>VLOOKUP(A126,'SSP_March''19'!$A$3:$Q$1193,16,0)</f>
        <v>10</v>
      </c>
      <c r="Q126" s="34">
        <f>VLOOKUP(A126,'SSP_March''19'!$A$3:$Q$1193,17,0)</f>
        <v>1</v>
      </c>
      <c r="R126" s="35">
        <f t="shared" si="8"/>
        <v>0.1</v>
      </c>
      <c r="S126" s="49">
        <f>ROUND(VLOOKUP(A126,'SSP_March''19'!$A$3:$T$1193,19,0),0)</f>
        <v>3</v>
      </c>
      <c r="T126" s="44">
        <f>VLOOKUP(A126,'SSP_March''19'!$A$3:$T$1193,20,0)</f>
        <v>0.3</v>
      </c>
      <c r="U126" s="34">
        <f>VLOOKUP(A126,'SSP_March''19'!$A$3:$X$1193,21,0)</f>
        <v>0</v>
      </c>
      <c r="V126" s="34">
        <f>VLOOKUP(A126,'SSP_March''19'!$A$3:$X$1193,22,0)</f>
        <v>0</v>
      </c>
      <c r="W126" s="34">
        <f>VLOOKUP(A126,'SSP_March''19'!$A$3:$X$1193,23,0)</f>
        <v>0</v>
      </c>
      <c r="X126" s="34">
        <f>VLOOKUP(A126,'SSP_March''19'!$A$3:$X$1193,24,0)</f>
        <v>0</v>
      </c>
    </row>
    <row r="127" spans="1:24">
      <c r="A127" s="54" t="s">
        <v>2801</v>
      </c>
      <c r="B127" s="54" t="s">
        <v>2802</v>
      </c>
      <c r="C127" s="54" t="s">
        <v>2535</v>
      </c>
      <c r="D127" s="54" t="s">
        <v>148</v>
      </c>
      <c r="E127" s="54" t="s">
        <v>0</v>
      </c>
      <c r="F127" s="54" t="s">
        <v>2803</v>
      </c>
      <c r="G127" s="54">
        <v>1711952155</v>
      </c>
      <c r="H127" s="54" t="s">
        <v>229</v>
      </c>
      <c r="I127" s="54" t="s">
        <v>3514</v>
      </c>
      <c r="J127" s="34" t="s">
        <v>3419</v>
      </c>
      <c r="K127" s="43">
        <f>VLOOKUP(A127,'SSP_March''19'!$A$3:$L$1193,11,0)</f>
        <v>197715</v>
      </c>
      <c r="L127" s="43">
        <f>VLOOKUP(A127,'SSP_March''19'!$A$3:$L$1193,12,0)</f>
        <v>13220</v>
      </c>
      <c r="M127" s="44">
        <f t="shared" si="6"/>
        <v>6.6863920289305309E-2</v>
      </c>
      <c r="N127" s="49">
        <f>ROUND(VLOOKUP(A127,'SSP_March''19'!$A$3:$N$1193,14,0),0)</f>
        <v>40982</v>
      </c>
      <c r="O127" s="44">
        <f t="shared" si="7"/>
        <v>0.20727815289684648</v>
      </c>
      <c r="P127" s="45">
        <f>VLOOKUP(A127,'SSP_March''19'!$A$3:$Q$1193,16,0)</f>
        <v>10</v>
      </c>
      <c r="Q127" s="34">
        <f>VLOOKUP(A127,'SSP_March''19'!$A$3:$Q$1193,17,0)</f>
        <v>0</v>
      </c>
      <c r="R127" s="35">
        <f t="shared" si="8"/>
        <v>0</v>
      </c>
      <c r="S127" s="49">
        <f>ROUND(VLOOKUP(A127,'SSP_March''19'!$A$3:$T$1193,19,0),0)</f>
        <v>0</v>
      </c>
      <c r="T127" s="44">
        <f>VLOOKUP(A127,'SSP_March''19'!$A$3:$T$1193,20,0)</f>
        <v>0</v>
      </c>
      <c r="U127" s="34">
        <f>VLOOKUP(A127,'SSP_March''19'!$A$3:$X$1193,21,0)</f>
        <v>0</v>
      </c>
      <c r="V127" s="34">
        <f>VLOOKUP(A127,'SSP_March''19'!$A$3:$X$1193,22,0)</f>
        <v>0</v>
      </c>
      <c r="W127" s="34">
        <f>VLOOKUP(A127,'SSP_March''19'!$A$3:$X$1193,23,0)</f>
        <v>0</v>
      </c>
      <c r="X127" s="34">
        <f>VLOOKUP(A127,'SSP_March''19'!$A$3:$X$1193,24,0)</f>
        <v>0</v>
      </c>
    </row>
    <row r="128" spans="1:24">
      <c r="A128" s="54" t="s">
        <v>2687</v>
      </c>
      <c r="B128" s="54" t="s">
        <v>2688</v>
      </c>
      <c r="C128" s="54" t="s">
        <v>2535</v>
      </c>
      <c r="D128" s="54" t="s">
        <v>148</v>
      </c>
      <c r="E128" s="54" t="s">
        <v>0</v>
      </c>
      <c r="F128" s="54" t="s">
        <v>2689</v>
      </c>
      <c r="G128" s="54">
        <v>1712980982</v>
      </c>
      <c r="H128" s="54" t="s">
        <v>229</v>
      </c>
      <c r="I128" s="54" t="s">
        <v>3514</v>
      </c>
      <c r="J128" s="34" t="s">
        <v>3419</v>
      </c>
      <c r="K128" s="43">
        <f>VLOOKUP(A128,'SSP_March''19'!$A$3:$L$1193,11,0)</f>
        <v>159541</v>
      </c>
      <c r="L128" s="43">
        <f>VLOOKUP(A128,'SSP_March''19'!$A$3:$L$1193,12,0)</f>
        <v>37379</v>
      </c>
      <c r="M128" s="44">
        <f t="shared" si="6"/>
        <v>0.23429087193887466</v>
      </c>
      <c r="N128" s="49">
        <f>ROUND(VLOOKUP(A128,'SSP_March''19'!$A$3:$N$1193,14,0),0)</f>
        <v>115875</v>
      </c>
      <c r="O128" s="44">
        <f t="shared" si="7"/>
        <v>0.72630232980863851</v>
      </c>
      <c r="P128" s="45">
        <f>VLOOKUP(A128,'SSP_March''19'!$A$3:$Q$1193,16,0)</f>
        <v>10</v>
      </c>
      <c r="Q128" s="34">
        <f>VLOOKUP(A128,'SSP_March''19'!$A$3:$Q$1193,17,0)</f>
        <v>0</v>
      </c>
      <c r="R128" s="35">
        <f t="shared" si="8"/>
        <v>0</v>
      </c>
      <c r="S128" s="49">
        <f>ROUND(VLOOKUP(A128,'SSP_March''19'!$A$3:$T$1193,19,0),0)</f>
        <v>0</v>
      </c>
      <c r="T128" s="44">
        <f>VLOOKUP(A128,'SSP_March''19'!$A$3:$T$1193,20,0)</f>
        <v>0</v>
      </c>
      <c r="U128" s="34">
        <f>VLOOKUP(A128,'SSP_March''19'!$A$3:$X$1193,21,0)</f>
        <v>0</v>
      </c>
      <c r="V128" s="34">
        <f>VLOOKUP(A128,'SSP_March''19'!$A$3:$X$1193,22,0)</f>
        <v>0</v>
      </c>
      <c r="W128" s="34">
        <f>VLOOKUP(A128,'SSP_March''19'!$A$3:$X$1193,23,0)</f>
        <v>0</v>
      </c>
      <c r="X128" s="34">
        <f>VLOOKUP(A128,'SSP_March''19'!$A$3:$X$1193,24,0)</f>
        <v>0</v>
      </c>
    </row>
    <row r="129" spans="1:24">
      <c r="A129" s="54" t="s">
        <v>2837</v>
      </c>
      <c r="B129" s="54" t="s">
        <v>2838</v>
      </c>
      <c r="C129" s="54" t="s">
        <v>2535</v>
      </c>
      <c r="D129" s="54" t="s">
        <v>148</v>
      </c>
      <c r="E129" s="54" t="s">
        <v>0</v>
      </c>
      <c r="F129" s="54" t="s">
        <v>2839</v>
      </c>
      <c r="G129" s="54">
        <v>1714204035</v>
      </c>
      <c r="H129" s="54" t="s">
        <v>229</v>
      </c>
      <c r="I129" s="54" t="s">
        <v>3514</v>
      </c>
      <c r="J129" s="34" t="s">
        <v>3419</v>
      </c>
      <c r="K129" s="43">
        <f>VLOOKUP(A129,'SSP_March''19'!$A$3:$L$1193,11,0)</f>
        <v>130000</v>
      </c>
      <c r="L129" s="43">
        <f>VLOOKUP(A129,'SSP_March''19'!$A$3:$L$1193,12,0)</f>
        <v>9480</v>
      </c>
      <c r="M129" s="44">
        <f t="shared" si="6"/>
        <v>7.2923076923076924E-2</v>
      </c>
      <c r="N129" s="49">
        <f>ROUND(VLOOKUP(A129,'SSP_March''19'!$A$3:$N$1193,14,0),0)</f>
        <v>29388</v>
      </c>
      <c r="O129" s="44">
        <f t="shared" si="7"/>
        <v>0.22606153846153845</v>
      </c>
      <c r="P129" s="45">
        <f>VLOOKUP(A129,'SSP_March''19'!$A$3:$Q$1193,16,0)</f>
        <v>10</v>
      </c>
      <c r="Q129" s="34">
        <f>VLOOKUP(A129,'SSP_March''19'!$A$3:$Q$1193,17,0)</f>
        <v>0</v>
      </c>
      <c r="R129" s="35">
        <f t="shared" si="8"/>
        <v>0</v>
      </c>
      <c r="S129" s="49">
        <f>ROUND(VLOOKUP(A129,'SSP_March''19'!$A$3:$T$1193,19,0),0)</f>
        <v>0</v>
      </c>
      <c r="T129" s="44">
        <f>VLOOKUP(A129,'SSP_March''19'!$A$3:$T$1193,20,0)</f>
        <v>0</v>
      </c>
      <c r="U129" s="34">
        <f>VLOOKUP(A129,'SSP_March''19'!$A$3:$X$1193,21,0)</f>
        <v>0</v>
      </c>
      <c r="V129" s="34">
        <f>VLOOKUP(A129,'SSP_March''19'!$A$3:$X$1193,22,0)</f>
        <v>0</v>
      </c>
      <c r="W129" s="34">
        <f>VLOOKUP(A129,'SSP_March''19'!$A$3:$X$1193,23,0)</f>
        <v>0</v>
      </c>
      <c r="X129" s="34">
        <f>VLOOKUP(A129,'SSP_March''19'!$A$3:$X$1193,24,0)</f>
        <v>0</v>
      </c>
    </row>
    <row r="130" spans="1:24">
      <c r="A130" s="54" t="s">
        <v>2376</v>
      </c>
      <c r="B130" s="54" t="s">
        <v>2377</v>
      </c>
      <c r="C130" s="54" t="s">
        <v>169</v>
      </c>
      <c r="D130" s="54" t="s">
        <v>148</v>
      </c>
      <c r="E130" s="54" t="s">
        <v>0</v>
      </c>
      <c r="F130" s="54" t="s">
        <v>2378</v>
      </c>
      <c r="G130" s="54">
        <v>1922825529</v>
      </c>
      <c r="H130" s="54" t="s">
        <v>229</v>
      </c>
      <c r="I130" s="54" t="s">
        <v>3514</v>
      </c>
      <c r="J130" s="34" t="s">
        <v>3421</v>
      </c>
      <c r="K130" s="43">
        <f>VLOOKUP(A130,'SSP_March''19'!$A$3:$L$1193,11,0)</f>
        <v>130000</v>
      </c>
      <c r="L130" s="43">
        <f>VLOOKUP(A130,'SSP_March''19'!$A$3:$L$1193,12,0)</f>
        <v>17510</v>
      </c>
      <c r="M130" s="44">
        <f t="shared" si="6"/>
        <v>0.13469230769230769</v>
      </c>
      <c r="N130" s="49">
        <f>ROUND(VLOOKUP(A130,'SSP_March''19'!$A$3:$N$1193,14,0),0)</f>
        <v>54281</v>
      </c>
      <c r="O130" s="44">
        <f t="shared" si="7"/>
        <v>0.41754615384615384</v>
      </c>
      <c r="P130" s="45">
        <f>VLOOKUP(A130,'SSP_March''19'!$A$3:$Q$1193,16,0)</f>
        <v>10</v>
      </c>
      <c r="Q130" s="34">
        <f>VLOOKUP(A130,'SSP_March''19'!$A$3:$Q$1193,17,0)</f>
        <v>0</v>
      </c>
      <c r="R130" s="35">
        <f t="shared" si="8"/>
        <v>0</v>
      </c>
      <c r="S130" s="49">
        <f>ROUND(VLOOKUP(A130,'SSP_March''19'!$A$3:$T$1193,19,0),0)</f>
        <v>0</v>
      </c>
      <c r="T130" s="44">
        <f>VLOOKUP(A130,'SSP_March''19'!$A$3:$T$1193,20,0)</f>
        <v>0</v>
      </c>
      <c r="U130" s="34">
        <f>VLOOKUP(A130,'SSP_March''19'!$A$3:$X$1193,21,0)</f>
        <v>1</v>
      </c>
      <c r="V130" s="34">
        <f>VLOOKUP(A130,'SSP_March''19'!$A$3:$X$1193,22,0)</f>
        <v>0</v>
      </c>
      <c r="W130" s="34">
        <f>VLOOKUP(A130,'SSP_March''19'!$A$3:$X$1193,23,0)</f>
        <v>0</v>
      </c>
      <c r="X130" s="34">
        <f>VLOOKUP(A130,'SSP_March''19'!$A$3:$X$1193,24,0)</f>
        <v>0</v>
      </c>
    </row>
    <row r="131" spans="1:24">
      <c r="A131" s="54" t="s">
        <v>2403</v>
      </c>
      <c r="B131" s="54" t="s">
        <v>2404</v>
      </c>
      <c r="C131" s="54" t="s">
        <v>169</v>
      </c>
      <c r="D131" s="54" t="s">
        <v>148</v>
      </c>
      <c r="E131" s="54" t="s">
        <v>0</v>
      </c>
      <c r="F131" s="54" t="s">
        <v>2405</v>
      </c>
      <c r="G131" s="54">
        <v>1711475878</v>
      </c>
      <c r="H131" s="54" t="s">
        <v>229</v>
      </c>
      <c r="I131" s="54" t="s">
        <v>3514</v>
      </c>
      <c r="J131" s="34" t="s">
        <v>3515</v>
      </c>
      <c r="K131" s="43">
        <f>VLOOKUP(A131,'SSP_March''19'!$A$3:$L$1193,11,0)</f>
        <v>221546</v>
      </c>
      <c r="L131" s="43">
        <f>VLOOKUP(A131,'SSP_March''19'!$A$3:$L$1193,12,0)</f>
        <v>41570</v>
      </c>
      <c r="M131" s="44">
        <f t="shared" si="6"/>
        <v>0.18763597627580728</v>
      </c>
      <c r="N131" s="49">
        <f>ROUND(VLOOKUP(A131,'SSP_March''19'!$A$3:$N$1193,14,0),0)</f>
        <v>128867</v>
      </c>
      <c r="O131" s="44">
        <f t="shared" si="7"/>
        <v>0.58167152645500253</v>
      </c>
      <c r="P131" s="45">
        <f>VLOOKUP(A131,'SSP_March''19'!$A$3:$Q$1193,16,0)</f>
        <v>10</v>
      </c>
      <c r="Q131" s="34">
        <f>VLOOKUP(A131,'SSP_March''19'!$A$3:$Q$1193,17,0)</f>
        <v>1</v>
      </c>
      <c r="R131" s="35">
        <f t="shared" si="8"/>
        <v>0.1</v>
      </c>
      <c r="S131" s="49">
        <f>ROUND(VLOOKUP(A131,'SSP_March''19'!$A$3:$T$1193,19,0),0)</f>
        <v>3</v>
      </c>
      <c r="T131" s="44">
        <f>VLOOKUP(A131,'SSP_March''19'!$A$3:$T$1193,20,0)</f>
        <v>0.3</v>
      </c>
      <c r="U131" s="34">
        <f>VLOOKUP(A131,'SSP_March''19'!$A$3:$X$1193,21,0)</f>
        <v>0</v>
      </c>
      <c r="V131" s="34">
        <f>VLOOKUP(A131,'SSP_March''19'!$A$3:$X$1193,22,0)</f>
        <v>0</v>
      </c>
      <c r="W131" s="34">
        <f>VLOOKUP(A131,'SSP_March''19'!$A$3:$X$1193,23,0)</f>
        <v>1</v>
      </c>
      <c r="X131" s="34">
        <f>VLOOKUP(A131,'SSP_March''19'!$A$3:$X$1193,24,0)</f>
        <v>0</v>
      </c>
    </row>
    <row r="132" spans="1:24">
      <c r="A132" s="54" t="s">
        <v>2772</v>
      </c>
      <c r="B132" s="54" t="s">
        <v>2773</v>
      </c>
      <c r="C132" s="54" t="s">
        <v>169</v>
      </c>
      <c r="D132" s="54" t="s">
        <v>148</v>
      </c>
      <c r="E132" s="54" t="s">
        <v>0</v>
      </c>
      <c r="F132" s="54" t="s">
        <v>2774</v>
      </c>
      <c r="G132" s="54">
        <v>1767859939</v>
      </c>
      <c r="H132" s="54" t="s">
        <v>229</v>
      </c>
      <c r="I132" s="54" t="s">
        <v>3514</v>
      </c>
      <c r="J132" s="34" t="s">
        <v>3421</v>
      </c>
      <c r="K132" s="43">
        <f>VLOOKUP(A132,'SSP_March''19'!$A$3:$L$1193,11,0)</f>
        <v>130000</v>
      </c>
      <c r="L132" s="43">
        <f>VLOOKUP(A132,'SSP_March''19'!$A$3:$L$1193,12,0)</f>
        <v>23559</v>
      </c>
      <c r="M132" s="44">
        <f t="shared" si="6"/>
        <v>0.18122307692307693</v>
      </c>
      <c r="N132" s="49">
        <f>ROUND(VLOOKUP(A132,'SSP_March''19'!$A$3:$N$1193,14,0),0)</f>
        <v>73033</v>
      </c>
      <c r="O132" s="44">
        <f t="shared" si="7"/>
        <v>0.5617923076923077</v>
      </c>
      <c r="P132" s="45">
        <f>VLOOKUP(A132,'SSP_March''19'!$A$3:$Q$1193,16,0)</f>
        <v>10</v>
      </c>
      <c r="Q132" s="34">
        <f>VLOOKUP(A132,'SSP_March''19'!$A$3:$Q$1193,17,0)</f>
        <v>0</v>
      </c>
      <c r="R132" s="35">
        <f t="shared" si="8"/>
        <v>0</v>
      </c>
      <c r="S132" s="49">
        <f>ROUND(VLOOKUP(A132,'SSP_March''19'!$A$3:$T$1193,19,0),0)</f>
        <v>0</v>
      </c>
      <c r="T132" s="44">
        <f>VLOOKUP(A132,'SSP_March''19'!$A$3:$T$1193,20,0)</f>
        <v>0</v>
      </c>
      <c r="U132" s="34">
        <f>VLOOKUP(A132,'SSP_March''19'!$A$3:$X$1193,21,0)</f>
        <v>1</v>
      </c>
      <c r="V132" s="34">
        <f>VLOOKUP(A132,'SSP_March''19'!$A$3:$X$1193,22,0)</f>
        <v>0</v>
      </c>
      <c r="W132" s="34">
        <f>VLOOKUP(A132,'SSP_March''19'!$A$3:$X$1193,23,0)</f>
        <v>0</v>
      </c>
      <c r="X132" s="34">
        <f>VLOOKUP(A132,'SSP_March''19'!$A$3:$X$1193,24,0)</f>
        <v>0</v>
      </c>
    </row>
    <row r="133" spans="1:24">
      <c r="A133" s="34" t="s">
        <v>3628</v>
      </c>
      <c r="B133" s="34" t="s">
        <v>3629</v>
      </c>
      <c r="C133" s="34" t="s">
        <v>169</v>
      </c>
      <c r="D133" s="34" t="s">
        <v>148</v>
      </c>
      <c r="E133" s="34" t="s">
        <v>0</v>
      </c>
      <c r="F133" s="34" t="s">
        <v>3630</v>
      </c>
      <c r="G133" s="54">
        <v>1720545767</v>
      </c>
      <c r="H133" s="54" t="s">
        <v>229</v>
      </c>
      <c r="I133" s="54" t="s">
        <v>3518</v>
      </c>
      <c r="J133" s="34" t="s">
        <v>3419</v>
      </c>
      <c r="K133" s="43">
        <f>VLOOKUP(A133,'SSP_March''19'!$A$3:$L$1193,11,0)</f>
        <v>310000</v>
      </c>
      <c r="L133" s="43">
        <f>VLOOKUP(A133,'SSP_March''19'!$A$3:$L$1193,12,0)</f>
        <v>198460</v>
      </c>
      <c r="M133" s="44">
        <f t="shared" si="6"/>
        <v>0.64019354838709674</v>
      </c>
      <c r="N133" s="49">
        <f>ROUND(VLOOKUP(A133,'SSP_March''19'!$A$3:$N$1193,14,0),0)</f>
        <v>615226</v>
      </c>
      <c r="O133" s="44">
        <f t="shared" si="7"/>
        <v>1.9845999999999999</v>
      </c>
      <c r="P133" s="45">
        <f>VLOOKUP(A133,'SSP_March''19'!$A$3:$Q$1193,16,0)</f>
        <v>16</v>
      </c>
      <c r="Q133" s="34">
        <f>VLOOKUP(A133,'SSP_March''19'!$A$3:$Q$1193,17,0)</f>
        <v>9</v>
      </c>
      <c r="R133" s="35">
        <f t="shared" si="8"/>
        <v>0.5625</v>
      </c>
      <c r="S133" s="49">
        <f>ROUND(VLOOKUP(A133,'SSP_March''19'!$A$3:$T$1193,19,0),0)</f>
        <v>28</v>
      </c>
      <c r="T133" s="44">
        <f>VLOOKUP(A133,'SSP_March''19'!$A$3:$T$1193,20,0)</f>
        <v>1.75</v>
      </c>
      <c r="U133" s="34">
        <f>VLOOKUP(A133,'SSP_March''19'!$A$3:$X$1193,21,0)</f>
        <v>3</v>
      </c>
      <c r="V133" s="34">
        <f>VLOOKUP(A133,'SSP_March''19'!$A$3:$X$1193,22,0)</f>
        <v>2</v>
      </c>
      <c r="W133" s="34">
        <f>VLOOKUP(A133,'SSP_March''19'!$A$3:$X$1193,23,0)</f>
        <v>0</v>
      </c>
      <c r="X133" s="34">
        <f>VLOOKUP(A133,'SSP_March''19'!$A$3:$X$1193,24,0)</f>
        <v>1</v>
      </c>
    </row>
    <row r="134" spans="1:24">
      <c r="A134" s="54" t="s">
        <v>3382</v>
      </c>
      <c r="B134" s="54" t="s">
        <v>3383</v>
      </c>
      <c r="C134" s="54" t="s">
        <v>169</v>
      </c>
      <c r="D134" s="54" t="s">
        <v>148</v>
      </c>
      <c r="E134" s="54" t="s">
        <v>0</v>
      </c>
      <c r="F134" s="54" t="s">
        <v>3381</v>
      </c>
      <c r="G134" s="54">
        <v>1913209678</v>
      </c>
      <c r="H134" s="54" t="s">
        <v>229</v>
      </c>
      <c r="I134" s="54" t="s">
        <v>3514</v>
      </c>
      <c r="J134" s="34" t="s">
        <v>3419</v>
      </c>
      <c r="K134" s="43">
        <f>VLOOKUP(A134,'SSP_March''19'!$A$3:$L$1193,11,0)</f>
        <v>253949</v>
      </c>
      <c r="L134" s="43">
        <f>VLOOKUP(A134,'SSP_March''19'!$A$3:$L$1193,12,0)</f>
        <v>84528</v>
      </c>
      <c r="M134" s="44">
        <f t="shared" si="6"/>
        <v>0.33285423451165391</v>
      </c>
      <c r="N134" s="49">
        <f>ROUND(VLOOKUP(A134,'SSP_March''19'!$A$3:$N$1193,14,0),0)</f>
        <v>262037</v>
      </c>
      <c r="O134" s="44">
        <f t="shared" si="7"/>
        <v>1.0318489145458341</v>
      </c>
      <c r="P134" s="45">
        <f>VLOOKUP(A134,'SSP_March''19'!$A$3:$Q$1193,16,0)</f>
        <v>10</v>
      </c>
      <c r="Q134" s="34">
        <f>VLOOKUP(A134,'SSP_March''19'!$A$3:$Q$1193,17,0)</f>
        <v>5</v>
      </c>
      <c r="R134" s="35">
        <f t="shared" si="8"/>
        <v>0.5</v>
      </c>
      <c r="S134" s="49">
        <f>ROUND(VLOOKUP(A134,'SSP_March''19'!$A$3:$T$1193,19,0),0)</f>
        <v>16</v>
      </c>
      <c r="T134" s="44">
        <f>VLOOKUP(A134,'SSP_March''19'!$A$3:$T$1193,20,0)</f>
        <v>1.6</v>
      </c>
      <c r="U134" s="34">
        <f>VLOOKUP(A134,'SSP_March''19'!$A$3:$X$1193,21,0)</f>
        <v>1</v>
      </c>
      <c r="V134" s="34">
        <f>VLOOKUP(A134,'SSP_March''19'!$A$3:$X$1193,22,0)</f>
        <v>2</v>
      </c>
      <c r="W134" s="34">
        <f>VLOOKUP(A134,'SSP_March''19'!$A$3:$X$1193,23,0)</f>
        <v>0</v>
      </c>
      <c r="X134" s="34">
        <f>VLOOKUP(A134,'SSP_March''19'!$A$3:$X$1193,24,0)</f>
        <v>0</v>
      </c>
    </row>
    <row r="135" spans="1:24">
      <c r="A135" s="54" t="s">
        <v>2708</v>
      </c>
      <c r="B135" s="54" t="s">
        <v>117</v>
      </c>
      <c r="C135" s="54" t="s">
        <v>169</v>
      </c>
      <c r="D135" s="54" t="s">
        <v>148</v>
      </c>
      <c r="E135" s="54" t="s">
        <v>0</v>
      </c>
      <c r="F135" s="54" t="s">
        <v>2709</v>
      </c>
      <c r="G135" s="54">
        <v>1719983230</v>
      </c>
      <c r="H135" s="54" t="s">
        <v>229</v>
      </c>
      <c r="I135" s="54" t="s">
        <v>3514</v>
      </c>
      <c r="J135" s="34" t="s">
        <v>3421</v>
      </c>
      <c r="K135" s="43">
        <f>VLOOKUP(A135,'SSP_March''19'!$A$3:$L$1193,11,0)</f>
        <v>130000</v>
      </c>
      <c r="L135" s="43">
        <f>VLOOKUP(A135,'SSP_March''19'!$A$3:$L$1193,12,0)</f>
        <v>0</v>
      </c>
      <c r="M135" s="44">
        <f t="shared" si="6"/>
        <v>0</v>
      </c>
      <c r="N135" s="49">
        <f>ROUND(VLOOKUP(A135,'SSP_March''19'!$A$3:$N$1193,14,0),0)</f>
        <v>0</v>
      </c>
      <c r="O135" s="44">
        <f t="shared" si="7"/>
        <v>0</v>
      </c>
      <c r="P135" s="45">
        <f>VLOOKUP(A135,'SSP_March''19'!$A$3:$Q$1193,16,0)</f>
        <v>10</v>
      </c>
      <c r="Q135" s="34">
        <f>VLOOKUP(A135,'SSP_March''19'!$A$3:$Q$1193,17,0)</f>
        <v>0</v>
      </c>
      <c r="R135" s="35">
        <f t="shared" si="8"/>
        <v>0</v>
      </c>
      <c r="S135" s="49">
        <f>ROUND(VLOOKUP(A135,'SSP_March''19'!$A$3:$T$1193,19,0),0)</f>
        <v>0</v>
      </c>
      <c r="T135" s="44">
        <f>VLOOKUP(A135,'SSP_March''19'!$A$3:$T$1193,20,0)</f>
        <v>0</v>
      </c>
      <c r="U135" s="34">
        <f>VLOOKUP(A135,'SSP_March''19'!$A$3:$X$1193,21,0)</f>
        <v>0</v>
      </c>
      <c r="V135" s="34">
        <f>VLOOKUP(A135,'SSP_March''19'!$A$3:$X$1193,22,0)</f>
        <v>0</v>
      </c>
      <c r="W135" s="34">
        <f>VLOOKUP(A135,'SSP_March''19'!$A$3:$X$1193,23,0)</f>
        <v>0</v>
      </c>
      <c r="X135" s="34">
        <f>VLOOKUP(A135,'SSP_March''19'!$A$3:$X$1193,24,0)</f>
        <v>0</v>
      </c>
    </row>
    <row r="136" spans="1:24">
      <c r="A136" s="54" t="s">
        <v>2699</v>
      </c>
      <c r="B136" s="54" t="s">
        <v>837</v>
      </c>
      <c r="C136" s="54" t="s">
        <v>169</v>
      </c>
      <c r="D136" s="54" t="s">
        <v>148</v>
      </c>
      <c r="E136" s="54" t="s">
        <v>0</v>
      </c>
      <c r="F136" s="54" t="s">
        <v>2700</v>
      </c>
      <c r="G136" s="54">
        <v>1717259590</v>
      </c>
      <c r="H136" s="54" t="s">
        <v>229</v>
      </c>
      <c r="I136" s="54" t="s">
        <v>3514</v>
      </c>
      <c r="J136" s="34" t="s">
        <v>3419</v>
      </c>
      <c r="K136" s="43">
        <f>VLOOKUP(A136,'SSP_March''19'!$A$3:$L$1193,11,0)</f>
        <v>130000</v>
      </c>
      <c r="L136" s="43">
        <f>VLOOKUP(A136,'SSP_March''19'!$A$3:$L$1193,12,0)</f>
        <v>29990</v>
      </c>
      <c r="M136" s="44">
        <f t="shared" si="6"/>
        <v>0.2306923076923077</v>
      </c>
      <c r="N136" s="49">
        <f>ROUND(VLOOKUP(A136,'SSP_March''19'!$A$3:$N$1193,14,0),0)</f>
        <v>92969</v>
      </c>
      <c r="O136" s="44">
        <f t="shared" si="7"/>
        <v>0.71514615384615388</v>
      </c>
      <c r="P136" s="45">
        <f>VLOOKUP(A136,'SSP_March''19'!$A$3:$Q$1193,16,0)</f>
        <v>10</v>
      </c>
      <c r="Q136" s="34">
        <f>VLOOKUP(A136,'SSP_March''19'!$A$3:$Q$1193,17,0)</f>
        <v>2</v>
      </c>
      <c r="R136" s="35">
        <f t="shared" si="8"/>
        <v>0.2</v>
      </c>
      <c r="S136" s="49">
        <f>ROUND(VLOOKUP(A136,'SSP_March''19'!$A$3:$T$1193,19,0),0)</f>
        <v>6</v>
      </c>
      <c r="T136" s="44">
        <f>VLOOKUP(A136,'SSP_March''19'!$A$3:$T$1193,20,0)</f>
        <v>0.6</v>
      </c>
      <c r="U136" s="34">
        <f>VLOOKUP(A136,'SSP_March''19'!$A$3:$X$1193,21,0)</f>
        <v>0</v>
      </c>
      <c r="V136" s="34">
        <f>VLOOKUP(A136,'SSP_March''19'!$A$3:$X$1193,22,0)</f>
        <v>0</v>
      </c>
      <c r="W136" s="34">
        <f>VLOOKUP(A136,'SSP_March''19'!$A$3:$X$1193,23,0)</f>
        <v>0</v>
      </c>
      <c r="X136" s="34">
        <f>VLOOKUP(A136,'SSP_March''19'!$A$3:$X$1193,24,0)</f>
        <v>0</v>
      </c>
    </row>
    <row r="137" spans="1:24">
      <c r="A137" s="54" t="s">
        <v>2411</v>
      </c>
      <c r="B137" s="54" t="s">
        <v>2412</v>
      </c>
      <c r="C137" s="54" t="s">
        <v>169</v>
      </c>
      <c r="D137" s="54" t="s">
        <v>148</v>
      </c>
      <c r="E137" s="54" t="s">
        <v>0</v>
      </c>
      <c r="F137" s="54" t="s">
        <v>2413</v>
      </c>
      <c r="G137" s="54">
        <v>1712347436</v>
      </c>
      <c r="H137" s="54" t="s">
        <v>229</v>
      </c>
      <c r="I137" s="54" t="s">
        <v>3514</v>
      </c>
      <c r="J137" s="34" t="s">
        <v>3419</v>
      </c>
      <c r="K137" s="43">
        <f>VLOOKUP(A137,'SSP_March''19'!$A$3:$L$1193,11,0)</f>
        <v>130000</v>
      </c>
      <c r="L137" s="43">
        <f>VLOOKUP(A137,'SSP_March''19'!$A$3:$L$1193,12,0)</f>
        <v>28900</v>
      </c>
      <c r="M137" s="44">
        <f t="shared" si="6"/>
        <v>0.22230769230769232</v>
      </c>
      <c r="N137" s="49">
        <f>ROUND(VLOOKUP(A137,'SSP_March''19'!$A$3:$N$1193,14,0),0)</f>
        <v>89590</v>
      </c>
      <c r="O137" s="44">
        <f t="shared" si="7"/>
        <v>0.68915384615384612</v>
      </c>
      <c r="P137" s="45">
        <f>VLOOKUP(A137,'SSP_March''19'!$A$3:$Q$1193,16,0)</f>
        <v>10</v>
      </c>
      <c r="Q137" s="34">
        <f>VLOOKUP(A137,'SSP_March''19'!$A$3:$Q$1193,17,0)</f>
        <v>1</v>
      </c>
      <c r="R137" s="35">
        <f t="shared" si="8"/>
        <v>0.1</v>
      </c>
      <c r="S137" s="49">
        <f>ROUND(VLOOKUP(A137,'SSP_March''19'!$A$3:$T$1193,19,0),0)</f>
        <v>3</v>
      </c>
      <c r="T137" s="44">
        <f>VLOOKUP(A137,'SSP_March''19'!$A$3:$T$1193,20,0)</f>
        <v>0.3</v>
      </c>
      <c r="U137" s="34">
        <f>VLOOKUP(A137,'SSP_March''19'!$A$3:$X$1193,21,0)</f>
        <v>1</v>
      </c>
      <c r="V137" s="34">
        <f>VLOOKUP(A137,'SSP_March''19'!$A$3:$X$1193,22,0)</f>
        <v>0</v>
      </c>
      <c r="W137" s="34">
        <f>VLOOKUP(A137,'SSP_March''19'!$A$3:$X$1193,23,0)</f>
        <v>0</v>
      </c>
      <c r="X137" s="34">
        <f>VLOOKUP(A137,'SSP_March''19'!$A$3:$X$1193,24,0)</f>
        <v>0</v>
      </c>
    </row>
    <row r="138" spans="1:24">
      <c r="A138" s="54" t="s">
        <v>2561</v>
      </c>
      <c r="B138" s="54" t="s">
        <v>2562</v>
      </c>
      <c r="C138" s="54" t="s">
        <v>169</v>
      </c>
      <c r="D138" s="54" t="s">
        <v>148</v>
      </c>
      <c r="E138" s="54" t="s">
        <v>0</v>
      </c>
      <c r="F138" s="54" t="s">
        <v>2563</v>
      </c>
      <c r="G138" s="54">
        <v>1711227842</v>
      </c>
      <c r="H138" s="54" t="s">
        <v>229</v>
      </c>
      <c r="I138" s="54" t="s">
        <v>3514</v>
      </c>
      <c r="J138" s="34" t="s">
        <v>3419</v>
      </c>
      <c r="K138" s="43">
        <f>VLOOKUP(A138,'SSP_March''19'!$A$3:$L$1193,11,0)</f>
        <v>207767</v>
      </c>
      <c r="L138" s="43">
        <f>VLOOKUP(A138,'SSP_March''19'!$A$3:$L$1193,12,0)</f>
        <v>30540</v>
      </c>
      <c r="M138" s="44">
        <f t="shared" si="6"/>
        <v>0.14699158191628123</v>
      </c>
      <c r="N138" s="49">
        <f>ROUND(VLOOKUP(A138,'SSP_March''19'!$A$3:$N$1193,14,0),0)</f>
        <v>94674</v>
      </c>
      <c r="O138" s="44">
        <f t="shared" si="7"/>
        <v>0.4556739039404718</v>
      </c>
      <c r="P138" s="45">
        <f>VLOOKUP(A138,'SSP_March''19'!$A$3:$Q$1193,16,0)</f>
        <v>10</v>
      </c>
      <c r="Q138" s="34">
        <f>VLOOKUP(A138,'SSP_March''19'!$A$3:$Q$1193,17,0)</f>
        <v>0</v>
      </c>
      <c r="R138" s="35">
        <f t="shared" si="8"/>
        <v>0</v>
      </c>
      <c r="S138" s="49">
        <f>ROUND(VLOOKUP(A138,'SSP_March''19'!$A$3:$T$1193,19,0),0)</f>
        <v>0</v>
      </c>
      <c r="T138" s="44">
        <f>VLOOKUP(A138,'SSP_March''19'!$A$3:$T$1193,20,0)</f>
        <v>0</v>
      </c>
      <c r="U138" s="34">
        <f>VLOOKUP(A138,'SSP_March''19'!$A$3:$X$1193,21,0)</f>
        <v>0</v>
      </c>
      <c r="V138" s="34">
        <f>VLOOKUP(A138,'SSP_March''19'!$A$3:$X$1193,22,0)</f>
        <v>0</v>
      </c>
      <c r="W138" s="34">
        <f>VLOOKUP(A138,'SSP_March''19'!$A$3:$X$1193,23,0)</f>
        <v>0</v>
      </c>
      <c r="X138" s="34">
        <f>VLOOKUP(A138,'SSP_March''19'!$A$3:$X$1193,24,0)</f>
        <v>0</v>
      </c>
    </row>
    <row r="139" spans="1:24">
      <c r="A139" s="54" t="s">
        <v>2465</v>
      </c>
      <c r="B139" s="54" t="s">
        <v>2466</v>
      </c>
      <c r="C139" s="54" t="s">
        <v>169</v>
      </c>
      <c r="D139" s="54" t="s">
        <v>148</v>
      </c>
      <c r="E139" s="54" t="s">
        <v>0</v>
      </c>
      <c r="F139" s="54" t="s">
        <v>1712</v>
      </c>
      <c r="G139" s="54">
        <v>1718801319</v>
      </c>
      <c r="H139" s="54" t="s">
        <v>229</v>
      </c>
      <c r="I139" s="54" t="s">
        <v>3514</v>
      </c>
      <c r="J139" s="34" t="s">
        <v>3515</v>
      </c>
      <c r="K139" s="43">
        <f>VLOOKUP(A139,'SSP_March''19'!$A$3:$L$1193,11,0)</f>
        <v>130000</v>
      </c>
      <c r="L139" s="43">
        <f>VLOOKUP(A139,'SSP_March''19'!$A$3:$L$1193,12,0)</f>
        <v>21260</v>
      </c>
      <c r="M139" s="44">
        <f t="shared" si="6"/>
        <v>0.16353846153846155</v>
      </c>
      <c r="N139" s="49">
        <f>ROUND(VLOOKUP(A139,'SSP_March''19'!$A$3:$N$1193,14,0),0)</f>
        <v>65906</v>
      </c>
      <c r="O139" s="44">
        <f t="shared" si="7"/>
        <v>0.50696923076923073</v>
      </c>
      <c r="P139" s="45">
        <f>VLOOKUP(A139,'SSP_March''19'!$A$3:$Q$1193,16,0)</f>
        <v>10</v>
      </c>
      <c r="Q139" s="34">
        <f>VLOOKUP(A139,'SSP_March''19'!$A$3:$Q$1193,17,0)</f>
        <v>0</v>
      </c>
      <c r="R139" s="35">
        <f t="shared" si="8"/>
        <v>0</v>
      </c>
      <c r="S139" s="49">
        <f>ROUND(VLOOKUP(A139,'SSP_March''19'!$A$3:$T$1193,19,0),0)</f>
        <v>0</v>
      </c>
      <c r="T139" s="44">
        <f>VLOOKUP(A139,'SSP_March''19'!$A$3:$T$1193,20,0)</f>
        <v>0</v>
      </c>
      <c r="U139" s="34">
        <f>VLOOKUP(A139,'SSP_March''19'!$A$3:$X$1193,21,0)</f>
        <v>0</v>
      </c>
      <c r="V139" s="34">
        <f>VLOOKUP(A139,'SSP_March''19'!$A$3:$X$1193,22,0)</f>
        <v>0</v>
      </c>
      <c r="W139" s="34">
        <f>VLOOKUP(A139,'SSP_March''19'!$A$3:$X$1193,23,0)</f>
        <v>0</v>
      </c>
      <c r="X139" s="34">
        <f>VLOOKUP(A139,'SSP_March''19'!$A$3:$X$1193,24,0)</f>
        <v>0</v>
      </c>
    </row>
    <row r="140" spans="1:24">
      <c r="A140" s="54" t="s">
        <v>2726</v>
      </c>
      <c r="B140" s="54" t="s">
        <v>2727</v>
      </c>
      <c r="C140" s="54" t="s">
        <v>169</v>
      </c>
      <c r="D140" s="54" t="s">
        <v>148</v>
      </c>
      <c r="E140" s="54" t="s">
        <v>0</v>
      </c>
      <c r="F140" s="54" t="s">
        <v>2728</v>
      </c>
      <c r="G140" s="54">
        <v>1611189429</v>
      </c>
      <c r="H140" s="54" t="s">
        <v>229</v>
      </c>
      <c r="I140" s="54" t="s">
        <v>3514</v>
      </c>
      <c r="J140" s="34" t="s">
        <v>3421</v>
      </c>
      <c r="K140" s="43">
        <f>VLOOKUP(A140,'SSP_March''19'!$A$3:$L$1193,11,0)</f>
        <v>130000</v>
      </c>
      <c r="L140" s="43">
        <f>VLOOKUP(A140,'SSP_March''19'!$A$3:$L$1193,12,0)</f>
        <v>30875</v>
      </c>
      <c r="M140" s="44">
        <f t="shared" si="6"/>
        <v>0.23749999999999999</v>
      </c>
      <c r="N140" s="49">
        <f>ROUND(VLOOKUP(A140,'SSP_March''19'!$A$3:$N$1193,14,0),0)</f>
        <v>95713</v>
      </c>
      <c r="O140" s="44">
        <f t="shared" si="7"/>
        <v>0.73625384615384615</v>
      </c>
      <c r="P140" s="45">
        <f>VLOOKUP(A140,'SSP_March''19'!$A$3:$Q$1193,16,0)</f>
        <v>10</v>
      </c>
      <c r="Q140" s="34">
        <f>VLOOKUP(A140,'SSP_March''19'!$A$3:$Q$1193,17,0)</f>
        <v>1</v>
      </c>
      <c r="R140" s="35">
        <f t="shared" si="8"/>
        <v>0.1</v>
      </c>
      <c r="S140" s="49">
        <f>ROUND(VLOOKUP(A140,'SSP_March''19'!$A$3:$T$1193,19,0),0)</f>
        <v>3</v>
      </c>
      <c r="T140" s="44">
        <f>VLOOKUP(A140,'SSP_March''19'!$A$3:$T$1193,20,0)</f>
        <v>0.3</v>
      </c>
      <c r="U140" s="34">
        <f>VLOOKUP(A140,'SSP_March''19'!$A$3:$X$1193,21,0)</f>
        <v>0</v>
      </c>
      <c r="V140" s="34">
        <f>VLOOKUP(A140,'SSP_March''19'!$A$3:$X$1193,22,0)</f>
        <v>0</v>
      </c>
      <c r="W140" s="34">
        <f>VLOOKUP(A140,'SSP_March''19'!$A$3:$X$1193,23,0)</f>
        <v>0</v>
      </c>
      <c r="X140" s="34">
        <f>VLOOKUP(A140,'SSP_March''19'!$A$3:$X$1193,24,0)</f>
        <v>0</v>
      </c>
    </row>
    <row r="141" spans="1:24">
      <c r="A141" s="54" t="s">
        <v>3384</v>
      </c>
      <c r="B141" s="54" t="s">
        <v>296</v>
      </c>
      <c r="C141" s="54" t="s">
        <v>169</v>
      </c>
      <c r="D141" s="54" t="s">
        <v>148</v>
      </c>
      <c r="E141" s="54" t="s">
        <v>0</v>
      </c>
      <c r="F141" s="54" t="s">
        <v>2836</v>
      </c>
      <c r="G141" s="54">
        <v>1623954363</v>
      </c>
      <c r="H141" s="54" t="s">
        <v>229</v>
      </c>
      <c r="I141" s="54" t="s">
        <v>3514</v>
      </c>
      <c r="J141" s="34" t="s">
        <v>3419</v>
      </c>
      <c r="K141" s="43">
        <f>VLOOKUP(A141,'SSP_March''19'!$A$3:$L$1193,11,0)</f>
        <v>189525</v>
      </c>
      <c r="L141" s="43">
        <f>VLOOKUP(A141,'SSP_March''19'!$A$3:$L$1193,12,0)</f>
        <v>52569</v>
      </c>
      <c r="M141" s="44">
        <f t="shared" si="6"/>
        <v>0.27737237831420658</v>
      </c>
      <c r="N141" s="49">
        <f>ROUND(VLOOKUP(A141,'SSP_March''19'!$A$3:$N$1193,14,0),0)</f>
        <v>162964</v>
      </c>
      <c r="O141" s="44">
        <f t="shared" si="7"/>
        <v>0.85985490040891699</v>
      </c>
      <c r="P141" s="45">
        <f>VLOOKUP(A141,'SSP_March''19'!$A$3:$Q$1193,16,0)</f>
        <v>10</v>
      </c>
      <c r="Q141" s="34">
        <f>VLOOKUP(A141,'SSP_March''19'!$A$3:$Q$1193,17,0)</f>
        <v>2</v>
      </c>
      <c r="R141" s="35">
        <f t="shared" si="8"/>
        <v>0.2</v>
      </c>
      <c r="S141" s="49">
        <f>ROUND(VLOOKUP(A141,'SSP_March''19'!$A$3:$T$1193,19,0),0)</f>
        <v>6</v>
      </c>
      <c r="T141" s="44">
        <f>VLOOKUP(A141,'SSP_March''19'!$A$3:$T$1193,20,0)</f>
        <v>0.6</v>
      </c>
      <c r="U141" s="34">
        <f>VLOOKUP(A141,'SSP_March''19'!$A$3:$X$1193,21,0)</f>
        <v>1</v>
      </c>
      <c r="V141" s="34">
        <f>VLOOKUP(A141,'SSP_March''19'!$A$3:$X$1193,22,0)</f>
        <v>0</v>
      </c>
      <c r="W141" s="34">
        <f>VLOOKUP(A141,'SSP_March''19'!$A$3:$X$1193,23,0)</f>
        <v>0</v>
      </c>
      <c r="X141" s="34">
        <f>VLOOKUP(A141,'SSP_March''19'!$A$3:$X$1193,24,0)</f>
        <v>0</v>
      </c>
    </row>
    <row r="142" spans="1:24">
      <c r="A142" s="54" t="s">
        <v>2715</v>
      </c>
      <c r="B142" s="54" t="s">
        <v>2716</v>
      </c>
      <c r="C142" s="54" t="s">
        <v>169</v>
      </c>
      <c r="D142" s="54" t="s">
        <v>148</v>
      </c>
      <c r="E142" s="54" t="s">
        <v>0</v>
      </c>
      <c r="F142" s="54" t="s">
        <v>2717</v>
      </c>
      <c r="G142" s="54">
        <v>1924182828</v>
      </c>
      <c r="H142" s="54" t="s">
        <v>229</v>
      </c>
      <c r="I142" s="54" t="s">
        <v>3514</v>
      </c>
      <c r="J142" s="34" t="s">
        <v>3421</v>
      </c>
      <c r="K142" s="43">
        <f>VLOOKUP(A142,'SSP_March''19'!$A$3:$L$1193,11,0)</f>
        <v>130000</v>
      </c>
      <c r="L142" s="43">
        <f>VLOOKUP(A142,'SSP_March''19'!$A$3:$L$1193,12,0)</f>
        <v>5290</v>
      </c>
      <c r="M142" s="44">
        <f t="shared" si="6"/>
        <v>4.0692307692307694E-2</v>
      </c>
      <c r="N142" s="49">
        <f>ROUND(VLOOKUP(A142,'SSP_March''19'!$A$3:$N$1193,14,0),0)</f>
        <v>16399</v>
      </c>
      <c r="O142" s="44">
        <f t="shared" si="7"/>
        <v>0.12614615384615385</v>
      </c>
      <c r="P142" s="45">
        <f>VLOOKUP(A142,'SSP_March''19'!$A$3:$Q$1193,16,0)</f>
        <v>10</v>
      </c>
      <c r="Q142" s="34">
        <f>VLOOKUP(A142,'SSP_March''19'!$A$3:$Q$1193,17,0)</f>
        <v>0</v>
      </c>
      <c r="R142" s="35">
        <f t="shared" si="8"/>
        <v>0</v>
      </c>
      <c r="S142" s="49">
        <f>ROUND(VLOOKUP(A142,'SSP_March''19'!$A$3:$T$1193,19,0),0)</f>
        <v>0</v>
      </c>
      <c r="T142" s="44">
        <f>VLOOKUP(A142,'SSP_March''19'!$A$3:$T$1193,20,0)</f>
        <v>0</v>
      </c>
      <c r="U142" s="34">
        <f>VLOOKUP(A142,'SSP_March''19'!$A$3:$X$1193,21,0)</f>
        <v>0</v>
      </c>
      <c r="V142" s="34">
        <f>VLOOKUP(A142,'SSP_March''19'!$A$3:$X$1193,22,0)</f>
        <v>0</v>
      </c>
      <c r="W142" s="34">
        <f>VLOOKUP(A142,'SSP_March''19'!$A$3:$X$1193,23,0)</f>
        <v>0</v>
      </c>
      <c r="X142" s="34">
        <f>VLOOKUP(A142,'SSP_March''19'!$A$3:$X$1193,24,0)</f>
        <v>0</v>
      </c>
    </row>
    <row r="143" spans="1:24">
      <c r="A143" s="54" t="s">
        <v>2540</v>
      </c>
      <c r="B143" s="54" t="s">
        <v>2541</v>
      </c>
      <c r="C143" s="54" t="s">
        <v>169</v>
      </c>
      <c r="D143" s="54" t="s">
        <v>148</v>
      </c>
      <c r="E143" s="54" t="s">
        <v>0</v>
      </c>
      <c r="F143" s="54" t="s">
        <v>2542</v>
      </c>
      <c r="G143" s="54">
        <v>1711585633</v>
      </c>
      <c r="H143" s="54" t="s">
        <v>229</v>
      </c>
      <c r="I143" s="54" t="s">
        <v>3514</v>
      </c>
      <c r="J143" s="34" t="s">
        <v>3515</v>
      </c>
      <c r="K143" s="43">
        <f>VLOOKUP(A143,'SSP_March''19'!$A$3:$L$1193,11,0)</f>
        <v>130000</v>
      </c>
      <c r="L143" s="43">
        <f>VLOOKUP(A143,'SSP_March''19'!$A$3:$L$1193,12,0)</f>
        <v>44219</v>
      </c>
      <c r="M143" s="44">
        <f t="shared" ref="M143:M206" si="9">L143/K143</f>
        <v>0.34014615384615382</v>
      </c>
      <c r="N143" s="49">
        <f>ROUND(VLOOKUP(A143,'SSP_March''19'!$A$3:$N$1193,14,0),0)</f>
        <v>137079</v>
      </c>
      <c r="O143" s="44">
        <f t="shared" ref="O143:O206" si="10">N143/K143</f>
        <v>1.0544538461538462</v>
      </c>
      <c r="P143" s="45">
        <f>VLOOKUP(A143,'SSP_March''19'!$A$3:$Q$1193,16,0)</f>
        <v>10</v>
      </c>
      <c r="Q143" s="34">
        <f>VLOOKUP(A143,'SSP_March''19'!$A$3:$Q$1193,17,0)</f>
        <v>1</v>
      </c>
      <c r="R143" s="35">
        <f t="shared" ref="R143:R206" si="11">Q143/P143</f>
        <v>0.1</v>
      </c>
      <c r="S143" s="49">
        <f>ROUND(VLOOKUP(A143,'SSP_March''19'!$A$3:$T$1193,19,0),0)</f>
        <v>3</v>
      </c>
      <c r="T143" s="44">
        <f>VLOOKUP(A143,'SSP_March''19'!$A$3:$T$1193,20,0)</f>
        <v>0.3</v>
      </c>
      <c r="U143" s="34">
        <f>VLOOKUP(A143,'SSP_March''19'!$A$3:$X$1193,21,0)</f>
        <v>1</v>
      </c>
      <c r="V143" s="34">
        <f>VLOOKUP(A143,'SSP_March''19'!$A$3:$X$1193,22,0)</f>
        <v>0</v>
      </c>
      <c r="W143" s="34">
        <f>VLOOKUP(A143,'SSP_March''19'!$A$3:$X$1193,23,0)</f>
        <v>1</v>
      </c>
      <c r="X143" s="34">
        <f>VLOOKUP(A143,'SSP_March''19'!$A$3:$X$1193,24,0)</f>
        <v>0</v>
      </c>
    </row>
    <row r="144" spans="1:24">
      <c r="A144" s="54" t="s">
        <v>2590</v>
      </c>
      <c r="B144" s="54" t="s">
        <v>2591</v>
      </c>
      <c r="C144" s="54" t="s">
        <v>169</v>
      </c>
      <c r="D144" s="54" t="s">
        <v>148</v>
      </c>
      <c r="E144" s="54" t="s">
        <v>0</v>
      </c>
      <c r="F144" s="54" t="s">
        <v>2592</v>
      </c>
      <c r="G144" s="54">
        <v>1701084717</v>
      </c>
      <c r="H144" s="54" t="s">
        <v>229</v>
      </c>
      <c r="I144" s="54" t="s">
        <v>3514</v>
      </c>
      <c r="J144" s="34" t="s">
        <v>3419</v>
      </c>
      <c r="K144" s="43">
        <f>VLOOKUP(A144,'SSP_March''19'!$A$3:$L$1193,11,0)</f>
        <v>130000</v>
      </c>
      <c r="L144" s="43">
        <f>VLOOKUP(A144,'SSP_March''19'!$A$3:$L$1193,12,0)</f>
        <v>24569</v>
      </c>
      <c r="M144" s="44">
        <f t="shared" si="9"/>
        <v>0.18899230769230768</v>
      </c>
      <c r="N144" s="49">
        <f>ROUND(VLOOKUP(A144,'SSP_March''19'!$A$3:$N$1193,14,0),0)</f>
        <v>76164</v>
      </c>
      <c r="O144" s="44">
        <f t="shared" si="10"/>
        <v>0.58587692307692307</v>
      </c>
      <c r="P144" s="45">
        <f>VLOOKUP(A144,'SSP_March''19'!$A$3:$Q$1193,16,0)</f>
        <v>10</v>
      </c>
      <c r="Q144" s="34">
        <f>VLOOKUP(A144,'SSP_March''19'!$A$3:$Q$1193,17,0)</f>
        <v>2</v>
      </c>
      <c r="R144" s="35">
        <f t="shared" si="11"/>
        <v>0.2</v>
      </c>
      <c r="S144" s="49">
        <f>ROUND(VLOOKUP(A144,'SSP_March''19'!$A$3:$T$1193,19,0),0)</f>
        <v>6</v>
      </c>
      <c r="T144" s="44">
        <f>VLOOKUP(A144,'SSP_March''19'!$A$3:$T$1193,20,0)</f>
        <v>0.6</v>
      </c>
      <c r="U144" s="34">
        <f>VLOOKUP(A144,'SSP_March''19'!$A$3:$X$1193,21,0)</f>
        <v>0</v>
      </c>
      <c r="V144" s="34">
        <f>VLOOKUP(A144,'SSP_March''19'!$A$3:$X$1193,22,0)</f>
        <v>0</v>
      </c>
      <c r="W144" s="34">
        <f>VLOOKUP(A144,'SSP_March''19'!$A$3:$X$1193,23,0)</f>
        <v>0</v>
      </c>
      <c r="X144" s="34">
        <f>VLOOKUP(A144,'SSP_March''19'!$A$3:$X$1193,24,0)</f>
        <v>0</v>
      </c>
    </row>
    <row r="145" spans="1:24">
      <c r="A145" s="54" t="s">
        <v>2824</v>
      </c>
      <c r="B145" s="54" t="s">
        <v>2761</v>
      </c>
      <c r="C145" s="54" t="s">
        <v>169</v>
      </c>
      <c r="D145" s="54" t="s">
        <v>148</v>
      </c>
      <c r="E145" s="54" t="s">
        <v>0</v>
      </c>
      <c r="F145" s="54" t="s">
        <v>2513</v>
      </c>
      <c r="G145" s="54">
        <v>1712011872</v>
      </c>
      <c r="H145" s="54" t="s">
        <v>229</v>
      </c>
      <c r="I145" s="54" t="s">
        <v>3514</v>
      </c>
      <c r="J145" s="34" t="s">
        <v>3421</v>
      </c>
      <c r="K145" s="43">
        <f>VLOOKUP(A145,'SSP_March''19'!$A$3:$L$1193,11,0)</f>
        <v>130000</v>
      </c>
      <c r="L145" s="43">
        <f>VLOOKUP(A145,'SSP_March''19'!$A$3:$L$1193,12,0)</f>
        <v>16270</v>
      </c>
      <c r="M145" s="44">
        <f t="shared" si="9"/>
        <v>0.12515384615384614</v>
      </c>
      <c r="N145" s="49">
        <f>ROUND(VLOOKUP(A145,'SSP_March''19'!$A$3:$N$1193,14,0),0)</f>
        <v>50437</v>
      </c>
      <c r="O145" s="44">
        <f t="shared" si="10"/>
        <v>0.38797692307692305</v>
      </c>
      <c r="P145" s="45">
        <f>VLOOKUP(A145,'SSP_March''19'!$A$3:$Q$1193,16,0)</f>
        <v>10</v>
      </c>
      <c r="Q145" s="34">
        <f>VLOOKUP(A145,'SSP_March''19'!$A$3:$Q$1193,17,0)</f>
        <v>1</v>
      </c>
      <c r="R145" s="35">
        <f t="shared" si="11"/>
        <v>0.1</v>
      </c>
      <c r="S145" s="49">
        <f>ROUND(VLOOKUP(A145,'SSP_March''19'!$A$3:$T$1193,19,0),0)</f>
        <v>3</v>
      </c>
      <c r="T145" s="44">
        <f>VLOOKUP(A145,'SSP_March''19'!$A$3:$T$1193,20,0)</f>
        <v>0.3</v>
      </c>
      <c r="U145" s="34">
        <f>VLOOKUP(A145,'SSP_March''19'!$A$3:$X$1193,21,0)</f>
        <v>0</v>
      </c>
      <c r="V145" s="34">
        <f>VLOOKUP(A145,'SSP_March''19'!$A$3:$X$1193,22,0)</f>
        <v>0</v>
      </c>
      <c r="W145" s="34">
        <f>VLOOKUP(A145,'SSP_March''19'!$A$3:$X$1193,23,0)</f>
        <v>0</v>
      </c>
      <c r="X145" s="34">
        <f>VLOOKUP(A145,'SSP_March''19'!$A$3:$X$1193,24,0)</f>
        <v>0</v>
      </c>
    </row>
    <row r="146" spans="1:24">
      <c r="A146" s="54" t="s">
        <v>2886</v>
      </c>
      <c r="B146" s="54" t="s">
        <v>2887</v>
      </c>
      <c r="C146" s="54" t="s">
        <v>169</v>
      </c>
      <c r="D146" s="54" t="s">
        <v>148</v>
      </c>
      <c r="E146" s="54" t="s">
        <v>0</v>
      </c>
      <c r="F146" s="54" t="s">
        <v>2888</v>
      </c>
      <c r="G146" s="54">
        <v>1717404749</v>
      </c>
      <c r="H146" s="54" t="s">
        <v>229</v>
      </c>
      <c r="I146" s="54" t="s">
        <v>3514</v>
      </c>
      <c r="J146" s="34" t="s">
        <v>3421</v>
      </c>
      <c r="K146" s="43">
        <f>VLOOKUP(A146,'SSP_March''19'!$A$3:$L$1193,11,0)</f>
        <v>130000</v>
      </c>
      <c r="L146" s="43">
        <f>VLOOKUP(A146,'SSP_March''19'!$A$3:$L$1193,12,0)</f>
        <v>11070</v>
      </c>
      <c r="M146" s="44">
        <f t="shared" si="9"/>
        <v>8.5153846153846149E-2</v>
      </c>
      <c r="N146" s="49">
        <f>ROUND(VLOOKUP(A146,'SSP_March''19'!$A$3:$N$1193,14,0),0)</f>
        <v>34317</v>
      </c>
      <c r="O146" s="44">
        <f t="shared" si="10"/>
        <v>0.26397692307692305</v>
      </c>
      <c r="P146" s="45">
        <f>VLOOKUP(A146,'SSP_March''19'!$A$3:$Q$1193,16,0)</f>
        <v>10</v>
      </c>
      <c r="Q146" s="34">
        <f>VLOOKUP(A146,'SSP_March''19'!$A$3:$Q$1193,17,0)</f>
        <v>0</v>
      </c>
      <c r="R146" s="35">
        <f t="shared" si="11"/>
        <v>0</v>
      </c>
      <c r="S146" s="49">
        <f>ROUND(VLOOKUP(A146,'SSP_March''19'!$A$3:$T$1193,19,0),0)</f>
        <v>0</v>
      </c>
      <c r="T146" s="44">
        <f>VLOOKUP(A146,'SSP_March''19'!$A$3:$T$1193,20,0)</f>
        <v>0</v>
      </c>
      <c r="U146" s="34">
        <f>VLOOKUP(A146,'SSP_March''19'!$A$3:$X$1193,21,0)</f>
        <v>0</v>
      </c>
      <c r="V146" s="34">
        <f>VLOOKUP(A146,'SSP_March''19'!$A$3:$X$1193,22,0)</f>
        <v>0</v>
      </c>
      <c r="W146" s="34">
        <f>VLOOKUP(A146,'SSP_March''19'!$A$3:$X$1193,23,0)</f>
        <v>0</v>
      </c>
      <c r="X146" s="34">
        <f>VLOOKUP(A146,'SSP_March''19'!$A$3:$X$1193,24,0)</f>
        <v>0</v>
      </c>
    </row>
    <row r="147" spans="1:24">
      <c r="A147" s="54" t="s">
        <v>2640</v>
      </c>
      <c r="B147" s="54" t="s">
        <v>2641</v>
      </c>
      <c r="C147" s="54" t="s">
        <v>169</v>
      </c>
      <c r="D147" s="54" t="s">
        <v>148</v>
      </c>
      <c r="E147" s="54" t="s">
        <v>0</v>
      </c>
      <c r="F147" s="54" t="s">
        <v>2642</v>
      </c>
      <c r="G147" s="54">
        <v>1983136807</v>
      </c>
      <c r="H147" s="54" t="s">
        <v>229</v>
      </c>
      <c r="I147" s="54" t="s">
        <v>3514</v>
      </c>
      <c r="J147" s="34" t="s">
        <v>3419</v>
      </c>
      <c r="K147" s="43">
        <f>VLOOKUP(A147,'SSP_March''19'!$A$3:$L$1193,11,0)</f>
        <v>151048</v>
      </c>
      <c r="L147" s="43">
        <f>VLOOKUP(A147,'SSP_March''19'!$A$3:$L$1193,12,0)</f>
        <v>29850</v>
      </c>
      <c r="M147" s="44">
        <f t="shared" si="9"/>
        <v>0.19761929982522111</v>
      </c>
      <c r="N147" s="49">
        <f>ROUND(VLOOKUP(A147,'SSP_March''19'!$A$3:$N$1193,14,0),0)</f>
        <v>92535</v>
      </c>
      <c r="O147" s="44">
        <f t="shared" si="10"/>
        <v>0.61261982945818549</v>
      </c>
      <c r="P147" s="45">
        <f>VLOOKUP(A147,'SSP_March''19'!$A$3:$Q$1193,16,0)</f>
        <v>10</v>
      </c>
      <c r="Q147" s="34">
        <f>VLOOKUP(A147,'SSP_March''19'!$A$3:$Q$1193,17,0)</f>
        <v>3</v>
      </c>
      <c r="R147" s="35">
        <f t="shared" si="11"/>
        <v>0.3</v>
      </c>
      <c r="S147" s="49">
        <f>ROUND(VLOOKUP(A147,'SSP_March''19'!$A$3:$T$1193,19,0),0)</f>
        <v>9</v>
      </c>
      <c r="T147" s="44">
        <f>VLOOKUP(A147,'SSP_March''19'!$A$3:$T$1193,20,0)</f>
        <v>0.9</v>
      </c>
      <c r="U147" s="34">
        <f>VLOOKUP(A147,'SSP_March''19'!$A$3:$X$1193,21,0)</f>
        <v>0</v>
      </c>
      <c r="V147" s="34">
        <f>VLOOKUP(A147,'SSP_March''19'!$A$3:$X$1193,22,0)</f>
        <v>1</v>
      </c>
      <c r="W147" s="34">
        <f>VLOOKUP(A147,'SSP_March''19'!$A$3:$X$1193,23,0)</f>
        <v>0</v>
      </c>
      <c r="X147" s="34">
        <f>VLOOKUP(A147,'SSP_March''19'!$A$3:$X$1193,24,0)</f>
        <v>0</v>
      </c>
    </row>
    <row r="148" spans="1:24">
      <c r="A148" s="54" t="s">
        <v>2395</v>
      </c>
      <c r="B148" s="54" t="s">
        <v>2396</v>
      </c>
      <c r="C148" s="54" t="s">
        <v>169</v>
      </c>
      <c r="D148" s="54" t="s">
        <v>148</v>
      </c>
      <c r="E148" s="54" t="s">
        <v>0</v>
      </c>
      <c r="F148" s="54" t="s">
        <v>2397</v>
      </c>
      <c r="G148" s="54">
        <v>1914794205</v>
      </c>
      <c r="H148" s="54" t="s">
        <v>229</v>
      </c>
      <c r="I148" s="54" t="s">
        <v>3514</v>
      </c>
      <c r="J148" s="34" t="s">
        <v>3515</v>
      </c>
      <c r="K148" s="43">
        <f>VLOOKUP(A148,'SSP_March''19'!$A$3:$L$1193,11,0)</f>
        <v>130000</v>
      </c>
      <c r="L148" s="43">
        <f>VLOOKUP(A148,'SSP_March''19'!$A$3:$L$1193,12,0)</f>
        <v>17770</v>
      </c>
      <c r="M148" s="44">
        <f t="shared" si="9"/>
        <v>0.1366923076923077</v>
      </c>
      <c r="N148" s="49">
        <f>ROUND(VLOOKUP(A148,'SSP_March''19'!$A$3:$N$1193,14,0),0)</f>
        <v>55087</v>
      </c>
      <c r="O148" s="44">
        <f t="shared" si="10"/>
        <v>0.42374615384615383</v>
      </c>
      <c r="P148" s="45">
        <f>VLOOKUP(A148,'SSP_March''19'!$A$3:$Q$1193,16,0)</f>
        <v>10</v>
      </c>
      <c r="Q148" s="34">
        <f>VLOOKUP(A148,'SSP_March''19'!$A$3:$Q$1193,17,0)</f>
        <v>1</v>
      </c>
      <c r="R148" s="35">
        <f t="shared" si="11"/>
        <v>0.1</v>
      </c>
      <c r="S148" s="49">
        <f>ROUND(VLOOKUP(A148,'SSP_March''19'!$A$3:$T$1193,19,0),0)</f>
        <v>3</v>
      </c>
      <c r="T148" s="44">
        <f>VLOOKUP(A148,'SSP_March''19'!$A$3:$T$1193,20,0)</f>
        <v>0.3</v>
      </c>
      <c r="U148" s="34">
        <f>VLOOKUP(A148,'SSP_March''19'!$A$3:$X$1193,21,0)</f>
        <v>1</v>
      </c>
      <c r="V148" s="34">
        <f>VLOOKUP(A148,'SSP_March''19'!$A$3:$X$1193,22,0)</f>
        <v>0</v>
      </c>
      <c r="W148" s="34">
        <f>VLOOKUP(A148,'SSP_March''19'!$A$3:$X$1193,23,0)</f>
        <v>0</v>
      </c>
      <c r="X148" s="34">
        <f>VLOOKUP(A148,'SSP_March''19'!$A$3:$X$1193,24,0)</f>
        <v>0</v>
      </c>
    </row>
    <row r="149" spans="1:24">
      <c r="A149" s="54" t="s">
        <v>2352</v>
      </c>
      <c r="B149" s="54" t="s">
        <v>2353</v>
      </c>
      <c r="C149" s="54" t="s">
        <v>169</v>
      </c>
      <c r="D149" s="54" t="s">
        <v>148</v>
      </c>
      <c r="E149" s="54" t="s">
        <v>0</v>
      </c>
      <c r="F149" s="54" t="s">
        <v>2354</v>
      </c>
      <c r="G149" s="54">
        <v>1711933788</v>
      </c>
      <c r="H149" s="54" t="s">
        <v>229</v>
      </c>
      <c r="I149" s="54" t="s">
        <v>3514</v>
      </c>
      <c r="J149" s="34" t="s">
        <v>3515</v>
      </c>
      <c r="K149" s="43">
        <f>VLOOKUP(A149,'SSP_March''19'!$A$3:$L$1193,11,0)</f>
        <v>130000</v>
      </c>
      <c r="L149" s="43">
        <f>VLOOKUP(A149,'SSP_March''19'!$A$3:$L$1193,12,0)</f>
        <v>20810</v>
      </c>
      <c r="M149" s="44">
        <f t="shared" si="9"/>
        <v>0.16007692307692309</v>
      </c>
      <c r="N149" s="49">
        <f>ROUND(VLOOKUP(A149,'SSP_March''19'!$A$3:$N$1193,14,0),0)</f>
        <v>64511</v>
      </c>
      <c r="O149" s="44">
        <f t="shared" si="10"/>
        <v>0.49623846153846152</v>
      </c>
      <c r="P149" s="45">
        <f>VLOOKUP(A149,'SSP_March''19'!$A$3:$Q$1193,16,0)</f>
        <v>10</v>
      </c>
      <c r="Q149" s="34">
        <f>VLOOKUP(A149,'SSP_March''19'!$A$3:$Q$1193,17,0)</f>
        <v>1</v>
      </c>
      <c r="R149" s="35">
        <f t="shared" si="11"/>
        <v>0.1</v>
      </c>
      <c r="S149" s="49">
        <f>ROUND(VLOOKUP(A149,'SSP_March''19'!$A$3:$T$1193,19,0),0)</f>
        <v>3</v>
      </c>
      <c r="T149" s="44">
        <f>VLOOKUP(A149,'SSP_March''19'!$A$3:$T$1193,20,0)</f>
        <v>0.3</v>
      </c>
      <c r="U149" s="34">
        <f>VLOOKUP(A149,'SSP_March''19'!$A$3:$X$1193,21,0)</f>
        <v>0</v>
      </c>
      <c r="V149" s="34">
        <f>VLOOKUP(A149,'SSP_March''19'!$A$3:$X$1193,22,0)</f>
        <v>0</v>
      </c>
      <c r="W149" s="34">
        <f>VLOOKUP(A149,'SSP_March''19'!$A$3:$X$1193,23,0)</f>
        <v>1</v>
      </c>
      <c r="X149" s="34">
        <f>VLOOKUP(A149,'SSP_March''19'!$A$3:$X$1193,24,0)</f>
        <v>0</v>
      </c>
    </row>
    <row r="150" spans="1:24">
      <c r="A150" s="54" t="s">
        <v>3277</v>
      </c>
      <c r="B150" s="54" t="s">
        <v>3177</v>
      </c>
      <c r="C150" s="54" t="s">
        <v>3178</v>
      </c>
      <c r="D150" s="54" t="s">
        <v>0</v>
      </c>
      <c r="E150" s="54" t="s">
        <v>0</v>
      </c>
      <c r="F150" s="54" t="s">
        <v>1819</v>
      </c>
      <c r="G150" s="54">
        <v>1716278961</v>
      </c>
      <c r="H150" s="54" t="s">
        <v>229</v>
      </c>
      <c r="I150" s="54" t="s">
        <v>3514</v>
      </c>
      <c r="J150" s="34" t="s">
        <v>3421</v>
      </c>
      <c r="K150" s="43">
        <f>VLOOKUP(A150,'SSP_March''19'!$A$3:$L$1193,11,0)</f>
        <v>140000</v>
      </c>
      <c r="L150" s="43">
        <f>VLOOKUP(A150,'SSP_March''19'!$A$3:$L$1193,12,0)</f>
        <v>25645</v>
      </c>
      <c r="M150" s="44">
        <f t="shared" si="9"/>
        <v>0.18317857142857144</v>
      </c>
      <c r="N150" s="49">
        <f>ROUND(VLOOKUP(A150,'SSP_March''19'!$A$3:$N$1193,14,0),0)</f>
        <v>79500</v>
      </c>
      <c r="O150" s="44">
        <f t="shared" si="10"/>
        <v>0.56785714285714284</v>
      </c>
      <c r="P150" s="45">
        <f>VLOOKUP(A150,'SSP_March''19'!$A$3:$Q$1193,16,0)</f>
        <v>10</v>
      </c>
      <c r="Q150" s="34">
        <f>VLOOKUP(A150,'SSP_March''19'!$A$3:$Q$1193,17,0)</f>
        <v>2</v>
      </c>
      <c r="R150" s="35">
        <f t="shared" si="11"/>
        <v>0.2</v>
      </c>
      <c r="S150" s="49">
        <f>ROUND(VLOOKUP(A150,'SSP_March''19'!$A$3:$T$1193,19,0),0)</f>
        <v>6</v>
      </c>
      <c r="T150" s="44">
        <f>VLOOKUP(A150,'SSP_March''19'!$A$3:$T$1193,20,0)</f>
        <v>0.6</v>
      </c>
      <c r="U150" s="34">
        <f>VLOOKUP(A150,'SSP_March''19'!$A$3:$X$1193,21,0)</f>
        <v>0</v>
      </c>
      <c r="V150" s="34">
        <f>VLOOKUP(A150,'SSP_March''19'!$A$3:$X$1193,22,0)</f>
        <v>0</v>
      </c>
      <c r="W150" s="34">
        <f>VLOOKUP(A150,'SSP_March''19'!$A$3:$X$1193,23,0)</f>
        <v>0</v>
      </c>
      <c r="X150" s="34">
        <f>VLOOKUP(A150,'SSP_March''19'!$A$3:$X$1193,24,0)</f>
        <v>1</v>
      </c>
    </row>
    <row r="151" spans="1:24">
      <c r="A151" s="54" t="s">
        <v>3386</v>
      </c>
      <c r="B151" s="54" t="s">
        <v>3387</v>
      </c>
      <c r="C151" s="54" t="s">
        <v>109</v>
      </c>
      <c r="D151" s="54" t="s">
        <v>0</v>
      </c>
      <c r="E151" s="54" t="s">
        <v>0</v>
      </c>
      <c r="F151" s="54" t="s">
        <v>3385</v>
      </c>
      <c r="G151" s="54">
        <v>1711363420</v>
      </c>
      <c r="H151" s="54" t="s">
        <v>229</v>
      </c>
      <c r="I151" s="54" t="s">
        <v>3514</v>
      </c>
      <c r="J151" s="34" t="s">
        <v>3421</v>
      </c>
      <c r="K151" s="43">
        <f>VLOOKUP(A151,'SSP_March''19'!$A$3:$L$1193,11,0)</f>
        <v>130000</v>
      </c>
      <c r="L151" s="43">
        <f>VLOOKUP(A151,'SSP_March''19'!$A$3:$L$1193,12,0)</f>
        <v>12230</v>
      </c>
      <c r="M151" s="44">
        <f t="shared" si="9"/>
        <v>9.4076923076923072E-2</v>
      </c>
      <c r="N151" s="49">
        <f>ROUND(VLOOKUP(A151,'SSP_March''19'!$A$3:$N$1193,14,0),0)</f>
        <v>37913</v>
      </c>
      <c r="O151" s="44">
        <f t="shared" si="10"/>
        <v>0.29163846153846151</v>
      </c>
      <c r="P151" s="45">
        <f>VLOOKUP(A151,'SSP_March''19'!$A$3:$Q$1193,16,0)</f>
        <v>10</v>
      </c>
      <c r="Q151" s="34">
        <f>VLOOKUP(A151,'SSP_March''19'!$A$3:$Q$1193,17,0)</f>
        <v>0</v>
      </c>
      <c r="R151" s="35">
        <f t="shared" si="11"/>
        <v>0</v>
      </c>
      <c r="S151" s="49">
        <f>ROUND(VLOOKUP(A151,'SSP_March''19'!$A$3:$T$1193,19,0),0)</f>
        <v>0</v>
      </c>
      <c r="T151" s="44">
        <f>VLOOKUP(A151,'SSP_March''19'!$A$3:$T$1193,20,0)</f>
        <v>0</v>
      </c>
      <c r="U151" s="34">
        <f>VLOOKUP(A151,'SSP_March''19'!$A$3:$X$1193,21,0)</f>
        <v>0</v>
      </c>
      <c r="V151" s="34">
        <f>VLOOKUP(A151,'SSP_March''19'!$A$3:$X$1193,22,0)</f>
        <v>0</v>
      </c>
      <c r="W151" s="34">
        <f>VLOOKUP(A151,'SSP_March''19'!$A$3:$X$1193,23,0)</f>
        <v>0</v>
      </c>
      <c r="X151" s="34">
        <f>VLOOKUP(A151,'SSP_March''19'!$A$3:$X$1193,24,0)</f>
        <v>0</v>
      </c>
    </row>
    <row r="152" spans="1:24">
      <c r="A152" s="54" t="s">
        <v>3389</v>
      </c>
      <c r="B152" s="54" t="s">
        <v>3390</v>
      </c>
      <c r="C152" s="54" t="s">
        <v>109</v>
      </c>
      <c r="D152" s="54" t="s">
        <v>0</v>
      </c>
      <c r="E152" s="54" t="s">
        <v>0</v>
      </c>
      <c r="F152" s="54" t="s">
        <v>3388</v>
      </c>
      <c r="G152" s="54">
        <v>1711519857</v>
      </c>
      <c r="H152" s="54" t="s">
        <v>229</v>
      </c>
      <c r="I152" s="54" t="s">
        <v>3514</v>
      </c>
      <c r="J152" s="34" t="s">
        <v>3421</v>
      </c>
      <c r="K152" s="43">
        <f>VLOOKUP(A152,'SSP_March''19'!$A$3:$L$1193,11,0)</f>
        <v>130000</v>
      </c>
      <c r="L152" s="43">
        <f>VLOOKUP(A152,'SSP_March''19'!$A$3:$L$1193,12,0)</f>
        <v>43437</v>
      </c>
      <c r="M152" s="44">
        <f t="shared" si="9"/>
        <v>0.33413076923076923</v>
      </c>
      <c r="N152" s="49">
        <f>ROUND(VLOOKUP(A152,'SSP_March''19'!$A$3:$N$1193,14,0),0)</f>
        <v>134655</v>
      </c>
      <c r="O152" s="44">
        <f t="shared" si="10"/>
        <v>1.0358076923076922</v>
      </c>
      <c r="P152" s="45">
        <f>VLOOKUP(A152,'SSP_March''19'!$A$3:$Q$1193,16,0)</f>
        <v>10</v>
      </c>
      <c r="Q152" s="34">
        <f>VLOOKUP(A152,'SSP_March''19'!$A$3:$Q$1193,17,0)</f>
        <v>0</v>
      </c>
      <c r="R152" s="35">
        <f t="shared" si="11"/>
        <v>0</v>
      </c>
      <c r="S152" s="49">
        <f>ROUND(VLOOKUP(A152,'SSP_March''19'!$A$3:$T$1193,19,0),0)</f>
        <v>0</v>
      </c>
      <c r="T152" s="44">
        <f>VLOOKUP(A152,'SSP_March''19'!$A$3:$T$1193,20,0)</f>
        <v>0</v>
      </c>
      <c r="U152" s="34">
        <f>VLOOKUP(A152,'SSP_March''19'!$A$3:$X$1193,21,0)</f>
        <v>1</v>
      </c>
      <c r="V152" s="34">
        <f>VLOOKUP(A152,'SSP_March''19'!$A$3:$X$1193,22,0)</f>
        <v>0</v>
      </c>
      <c r="W152" s="34">
        <f>VLOOKUP(A152,'SSP_March''19'!$A$3:$X$1193,23,0)</f>
        <v>0</v>
      </c>
      <c r="X152" s="34">
        <f>VLOOKUP(A152,'SSP_March''19'!$A$3:$X$1193,24,0)</f>
        <v>0</v>
      </c>
    </row>
    <row r="153" spans="1:24">
      <c r="A153" s="54" t="s">
        <v>2355</v>
      </c>
      <c r="B153" s="54" t="s">
        <v>2356</v>
      </c>
      <c r="C153" s="54" t="s">
        <v>109</v>
      </c>
      <c r="D153" s="54" t="s">
        <v>0</v>
      </c>
      <c r="E153" s="54" t="s">
        <v>0</v>
      </c>
      <c r="F153" s="54" t="s">
        <v>2357</v>
      </c>
      <c r="G153" s="54">
        <v>1716037141</v>
      </c>
      <c r="H153" s="54" t="s">
        <v>229</v>
      </c>
      <c r="I153" s="54" t="s">
        <v>3514</v>
      </c>
      <c r="J153" s="34" t="s">
        <v>3515</v>
      </c>
      <c r="K153" s="43">
        <f>VLOOKUP(A153,'SSP_March''19'!$A$3:$L$1193,11,0)</f>
        <v>147454</v>
      </c>
      <c r="L153" s="43">
        <f>VLOOKUP(A153,'SSP_March''19'!$A$3:$L$1193,12,0)</f>
        <v>72640</v>
      </c>
      <c r="M153" s="44">
        <f t="shared" si="9"/>
        <v>0.49262820947549746</v>
      </c>
      <c r="N153" s="49">
        <f>ROUND(VLOOKUP(A153,'SSP_March''19'!$A$3:$N$1193,14,0),0)</f>
        <v>225184</v>
      </c>
      <c r="O153" s="44">
        <f t="shared" si="10"/>
        <v>1.527147449374042</v>
      </c>
      <c r="P153" s="45">
        <f>VLOOKUP(A153,'SSP_March''19'!$A$3:$Q$1193,16,0)</f>
        <v>10</v>
      </c>
      <c r="Q153" s="34">
        <f>VLOOKUP(A153,'SSP_March''19'!$A$3:$Q$1193,17,0)</f>
        <v>5</v>
      </c>
      <c r="R153" s="35">
        <f t="shared" si="11"/>
        <v>0.5</v>
      </c>
      <c r="S153" s="49">
        <f>ROUND(VLOOKUP(A153,'SSP_March''19'!$A$3:$T$1193,19,0),0)</f>
        <v>16</v>
      </c>
      <c r="T153" s="44">
        <f>VLOOKUP(A153,'SSP_March''19'!$A$3:$T$1193,20,0)</f>
        <v>1.6</v>
      </c>
      <c r="U153" s="34">
        <f>VLOOKUP(A153,'SSP_March''19'!$A$3:$X$1193,21,0)</f>
        <v>2</v>
      </c>
      <c r="V153" s="34">
        <f>VLOOKUP(A153,'SSP_March''19'!$A$3:$X$1193,22,0)</f>
        <v>3</v>
      </c>
      <c r="W153" s="34">
        <f>VLOOKUP(A153,'SSP_March''19'!$A$3:$X$1193,23,0)</f>
        <v>0</v>
      </c>
      <c r="X153" s="34">
        <f>VLOOKUP(A153,'SSP_March''19'!$A$3:$X$1193,24,0)</f>
        <v>0</v>
      </c>
    </row>
    <row r="154" spans="1:24">
      <c r="A154" s="54" t="s">
        <v>2729</v>
      </c>
      <c r="B154" s="54" t="s">
        <v>2730</v>
      </c>
      <c r="C154" s="54" t="s">
        <v>109</v>
      </c>
      <c r="D154" s="54" t="s">
        <v>0</v>
      </c>
      <c r="E154" s="54" t="s">
        <v>0</v>
      </c>
      <c r="F154" s="54" t="s">
        <v>2731</v>
      </c>
      <c r="G154" s="54">
        <v>1939823433</v>
      </c>
      <c r="H154" s="54" t="s">
        <v>229</v>
      </c>
      <c r="I154" s="54" t="s">
        <v>3514</v>
      </c>
      <c r="J154" s="34" t="s">
        <v>3421</v>
      </c>
      <c r="K154" s="43">
        <f>VLOOKUP(A154,'SSP_March''19'!$A$3:$L$1193,11,0)</f>
        <v>130000</v>
      </c>
      <c r="L154" s="43">
        <f>VLOOKUP(A154,'SSP_March''19'!$A$3:$L$1193,12,0)</f>
        <v>18388</v>
      </c>
      <c r="M154" s="44">
        <f t="shared" si="9"/>
        <v>0.14144615384615383</v>
      </c>
      <c r="N154" s="49">
        <f>ROUND(VLOOKUP(A154,'SSP_March''19'!$A$3:$N$1193,14,0),0)</f>
        <v>57003</v>
      </c>
      <c r="O154" s="44">
        <f t="shared" si="10"/>
        <v>0.43848461538461536</v>
      </c>
      <c r="P154" s="45">
        <f>VLOOKUP(A154,'SSP_March''19'!$A$3:$Q$1193,16,0)</f>
        <v>10</v>
      </c>
      <c r="Q154" s="34">
        <f>VLOOKUP(A154,'SSP_March''19'!$A$3:$Q$1193,17,0)</f>
        <v>1</v>
      </c>
      <c r="R154" s="35">
        <f t="shared" si="11"/>
        <v>0.1</v>
      </c>
      <c r="S154" s="49">
        <f>ROUND(VLOOKUP(A154,'SSP_March''19'!$A$3:$T$1193,19,0),0)</f>
        <v>3</v>
      </c>
      <c r="T154" s="44">
        <f>VLOOKUP(A154,'SSP_March''19'!$A$3:$T$1193,20,0)</f>
        <v>0.3</v>
      </c>
      <c r="U154" s="34">
        <f>VLOOKUP(A154,'SSP_March''19'!$A$3:$X$1193,21,0)</f>
        <v>0</v>
      </c>
      <c r="V154" s="34">
        <f>VLOOKUP(A154,'SSP_March''19'!$A$3:$X$1193,22,0)</f>
        <v>0</v>
      </c>
      <c r="W154" s="34">
        <f>VLOOKUP(A154,'SSP_March''19'!$A$3:$X$1193,23,0)</f>
        <v>0</v>
      </c>
      <c r="X154" s="34">
        <f>VLOOKUP(A154,'SSP_March''19'!$A$3:$X$1193,24,0)</f>
        <v>0</v>
      </c>
    </row>
    <row r="155" spans="1:24">
      <c r="A155" s="54" t="s">
        <v>2369</v>
      </c>
      <c r="B155" s="54" t="s">
        <v>2370</v>
      </c>
      <c r="C155" s="54" t="s">
        <v>109</v>
      </c>
      <c r="D155" s="54" t="s">
        <v>0</v>
      </c>
      <c r="E155" s="54" t="s">
        <v>0</v>
      </c>
      <c r="F155" s="54" t="s">
        <v>2371</v>
      </c>
      <c r="G155" s="54">
        <v>1711517315</v>
      </c>
      <c r="H155" s="54" t="s">
        <v>229</v>
      </c>
      <c r="I155" s="54" t="s">
        <v>3514</v>
      </c>
      <c r="J155" s="34" t="s">
        <v>3515</v>
      </c>
      <c r="K155" s="43">
        <f>VLOOKUP(A155,'SSP_March''19'!$A$3:$L$1193,11,0)</f>
        <v>160130</v>
      </c>
      <c r="L155" s="43">
        <f>VLOOKUP(A155,'SSP_March''19'!$A$3:$L$1193,12,0)</f>
        <v>20850</v>
      </c>
      <c r="M155" s="44">
        <f t="shared" si="9"/>
        <v>0.13020670705052145</v>
      </c>
      <c r="N155" s="49">
        <f>ROUND(VLOOKUP(A155,'SSP_March''19'!$A$3:$N$1193,14,0),0)</f>
        <v>64635</v>
      </c>
      <c r="O155" s="44">
        <f t="shared" si="10"/>
        <v>0.4036407918566165</v>
      </c>
      <c r="P155" s="45">
        <f>VLOOKUP(A155,'SSP_March''19'!$A$3:$Q$1193,16,0)</f>
        <v>10</v>
      </c>
      <c r="Q155" s="34">
        <f>VLOOKUP(A155,'SSP_March''19'!$A$3:$Q$1193,17,0)</f>
        <v>0</v>
      </c>
      <c r="R155" s="35">
        <f t="shared" si="11"/>
        <v>0</v>
      </c>
      <c r="S155" s="49">
        <f>ROUND(VLOOKUP(A155,'SSP_March''19'!$A$3:$T$1193,19,0),0)</f>
        <v>0</v>
      </c>
      <c r="T155" s="44">
        <f>VLOOKUP(A155,'SSP_March''19'!$A$3:$T$1193,20,0)</f>
        <v>0</v>
      </c>
      <c r="U155" s="34">
        <f>VLOOKUP(A155,'SSP_March''19'!$A$3:$X$1193,21,0)</f>
        <v>0</v>
      </c>
      <c r="V155" s="34">
        <f>VLOOKUP(A155,'SSP_March''19'!$A$3:$X$1193,22,0)</f>
        <v>0</v>
      </c>
      <c r="W155" s="34">
        <f>VLOOKUP(A155,'SSP_March''19'!$A$3:$X$1193,23,0)</f>
        <v>0</v>
      </c>
      <c r="X155" s="34">
        <f>VLOOKUP(A155,'SSP_March''19'!$A$3:$X$1193,24,0)</f>
        <v>0</v>
      </c>
    </row>
    <row r="156" spans="1:24">
      <c r="A156" s="54" t="s">
        <v>3278</v>
      </c>
      <c r="B156" s="54" t="s">
        <v>3279</v>
      </c>
      <c r="C156" s="54" t="s">
        <v>109</v>
      </c>
      <c r="D156" s="54" t="s">
        <v>0</v>
      </c>
      <c r="E156" s="54" t="s">
        <v>0</v>
      </c>
      <c r="F156" s="54" t="s">
        <v>3280</v>
      </c>
      <c r="G156" s="54">
        <v>1731208135</v>
      </c>
      <c r="H156" s="54" t="s">
        <v>229</v>
      </c>
      <c r="I156" s="54" t="s">
        <v>3514</v>
      </c>
      <c r="J156" s="34" t="s">
        <v>3421</v>
      </c>
      <c r="K156" s="43">
        <f>VLOOKUP(A156,'SSP_March''19'!$A$3:$L$1193,11,0)</f>
        <v>130000</v>
      </c>
      <c r="L156" s="43">
        <f>VLOOKUP(A156,'SSP_March''19'!$A$3:$L$1193,12,0)</f>
        <v>13679</v>
      </c>
      <c r="M156" s="44">
        <f t="shared" si="9"/>
        <v>0.10522307692307692</v>
      </c>
      <c r="N156" s="49">
        <f>ROUND(VLOOKUP(A156,'SSP_March''19'!$A$3:$N$1193,14,0),0)</f>
        <v>42405</v>
      </c>
      <c r="O156" s="44">
        <f t="shared" si="10"/>
        <v>0.32619230769230767</v>
      </c>
      <c r="P156" s="45">
        <f>VLOOKUP(A156,'SSP_March''19'!$A$3:$Q$1193,16,0)</f>
        <v>10</v>
      </c>
      <c r="Q156" s="34">
        <f>VLOOKUP(A156,'SSP_March''19'!$A$3:$Q$1193,17,0)</f>
        <v>0</v>
      </c>
      <c r="R156" s="35">
        <f t="shared" si="11"/>
        <v>0</v>
      </c>
      <c r="S156" s="49">
        <f>ROUND(VLOOKUP(A156,'SSP_March''19'!$A$3:$T$1193,19,0),0)</f>
        <v>0</v>
      </c>
      <c r="T156" s="44">
        <f>VLOOKUP(A156,'SSP_March''19'!$A$3:$T$1193,20,0)</f>
        <v>0</v>
      </c>
      <c r="U156" s="34">
        <f>VLOOKUP(A156,'SSP_March''19'!$A$3:$X$1193,21,0)</f>
        <v>0</v>
      </c>
      <c r="V156" s="34">
        <f>VLOOKUP(A156,'SSP_March''19'!$A$3:$X$1193,22,0)</f>
        <v>0</v>
      </c>
      <c r="W156" s="34">
        <f>VLOOKUP(A156,'SSP_March''19'!$A$3:$X$1193,23,0)</f>
        <v>0</v>
      </c>
      <c r="X156" s="34">
        <f>VLOOKUP(A156,'SSP_March''19'!$A$3:$X$1193,24,0)</f>
        <v>0</v>
      </c>
    </row>
    <row r="157" spans="1:24">
      <c r="A157" s="83" t="s">
        <v>3631</v>
      </c>
      <c r="B157" s="84" t="s">
        <v>3632</v>
      </c>
      <c r="C157" s="84" t="s">
        <v>109</v>
      </c>
      <c r="D157" s="84" t="s">
        <v>0</v>
      </c>
      <c r="E157" s="83" t="s">
        <v>0</v>
      </c>
      <c r="F157" s="34" t="s">
        <v>2383</v>
      </c>
      <c r="G157" s="54">
        <v>1713535565</v>
      </c>
      <c r="H157" s="54" t="s">
        <v>229</v>
      </c>
      <c r="I157" s="54" t="s">
        <v>3522</v>
      </c>
      <c r="J157" s="34" t="s">
        <v>3419</v>
      </c>
      <c r="K157" s="43">
        <f>VLOOKUP(A157,'SSP_March''19'!$A$3:$L$1193,11,0)</f>
        <v>130000</v>
      </c>
      <c r="L157" s="43">
        <f>VLOOKUP(A157,'SSP_March''19'!$A$3:$L$1193,12,0)</f>
        <v>83375</v>
      </c>
      <c r="M157" s="44">
        <f t="shared" si="9"/>
        <v>0.6413461538461539</v>
      </c>
      <c r="N157" s="49">
        <f>ROUND(VLOOKUP(A157,'SSP_March''19'!$A$3:$N$1193,14,0),0)</f>
        <v>258463</v>
      </c>
      <c r="O157" s="44">
        <f t="shared" si="10"/>
        <v>1.9881769230769231</v>
      </c>
      <c r="P157" s="45">
        <f>VLOOKUP(A157,'SSP_March''19'!$A$3:$Q$1193,16,0)</f>
        <v>10</v>
      </c>
      <c r="Q157" s="34">
        <f>VLOOKUP(A157,'SSP_March''19'!$A$3:$Q$1193,17,0)</f>
        <v>2</v>
      </c>
      <c r="R157" s="35">
        <f t="shared" si="11"/>
        <v>0.2</v>
      </c>
      <c r="S157" s="49">
        <f>ROUND(VLOOKUP(A157,'SSP_March''19'!$A$3:$T$1193,19,0),0)</f>
        <v>6</v>
      </c>
      <c r="T157" s="44">
        <f>VLOOKUP(A157,'SSP_March''19'!$A$3:$T$1193,20,0)</f>
        <v>0.6</v>
      </c>
      <c r="U157" s="34">
        <f>VLOOKUP(A157,'SSP_March''19'!$A$3:$X$1193,21,0)</f>
        <v>1</v>
      </c>
      <c r="V157" s="34">
        <f>VLOOKUP(A157,'SSP_March''19'!$A$3:$X$1193,22,0)</f>
        <v>0</v>
      </c>
      <c r="W157" s="34">
        <f>VLOOKUP(A157,'SSP_March''19'!$A$3:$X$1193,23,0)</f>
        <v>0</v>
      </c>
      <c r="X157" s="34">
        <f>VLOOKUP(A157,'SSP_March''19'!$A$3:$X$1193,24,0)</f>
        <v>0</v>
      </c>
    </row>
    <row r="158" spans="1:24">
      <c r="A158" s="54" t="s">
        <v>2825</v>
      </c>
      <c r="B158" s="54" t="s">
        <v>2826</v>
      </c>
      <c r="C158" s="54" t="s">
        <v>109</v>
      </c>
      <c r="D158" s="54" t="s">
        <v>0</v>
      </c>
      <c r="E158" s="54" t="s">
        <v>0</v>
      </c>
      <c r="F158" s="54" t="s">
        <v>2827</v>
      </c>
      <c r="G158" s="54">
        <v>1711164708</v>
      </c>
      <c r="H158" s="54" t="s">
        <v>229</v>
      </c>
      <c r="I158" s="54" t="s">
        <v>3514</v>
      </c>
      <c r="J158" s="34" t="s">
        <v>3515</v>
      </c>
      <c r="K158" s="43">
        <f>VLOOKUP(A158,'SSP_March''19'!$A$3:$L$1193,11,0)</f>
        <v>130000</v>
      </c>
      <c r="L158" s="43">
        <f>VLOOKUP(A158,'SSP_March''19'!$A$3:$L$1193,12,0)</f>
        <v>41170</v>
      </c>
      <c r="M158" s="44">
        <f t="shared" si="9"/>
        <v>0.31669230769230772</v>
      </c>
      <c r="N158" s="49">
        <f>ROUND(VLOOKUP(A158,'SSP_March''19'!$A$3:$N$1193,14,0),0)</f>
        <v>127627</v>
      </c>
      <c r="O158" s="44">
        <f t="shared" si="10"/>
        <v>0.98174615384615382</v>
      </c>
      <c r="P158" s="45">
        <f>VLOOKUP(A158,'SSP_March''19'!$A$3:$Q$1193,16,0)</f>
        <v>10</v>
      </c>
      <c r="Q158" s="34">
        <f>VLOOKUP(A158,'SSP_March''19'!$A$3:$Q$1193,17,0)</f>
        <v>1</v>
      </c>
      <c r="R158" s="35">
        <f t="shared" si="11"/>
        <v>0.1</v>
      </c>
      <c r="S158" s="49">
        <f>ROUND(VLOOKUP(A158,'SSP_March''19'!$A$3:$T$1193,19,0),0)</f>
        <v>3</v>
      </c>
      <c r="T158" s="44">
        <f>VLOOKUP(A158,'SSP_March''19'!$A$3:$T$1193,20,0)</f>
        <v>0.3</v>
      </c>
      <c r="U158" s="34">
        <f>VLOOKUP(A158,'SSP_March''19'!$A$3:$X$1193,21,0)</f>
        <v>0</v>
      </c>
      <c r="V158" s="34">
        <f>VLOOKUP(A158,'SSP_March''19'!$A$3:$X$1193,22,0)</f>
        <v>0</v>
      </c>
      <c r="W158" s="34">
        <f>VLOOKUP(A158,'SSP_March''19'!$A$3:$X$1193,23,0)</f>
        <v>0</v>
      </c>
      <c r="X158" s="34">
        <f>VLOOKUP(A158,'SSP_March''19'!$A$3:$X$1193,24,0)</f>
        <v>0</v>
      </c>
    </row>
    <row r="159" spans="1:24">
      <c r="A159" s="54" t="s">
        <v>2426</v>
      </c>
      <c r="B159" s="54" t="s">
        <v>2427</v>
      </c>
      <c r="C159" s="54" t="s">
        <v>109</v>
      </c>
      <c r="D159" s="54" t="s">
        <v>0</v>
      </c>
      <c r="E159" s="54" t="s">
        <v>0</v>
      </c>
      <c r="F159" s="54" t="s">
        <v>2428</v>
      </c>
      <c r="G159" s="54">
        <v>1789439373</v>
      </c>
      <c r="H159" s="54" t="s">
        <v>229</v>
      </c>
      <c r="I159" s="54" t="s">
        <v>3514</v>
      </c>
      <c r="J159" s="34" t="s">
        <v>3419</v>
      </c>
      <c r="K159" s="43">
        <f>VLOOKUP(A159,'SSP_March''19'!$A$3:$L$1193,11,0)</f>
        <v>244941</v>
      </c>
      <c r="L159" s="43">
        <f>VLOOKUP(A159,'SSP_March''19'!$A$3:$L$1193,12,0)</f>
        <v>93100</v>
      </c>
      <c r="M159" s="44">
        <f t="shared" si="9"/>
        <v>0.38009153224654102</v>
      </c>
      <c r="N159" s="49">
        <f>ROUND(VLOOKUP(A159,'SSP_March''19'!$A$3:$N$1193,14,0),0)</f>
        <v>288610</v>
      </c>
      <c r="O159" s="44">
        <f t="shared" si="10"/>
        <v>1.1782837499642771</v>
      </c>
      <c r="P159" s="45">
        <f>VLOOKUP(A159,'SSP_March''19'!$A$3:$Q$1193,16,0)</f>
        <v>18</v>
      </c>
      <c r="Q159" s="34">
        <f>VLOOKUP(A159,'SSP_March''19'!$A$3:$Q$1193,17,0)</f>
        <v>7</v>
      </c>
      <c r="R159" s="35">
        <f t="shared" si="11"/>
        <v>0.3888888888888889</v>
      </c>
      <c r="S159" s="49">
        <f>ROUND(VLOOKUP(A159,'SSP_March''19'!$A$3:$T$1193,19,0),0)</f>
        <v>22</v>
      </c>
      <c r="T159" s="44">
        <f>VLOOKUP(A159,'SSP_March''19'!$A$3:$T$1193,20,0)</f>
        <v>1.2222222222222223</v>
      </c>
      <c r="U159" s="34">
        <f>VLOOKUP(A159,'SSP_March''19'!$A$3:$X$1193,21,0)</f>
        <v>1</v>
      </c>
      <c r="V159" s="34">
        <f>VLOOKUP(A159,'SSP_March''19'!$A$3:$X$1193,22,0)</f>
        <v>2</v>
      </c>
      <c r="W159" s="34">
        <f>VLOOKUP(A159,'SSP_March''19'!$A$3:$X$1193,23,0)</f>
        <v>1</v>
      </c>
      <c r="X159" s="34">
        <f>VLOOKUP(A159,'SSP_March''19'!$A$3:$X$1193,24,0)</f>
        <v>0</v>
      </c>
    </row>
    <row r="160" spans="1:24">
      <c r="A160" s="54" t="s">
        <v>2366</v>
      </c>
      <c r="B160" s="54" t="s">
        <v>2367</v>
      </c>
      <c r="C160" s="54" t="s">
        <v>109</v>
      </c>
      <c r="D160" s="54" t="s">
        <v>0</v>
      </c>
      <c r="E160" s="54" t="s">
        <v>0</v>
      </c>
      <c r="F160" s="54" t="s">
        <v>2368</v>
      </c>
      <c r="G160" s="54">
        <v>1717787425</v>
      </c>
      <c r="H160" s="54" t="s">
        <v>229</v>
      </c>
      <c r="I160" s="54" t="s">
        <v>3514</v>
      </c>
      <c r="J160" s="34" t="s">
        <v>3515</v>
      </c>
      <c r="K160" s="43">
        <f>VLOOKUP(A160,'SSP_March''19'!$A$3:$L$1193,11,0)</f>
        <v>191878</v>
      </c>
      <c r="L160" s="43">
        <f>VLOOKUP(A160,'SSP_March''19'!$A$3:$L$1193,12,0)</f>
        <v>67680</v>
      </c>
      <c r="M160" s="44">
        <f t="shared" si="9"/>
        <v>0.35272412678889709</v>
      </c>
      <c r="N160" s="49">
        <f>ROUND(VLOOKUP(A160,'SSP_March''19'!$A$3:$N$1193,14,0),0)</f>
        <v>209808</v>
      </c>
      <c r="O160" s="44">
        <f t="shared" si="10"/>
        <v>1.0934447930455811</v>
      </c>
      <c r="P160" s="45">
        <f>VLOOKUP(A160,'SSP_March''19'!$A$3:$Q$1193,16,0)</f>
        <v>10</v>
      </c>
      <c r="Q160" s="34">
        <f>VLOOKUP(A160,'SSP_March''19'!$A$3:$Q$1193,17,0)</f>
        <v>2</v>
      </c>
      <c r="R160" s="35">
        <f t="shared" si="11"/>
        <v>0.2</v>
      </c>
      <c r="S160" s="49">
        <f>ROUND(VLOOKUP(A160,'SSP_March''19'!$A$3:$T$1193,19,0),0)</f>
        <v>6</v>
      </c>
      <c r="T160" s="44">
        <f>VLOOKUP(A160,'SSP_March''19'!$A$3:$T$1193,20,0)</f>
        <v>0.6</v>
      </c>
      <c r="U160" s="34">
        <f>VLOOKUP(A160,'SSP_March''19'!$A$3:$X$1193,21,0)</f>
        <v>1</v>
      </c>
      <c r="V160" s="34">
        <f>VLOOKUP(A160,'SSP_March''19'!$A$3:$X$1193,22,0)</f>
        <v>0</v>
      </c>
      <c r="W160" s="34">
        <f>VLOOKUP(A160,'SSP_March''19'!$A$3:$X$1193,23,0)</f>
        <v>0</v>
      </c>
      <c r="X160" s="34">
        <f>VLOOKUP(A160,'SSP_March''19'!$A$3:$X$1193,24,0)</f>
        <v>0</v>
      </c>
    </row>
    <row r="161" spans="1:24">
      <c r="A161" s="54" t="s">
        <v>3508</v>
      </c>
      <c r="B161" s="54" t="s">
        <v>3509</v>
      </c>
      <c r="C161" s="54" t="s">
        <v>109</v>
      </c>
      <c r="D161" s="54" t="s">
        <v>0</v>
      </c>
      <c r="E161" s="54" t="s">
        <v>0</v>
      </c>
      <c r="F161" s="54" t="s">
        <v>3510</v>
      </c>
      <c r="G161" s="54">
        <v>1672278860</v>
      </c>
      <c r="H161" s="54" t="s">
        <v>229</v>
      </c>
      <c r="I161" s="54" t="s">
        <v>3522</v>
      </c>
      <c r="J161" s="34" t="s">
        <v>3420</v>
      </c>
      <c r="K161" s="43">
        <f>VLOOKUP(A161,'SSP_March''19'!$A$3:$L$1193,11,0)</f>
        <v>508282</v>
      </c>
      <c r="L161" s="43">
        <f>VLOOKUP(A161,'SSP_March''19'!$A$3:$L$1193,12,0)</f>
        <v>123229</v>
      </c>
      <c r="M161" s="44">
        <f t="shared" si="9"/>
        <v>0.24244218760451874</v>
      </c>
      <c r="N161" s="49">
        <f>ROUND(VLOOKUP(A161,'SSP_March''19'!$A$3:$N$1193,14,0),0)</f>
        <v>382010</v>
      </c>
      <c r="O161" s="44">
        <f t="shared" si="10"/>
        <v>0.75157097831518727</v>
      </c>
      <c r="P161" s="45">
        <f>VLOOKUP(A161,'SSP_March''19'!$A$3:$Q$1193,16,0)</f>
        <v>17</v>
      </c>
      <c r="Q161" s="34">
        <f>VLOOKUP(A161,'SSP_March''19'!$A$3:$Q$1193,17,0)</f>
        <v>6</v>
      </c>
      <c r="R161" s="35">
        <f t="shared" si="11"/>
        <v>0.35294117647058826</v>
      </c>
      <c r="S161" s="49">
        <f>ROUND(VLOOKUP(A161,'SSP_March''19'!$A$3:$T$1193,19,0),0)</f>
        <v>19</v>
      </c>
      <c r="T161" s="44">
        <f>VLOOKUP(A161,'SSP_March''19'!$A$3:$T$1193,20,0)</f>
        <v>1.1176470588235294</v>
      </c>
      <c r="U161" s="34">
        <f>VLOOKUP(A161,'SSP_March''19'!$A$3:$X$1193,21,0)</f>
        <v>1</v>
      </c>
      <c r="V161" s="34">
        <f>VLOOKUP(A161,'SSP_March''19'!$A$3:$X$1193,22,0)</f>
        <v>2</v>
      </c>
      <c r="W161" s="34">
        <f>VLOOKUP(A161,'SSP_March''19'!$A$3:$X$1193,23,0)</f>
        <v>1</v>
      </c>
      <c r="X161" s="34">
        <f>VLOOKUP(A161,'SSP_March''19'!$A$3:$X$1193,24,0)</f>
        <v>0</v>
      </c>
    </row>
    <row r="162" spans="1:24">
      <c r="A162" s="54" t="s">
        <v>2547</v>
      </c>
      <c r="B162" s="54" t="s">
        <v>2548</v>
      </c>
      <c r="C162" s="54" t="s">
        <v>109</v>
      </c>
      <c r="D162" s="54" t="s">
        <v>0</v>
      </c>
      <c r="E162" s="54" t="s">
        <v>0</v>
      </c>
      <c r="F162" s="54" t="s">
        <v>2549</v>
      </c>
      <c r="G162" s="54">
        <v>1863443800</v>
      </c>
      <c r="H162" s="54" t="s">
        <v>229</v>
      </c>
      <c r="I162" s="54" t="s">
        <v>3514</v>
      </c>
      <c r="J162" s="34" t="s">
        <v>3419</v>
      </c>
      <c r="K162" s="43">
        <f>VLOOKUP(A162,'SSP_March''19'!$A$3:$L$1193,11,0)</f>
        <v>299721</v>
      </c>
      <c r="L162" s="43">
        <f>VLOOKUP(A162,'SSP_March''19'!$A$3:$L$1193,12,0)</f>
        <v>73130</v>
      </c>
      <c r="M162" s="44">
        <f t="shared" si="9"/>
        <v>0.24399358069671462</v>
      </c>
      <c r="N162" s="49">
        <f>ROUND(VLOOKUP(A162,'SSP_March''19'!$A$3:$N$1193,14,0),0)</f>
        <v>226703</v>
      </c>
      <c r="O162" s="44">
        <f t="shared" si="10"/>
        <v>0.75638010015981527</v>
      </c>
      <c r="P162" s="45">
        <f>VLOOKUP(A162,'SSP_March''19'!$A$3:$Q$1193,16,0)</f>
        <v>14</v>
      </c>
      <c r="Q162" s="34">
        <f>VLOOKUP(A162,'SSP_March''19'!$A$3:$Q$1193,17,0)</f>
        <v>5</v>
      </c>
      <c r="R162" s="35">
        <f t="shared" si="11"/>
        <v>0.35714285714285715</v>
      </c>
      <c r="S162" s="49">
        <f>ROUND(VLOOKUP(A162,'SSP_March''19'!$A$3:$T$1193,19,0),0)</f>
        <v>16</v>
      </c>
      <c r="T162" s="44">
        <f>VLOOKUP(A162,'SSP_March''19'!$A$3:$T$1193,20,0)</f>
        <v>1.1428571428571428</v>
      </c>
      <c r="U162" s="34">
        <f>VLOOKUP(A162,'SSP_March''19'!$A$3:$X$1193,21,0)</f>
        <v>2</v>
      </c>
      <c r="V162" s="34">
        <f>VLOOKUP(A162,'SSP_March''19'!$A$3:$X$1193,22,0)</f>
        <v>3</v>
      </c>
      <c r="W162" s="34">
        <f>VLOOKUP(A162,'SSP_March''19'!$A$3:$X$1193,23,0)</f>
        <v>0</v>
      </c>
      <c r="X162" s="34">
        <f>VLOOKUP(A162,'SSP_March''19'!$A$3:$X$1193,24,0)</f>
        <v>1</v>
      </c>
    </row>
    <row r="163" spans="1:24">
      <c r="A163" s="75" t="s">
        <v>3633</v>
      </c>
      <c r="B163" s="75" t="s">
        <v>3634</v>
      </c>
      <c r="C163" s="75" t="s">
        <v>109</v>
      </c>
      <c r="D163" s="75" t="s">
        <v>0</v>
      </c>
      <c r="E163" s="75" t="s">
        <v>0</v>
      </c>
      <c r="F163" s="75" t="s">
        <v>3635</v>
      </c>
      <c r="G163" s="67">
        <v>1924151958</v>
      </c>
      <c r="H163" s="54" t="s">
        <v>229</v>
      </c>
      <c r="I163" s="54" t="s">
        <v>3514</v>
      </c>
      <c r="J163" s="34" t="s">
        <v>3421</v>
      </c>
      <c r="K163" s="43">
        <f>VLOOKUP(A163,'SSP_March''19'!$A$3:$L$1193,11,0)</f>
        <v>130000</v>
      </c>
      <c r="L163" s="43">
        <f>VLOOKUP(A163,'SSP_March''19'!$A$3:$L$1193,12,0)</f>
        <v>0</v>
      </c>
      <c r="M163" s="44">
        <f t="shared" si="9"/>
        <v>0</v>
      </c>
      <c r="N163" s="49">
        <f>ROUND(VLOOKUP(A163,'SSP_March''19'!$A$3:$N$1193,14,0),0)</f>
        <v>0</v>
      </c>
      <c r="O163" s="44">
        <f t="shared" si="10"/>
        <v>0</v>
      </c>
      <c r="P163" s="45">
        <f>VLOOKUP(A163,'SSP_March''19'!$A$3:$Q$1193,16,0)</f>
        <v>10</v>
      </c>
      <c r="Q163" s="34">
        <f>VLOOKUP(A163,'SSP_March''19'!$A$3:$Q$1193,17,0)</f>
        <v>0</v>
      </c>
      <c r="R163" s="35">
        <f t="shared" si="11"/>
        <v>0</v>
      </c>
      <c r="S163" s="49">
        <f>ROUND(VLOOKUP(A163,'SSP_March''19'!$A$3:$T$1193,19,0),0)</f>
        <v>0</v>
      </c>
      <c r="T163" s="44">
        <f>VLOOKUP(A163,'SSP_March''19'!$A$3:$T$1193,20,0)</f>
        <v>0</v>
      </c>
      <c r="U163" s="34">
        <f>VLOOKUP(A163,'SSP_March''19'!$A$3:$X$1193,21,0)</f>
        <v>0</v>
      </c>
      <c r="V163" s="34">
        <f>VLOOKUP(A163,'SSP_March''19'!$A$3:$X$1193,22,0)</f>
        <v>0</v>
      </c>
      <c r="W163" s="34">
        <f>VLOOKUP(A163,'SSP_March''19'!$A$3:$X$1193,23,0)</f>
        <v>0</v>
      </c>
      <c r="X163" s="34">
        <f>VLOOKUP(A163,'SSP_March''19'!$A$3:$X$1193,24,0)</f>
        <v>0</v>
      </c>
    </row>
    <row r="164" spans="1:24">
      <c r="A164" s="54" t="s">
        <v>2690</v>
      </c>
      <c r="B164" s="54" t="s">
        <v>2691</v>
      </c>
      <c r="C164" s="54" t="s">
        <v>109</v>
      </c>
      <c r="D164" s="54" t="s">
        <v>0</v>
      </c>
      <c r="E164" s="54" t="s">
        <v>0</v>
      </c>
      <c r="F164" s="54" t="s">
        <v>2692</v>
      </c>
      <c r="G164" s="54">
        <v>1796351653</v>
      </c>
      <c r="H164" s="54" t="s">
        <v>229</v>
      </c>
      <c r="I164" s="54" t="s">
        <v>3514</v>
      </c>
      <c r="J164" s="34" t="s">
        <v>3419</v>
      </c>
      <c r="K164" s="43">
        <f>VLOOKUP(A164,'SSP_March''19'!$A$3:$L$1193,11,0)</f>
        <v>225836</v>
      </c>
      <c r="L164" s="43">
        <f>VLOOKUP(A164,'SSP_March''19'!$A$3:$L$1193,12,0)</f>
        <v>60640</v>
      </c>
      <c r="M164" s="44">
        <f t="shared" si="9"/>
        <v>0.26851343452771037</v>
      </c>
      <c r="N164" s="49">
        <f>ROUND(VLOOKUP(A164,'SSP_March''19'!$A$3:$N$1193,14,0),0)</f>
        <v>187984</v>
      </c>
      <c r="O164" s="44">
        <f t="shared" si="10"/>
        <v>0.83239164703590218</v>
      </c>
      <c r="P164" s="45">
        <f>VLOOKUP(A164,'SSP_March''19'!$A$3:$Q$1193,16,0)</f>
        <v>10</v>
      </c>
      <c r="Q164" s="34">
        <f>VLOOKUP(A164,'SSP_March''19'!$A$3:$Q$1193,17,0)</f>
        <v>1</v>
      </c>
      <c r="R164" s="35">
        <f t="shared" si="11"/>
        <v>0.1</v>
      </c>
      <c r="S164" s="49">
        <f>ROUND(VLOOKUP(A164,'SSP_March''19'!$A$3:$T$1193,19,0),0)</f>
        <v>3</v>
      </c>
      <c r="T164" s="44">
        <f>VLOOKUP(A164,'SSP_March''19'!$A$3:$T$1193,20,0)</f>
        <v>0.3</v>
      </c>
      <c r="U164" s="34">
        <f>VLOOKUP(A164,'SSP_March''19'!$A$3:$X$1193,21,0)</f>
        <v>0</v>
      </c>
      <c r="V164" s="34">
        <f>VLOOKUP(A164,'SSP_March''19'!$A$3:$X$1193,22,0)</f>
        <v>0</v>
      </c>
      <c r="W164" s="34">
        <f>VLOOKUP(A164,'SSP_March''19'!$A$3:$X$1193,23,0)</f>
        <v>0</v>
      </c>
      <c r="X164" s="34">
        <f>VLOOKUP(A164,'SSP_March''19'!$A$3:$X$1193,24,0)</f>
        <v>1</v>
      </c>
    </row>
    <row r="165" spans="1:24">
      <c r="A165" s="54" t="s">
        <v>3006</v>
      </c>
      <c r="B165" s="54" t="s">
        <v>3007</v>
      </c>
      <c r="C165" s="54" t="s">
        <v>109</v>
      </c>
      <c r="D165" s="54" t="s">
        <v>0</v>
      </c>
      <c r="E165" s="54" t="s">
        <v>0</v>
      </c>
      <c r="F165" s="54" t="s">
        <v>3008</v>
      </c>
      <c r="G165" s="54">
        <v>1725517296</v>
      </c>
      <c r="H165" s="54" t="s">
        <v>229</v>
      </c>
      <c r="I165" s="54" t="s">
        <v>3514</v>
      </c>
      <c r="J165" s="34" t="s">
        <v>3421</v>
      </c>
      <c r="K165" s="43">
        <f>VLOOKUP(A165,'SSP_March''19'!$A$3:$L$1193,11,0)</f>
        <v>130000</v>
      </c>
      <c r="L165" s="43">
        <f>VLOOKUP(A165,'SSP_March''19'!$A$3:$L$1193,12,0)</f>
        <v>27850</v>
      </c>
      <c r="M165" s="44">
        <f t="shared" si="9"/>
        <v>0.21423076923076922</v>
      </c>
      <c r="N165" s="49">
        <f>ROUND(VLOOKUP(A165,'SSP_March''19'!$A$3:$N$1193,14,0),0)</f>
        <v>86335</v>
      </c>
      <c r="O165" s="44">
        <f t="shared" si="10"/>
        <v>0.66411538461538466</v>
      </c>
      <c r="P165" s="45">
        <f>VLOOKUP(A165,'SSP_March''19'!$A$3:$Q$1193,16,0)</f>
        <v>10</v>
      </c>
      <c r="Q165" s="34">
        <f>VLOOKUP(A165,'SSP_March''19'!$A$3:$Q$1193,17,0)</f>
        <v>1</v>
      </c>
      <c r="R165" s="35">
        <f t="shared" si="11"/>
        <v>0.1</v>
      </c>
      <c r="S165" s="49">
        <f>ROUND(VLOOKUP(A165,'SSP_March''19'!$A$3:$T$1193,19,0),0)</f>
        <v>3</v>
      </c>
      <c r="T165" s="44">
        <f>VLOOKUP(A165,'SSP_March''19'!$A$3:$T$1193,20,0)</f>
        <v>0.3</v>
      </c>
      <c r="U165" s="34">
        <f>VLOOKUP(A165,'SSP_March''19'!$A$3:$X$1193,21,0)</f>
        <v>0</v>
      </c>
      <c r="V165" s="34">
        <f>VLOOKUP(A165,'SSP_March''19'!$A$3:$X$1193,22,0)</f>
        <v>0</v>
      </c>
      <c r="W165" s="34">
        <f>VLOOKUP(A165,'SSP_March''19'!$A$3:$X$1193,23,0)</f>
        <v>0</v>
      </c>
      <c r="X165" s="34">
        <f>VLOOKUP(A165,'SSP_March''19'!$A$3:$X$1193,24,0)</f>
        <v>0</v>
      </c>
    </row>
    <row r="166" spans="1:24">
      <c r="A166" s="54" t="s">
        <v>2379</v>
      </c>
      <c r="B166" s="54" t="s">
        <v>2380</v>
      </c>
      <c r="C166" s="54" t="s">
        <v>109</v>
      </c>
      <c r="D166" s="54" t="s">
        <v>0</v>
      </c>
      <c r="E166" s="54" t="s">
        <v>0</v>
      </c>
      <c r="F166" s="54" t="s">
        <v>219</v>
      </c>
      <c r="G166" s="54">
        <v>1717838353</v>
      </c>
      <c r="H166" s="54" t="s">
        <v>229</v>
      </c>
      <c r="I166" s="54" t="s">
        <v>3514</v>
      </c>
      <c r="J166" s="34" t="s">
        <v>3515</v>
      </c>
      <c r="K166" s="43">
        <f>VLOOKUP(A166,'SSP_March''19'!$A$3:$L$1193,11,0)</f>
        <v>246080</v>
      </c>
      <c r="L166" s="43">
        <f>VLOOKUP(A166,'SSP_March''19'!$A$3:$L$1193,12,0)</f>
        <v>41430</v>
      </c>
      <c r="M166" s="44">
        <f t="shared" si="9"/>
        <v>0.16835988296488946</v>
      </c>
      <c r="N166" s="49">
        <f>ROUND(VLOOKUP(A166,'SSP_March''19'!$A$3:$N$1193,14,0),0)</f>
        <v>128433</v>
      </c>
      <c r="O166" s="44">
        <f t="shared" si="10"/>
        <v>0.5219156371911573</v>
      </c>
      <c r="P166" s="45">
        <f>VLOOKUP(A166,'SSP_March''19'!$A$3:$Q$1193,16,0)</f>
        <v>14</v>
      </c>
      <c r="Q166" s="34">
        <f>VLOOKUP(A166,'SSP_March''19'!$A$3:$Q$1193,17,0)</f>
        <v>3</v>
      </c>
      <c r="R166" s="35">
        <f t="shared" si="11"/>
        <v>0.21428571428571427</v>
      </c>
      <c r="S166" s="49">
        <f>ROUND(VLOOKUP(A166,'SSP_March''19'!$A$3:$T$1193,19,0),0)</f>
        <v>9</v>
      </c>
      <c r="T166" s="44">
        <f>VLOOKUP(A166,'SSP_March''19'!$A$3:$T$1193,20,0)</f>
        <v>0.6428571428571429</v>
      </c>
      <c r="U166" s="34">
        <f>VLOOKUP(A166,'SSP_March''19'!$A$3:$X$1193,21,0)</f>
        <v>0</v>
      </c>
      <c r="V166" s="34">
        <f>VLOOKUP(A166,'SSP_March''19'!$A$3:$X$1193,22,0)</f>
        <v>2</v>
      </c>
      <c r="W166" s="34">
        <f>VLOOKUP(A166,'SSP_March''19'!$A$3:$X$1193,23,0)</f>
        <v>0</v>
      </c>
      <c r="X166" s="34">
        <f>VLOOKUP(A166,'SSP_March''19'!$A$3:$X$1193,24,0)</f>
        <v>0</v>
      </c>
    </row>
    <row r="167" spans="1:24">
      <c r="A167" s="54" t="s">
        <v>3391</v>
      </c>
      <c r="B167" s="54" t="s">
        <v>3392</v>
      </c>
      <c r="C167" s="54" t="s">
        <v>123</v>
      </c>
      <c r="D167" s="54" t="s">
        <v>0</v>
      </c>
      <c r="E167" s="54" t="s">
        <v>0</v>
      </c>
      <c r="F167" s="54" t="s">
        <v>1869</v>
      </c>
      <c r="G167" s="54">
        <v>1711178941</v>
      </c>
      <c r="H167" s="54" t="s">
        <v>229</v>
      </c>
      <c r="I167" s="54" t="s">
        <v>3514</v>
      </c>
      <c r="J167" s="34" t="s">
        <v>3421</v>
      </c>
      <c r="K167" s="43">
        <f>VLOOKUP(A167,'SSP_March''19'!$A$3:$L$1193,11,0)</f>
        <v>130000</v>
      </c>
      <c r="L167" s="43">
        <f>VLOOKUP(A167,'SSP_March''19'!$A$3:$L$1193,12,0)</f>
        <v>12820</v>
      </c>
      <c r="M167" s="44">
        <f t="shared" si="9"/>
        <v>9.8615384615384619E-2</v>
      </c>
      <c r="N167" s="49">
        <f>ROUND(VLOOKUP(A167,'SSP_March''19'!$A$3:$N$1193,14,0),0)</f>
        <v>39742</v>
      </c>
      <c r="O167" s="44">
        <f t="shared" si="10"/>
        <v>0.30570769230769229</v>
      </c>
      <c r="P167" s="45">
        <f>VLOOKUP(A167,'SSP_March''19'!$A$3:$Q$1193,16,0)</f>
        <v>10</v>
      </c>
      <c r="Q167" s="34">
        <f>VLOOKUP(A167,'SSP_March''19'!$A$3:$Q$1193,17,0)</f>
        <v>0</v>
      </c>
      <c r="R167" s="35">
        <f t="shared" si="11"/>
        <v>0</v>
      </c>
      <c r="S167" s="49">
        <f>ROUND(VLOOKUP(A167,'SSP_March''19'!$A$3:$T$1193,19,0),0)</f>
        <v>0</v>
      </c>
      <c r="T167" s="44">
        <f>VLOOKUP(A167,'SSP_March''19'!$A$3:$T$1193,20,0)</f>
        <v>0</v>
      </c>
      <c r="U167" s="34">
        <f>VLOOKUP(A167,'SSP_March''19'!$A$3:$X$1193,21,0)</f>
        <v>0</v>
      </c>
      <c r="V167" s="34">
        <f>VLOOKUP(A167,'SSP_March''19'!$A$3:$X$1193,22,0)</f>
        <v>0</v>
      </c>
      <c r="W167" s="34">
        <f>VLOOKUP(A167,'SSP_March''19'!$A$3:$X$1193,23,0)</f>
        <v>0</v>
      </c>
      <c r="X167" s="34">
        <f>VLOOKUP(A167,'SSP_March''19'!$A$3:$X$1193,24,0)</f>
        <v>0</v>
      </c>
    </row>
    <row r="168" spans="1:24">
      <c r="A168" s="54" t="s">
        <v>2436</v>
      </c>
      <c r="B168" s="54" t="s">
        <v>2437</v>
      </c>
      <c r="C168" s="54" t="s">
        <v>123</v>
      </c>
      <c r="D168" s="54" t="s">
        <v>0</v>
      </c>
      <c r="E168" s="54" t="s">
        <v>0</v>
      </c>
      <c r="F168" s="54" t="s">
        <v>2438</v>
      </c>
      <c r="G168" s="54">
        <v>1717507933</v>
      </c>
      <c r="H168" s="54" t="s">
        <v>229</v>
      </c>
      <c r="I168" s="54" t="s">
        <v>3514</v>
      </c>
      <c r="J168" s="34" t="s">
        <v>3419</v>
      </c>
      <c r="K168" s="43">
        <f>VLOOKUP(A168,'SSP_March''19'!$A$3:$L$1193,11,0)</f>
        <v>215025</v>
      </c>
      <c r="L168" s="43">
        <f>VLOOKUP(A168,'SSP_March''19'!$A$3:$L$1193,12,0)</f>
        <v>97865</v>
      </c>
      <c r="M168" s="44">
        <f t="shared" si="9"/>
        <v>0.4551331240553424</v>
      </c>
      <c r="N168" s="49">
        <f>ROUND(VLOOKUP(A168,'SSP_March''19'!$A$3:$N$1193,14,0),0)</f>
        <v>303382</v>
      </c>
      <c r="O168" s="44">
        <f t="shared" si="10"/>
        <v>1.4109150098825718</v>
      </c>
      <c r="P168" s="45">
        <f>VLOOKUP(A168,'SSP_March''19'!$A$3:$Q$1193,16,0)</f>
        <v>10</v>
      </c>
      <c r="Q168" s="34">
        <f>VLOOKUP(A168,'SSP_March''19'!$A$3:$Q$1193,17,0)</f>
        <v>4</v>
      </c>
      <c r="R168" s="35">
        <f t="shared" si="11"/>
        <v>0.4</v>
      </c>
      <c r="S168" s="49">
        <f>ROUND(VLOOKUP(A168,'SSP_March''19'!$A$3:$T$1193,19,0),0)</f>
        <v>12</v>
      </c>
      <c r="T168" s="44">
        <f>VLOOKUP(A168,'SSP_March''19'!$A$3:$T$1193,20,0)</f>
        <v>1.2</v>
      </c>
      <c r="U168" s="34">
        <f>VLOOKUP(A168,'SSP_March''19'!$A$3:$X$1193,21,0)</f>
        <v>1</v>
      </c>
      <c r="V168" s="34">
        <f>VLOOKUP(A168,'SSP_March''19'!$A$3:$X$1193,22,0)</f>
        <v>1</v>
      </c>
      <c r="W168" s="34">
        <f>VLOOKUP(A168,'SSP_March''19'!$A$3:$X$1193,23,0)</f>
        <v>0</v>
      </c>
      <c r="X168" s="34">
        <f>VLOOKUP(A168,'SSP_March''19'!$A$3:$X$1193,24,0)</f>
        <v>0</v>
      </c>
    </row>
    <row r="169" spans="1:24">
      <c r="A169" s="54" t="s">
        <v>3394</v>
      </c>
      <c r="B169" s="54" t="s">
        <v>3395</v>
      </c>
      <c r="C169" s="54" t="s">
        <v>104</v>
      </c>
      <c r="D169" s="54" t="s">
        <v>105</v>
      </c>
      <c r="E169" s="54" t="s">
        <v>0</v>
      </c>
      <c r="F169" s="54" t="s">
        <v>3393</v>
      </c>
      <c r="G169" s="54">
        <v>1947573512</v>
      </c>
      <c r="H169" s="54" t="s">
        <v>229</v>
      </c>
      <c r="I169" s="54" t="s">
        <v>3514</v>
      </c>
      <c r="J169" s="34" t="s">
        <v>3421</v>
      </c>
      <c r="K169" s="43">
        <f>VLOOKUP(A169,'SSP_March''19'!$A$3:$L$1193,11,0)</f>
        <v>130000</v>
      </c>
      <c r="L169" s="43">
        <f>VLOOKUP(A169,'SSP_March''19'!$A$3:$L$1193,12,0)</f>
        <v>25260</v>
      </c>
      <c r="M169" s="44">
        <f t="shared" si="9"/>
        <v>0.19430769230769232</v>
      </c>
      <c r="N169" s="49">
        <f>ROUND(VLOOKUP(A169,'SSP_March''19'!$A$3:$N$1193,14,0),0)</f>
        <v>78306</v>
      </c>
      <c r="O169" s="44">
        <f t="shared" si="10"/>
        <v>0.60235384615384613</v>
      </c>
      <c r="P169" s="45">
        <f>VLOOKUP(A169,'SSP_March''19'!$A$3:$Q$1193,16,0)</f>
        <v>12</v>
      </c>
      <c r="Q169" s="34">
        <f>VLOOKUP(A169,'SSP_March''19'!$A$3:$Q$1193,17,0)</f>
        <v>3</v>
      </c>
      <c r="R169" s="35">
        <f t="shared" si="11"/>
        <v>0.25</v>
      </c>
      <c r="S169" s="49">
        <f>ROUND(VLOOKUP(A169,'SSP_March''19'!$A$3:$T$1193,19,0),0)</f>
        <v>9</v>
      </c>
      <c r="T169" s="44">
        <f>VLOOKUP(A169,'SSP_March''19'!$A$3:$T$1193,20,0)</f>
        <v>0.75</v>
      </c>
      <c r="U169" s="34">
        <f>VLOOKUP(A169,'SSP_March''19'!$A$3:$X$1193,21,0)</f>
        <v>0</v>
      </c>
      <c r="V169" s="34">
        <f>VLOOKUP(A169,'SSP_March''19'!$A$3:$X$1193,22,0)</f>
        <v>1</v>
      </c>
      <c r="W169" s="34">
        <f>VLOOKUP(A169,'SSP_March''19'!$A$3:$X$1193,23,0)</f>
        <v>0</v>
      </c>
      <c r="X169" s="34">
        <f>VLOOKUP(A169,'SSP_March''19'!$A$3:$X$1193,24,0)</f>
        <v>0</v>
      </c>
    </row>
    <row r="170" spans="1:24">
      <c r="A170" s="54" t="s">
        <v>2634</v>
      </c>
      <c r="B170" s="54" t="s">
        <v>2635</v>
      </c>
      <c r="C170" s="54" t="s">
        <v>104</v>
      </c>
      <c r="D170" s="54" t="s">
        <v>105</v>
      </c>
      <c r="E170" s="54" t="s">
        <v>0</v>
      </c>
      <c r="F170" s="54" t="s">
        <v>2636</v>
      </c>
      <c r="G170" s="54">
        <v>1720391966</v>
      </c>
      <c r="H170" s="54" t="s">
        <v>229</v>
      </c>
      <c r="I170" s="54" t="s">
        <v>3514</v>
      </c>
      <c r="J170" s="34" t="s">
        <v>3419</v>
      </c>
      <c r="K170" s="43">
        <f>VLOOKUP(A170,'SSP_March''19'!$A$3:$L$1193,11,0)</f>
        <v>196217</v>
      </c>
      <c r="L170" s="43">
        <f>VLOOKUP(A170,'SSP_March''19'!$A$3:$L$1193,12,0)</f>
        <v>60708</v>
      </c>
      <c r="M170" s="44">
        <f t="shared" si="9"/>
        <v>0.30939215256578179</v>
      </c>
      <c r="N170" s="49">
        <f>ROUND(VLOOKUP(A170,'SSP_March''19'!$A$3:$N$1193,14,0),0)</f>
        <v>188195</v>
      </c>
      <c r="O170" s="44">
        <f t="shared" si="10"/>
        <v>0.95911669223359852</v>
      </c>
      <c r="P170" s="45">
        <f>VLOOKUP(A170,'SSP_March''19'!$A$3:$Q$1193,16,0)</f>
        <v>10</v>
      </c>
      <c r="Q170" s="34">
        <f>VLOOKUP(A170,'SSP_March''19'!$A$3:$Q$1193,17,0)</f>
        <v>3</v>
      </c>
      <c r="R170" s="35">
        <f t="shared" si="11"/>
        <v>0.3</v>
      </c>
      <c r="S170" s="49">
        <f>ROUND(VLOOKUP(A170,'SSP_March''19'!$A$3:$T$1193,19,0),0)</f>
        <v>9</v>
      </c>
      <c r="T170" s="44">
        <f>VLOOKUP(A170,'SSP_March''19'!$A$3:$T$1193,20,0)</f>
        <v>0.9</v>
      </c>
      <c r="U170" s="34">
        <f>VLOOKUP(A170,'SSP_March''19'!$A$3:$X$1193,21,0)</f>
        <v>1</v>
      </c>
      <c r="V170" s="34">
        <f>VLOOKUP(A170,'SSP_March''19'!$A$3:$X$1193,22,0)</f>
        <v>1</v>
      </c>
      <c r="W170" s="34">
        <f>VLOOKUP(A170,'SSP_March''19'!$A$3:$X$1193,23,0)</f>
        <v>0</v>
      </c>
      <c r="X170" s="34">
        <f>VLOOKUP(A170,'SSP_March''19'!$A$3:$X$1193,24,0)</f>
        <v>0</v>
      </c>
    </row>
    <row r="171" spans="1:24">
      <c r="A171" s="54" t="s">
        <v>2766</v>
      </c>
      <c r="B171" s="54" t="s">
        <v>2767</v>
      </c>
      <c r="C171" s="54" t="s">
        <v>104</v>
      </c>
      <c r="D171" s="54" t="s">
        <v>105</v>
      </c>
      <c r="E171" s="54" t="s">
        <v>0</v>
      </c>
      <c r="F171" s="54" t="s">
        <v>2768</v>
      </c>
      <c r="G171" s="54">
        <v>1717172074</v>
      </c>
      <c r="H171" s="54" t="s">
        <v>229</v>
      </c>
      <c r="I171" s="54" t="s">
        <v>3514</v>
      </c>
      <c r="J171" s="34" t="s">
        <v>3515</v>
      </c>
      <c r="K171" s="43">
        <f>VLOOKUP(A171,'SSP_March''19'!$A$3:$L$1193,11,0)</f>
        <v>130000</v>
      </c>
      <c r="L171" s="43">
        <f>VLOOKUP(A171,'SSP_March''19'!$A$3:$L$1193,12,0)</f>
        <v>48555</v>
      </c>
      <c r="M171" s="44">
        <f t="shared" si="9"/>
        <v>0.3735</v>
      </c>
      <c r="N171" s="49">
        <f>ROUND(VLOOKUP(A171,'SSP_March''19'!$A$3:$N$1193,14,0),0)</f>
        <v>150521</v>
      </c>
      <c r="O171" s="44">
        <f t="shared" si="10"/>
        <v>1.1578538461538461</v>
      </c>
      <c r="P171" s="45">
        <f>VLOOKUP(A171,'SSP_March''19'!$A$3:$Q$1193,16,0)</f>
        <v>10</v>
      </c>
      <c r="Q171" s="34">
        <f>VLOOKUP(A171,'SSP_March''19'!$A$3:$Q$1193,17,0)</f>
        <v>4</v>
      </c>
      <c r="R171" s="35">
        <f t="shared" si="11"/>
        <v>0.4</v>
      </c>
      <c r="S171" s="49">
        <f>ROUND(VLOOKUP(A171,'SSP_March''19'!$A$3:$T$1193,19,0),0)</f>
        <v>12</v>
      </c>
      <c r="T171" s="44">
        <f>VLOOKUP(A171,'SSP_March''19'!$A$3:$T$1193,20,0)</f>
        <v>1.2</v>
      </c>
      <c r="U171" s="34">
        <f>VLOOKUP(A171,'SSP_March''19'!$A$3:$X$1193,21,0)</f>
        <v>0</v>
      </c>
      <c r="V171" s="34">
        <f>VLOOKUP(A171,'SSP_March''19'!$A$3:$X$1193,22,0)</f>
        <v>1</v>
      </c>
      <c r="W171" s="34">
        <f>VLOOKUP(A171,'SSP_March''19'!$A$3:$X$1193,23,0)</f>
        <v>0</v>
      </c>
      <c r="X171" s="34">
        <f>VLOOKUP(A171,'SSP_March''19'!$A$3:$X$1193,24,0)</f>
        <v>0</v>
      </c>
    </row>
    <row r="172" spans="1:24">
      <c r="A172" s="54" t="s">
        <v>2854</v>
      </c>
      <c r="B172" s="54" t="s">
        <v>2855</v>
      </c>
      <c r="C172" s="54" t="s">
        <v>104</v>
      </c>
      <c r="D172" s="54" t="s">
        <v>105</v>
      </c>
      <c r="E172" s="54" t="s">
        <v>0</v>
      </c>
      <c r="F172" s="54" t="s">
        <v>2856</v>
      </c>
      <c r="G172" s="54">
        <v>1711182408</v>
      </c>
      <c r="H172" s="54" t="s">
        <v>229</v>
      </c>
      <c r="I172" s="54" t="s">
        <v>3514</v>
      </c>
      <c r="J172" s="34" t="s">
        <v>3515</v>
      </c>
      <c r="K172" s="43">
        <f>VLOOKUP(A172,'SSP_March''19'!$A$3:$L$1193,11,0)</f>
        <v>130000</v>
      </c>
      <c r="L172" s="43">
        <f>VLOOKUP(A172,'SSP_March''19'!$A$3:$L$1193,12,0)</f>
        <v>33040</v>
      </c>
      <c r="M172" s="44">
        <f t="shared" si="9"/>
        <v>0.25415384615384617</v>
      </c>
      <c r="N172" s="49">
        <f>ROUND(VLOOKUP(A172,'SSP_March''19'!$A$3:$N$1193,14,0),0)</f>
        <v>102424</v>
      </c>
      <c r="O172" s="44">
        <f t="shared" si="10"/>
        <v>0.78787692307692303</v>
      </c>
      <c r="P172" s="45">
        <f>VLOOKUP(A172,'SSP_March''19'!$A$3:$Q$1193,16,0)</f>
        <v>10</v>
      </c>
      <c r="Q172" s="34">
        <f>VLOOKUP(A172,'SSP_March''19'!$A$3:$Q$1193,17,0)</f>
        <v>2</v>
      </c>
      <c r="R172" s="35">
        <f t="shared" si="11"/>
        <v>0.2</v>
      </c>
      <c r="S172" s="49">
        <f>ROUND(VLOOKUP(A172,'SSP_March''19'!$A$3:$T$1193,19,0),0)</f>
        <v>6</v>
      </c>
      <c r="T172" s="44">
        <f>VLOOKUP(A172,'SSP_March''19'!$A$3:$T$1193,20,0)</f>
        <v>0.6</v>
      </c>
      <c r="U172" s="34">
        <f>VLOOKUP(A172,'SSP_March''19'!$A$3:$X$1193,21,0)</f>
        <v>0</v>
      </c>
      <c r="V172" s="34">
        <f>VLOOKUP(A172,'SSP_March''19'!$A$3:$X$1193,22,0)</f>
        <v>0</v>
      </c>
      <c r="W172" s="34">
        <f>VLOOKUP(A172,'SSP_March''19'!$A$3:$X$1193,23,0)</f>
        <v>0</v>
      </c>
      <c r="X172" s="34">
        <f>VLOOKUP(A172,'SSP_March''19'!$A$3:$X$1193,24,0)</f>
        <v>0</v>
      </c>
    </row>
    <row r="173" spans="1:24">
      <c r="A173" s="54" t="s">
        <v>2387</v>
      </c>
      <c r="B173" s="54" t="s">
        <v>2388</v>
      </c>
      <c r="C173" s="54" t="s">
        <v>104</v>
      </c>
      <c r="D173" s="54" t="s">
        <v>105</v>
      </c>
      <c r="E173" s="54" t="s">
        <v>0</v>
      </c>
      <c r="F173" s="54" t="s">
        <v>2389</v>
      </c>
      <c r="G173" s="54">
        <v>1712366267</v>
      </c>
      <c r="H173" s="54" t="s">
        <v>229</v>
      </c>
      <c r="I173" s="54" t="s">
        <v>3514</v>
      </c>
      <c r="J173" s="34" t="s">
        <v>3419</v>
      </c>
      <c r="K173" s="43">
        <f>VLOOKUP(A173,'SSP_March''19'!$A$3:$L$1193,11,0)</f>
        <v>256381</v>
      </c>
      <c r="L173" s="43">
        <f>VLOOKUP(A173,'SSP_March''19'!$A$3:$L$1193,12,0)</f>
        <v>32240</v>
      </c>
      <c r="M173" s="44">
        <f t="shared" si="9"/>
        <v>0.12575034811471988</v>
      </c>
      <c r="N173" s="49">
        <f>ROUND(VLOOKUP(A173,'SSP_March''19'!$A$3:$N$1193,14,0),0)</f>
        <v>99944</v>
      </c>
      <c r="O173" s="44">
        <f t="shared" si="10"/>
        <v>0.38982607915563167</v>
      </c>
      <c r="P173" s="45">
        <f>VLOOKUP(A173,'SSP_March''19'!$A$3:$Q$1193,16,0)</f>
        <v>12</v>
      </c>
      <c r="Q173" s="34">
        <f>VLOOKUP(A173,'SSP_March''19'!$A$3:$Q$1193,17,0)</f>
        <v>1</v>
      </c>
      <c r="R173" s="35">
        <f t="shared" si="11"/>
        <v>8.3333333333333329E-2</v>
      </c>
      <c r="S173" s="49">
        <f>ROUND(VLOOKUP(A173,'SSP_March''19'!$A$3:$T$1193,19,0),0)</f>
        <v>3</v>
      </c>
      <c r="T173" s="44">
        <f>VLOOKUP(A173,'SSP_March''19'!$A$3:$T$1193,20,0)</f>
        <v>0.25</v>
      </c>
      <c r="U173" s="34">
        <f>VLOOKUP(A173,'SSP_March''19'!$A$3:$X$1193,21,0)</f>
        <v>0</v>
      </c>
      <c r="V173" s="34">
        <f>VLOOKUP(A173,'SSP_March''19'!$A$3:$X$1193,22,0)</f>
        <v>0</v>
      </c>
      <c r="W173" s="34">
        <f>VLOOKUP(A173,'SSP_March''19'!$A$3:$X$1193,23,0)</f>
        <v>0</v>
      </c>
      <c r="X173" s="34">
        <f>VLOOKUP(A173,'SSP_March''19'!$A$3:$X$1193,24,0)</f>
        <v>0</v>
      </c>
    </row>
    <row r="174" spans="1:24">
      <c r="A174" s="54" t="s">
        <v>2420</v>
      </c>
      <c r="B174" s="54" t="s">
        <v>2421</v>
      </c>
      <c r="C174" s="54" t="s">
        <v>104</v>
      </c>
      <c r="D174" s="54" t="s">
        <v>105</v>
      </c>
      <c r="E174" s="54" t="s">
        <v>0</v>
      </c>
      <c r="F174" s="54" t="s">
        <v>2422</v>
      </c>
      <c r="G174" s="54">
        <v>1716932256</v>
      </c>
      <c r="H174" s="54" t="s">
        <v>229</v>
      </c>
      <c r="I174" s="54" t="s">
        <v>3514</v>
      </c>
      <c r="J174" s="34" t="s">
        <v>3419</v>
      </c>
      <c r="K174" s="43">
        <f>VLOOKUP(A174,'SSP_March''19'!$A$3:$L$1193,11,0)</f>
        <v>154240</v>
      </c>
      <c r="L174" s="43">
        <f>VLOOKUP(A174,'SSP_March''19'!$A$3:$L$1193,12,0)</f>
        <v>59040</v>
      </c>
      <c r="M174" s="44">
        <f t="shared" si="9"/>
        <v>0.38278008298755184</v>
      </c>
      <c r="N174" s="49">
        <f>ROUND(VLOOKUP(A174,'SSP_March''19'!$A$3:$N$1193,14,0),0)</f>
        <v>183024</v>
      </c>
      <c r="O174" s="44">
        <f t="shared" si="10"/>
        <v>1.1866182572614108</v>
      </c>
      <c r="P174" s="45">
        <f>VLOOKUP(A174,'SSP_March''19'!$A$3:$Q$1193,16,0)</f>
        <v>10</v>
      </c>
      <c r="Q174" s="34">
        <f>VLOOKUP(A174,'SSP_March''19'!$A$3:$Q$1193,17,0)</f>
        <v>2</v>
      </c>
      <c r="R174" s="35">
        <f t="shared" si="11"/>
        <v>0.2</v>
      </c>
      <c r="S174" s="49">
        <f>ROUND(VLOOKUP(A174,'SSP_March''19'!$A$3:$T$1193,19,0),0)</f>
        <v>6</v>
      </c>
      <c r="T174" s="44">
        <f>VLOOKUP(A174,'SSP_March''19'!$A$3:$T$1193,20,0)</f>
        <v>0.6</v>
      </c>
      <c r="U174" s="34">
        <f>VLOOKUP(A174,'SSP_March''19'!$A$3:$X$1193,21,0)</f>
        <v>1</v>
      </c>
      <c r="V174" s="34">
        <f>VLOOKUP(A174,'SSP_March''19'!$A$3:$X$1193,22,0)</f>
        <v>2</v>
      </c>
      <c r="W174" s="34">
        <f>VLOOKUP(A174,'SSP_March''19'!$A$3:$X$1193,23,0)</f>
        <v>0</v>
      </c>
      <c r="X174" s="34">
        <f>VLOOKUP(A174,'SSP_March''19'!$A$3:$X$1193,24,0)</f>
        <v>0</v>
      </c>
    </row>
    <row r="175" spans="1:24">
      <c r="A175" s="54" t="s">
        <v>2523</v>
      </c>
      <c r="B175" s="54" t="s">
        <v>1420</v>
      </c>
      <c r="C175" s="54" t="s">
        <v>104</v>
      </c>
      <c r="D175" s="54" t="s">
        <v>105</v>
      </c>
      <c r="E175" s="54" t="s">
        <v>0</v>
      </c>
      <c r="F175" s="54" t="s">
        <v>2524</v>
      </c>
      <c r="G175" s="54">
        <v>1711280484</v>
      </c>
      <c r="H175" s="54" t="s">
        <v>229</v>
      </c>
      <c r="I175" s="54" t="s">
        <v>3514</v>
      </c>
      <c r="J175" s="34" t="s">
        <v>3421</v>
      </c>
      <c r="K175" s="43">
        <f>VLOOKUP(A175,'SSP_March''19'!$A$3:$L$1193,11,0)</f>
        <v>130000</v>
      </c>
      <c r="L175" s="43">
        <f>VLOOKUP(A175,'SSP_March''19'!$A$3:$L$1193,12,0)</f>
        <v>49895</v>
      </c>
      <c r="M175" s="44">
        <f t="shared" si="9"/>
        <v>0.38380769230769229</v>
      </c>
      <c r="N175" s="49">
        <f>ROUND(VLOOKUP(A175,'SSP_March''19'!$A$3:$N$1193,14,0),0)</f>
        <v>154675</v>
      </c>
      <c r="O175" s="44">
        <f t="shared" si="10"/>
        <v>1.1898076923076923</v>
      </c>
      <c r="P175" s="45">
        <f>VLOOKUP(A175,'SSP_March''19'!$A$3:$Q$1193,16,0)</f>
        <v>10</v>
      </c>
      <c r="Q175" s="34">
        <f>VLOOKUP(A175,'SSP_March''19'!$A$3:$Q$1193,17,0)</f>
        <v>3</v>
      </c>
      <c r="R175" s="35">
        <f t="shared" si="11"/>
        <v>0.3</v>
      </c>
      <c r="S175" s="49">
        <f>ROUND(VLOOKUP(A175,'SSP_March''19'!$A$3:$T$1193,19,0),0)</f>
        <v>9</v>
      </c>
      <c r="T175" s="44">
        <f>VLOOKUP(A175,'SSP_March''19'!$A$3:$T$1193,20,0)</f>
        <v>0.9</v>
      </c>
      <c r="U175" s="34">
        <f>VLOOKUP(A175,'SSP_March''19'!$A$3:$X$1193,21,0)</f>
        <v>0</v>
      </c>
      <c r="V175" s="34">
        <f>VLOOKUP(A175,'SSP_March''19'!$A$3:$X$1193,22,0)</f>
        <v>1</v>
      </c>
      <c r="W175" s="34">
        <f>VLOOKUP(A175,'SSP_March''19'!$A$3:$X$1193,23,0)</f>
        <v>0</v>
      </c>
      <c r="X175" s="34">
        <f>VLOOKUP(A175,'SSP_March''19'!$A$3:$X$1193,24,0)</f>
        <v>0</v>
      </c>
    </row>
    <row r="176" spans="1:24">
      <c r="A176" s="54" t="s">
        <v>2406</v>
      </c>
      <c r="B176" s="54" t="s">
        <v>2407</v>
      </c>
      <c r="C176" s="54" t="s">
        <v>104</v>
      </c>
      <c r="D176" s="54" t="s">
        <v>105</v>
      </c>
      <c r="E176" s="54" t="s">
        <v>0</v>
      </c>
      <c r="F176" s="54" t="s">
        <v>2408</v>
      </c>
      <c r="G176" s="54">
        <v>1718186154</v>
      </c>
      <c r="H176" s="54" t="s">
        <v>229</v>
      </c>
      <c r="I176" s="54" t="s">
        <v>3514</v>
      </c>
      <c r="J176" s="34" t="s">
        <v>3515</v>
      </c>
      <c r="K176" s="43">
        <f>VLOOKUP(A176,'SSP_March''19'!$A$3:$L$1193,11,0)</f>
        <v>160263</v>
      </c>
      <c r="L176" s="43">
        <f>VLOOKUP(A176,'SSP_March''19'!$A$3:$L$1193,12,0)</f>
        <v>81745</v>
      </c>
      <c r="M176" s="44">
        <f t="shared" si="9"/>
        <v>0.51006782601099443</v>
      </c>
      <c r="N176" s="49">
        <f>ROUND(VLOOKUP(A176,'SSP_March''19'!$A$3:$N$1193,14,0),0)</f>
        <v>253410</v>
      </c>
      <c r="O176" s="44">
        <f t="shared" si="10"/>
        <v>1.5812133805057935</v>
      </c>
      <c r="P176" s="45">
        <f>VLOOKUP(A176,'SSP_March''19'!$A$3:$Q$1193,16,0)</f>
        <v>10</v>
      </c>
      <c r="Q176" s="34">
        <f>VLOOKUP(A176,'SSP_March''19'!$A$3:$Q$1193,17,0)</f>
        <v>6</v>
      </c>
      <c r="R176" s="35">
        <f t="shared" si="11"/>
        <v>0.6</v>
      </c>
      <c r="S176" s="49">
        <f>ROUND(VLOOKUP(A176,'SSP_March''19'!$A$3:$T$1193,19,0),0)</f>
        <v>19</v>
      </c>
      <c r="T176" s="44">
        <f>VLOOKUP(A176,'SSP_March''19'!$A$3:$T$1193,20,0)</f>
        <v>1.9</v>
      </c>
      <c r="U176" s="34">
        <f>VLOOKUP(A176,'SSP_March''19'!$A$3:$X$1193,21,0)</f>
        <v>1</v>
      </c>
      <c r="V176" s="34">
        <f>VLOOKUP(A176,'SSP_March''19'!$A$3:$X$1193,22,0)</f>
        <v>2</v>
      </c>
      <c r="W176" s="34">
        <f>VLOOKUP(A176,'SSP_March''19'!$A$3:$X$1193,23,0)</f>
        <v>0</v>
      </c>
      <c r="X176" s="34">
        <f>VLOOKUP(A176,'SSP_March''19'!$A$3:$X$1193,24,0)</f>
        <v>0</v>
      </c>
    </row>
    <row r="177" spans="1:24">
      <c r="A177" s="54" t="s">
        <v>2390</v>
      </c>
      <c r="B177" s="54" t="s">
        <v>2391</v>
      </c>
      <c r="C177" s="54" t="s">
        <v>104</v>
      </c>
      <c r="D177" s="54" t="s">
        <v>105</v>
      </c>
      <c r="E177" s="54" t="s">
        <v>0</v>
      </c>
      <c r="F177" s="54" t="s">
        <v>2392</v>
      </c>
      <c r="G177" s="54">
        <v>1734678853</v>
      </c>
      <c r="H177" s="54" t="s">
        <v>229</v>
      </c>
      <c r="I177" s="54" t="s">
        <v>3514</v>
      </c>
      <c r="J177" s="34" t="s">
        <v>3419</v>
      </c>
      <c r="K177" s="43">
        <f>VLOOKUP(A177,'SSP_March''19'!$A$3:$L$1193,11,0)</f>
        <v>254933</v>
      </c>
      <c r="L177" s="43">
        <f>VLOOKUP(A177,'SSP_March''19'!$A$3:$L$1193,12,0)</f>
        <v>104920</v>
      </c>
      <c r="M177" s="44">
        <f t="shared" si="9"/>
        <v>0.41155911553231633</v>
      </c>
      <c r="N177" s="49">
        <f>ROUND(VLOOKUP(A177,'SSP_March''19'!$A$3:$N$1193,14,0),0)</f>
        <v>325252</v>
      </c>
      <c r="O177" s="44">
        <f t="shared" si="10"/>
        <v>1.2758332581501806</v>
      </c>
      <c r="P177" s="45">
        <f>VLOOKUP(A177,'SSP_March''19'!$A$3:$Q$1193,16,0)</f>
        <v>14</v>
      </c>
      <c r="Q177" s="34">
        <f>VLOOKUP(A177,'SSP_March''19'!$A$3:$Q$1193,17,0)</f>
        <v>7</v>
      </c>
      <c r="R177" s="35">
        <f t="shared" si="11"/>
        <v>0.5</v>
      </c>
      <c r="S177" s="49">
        <f>ROUND(VLOOKUP(A177,'SSP_March''19'!$A$3:$T$1193,19,0),0)</f>
        <v>22</v>
      </c>
      <c r="T177" s="44">
        <f>VLOOKUP(A177,'SSP_March''19'!$A$3:$T$1193,20,0)</f>
        <v>1.5714285714285714</v>
      </c>
      <c r="U177" s="34">
        <f>VLOOKUP(A177,'SSP_March''19'!$A$3:$X$1193,21,0)</f>
        <v>2</v>
      </c>
      <c r="V177" s="34">
        <f>VLOOKUP(A177,'SSP_March''19'!$A$3:$X$1193,22,0)</f>
        <v>3</v>
      </c>
      <c r="W177" s="34">
        <f>VLOOKUP(A177,'SSP_March''19'!$A$3:$X$1193,23,0)</f>
        <v>0</v>
      </c>
      <c r="X177" s="34">
        <f>VLOOKUP(A177,'SSP_March''19'!$A$3:$X$1193,24,0)</f>
        <v>0</v>
      </c>
    </row>
    <row r="178" spans="1:24">
      <c r="A178" s="54" t="s">
        <v>3080</v>
      </c>
      <c r="B178" s="54" t="s">
        <v>3081</v>
      </c>
      <c r="C178" s="54" t="s">
        <v>104</v>
      </c>
      <c r="D178" s="54" t="s">
        <v>105</v>
      </c>
      <c r="E178" s="54" t="s">
        <v>0</v>
      </c>
      <c r="F178" s="54" t="s">
        <v>3082</v>
      </c>
      <c r="G178" s="54">
        <v>1734202070</v>
      </c>
      <c r="H178" s="54" t="s">
        <v>229</v>
      </c>
      <c r="I178" s="54" t="s">
        <v>3514</v>
      </c>
      <c r="J178" s="34" t="s">
        <v>3515</v>
      </c>
      <c r="K178" s="43">
        <f>VLOOKUP(A178,'SSP_March''19'!$A$3:$L$1193,11,0)</f>
        <v>243724</v>
      </c>
      <c r="L178" s="43">
        <f>VLOOKUP(A178,'SSP_March''19'!$A$3:$L$1193,12,0)</f>
        <v>64780</v>
      </c>
      <c r="M178" s="44">
        <f t="shared" si="9"/>
        <v>0.26579245375917021</v>
      </c>
      <c r="N178" s="49">
        <f>ROUND(VLOOKUP(A178,'SSP_March''19'!$A$3:$N$1193,14,0),0)</f>
        <v>200818</v>
      </c>
      <c r="O178" s="44">
        <f t="shared" si="10"/>
        <v>0.82395660665342763</v>
      </c>
      <c r="P178" s="45">
        <f>VLOOKUP(A178,'SSP_March''19'!$A$3:$Q$1193,16,0)</f>
        <v>10</v>
      </c>
      <c r="Q178" s="34">
        <f>VLOOKUP(A178,'SSP_March''19'!$A$3:$Q$1193,17,0)</f>
        <v>2</v>
      </c>
      <c r="R178" s="35">
        <f t="shared" si="11"/>
        <v>0.2</v>
      </c>
      <c r="S178" s="49">
        <f>ROUND(VLOOKUP(A178,'SSP_March''19'!$A$3:$T$1193,19,0),0)</f>
        <v>6</v>
      </c>
      <c r="T178" s="44">
        <f>VLOOKUP(A178,'SSP_March''19'!$A$3:$T$1193,20,0)</f>
        <v>0.6</v>
      </c>
      <c r="U178" s="34">
        <f>VLOOKUP(A178,'SSP_March''19'!$A$3:$X$1193,21,0)</f>
        <v>2</v>
      </c>
      <c r="V178" s="34">
        <f>VLOOKUP(A178,'SSP_March''19'!$A$3:$X$1193,22,0)</f>
        <v>1</v>
      </c>
      <c r="W178" s="34">
        <f>VLOOKUP(A178,'SSP_March''19'!$A$3:$X$1193,23,0)</f>
        <v>0</v>
      </c>
      <c r="X178" s="34">
        <f>VLOOKUP(A178,'SSP_March''19'!$A$3:$X$1193,24,0)</f>
        <v>0</v>
      </c>
    </row>
    <row r="179" spans="1:24">
      <c r="A179" s="54" t="s">
        <v>3397</v>
      </c>
      <c r="B179" s="54" t="s">
        <v>3398</v>
      </c>
      <c r="C179" s="54" t="s">
        <v>190</v>
      </c>
      <c r="D179" s="54" t="s">
        <v>105</v>
      </c>
      <c r="E179" s="54" t="s">
        <v>0</v>
      </c>
      <c r="F179" s="54" t="s">
        <v>3396</v>
      </c>
      <c r="G179" s="54">
        <v>1740943753</v>
      </c>
      <c r="H179" s="54" t="s">
        <v>229</v>
      </c>
      <c r="I179" s="54" t="s">
        <v>3514</v>
      </c>
      <c r="J179" s="34" t="s">
        <v>3421</v>
      </c>
      <c r="K179" s="43">
        <f>VLOOKUP(A179,'SSP_March''19'!$A$3:$L$1193,11,0)</f>
        <v>130000</v>
      </c>
      <c r="L179" s="43">
        <f>VLOOKUP(A179,'SSP_March''19'!$A$3:$L$1193,12,0)</f>
        <v>4290</v>
      </c>
      <c r="M179" s="44">
        <f t="shared" si="9"/>
        <v>3.3000000000000002E-2</v>
      </c>
      <c r="N179" s="49">
        <f>ROUND(VLOOKUP(A179,'SSP_March''19'!$A$3:$N$1193,14,0),0)</f>
        <v>13299</v>
      </c>
      <c r="O179" s="44">
        <f t="shared" si="10"/>
        <v>0.1023</v>
      </c>
      <c r="P179" s="45">
        <f>VLOOKUP(A179,'SSP_March''19'!$A$3:$Q$1193,16,0)</f>
        <v>10</v>
      </c>
      <c r="Q179" s="34">
        <f>VLOOKUP(A179,'SSP_March''19'!$A$3:$Q$1193,17,0)</f>
        <v>0</v>
      </c>
      <c r="R179" s="35">
        <f t="shared" si="11"/>
        <v>0</v>
      </c>
      <c r="S179" s="49">
        <f>ROUND(VLOOKUP(A179,'SSP_March''19'!$A$3:$T$1193,19,0),0)</f>
        <v>0</v>
      </c>
      <c r="T179" s="44">
        <f>VLOOKUP(A179,'SSP_March''19'!$A$3:$T$1193,20,0)</f>
        <v>0</v>
      </c>
      <c r="U179" s="34">
        <f>VLOOKUP(A179,'SSP_March''19'!$A$3:$X$1193,21,0)</f>
        <v>0</v>
      </c>
      <c r="V179" s="34">
        <f>VLOOKUP(A179,'SSP_March''19'!$A$3:$X$1193,22,0)</f>
        <v>0</v>
      </c>
      <c r="W179" s="34">
        <f>VLOOKUP(A179,'SSP_March''19'!$A$3:$X$1193,23,0)</f>
        <v>0</v>
      </c>
      <c r="X179" s="34">
        <f>VLOOKUP(A179,'SSP_March''19'!$A$3:$X$1193,24,0)</f>
        <v>0</v>
      </c>
    </row>
    <row r="180" spans="1:24">
      <c r="A180" s="54" t="s">
        <v>2637</v>
      </c>
      <c r="B180" s="54" t="s">
        <v>2638</v>
      </c>
      <c r="C180" s="54" t="s">
        <v>190</v>
      </c>
      <c r="D180" s="54" t="s">
        <v>105</v>
      </c>
      <c r="E180" s="54" t="s">
        <v>0</v>
      </c>
      <c r="F180" s="54" t="s">
        <v>2639</v>
      </c>
      <c r="G180" s="54">
        <v>1733253472</v>
      </c>
      <c r="H180" s="54" t="s">
        <v>229</v>
      </c>
      <c r="I180" s="54" t="s">
        <v>3514</v>
      </c>
      <c r="J180" s="34" t="s">
        <v>3419</v>
      </c>
      <c r="K180" s="43">
        <f>VLOOKUP(A180,'SSP_March''19'!$A$3:$L$1193,11,0)</f>
        <v>160137</v>
      </c>
      <c r="L180" s="43">
        <f>VLOOKUP(A180,'SSP_March''19'!$A$3:$L$1193,12,0)</f>
        <v>47070</v>
      </c>
      <c r="M180" s="44">
        <f t="shared" si="9"/>
        <v>0.29393581745630304</v>
      </c>
      <c r="N180" s="49">
        <f>ROUND(VLOOKUP(A180,'SSP_March''19'!$A$3:$N$1193,14,0),0)</f>
        <v>145917</v>
      </c>
      <c r="O180" s="44">
        <f t="shared" si="10"/>
        <v>0.91120103411453945</v>
      </c>
      <c r="P180" s="45">
        <f>VLOOKUP(A180,'SSP_March''19'!$A$3:$Q$1193,16,0)</f>
        <v>10</v>
      </c>
      <c r="Q180" s="34">
        <f>VLOOKUP(A180,'SSP_March''19'!$A$3:$Q$1193,17,0)</f>
        <v>3</v>
      </c>
      <c r="R180" s="35">
        <f t="shared" si="11"/>
        <v>0.3</v>
      </c>
      <c r="S180" s="49">
        <f>ROUND(VLOOKUP(A180,'SSP_March''19'!$A$3:$T$1193,19,0),0)</f>
        <v>9</v>
      </c>
      <c r="T180" s="44">
        <f>VLOOKUP(A180,'SSP_March''19'!$A$3:$T$1193,20,0)</f>
        <v>0.9</v>
      </c>
      <c r="U180" s="34">
        <f>VLOOKUP(A180,'SSP_March''19'!$A$3:$X$1193,21,0)</f>
        <v>0</v>
      </c>
      <c r="V180" s="34">
        <f>VLOOKUP(A180,'SSP_March''19'!$A$3:$X$1193,22,0)</f>
        <v>2</v>
      </c>
      <c r="W180" s="34">
        <f>VLOOKUP(A180,'SSP_March''19'!$A$3:$X$1193,23,0)</f>
        <v>0</v>
      </c>
      <c r="X180" s="34">
        <f>VLOOKUP(A180,'SSP_March''19'!$A$3:$X$1193,24,0)</f>
        <v>0</v>
      </c>
    </row>
    <row r="181" spans="1:24">
      <c r="A181" s="54" t="s">
        <v>2874</v>
      </c>
      <c r="B181" s="54" t="s">
        <v>2875</v>
      </c>
      <c r="C181" s="54" t="s">
        <v>190</v>
      </c>
      <c r="D181" s="54" t="s">
        <v>105</v>
      </c>
      <c r="E181" s="54" t="s">
        <v>0</v>
      </c>
      <c r="F181" s="54" t="s">
        <v>2876</v>
      </c>
      <c r="G181" s="54">
        <v>1930945900</v>
      </c>
      <c r="H181" s="54" t="s">
        <v>229</v>
      </c>
      <c r="I181" s="54" t="s">
        <v>3514</v>
      </c>
      <c r="J181" s="34" t="s">
        <v>3421</v>
      </c>
      <c r="K181" s="43">
        <f>VLOOKUP(A181,'SSP_March''19'!$A$3:$L$1193,11,0)</f>
        <v>130000</v>
      </c>
      <c r="L181" s="43">
        <f>VLOOKUP(A181,'SSP_March''19'!$A$3:$L$1193,12,0)</f>
        <v>23200</v>
      </c>
      <c r="M181" s="44">
        <f t="shared" si="9"/>
        <v>0.17846153846153845</v>
      </c>
      <c r="N181" s="49">
        <f>ROUND(VLOOKUP(A181,'SSP_March''19'!$A$3:$N$1193,14,0),0)</f>
        <v>71920</v>
      </c>
      <c r="O181" s="44">
        <f t="shared" si="10"/>
        <v>0.55323076923076919</v>
      </c>
      <c r="P181" s="45">
        <f>VLOOKUP(A181,'SSP_March''19'!$A$3:$Q$1193,16,0)</f>
        <v>10</v>
      </c>
      <c r="Q181" s="34">
        <f>VLOOKUP(A181,'SSP_March''19'!$A$3:$Q$1193,17,0)</f>
        <v>0</v>
      </c>
      <c r="R181" s="35">
        <f t="shared" si="11"/>
        <v>0</v>
      </c>
      <c r="S181" s="49">
        <f>ROUND(VLOOKUP(A181,'SSP_March''19'!$A$3:$T$1193,19,0),0)</f>
        <v>0</v>
      </c>
      <c r="T181" s="44">
        <f>VLOOKUP(A181,'SSP_March''19'!$A$3:$T$1193,20,0)</f>
        <v>0</v>
      </c>
      <c r="U181" s="34">
        <f>VLOOKUP(A181,'SSP_March''19'!$A$3:$X$1193,21,0)</f>
        <v>0</v>
      </c>
      <c r="V181" s="34">
        <f>VLOOKUP(A181,'SSP_March''19'!$A$3:$X$1193,22,0)</f>
        <v>0</v>
      </c>
      <c r="W181" s="34">
        <f>VLOOKUP(A181,'SSP_March''19'!$A$3:$X$1193,23,0)</f>
        <v>0</v>
      </c>
      <c r="X181" s="34">
        <f>VLOOKUP(A181,'SSP_March''19'!$A$3:$X$1193,24,0)</f>
        <v>0</v>
      </c>
    </row>
    <row r="182" spans="1:24">
      <c r="A182" s="75" t="s">
        <v>3636</v>
      </c>
      <c r="B182" s="75" t="s">
        <v>77</v>
      </c>
      <c r="C182" s="75" t="s">
        <v>190</v>
      </c>
      <c r="D182" s="75" t="s">
        <v>105</v>
      </c>
      <c r="E182" s="75" t="s">
        <v>0</v>
      </c>
      <c r="F182" s="75" t="s">
        <v>3637</v>
      </c>
      <c r="G182" s="67">
        <v>1712287460</v>
      </c>
      <c r="H182" s="54" t="s">
        <v>229</v>
      </c>
      <c r="I182" s="54" t="s">
        <v>3514</v>
      </c>
      <c r="J182" s="34" t="s">
        <v>3419</v>
      </c>
      <c r="K182" s="43">
        <f>VLOOKUP(A182,'SSP_March''19'!$A$3:$L$1193,11,0)</f>
        <v>130000</v>
      </c>
      <c r="L182" s="43">
        <f>VLOOKUP(A182,'SSP_March''19'!$A$3:$L$1193,12,0)</f>
        <v>50755</v>
      </c>
      <c r="M182" s="44">
        <f t="shared" si="9"/>
        <v>0.39042307692307693</v>
      </c>
      <c r="N182" s="49">
        <f>ROUND(VLOOKUP(A182,'SSP_March''19'!$A$3:$N$1193,14,0),0)</f>
        <v>157341</v>
      </c>
      <c r="O182" s="44">
        <f t="shared" si="10"/>
        <v>1.2103153846153847</v>
      </c>
      <c r="P182" s="45">
        <f>VLOOKUP(A182,'SSP_March''19'!$A$3:$Q$1193,16,0)</f>
        <v>10</v>
      </c>
      <c r="Q182" s="34">
        <f>VLOOKUP(A182,'SSP_March''19'!$A$3:$Q$1193,17,0)</f>
        <v>2</v>
      </c>
      <c r="R182" s="35">
        <f t="shared" si="11"/>
        <v>0.2</v>
      </c>
      <c r="S182" s="49">
        <f>ROUND(VLOOKUP(A182,'SSP_March''19'!$A$3:$T$1193,19,0),0)</f>
        <v>6</v>
      </c>
      <c r="T182" s="44">
        <f>VLOOKUP(A182,'SSP_March''19'!$A$3:$T$1193,20,0)</f>
        <v>0.6</v>
      </c>
      <c r="U182" s="34">
        <f>VLOOKUP(A182,'SSP_March''19'!$A$3:$X$1193,21,0)</f>
        <v>3</v>
      </c>
      <c r="V182" s="34">
        <f>VLOOKUP(A182,'SSP_March''19'!$A$3:$X$1193,22,0)</f>
        <v>0</v>
      </c>
      <c r="W182" s="34">
        <f>VLOOKUP(A182,'SSP_March''19'!$A$3:$X$1193,23,0)</f>
        <v>0</v>
      </c>
      <c r="X182" s="34">
        <f>VLOOKUP(A182,'SSP_March''19'!$A$3:$X$1193,24,0)</f>
        <v>0</v>
      </c>
    </row>
    <row r="183" spans="1:24">
      <c r="A183" s="54" t="s">
        <v>2851</v>
      </c>
      <c r="B183" s="54" t="s">
        <v>2852</v>
      </c>
      <c r="C183" s="54" t="s">
        <v>190</v>
      </c>
      <c r="D183" s="54" t="s">
        <v>105</v>
      </c>
      <c r="E183" s="54" t="s">
        <v>0</v>
      </c>
      <c r="F183" s="54" t="s">
        <v>2853</v>
      </c>
      <c r="G183" s="54">
        <v>1734225522</v>
      </c>
      <c r="H183" s="54" t="s">
        <v>229</v>
      </c>
      <c r="I183" s="54" t="s">
        <v>3514</v>
      </c>
      <c r="J183" s="34" t="s">
        <v>3515</v>
      </c>
      <c r="K183" s="43">
        <f>VLOOKUP(A183,'SSP_March''19'!$A$3:$L$1193,11,0)</f>
        <v>130000</v>
      </c>
      <c r="L183" s="43">
        <f>VLOOKUP(A183,'SSP_March''19'!$A$3:$L$1193,12,0)</f>
        <v>53190</v>
      </c>
      <c r="M183" s="44">
        <f t="shared" si="9"/>
        <v>0.40915384615384615</v>
      </c>
      <c r="N183" s="49">
        <f>ROUND(VLOOKUP(A183,'SSP_March''19'!$A$3:$N$1193,14,0),0)</f>
        <v>164889</v>
      </c>
      <c r="O183" s="44">
        <f t="shared" si="10"/>
        <v>1.2683769230769231</v>
      </c>
      <c r="P183" s="45">
        <f>VLOOKUP(A183,'SSP_March''19'!$A$3:$Q$1193,16,0)</f>
        <v>10</v>
      </c>
      <c r="Q183" s="34">
        <f>VLOOKUP(A183,'SSP_March''19'!$A$3:$Q$1193,17,0)</f>
        <v>1</v>
      </c>
      <c r="R183" s="35">
        <f t="shared" si="11"/>
        <v>0.1</v>
      </c>
      <c r="S183" s="49">
        <f>ROUND(VLOOKUP(A183,'SSP_March''19'!$A$3:$T$1193,19,0),0)</f>
        <v>3</v>
      </c>
      <c r="T183" s="44">
        <f>VLOOKUP(A183,'SSP_March''19'!$A$3:$T$1193,20,0)</f>
        <v>0.3</v>
      </c>
      <c r="U183" s="34">
        <f>VLOOKUP(A183,'SSP_March''19'!$A$3:$X$1193,21,0)</f>
        <v>1</v>
      </c>
      <c r="V183" s="34">
        <f>VLOOKUP(A183,'SSP_March''19'!$A$3:$X$1193,22,0)</f>
        <v>1</v>
      </c>
      <c r="W183" s="34">
        <f>VLOOKUP(A183,'SSP_March''19'!$A$3:$X$1193,23,0)</f>
        <v>0</v>
      </c>
      <c r="X183" s="34">
        <f>VLOOKUP(A183,'SSP_March''19'!$A$3:$X$1193,24,0)</f>
        <v>0</v>
      </c>
    </row>
    <row r="184" spans="1:24">
      <c r="A184" s="54" t="s">
        <v>2649</v>
      </c>
      <c r="B184" s="54" t="s">
        <v>845</v>
      </c>
      <c r="C184" s="54" t="s">
        <v>190</v>
      </c>
      <c r="D184" s="54" t="s">
        <v>105</v>
      </c>
      <c r="E184" s="54" t="s">
        <v>0</v>
      </c>
      <c r="F184" s="54" t="s">
        <v>2650</v>
      </c>
      <c r="G184" s="54">
        <v>1714876702</v>
      </c>
      <c r="H184" s="54" t="s">
        <v>229</v>
      </c>
      <c r="I184" s="54" t="s">
        <v>3514</v>
      </c>
      <c r="J184" s="34" t="s">
        <v>3419</v>
      </c>
      <c r="K184" s="43">
        <f>VLOOKUP(A184,'SSP_March''19'!$A$3:$L$1193,11,0)</f>
        <v>130000</v>
      </c>
      <c r="L184" s="43">
        <f>VLOOKUP(A184,'SSP_March''19'!$A$3:$L$1193,12,0)</f>
        <v>26749</v>
      </c>
      <c r="M184" s="44">
        <f t="shared" si="9"/>
        <v>0.20576153846153847</v>
      </c>
      <c r="N184" s="49">
        <f>ROUND(VLOOKUP(A184,'SSP_March''19'!$A$3:$N$1193,14,0),0)</f>
        <v>82922</v>
      </c>
      <c r="O184" s="44">
        <f t="shared" si="10"/>
        <v>0.63786153846153848</v>
      </c>
      <c r="P184" s="45">
        <f>VLOOKUP(A184,'SSP_March''19'!$A$3:$Q$1193,16,0)</f>
        <v>10</v>
      </c>
      <c r="Q184" s="34">
        <f>VLOOKUP(A184,'SSP_March''19'!$A$3:$Q$1193,17,0)</f>
        <v>0</v>
      </c>
      <c r="R184" s="35">
        <f t="shared" si="11"/>
        <v>0</v>
      </c>
      <c r="S184" s="49">
        <f>ROUND(VLOOKUP(A184,'SSP_March''19'!$A$3:$T$1193,19,0),0)</f>
        <v>0</v>
      </c>
      <c r="T184" s="44">
        <f>VLOOKUP(A184,'SSP_March''19'!$A$3:$T$1193,20,0)</f>
        <v>0</v>
      </c>
      <c r="U184" s="34">
        <f>VLOOKUP(A184,'SSP_March''19'!$A$3:$X$1193,21,0)</f>
        <v>0</v>
      </c>
      <c r="V184" s="34">
        <f>VLOOKUP(A184,'SSP_March''19'!$A$3:$X$1193,22,0)</f>
        <v>0</v>
      </c>
      <c r="W184" s="34">
        <f>VLOOKUP(A184,'SSP_March''19'!$A$3:$X$1193,23,0)</f>
        <v>0</v>
      </c>
      <c r="X184" s="34">
        <f>VLOOKUP(A184,'SSP_March''19'!$A$3:$X$1193,24,0)</f>
        <v>0</v>
      </c>
    </row>
    <row r="185" spans="1:24">
      <c r="A185" s="54" t="s">
        <v>2564</v>
      </c>
      <c r="B185" s="54" t="s">
        <v>1236</v>
      </c>
      <c r="C185" s="54" t="s">
        <v>121</v>
      </c>
      <c r="D185" s="54" t="s">
        <v>122</v>
      </c>
      <c r="E185" s="54" t="s">
        <v>0</v>
      </c>
      <c r="F185" s="54" t="s">
        <v>2565</v>
      </c>
      <c r="G185" s="54">
        <v>1728161866</v>
      </c>
      <c r="H185" s="54" t="s">
        <v>229</v>
      </c>
      <c r="I185" s="54" t="s">
        <v>3514</v>
      </c>
      <c r="J185" s="34" t="s">
        <v>3421</v>
      </c>
      <c r="K185" s="43">
        <f>VLOOKUP(A185,'SSP_March''19'!$A$3:$L$1193,11,0)</f>
        <v>130000</v>
      </c>
      <c r="L185" s="43">
        <f>VLOOKUP(A185,'SSP_March''19'!$A$3:$L$1193,12,0)</f>
        <v>21060</v>
      </c>
      <c r="M185" s="44">
        <f t="shared" si="9"/>
        <v>0.16200000000000001</v>
      </c>
      <c r="N185" s="49">
        <f>ROUND(VLOOKUP(A185,'SSP_March''19'!$A$3:$N$1193,14,0),0)</f>
        <v>65286</v>
      </c>
      <c r="O185" s="44">
        <f t="shared" si="10"/>
        <v>0.50219999999999998</v>
      </c>
      <c r="P185" s="45">
        <f>VLOOKUP(A185,'SSP_March''19'!$A$3:$Q$1193,16,0)</f>
        <v>10</v>
      </c>
      <c r="Q185" s="34">
        <f>VLOOKUP(A185,'SSP_March''19'!$A$3:$Q$1193,17,0)</f>
        <v>1</v>
      </c>
      <c r="R185" s="35">
        <f t="shared" si="11"/>
        <v>0.1</v>
      </c>
      <c r="S185" s="49">
        <f>ROUND(VLOOKUP(A185,'SSP_March''19'!$A$3:$T$1193,19,0),0)</f>
        <v>3</v>
      </c>
      <c r="T185" s="44">
        <f>VLOOKUP(A185,'SSP_March''19'!$A$3:$T$1193,20,0)</f>
        <v>0.3</v>
      </c>
      <c r="U185" s="34">
        <f>VLOOKUP(A185,'SSP_March''19'!$A$3:$X$1193,21,0)</f>
        <v>1</v>
      </c>
      <c r="V185" s="34">
        <f>VLOOKUP(A185,'SSP_March''19'!$A$3:$X$1193,22,0)</f>
        <v>1</v>
      </c>
      <c r="W185" s="34">
        <f>VLOOKUP(A185,'SSP_March''19'!$A$3:$X$1193,23,0)</f>
        <v>0</v>
      </c>
      <c r="X185" s="34">
        <f>VLOOKUP(A185,'SSP_March''19'!$A$3:$X$1193,24,0)</f>
        <v>0</v>
      </c>
    </row>
    <row r="186" spans="1:24">
      <c r="A186" s="54" t="s">
        <v>2927</v>
      </c>
      <c r="B186" s="54" t="s">
        <v>2928</v>
      </c>
      <c r="C186" s="54" t="s">
        <v>121</v>
      </c>
      <c r="D186" s="54" t="s">
        <v>122</v>
      </c>
      <c r="E186" s="54" t="s">
        <v>0</v>
      </c>
      <c r="F186" s="54" t="s">
        <v>2929</v>
      </c>
      <c r="G186" s="54">
        <v>1911095850</v>
      </c>
      <c r="H186" s="54" t="s">
        <v>229</v>
      </c>
      <c r="I186" s="54" t="s">
        <v>3514</v>
      </c>
      <c r="J186" s="34" t="s">
        <v>3421</v>
      </c>
      <c r="K186" s="43">
        <f>VLOOKUP(A186,'SSP_March''19'!$A$3:$L$1193,11,0)</f>
        <v>241406</v>
      </c>
      <c r="L186" s="43">
        <f>VLOOKUP(A186,'SSP_March''19'!$A$3:$L$1193,12,0)</f>
        <v>30240</v>
      </c>
      <c r="M186" s="44">
        <f t="shared" si="9"/>
        <v>0.12526614914293763</v>
      </c>
      <c r="N186" s="49">
        <f>ROUND(VLOOKUP(A186,'SSP_March''19'!$A$3:$N$1193,14,0),0)</f>
        <v>93744</v>
      </c>
      <c r="O186" s="44">
        <f t="shared" si="10"/>
        <v>0.38832506234310665</v>
      </c>
      <c r="P186" s="45">
        <f>VLOOKUP(A186,'SSP_March''19'!$A$3:$Q$1193,16,0)</f>
        <v>15</v>
      </c>
      <c r="Q186" s="34">
        <f>VLOOKUP(A186,'SSP_March''19'!$A$3:$Q$1193,17,0)</f>
        <v>2</v>
      </c>
      <c r="R186" s="35">
        <f t="shared" si="11"/>
        <v>0.13333333333333333</v>
      </c>
      <c r="S186" s="49">
        <f>ROUND(VLOOKUP(A186,'SSP_March''19'!$A$3:$T$1193,19,0),0)</f>
        <v>6</v>
      </c>
      <c r="T186" s="44">
        <f>VLOOKUP(A186,'SSP_March''19'!$A$3:$T$1193,20,0)</f>
        <v>0.4</v>
      </c>
      <c r="U186" s="34">
        <f>VLOOKUP(A186,'SSP_March''19'!$A$3:$X$1193,21,0)</f>
        <v>0</v>
      </c>
      <c r="V186" s="34">
        <f>VLOOKUP(A186,'SSP_March''19'!$A$3:$X$1193,22,0)</f>
        <v>0</v>
      </c>
      <c r="W186" s="34">
        <f>VLOOKUP(A186,'SSP_March''19'!$A$3:$X$1193,23,0)</f>
        <v>0</v>
      </c>
      <c r="X186" s="34">
        <f>VLOOKUP(A186,'SSP_March''19'!$A$3:$X$1193,24,0)</f>
        <v>0</v>
      </c>
    </row>
    <row r="187" spans="1:24">
      <c r="A187" s="54" t="s">
        <v>2531</v>
      </c>
      <c r="B187" s="54" t="s">
        <v>2532</v>
      </c>
      <c r="C187" s="54" t="s">
        <v>121</v>
      </c>
      <c r="D187" s="54" t="s">
        <v>122</v>
      </c>
      <c r="E187" s="54" t="s">
        <v>0</v>
      </c>
      <c r="F187" s="54" t="s">
        <v>2533</v>
      </c>
      <c r="G187" s="54">
        <v>1963174770</v>
      </c>
      <c r="H187" s="54" t="s">
        <v>229</v>
      </c>
      <c r="I187" s="54" t="s">
        <v>3514</v>
      </c>
      <c r="J187" s="34" t="s">
        <v>3419</v>
      </c>
      <c r="K187" s="43">
        <f>VLOOKUP(A187,'SSP_March''19'!$A$3:$L$1193,11,0)</f>
        <v>130000</v>
      </c>
      <c r="L187" s="43">
        <f>VLOOKUP(A187,'SSP_March''19'!$A$3:$L$1193,12,0)</f>
        <v>11680</v>
      </c>
      <c r="M187" s="44">
        <f t="shared" si="9"/>
        <v>8.9846153846153839E-2</v>
      </c>
      <c r="N187" s="49">
        <f>ROUND(VLOOKUP(A187,'SSP_March''19'!$A$3:$N$1193,14,0),0)</f>
        <v>36208</v>
      </c>
      <c r="O187" s="44">
        <f t="shared" si="10"/>
        <v>0.27852307692307693</v>
      </c>
      <c r="P187" s="45">
        <f>VLOOKUP(A187,'SSP_March''19'!$A$3:$Q$1193,16,0)</f>
        <v>10</v>
      </c>
      <c r="Q187" s="34">
        <f>VLOOKUP(A187,'SSP_March''19'!$A$3:$Q$1193,17,0)</f>
        <v>1</v>
      </c>
      <c r="R187" s="35">
        <f t="shared" si="11"/>
        <v>0.1</v>
      </c>
      <c r="S187" s="49">
        <f>ROUND(VLOOKUP(A187,'SSP_March''19'!$A$3:$T$1193,19,0),0)</f>
        <v>3</v>
      </c>
      <c r="T187" s="44">
        <f>VLOOKUP(A187,'SSP_March''19'!$A$3:$T$1193,20,0)</f>
        <v>0.3</v>
      </c>
      <c r="U187" s="34">
        <f>VLOOKUP(A187,'SSP_March''19'!$A$3:$X$1193,21,0)</f>
        <v>0</v>
      </c>
      <c r="V187" s="34">
        <f>VLOOKUP(A187,'SSP_March''19'!$A$3:$X$1193,22,0)</f>
        <v>1</v>
      </c>
      <c r="W187" s="34">
        <f>VLOOKUP(A187,'SSP_March''19'!$A$3:$X$1193,23,0)</f>
        <v>0</v>
      </c>
      <c r="X187" s="34">
        <f>VLOOKUP(A187,'SSP_March''19'!$A$3:$X$1193,24,0)</f>
        <v>0</v>
      </c>
    </row>
    <row r="188" spans="1:24">
      <c r="A188" s="54" t="s">
        <v>2581</v>
      </c>
      <c r="B188" s="54" t="s">
        <v>2582</v>
      </c>
      <c r="C188" s="54" t="s">
        <v>121</v>
      </c>
      <c r="D188" s="54" t="s">
        <v>122</v>
      </c>
      <c r="E188" s="54" t="s">
        <v>0</v>
      </c>
      <c r="F188" s="54" t="s">
        <v>2583</v>
      </c>
      <c r="G188" s="54">
        <v>1778714668</v>
      </c>
      <c r="H188" s="54" t="s">
        <v>229</v>
      </c>
      <c r="I188" s="54" t="s">
        <v>3514</v>
      </c>
      <c r="J188" s="34" t="s">
        <v>3419</v>
      </c>
      <c r="K188" s="43">
        <f>VLOOKUP(A188,'SSP_March''19'!$A$3:$L$1193,11,0)</f>
        <v>221707</v>
      </c>
      <c r="L188" s="43">
        <f>VLOOKUP(A188,'SSP_March''19'!$A$3:$L$1193,12,0)</f>
        <v>71680</v>
      </c>
      <c r="M188" s="44">
        <f t="shared" si="9"/>
        <v>0.32330959329204761</v>
      </c>
      <c r="N188" s="49">
        <f>ROUND(VLOOKUP(A188,'SSP_March''19'!$A$3:$N$1193,14,0),0)</f>
        <v>222208</v>
      </c>
      <c r="O188" s="44">
        <f t="shared" si="10"/>
        <v>1.0022597392053476</v>
      </c>
      <c r="P188" s="45">
        <f>VLOOKUP(A188,'SSP_March''19'!$A$3:$Q$1193,16,0)</f>
        <v>10</v>
      </c>
      <c r="Q188" s="34">
        <f>VLOOKUP(A188,'SSP_March''19'!$A$3:$Q$1193,17,0)</f>
        <v>7</v>
      </c>
      <c r="R188" s="35">
        <f t="shared" si="11"/>
        <v>0.7</v>
      </c>
      <c r="S188" s="49">
        <f>ROUND(VLOOKUP(A188,'SSP_March''19'!$A$3:$T$1193,19,0),0)</f>
        <v>22</v>
      </c>
      <c r="T188" s="44">
        <f>VLOOKUP(A188,'SSP_March''19'!$A$3:$T$1193,20,0)</f>
        <v>2.2000000000000002</v>
      </c>
      <c r="U188" s="34">
        <f>VLOOKUP(A188,'SSP_March''19'!$A$3:$X$1193,21,0)</f>
        <v>0</v>
      </c>
      <c r="V188" s="34">
        <f>VLOOKUP(A188,'SSP_March''19'!$A$3:$X$1193,22,0)</f>
        <v>6</v>
      </c>
      <c r="W188" s="34">
        <f>VLOOKUP(A188,'SSP_March''19'!$A$3:$X$1193,23,0)</f>
        <v>0</v>
      </c>
      <c r="X188" s="34">
        <f>VLOOKUP(A188,'SSP_March''19'!$A$3:$X$1193,24,0)</f>
        <v>0</v>
      </c>
    </row>
    <row r="189" spans="1:24">
      <c r="A189" s="54" t="s">
        <v>2431</v>
      </c>
      <c r="B189" s="54" t="s">
        <v>2432</v>
      </c>
      <c r="C189" s="54" t="s">
        <v>187</v>
      </c>
      <c r="D189" s="54" t="s">
        <v>122</v>
      </c>
      <c r="E189" s="54" t="s">
        <v>0</v>
      </c>
      <c r="F189" s="54" t="s">
        <v>2433</v>
      </c>
      <c r="G189" s="54">
        <v>1715740779</v>
      </c>
      <c r="H189" s="54" t="s">
        <v>229</v>
      </c>
      <c r="I189" s="54" t="s">
        <v>3518</v>
      </c>
      <c r="J189" s="34" t="s">
        <v>3419</v>
      </c>
      <c r="K189" s="43">
        <f>VLOOKUP(A189,'SSP_March''19'!$A$3:$L$1193,11,0)</f>
        <v>337015</v>
      </c>
      <c r="L189" s="43">
        <f>VLOOKUP(A189,'SSP_March''19'!$A$3:$L$1193,12,0)</f>
        <v>137160</v>
      </c>
      <c r="M189" s="44">
        <f t="shared" si="9"/>
        <v>0.40698485230627718</v>
      </c>
      <c r="N189" s="49">
        <f>ROUND(VLOOKUP(A189,'SSP_March''19'!$A$3:$N$1193,14,0),0)</f>
        <v>425196</v>
      </c>
      <c r="O189" s="44">
        <f t="shared" si="10"/>
        <v>1.2616530421494592</v>
      </c>
      <c r="P189" s="45">
        <f>VLOOKUP(A189,'SSP_March''19'!$A$3:$Q$1193,16,0)</f>
        <v>18</v>
      </c>
      <c r="Q189" s="34">
        <f>VLOOKUP(A189,'SSP_March''19'!$A$3:$Q$1193,17,0)</f>
        <v>8</v>
      </c>
      <c r="R189" s="35">
        <f t="shared" si="11"/>
        <v>0.44444444444444442</v>
      </c>
      <c r="S189" s="49">
        <f>ROUND(VLOOKUP(A189,'SSP_March''19'!$A$3:$T$1193,19,0),0)</f>
        <v>25</v>
      </c>
      <c r="T189" s="44">
        <f>VLOOKUP(A189,'SSP_March''19'!$A$3:$T$1193,20,0)</f>
        <v>1.3888888888888888</v>
      </c>
      <c r="U189" s="34">
        <f>VLOOKUP(A189,'SSP_March''19'!$A$3:$X$1193,21,0)</f>
        <v>0</v>
      </c>
      <c r="V189" s="34">
        <f>VLOOKUP(A189,'SSP_March''19'!$A$3:$X$1193,22,0)</f>
        <v>5</v>
      </c>
      <c r="W189" s="34">
        <f>VLOOKUP(A189,'SSP_March''19'!$A$3:$X$1193,23,0)</f>
        <v>0</v>
      </c>
      <c r="X189" s="34">
        <f>VLOOKUP(A189,'SSP_March''19'!$A$3:$X$1193,24,0)</f>
        <v>0</v>
      </c>
    </row>
    <row r="190" spans="1:24">
      <c r="A190" s="54" t="s">
        <v>3483</v>
      </c>
      <c r="B190" s="54" t="s">
        <v>3484</v>
      </c>
      <c r="C190" s="54" t="s">
        <v>187</v>
      </c>
      <c r="D190" s="54" t="s">
        <v>122</v>
      </c>
      <c r="E190" s="54" t="s">
        <v>0</v>
      </c>
      <c r="F190" s="54" t="s">
        <v>3485</v>
      </c>
      <c r="G190" s="54">
        <v>1725137274</v>
      </c>
      <c r="H190" s="54" t="s">
        <v>229</v>
      </c>
      <c r="I190" s="54" t="s">
        <v>3514</v>
      </c>
      <c r="J190" s="34" t="s">
        <v>3421</v>
      </c>
      <c r="K190" s="43">
        <f>VLOOKUP(A190,'SSP_March''19'!$A$3:$L$1193,11,0)</f>
        <v>130000</v>
      </c>
      <c r="L190" s="43">
        <f>VLOOKUP(A190,'SSP_March''19'!$A$3:$L$1193,12,0)</f>
        <v>12370</v>
      </c>
      <c r="M190" s="44">
        <f t="shared" si="9"/>
        <v>9.5153846153846158E-2</v>
      </c>
      <c r="N190" s="49">
        <f>ROUND(VLOOKUP(A190,'SSP_March''19'!$A$3:$N$1193,14,0),0)</f>
        <v>38347</v>
      </c>
      <c r="O190" s="44">
        <f t="shared" si="10"/>
        <v>0.29497692307692308</v>
      </c>
      <c r="P190" s="45">
        <f>VLOOKUP(A190,'SSP_March''19'!$A$3:$Q$1193,16,0)</f>
        <v>10</v>
      </c>
      <c r="Q190" s="34">
        <f>VLOOKUP(A190,'SSP_March''19'!$A$3:$Q$1193,17,0)</f>
        <v>0</v>
      </c>
      <c r="R190" s="35">
        <f t="shared" si="11"/>
        <v>0</v>
      </c>
      <c r="S190" s="49">
        <f>ROUND(VLOOKUP(A190,'SSP_March''19'!$A$3:$T$1193,19,0),0)</f>
        <v>0</v>
      </c>
      <c r="T190" s="44">
        <f>VLOOKUP(A190,'SSP_March''19'!$A$3:$T$1193,20,0)</f>
        <v>0</v>
      </c>
      <c r="U190" s="34">
        <f>VLOOKUP(A190,'SSP_March''19'!$A$3:$X$1193,21,0)</f>
        <v>0</v>
      </c>
      <c r="V190" s="34">
        <f>VLOOKUP(A190,'SSP_March''19'!$A$3:$X$1193,22,0)</f>
        <v>0</v>
      </c>
      <c r="W190" s="34">
        <f>VLOOKUP(A190,'SSP_March''19'!$A$3:$X$1193,23,0)</f>
        <v>0</v>
      </c>
      <c r="X190" s="34">
        <f>VLOOKUP(A190,'SSP_March''19'!$A$3:$X$1193,24,0)</f>
        <v>0</v>
      </c>
    </row>
    <row r="191" spans="1:24">
      <c r="A191" s="54" t="s">
        <v>2384</v>
      </c>
      <c r="B191" s="54" t="s">
        <v>2385</v>
      </c>
      <c r="C191" s="54" t="s">
        <v>187</v>
      </c>
      <c r="D191" s="54" t="s">
        <v>122</v>
      </c>
      <c r="E191" s="54" t="s">
        <v>0</v>
      </c>
      <c r="F191" s="54" t="s">
        <v>2386</v>
      </c>
      <c r="G191" s="54">
        <v>1919722711</v>
      </c>
      <c r="H191" s="54" t="s">
        <v>229</v>
      </c>
      <c r="I191" s="54" t="s">
        <v>3518</v>
      </c>
      <c r="J191" s="34" t="s">
        <v>3419</v>
      </c>
      <c r="K191" s="43">
        <f>VLOOKUP(A191,'SSP_March''19'!$A$3:$L$1193,11,0)</f>
        <v>343506</v>
      </c>
      <c r="L191" s="43">
        <f>VLOOKUP(A191,'SSP_March''19'!$A$3:$L$1193,12,0)</f>
        <v>46020</v>
      </c>
      <c r="M191" s="44">
        <f t="shared" si="9"/>
        <v>0.13397145901381635</v>
      </c>
      <c r="N191" s="49">
        <f>ROUND(VLOOKUP(A191,'SSP_March''19'!$A$3:$N$1193,14,0),0)</f>
        <v>142662</v>
      </c>
      <c r="O191" s="44">
        <f t="shared" si="10"/>
        <v>0.41531152294283069</v>
      </c>
      <c r="P191" s="45">
        <f>VLOOKUP(A191,'SSP_March''19'!$A$3:$Q$1193,16,0)</f>
        <v>13</v>
      </c>
      <c r="Q191" s="34">
        <f>VLOOKUP(A191,'SSP_March''19'!$A$3:$Q$1193,17,0)</f>
        <v>2</v>
      </c>
      <c r="R191" s="35">
        <f t="shared" si="11"/>
        <v>0.15384615384615385</v>
      </c>
      <c r="S191" s="49">
        <f>ROUND(VLOOKUP(A191,'SSP_March''19'!$A$3:$T$1193,19,0),0)</f>
        <v>6</v>
      </c>
      <c r="T191" s="44">
        <f>VLOOKUP(A191,'SSP_March''19'!$A$3:$T$1193,20,0)</f>
        <v>0.46153846153846156</v>
      </c>
      <c r="U191" s="34">
        <f>VLOOKUP(A191,'SSP_March''19'!$A$3:$X$1193,21,0)</f>
        <v>0</v>
      </c>
      <c r="V191" s="34">
        <f>VLOOKUP(A191,'SSP_March''19'!$A$3:$X$1193,22,0)</f>
        <v>1</v>
      </c>
      <c r="W191" s="34">
        <f>VLOOKUP(A191,'SSP_March''19'!$A$3:$X$1193,23,0)</f>
        <v>0</v>
      </c>
      <c r="X191" s="34">
        <f>VLOOKUP(A191,'SSP_March''19'!$A$3:$X$1193,24,0)</f>
        <v>0</v>
      </c>
    </row>
    <row r="192" spans="1:24">
      <c r="A192" s="54" t="s">
        <v>3486</v>
      </c>
      <c r="B192" s="54" t="s">
        <v>2730</v>
      </c>
      <c r="C192" s="54" t="s">
        <v>187</v>
      </c>
      <c r="D192" s="54" t="s">
        <v>122</v>
      </c>
      <c r="E192" s="54" t="s">
        <v>0</v>
      </c>
      <c r="F192" s="54" t="s">
        <v>3487</v>
      </c>
      <c r="G192" s="54">
        <v>1729796895</v>
      </c>
      <c r="H192" s="54" t="s">
        <v>229</v>
      </c>
      <c r="I192" s="54" t="s">
        <v>3514</v>
      </c>
      <c r="J192" s="34" t="s">
        <v>3421</v>
      </c>
      <c r="K192" s="43">
        <f>VLOOKUP(A192,'SSP_March''19'!$A$3:$L$1193,11,0)</f>
        <v>130000</v>
      </c>
      <c r="L192" s="43">
        <f>VLOOKUP(A192,'SSP_March''19'!$A$3:$L$1193,12,0)</f>
        <v>30040</v>
      </c>
      <c r="M192" s="44">
        <f t="shared" si="9"/>
        <v>0.23107692307692307</v>
      </c>
      <c r="N192" s="49">
        <f>ROUND(VLOOKUP(A192,'SSP_March''19'!$A$3:$N$1193,14,0),0)</f>
        <v>93124</v>
      </c>
      <c r="O192" s="44">
        <f t="shared" si="10"/>
        <v>0.71633846153846159</v>
      </c>
      <c r="P192" s="45">
        <f>VLOOKUP(A192,'SSP_March''19'!$A$3:$Q$1193,16,0)</f>
        <v>10</v>
      </c>
      <c r="Q192" s="34">
        <f>VLOOKUP(A192,'SSP_March''19'!$A$3:$Q$1193,17,0)</f>
        <v>1</v>
      </c>
      <c r="R192" s="35">
        <f t="shared" si="11"/>
        <v>0.1</v>
      </c>
      <c r="S192" s="49">
        <f>ROUND(VLOOKUP(A192,'SSP_March''19'!$A$3:$T$1193,19,0),0)</f>
        <v>3</v>
      </c>
      <c r="T192" s="44">
        <f>VLOOKUP(A192,'SSP_March''19'!$A$3:$T$1193,20,0)</f>
        <v>0.3</v>
      </c>
      <c r="U192" s="34">
        <f>VLOOKUP(A192,'SSP_March''19'!$A$3:$X$1193,21,0)</f>
        <v>0</v>
      </c>
      <c r="V192" s="34">
        <f>VLOOKUP(A192,'SSP_March''19'!$A$3:$X$1193,22,0)</f>
        <v>0</v>
      </c>
      <c r="W192" s="34">
        <f>VLOOKUP(A192,'SSP_March''19'!$A$3:$X$1193,23,0)</f>
        <v>0</v>
      </c>
      <c r="X192" s="34">
        <f>VLOOKUP(A192,'SSP_March''19'!$A$3:$X$1193,24,0)</f>
        <v>0</v>
      </c>
    </row>
    <row r="193" spans="1:24">
      <c r="A193" s="34" t="s">
        <v>3638</v>
      </c>
      <c r="B193" s="34" t="s">
        <v>3241</v>
      </c>
      <c r="C193" s="34" t="s">
        <v>187</v>
      </c>
      <c r="D193" s="34" t="s">
        <v>122</v>
      </c>
      <c r="E193" s="34" t="s">
        <v>0</v>
      </c>
      <c r="F193" s="34" t="s">
        <v>3639</v>
      </c>
      <c r="G193" s="54">
        <v>1758731975</v>
      </c>
      <c r="H193" s="54" t="s">
        <v>229</v>
      </c>
      <c r="I193" s="54" t="s">
        <v>3518</v>
      </c>
      <c r="J193" s="34" t="s">
        <v>3419</v>
      </c>
      <c r="K193" s="43">
        <f>VLOOKUP(A193,'SSP_March''19'!$A$3:$L$1193,11,0)</f>
        <v>350000</v>
      </c>
      <c r="L193" s="43">
        <f>VLOOKUP(A193,'SSP_March''19'!$A$3:$L$1193,12,0)</f>
        <v>96530</v>
      </c>
      <c r="M193" s="44">
        <f t="shared" si="9"/>
        <v>0.27579999999999999</v>
      </c>
      <c r="N193" s="49">
        <f>ROUND(VLOOKUP(A193,'SSP_March''19'!$A$3:$N$1193,14,0),0)</f>
        <v>299243</v>
      </c>
      <c r="O193" s="44">
        <f t="shared" si="10"/>
        <v>0.85497999999999996</v>
      </c>
      <c r="P193" s="45">
        <f>VLOOKUP(A193,'SSP_March''19'!$A$3:$Q$1193,16,0)</f>
        <v>15</v>
      </c>
      <c r="Q193" s="34">
        <f>VLOOKUP(A193,'SSP_March''19'!$A$3:$Q$1193,17,0)</f>
        <v>6</v>
      </c>
      <c r="R193" s="35">
        <f t="shared" si="11"/>
        <v>0.4</v>
      </c>
      <c r="S193" s="49">
        <f>ROUND(VLOOKUP(A193,'SSP_March''19'!$A$3:$T$1193,19,0),0)</f>
        <v>19</v>
      </c>
      <c r="T193" s="44">
        <f>VLOOKUP(A193,'SSP_March''19'!$A$3:$T$1193,20,0)</f>
        <v>1.2666666666666666</v>
      </c>
      <c r="U193" s="34">
        <f>VLOOKUP(A193,'SSP_March''19'!$A$3:$X$1193,21,0)</f>
        <v>0</v>
      </c>
      <c r="V193" s="34">
        <f>VLOOKUP(A193,'SSP_March''19'!$A$3:$X$1193,22,0)</f>
        <v>2</v>
      </c>
      <c r="W193" s="34">
        <f>VLOOKUP(A193,'SSP_March''19'!$A$3:$X$1193,23,0)</f>
        <v>0</v>
      </c>
      <c r="X193" s="34">
        <f>VLOOKUP(A193,'SSP_March''19'!$A$3:$X$1193,24,0)</f>
        <v>0</v>
      </c>
    </row>
    <row r="194" spans="1:24">
      <c r="A194" s="54" t="s">
        <v>2473</v>
      </c>
      <c r="B194" s="54" t="s">
        <v>2474</v>
      </c>
      <c r="C194" s="54" t="s">
        <v>187</v>
      </c>
      <c r="D194" s="54" t="s">
        <v>122</v>
      </c>
      <c r="E194" s="54" t="s">
        <v>0</v>
      </c>
      <c r="F194" s="54" t="s">
        <v>2475</v>
      </c>
      <c r="G194" s="54">
        <v>1762444495</v>
      </c>
      <c r="H194" s="54" t="s">
        <v>229</v>
      </c>
      <c r="I194" s="54" t="s">
        <v>3514</v>
      </c>
      <c r="J194" s="34" t="s">
        <v>3421</v>
      </c>
      <c r="K194" s="43">
        <f>VLOOKUP(A194,'SSP_March''19'!$A$3:$L$1193,11,0)</f>
        <v>130000</v>
      </c>
      <c r="L194" s="43">
        <f>VLOOKUP(A194,'SSP_March''19'!$A$3:$L$1193,12,0)</f>
        <v>14779</v>
      </c>
      <c r="M194" s="44">
        <f t="shared" si="9"/>
        <v>0.11368461538461538</v>
      </c>
      <c r="N194" s="49">
        <f>ROUND(VLOOKUP(A194,'SSP_March''19'!$A$3:$N$1193,14,0),0)</f>
        <v>45815</v>
      </c>
      <c r="O194" s="44">
        <f t="shared" si="10"/>
        <v>0.35242307692307695</v>
      </c>
      <c r="P194" s="45">
        <f>VLOOKUP(A194,'SSP_March''19'!$A$3:$Q$1193,16,0)</f>
        <v>10</v>
      </c>
      <c r="Q194" s="34">
        <f>VLOOKUP(A194,'SSP_March''19'!$A$3:$Q$1193,17,0)</f>
        <v>1</v>
      </c>
      <c r="R194" s="35">
        <f t="shared" si="11"/>
        <v>0.1</v>
      </c>
      <c r="S194" s="49">
        <f>ROUND(VLOOKUP(A194,'SSP_March''19'!$A$3:$T$1193,19,0),0)</f>
        <v>3</v>
      </c>
      <c r="T194" s="44">
        <f>VLOOKUP(A194,'SSP_March''19'!$A$3:$T$1193,20,0)</f>
        <v>0.3</v>
      </c>
      <c r="U194" s="34">
        <f>VLOOKUP(A194,'SSP_March''19'!$A$3:$X$1193,21,0)</f>
        <v>0</v>
      </c>
      <c r="V194" s="34">
        <f>VLOOKUP(A194,'SSP_March''19'!$A$3:$X$1193,22,0)</f>
        <v>1</v>
      </c>
      <c r="W194" s="34">
        <f>VLOOKUP(A194,'SSP_March''19'!$A$3:$X$1193,23,0)</f>
        <v>0</v>
      </c>
      <c r="X194" s="34">
        <f>VLOOKUP(A194,'SSP_March''19'!$A$3:$X$1193,24,0)</f>
        <v>0</v>
      </c>
    </row>
    <row r="195" spans="1:24">
      <c r="A195" s="54" t="s">
        <v>2358</v>
      </c>
      <c r="B195" s="54" t="s">
        <v>2359</v>
      </c>
      <c r="C195" s="54" t="s">
        <v>187</v>
      </c>
      <c r="D195" s="54" t="s">
        <v>122</v>
      </c>
      <c r="E195" s="54" t="s">
        <v>0</v>
      </c>
      <c r="F195" s="54" t="s">
        <v>2360</v>
      </c>
      <c r="G195" s="54">
        <v>1724728448</v>
      </c>
      <c r="H195" s="54" t="s">
        <v>229</v>
      </c>
      <c r="I195" s="54" t="s">
        <v>3514</v>
      </c>
      <c r="J195" s="34" t="s">
        <v>3419</v>
      </c>
      <c r="K195" s="43">
        <f>VLOOKUP(A195,'SSP_March''19'!$A$3:$L$1193,11,0)</f>
        <v>278039</v>
      </c>
      <c r="L195" s="43">
        <f>VLOOKUP(A195,'SSP_March''19'!$A$3:$L$1193,12,0)</f>
        <v>93474</v>
      </c>
      <c r="M195" s="44">
        <f t="shared" si="9"/>
        <v>0.33619024669201081</v>
      </c>
      <c r="N195" s="49">
        <f>ROUND(VLOOKUP(A195,'SSP_March''19'!$A$3:$N$1193,14,0),0)</f>
        <v>289769</v>
      </c>
      <c r="O195" s="44">
        <f t="shared" si="10"/>
        <v>1.0421883260981373</v>
      </c>
      <c r="P195" s="45">
        <f>VLOOKUP(A195,'SSP_March''19'!$A$3:$Q$1193,16,0)</f>
        <v>10</v>
      </c>
      <c r="Q195" s="34">
        <f>VLOOKUP(A195,'SSP_March''19'!$A$3:$Q$1193,17,0)</f>
        <v>4</v>
      </c>
      <c r="R195" s="35">
        <f t="shared" si="11"/>
        <v>0.4</v>
      </c>
      <c r="S195" s="49">
        <f>ROUND(VLOOKUP(A195,'SSP_March''19'!$A$3:$T$1193,19,0),0)</f>
        <v>12</v>
      </c>
      <c r="T195" s="44">
        <f>VLOOKUP(A195,'SSP_March''19'!$A$3:$T$1193,20,0)</f>
        <v>1.2</v>
      </c>
      <c r="U195" s="34">
        <f>VLOOKUP(A195,'SSP_March''19'!$A$3:$X$1193,21,0)</f>
        <v>1</v>
      </c>
      <c r="V195" s="34">
        <f>VLOOKUP(A195,'SSP_March''19'!$A$3:$X$1193,22,0)</f>
        <v>0</v>
      </c>
      <c r="W195" s="34">
        <f>VLOOKUP(A195,'SSP_March''19'!$A$3:$X$1193,23,0)</f>
        <v>0</v>
      </c>
      <c r="X195" s="34">
        <f>VLOOKUP(A195,'SSP_March''19'!$A$3:$X$1193,24,0)</f>
        <v>0</v>
      </c>
    </row>
    <row r="196" spans="1:24">
      <c r="A196" s="54" t="s">
        <v>2393</v>
      </c>
      <c r="B196" s="54" t="s">
        <v>476</v>
      </c>
      <c r="C196" s="54" t="s">
        <v>187</v>
      </c>
      <c r="D196" s="54" t="s">
        <v>122</v>
      </c>
      <c r="E196" s="54" t="s">
        <v>0</v>
      </c>
      <c r="F196" s="54" t="s">
        <v>2394</v>
      </c>
      <c r="G196" s="54">
        <v>1743100070</v>
      </c>
      <c r="H196" s="54" t="s">
        <v>229</v>
      </c>
      <c r="I196" s="54" t="s">
        <v>3514</v>
      </c>
      <c r="J196" s="34" t="s">
        <v>3419</v>
      </c>
      <c r="K196" s="43">
        <f>VLOOKUP(A196,'SSP_March''19'!$A$3:$L$1193,11,0)</f>
        <v>167592</v>
      </c>
      <c r="L196" s="43">
        <f>VLOOKUP(A196,'SSP_March''19'!$A$3:$L$1193,12,0)</f>
        <v>25450</v>
      </c>
      <c r="M196" s="44">
        <f t="shared" si="9"/>
        <v>0.15185689054370138</v>
      </c>
      <c r="N196" s="49">
        <f>ROUND(VLOOKUP(A196,'SSP_March''19'!$A$3:$N$1193,14,0),0)</f>
        <v>78895</v>
      </c>
      <c r="O196" s="44">
        <f t="shared" si="10"/>
        <v>0.47075636068547427</v>
      </c>
      <c r="P196" s="45">
        <f>VLOOKUP(A196,'SSP_March''19'!$A$3:$Q$1193,16,0)</f>
        <v>10</v>
      </c>
      <c r="Q196" s="34">
        <f>VLOOKUP(A196,'SSP_March''19'!$A$3:$Q$1193,17,0)</f>
        <v>0</v>
      </c>
      <c r="R196" s="35">
        <f t="shared" si="11"/>
        <v>0</v>
      </c>
      <c r="S196" s="49">
        <f>ROUND(VLOOKUP(A196,'SSP_March''19'!$A$3:$T$1193,19,0),0)</f>
        <v>0</v>
      </c>
      <c r="T196" s="44">
        <f>VLOOKUP(A196,'SSP_March''19'!$A$3:$T$1193,20,0)</f>
        <v>0</v>
      </c>
      <c r="U196" s="34">
        <f>VLOOKUP(A196,'SSP_March''19'!$A$3:$X$1193,21,0)</f>
        <v>1</v>
      </c>
      <c r="V196" s="34">
        <f>VLOOKUP(A196,'SSP_March''19'!$A$3:$X$1193,22,0)</f>
        <v>0</v>
      </c>
      <c r="W196" s="34">
        <f>VLOOKUP(A196,'SSP_March''19'!$A$3:$X$1193,23,0)</f>
        <v>0</v>
      </c>
      <c r="X196" s="34">
        <f>VLOOKUP(A196,'SSP_March''19'!$A$3:$X$1193,24,0)</f>
        <v>0</v>
      </c>
    </row>
    <row r="197" spans="1:24">
      <c r="A197" s="54" t="s">
        <v>2446</v>
      </c>
      <c r="B197" s="54" t="s">
        <v>2447</v>
      </c>
      <c r="C197" s="54" t="s">
        <v>187</v>
      </c>
      <c r="D197" s="54" t="s">
        <v>122</v>
      </c>
      <c r="E197" s="54" t="s">
        <v>0</v>
      </c>
      <c r="F197" s="54" t="s">
        <v>2448</v>
      </c>
      <c r="G197" s="54">
        <v>1777216669</v>
      </c>
      <c r="H197" s="54" t="s">
        <v>229</v>
      </c>
      <c r="I197" s="54" t="s">
        <v>3514</v>
      </c>
      <c r="J197" s="34" t="s">
        <v>3421</v>
      </c>
      <c r="K197" s="43">
        <f>VLOOKUP(A197,'SSP_March''19'!$A$3:$L$1193,11,0)</f>
        <v>130000</v>
      </c>
      <c r="L197" s="43">
        <f>VLOOKUP(A197,'SSP_March''19'!$A$3:$L$1193,12,0)</f>
        <v>44910</v>
      </c>
      <c r="M197" s="44">
        <f t="shared" si="9"/>
        <v>0.34546153846153849</v>
      </c>
      <c r="N197" s="49">
        <f>ROUND(VLOOKUP(A197,'SSP_March''19'!$A$3:$N$1193,14,0),0)</f>
        <v>139221</v>
      </c>
      <c r="O197" s="44">
        <f t="shared" si="10"/>
        <v>1.0709307692307692</v>
      </c>
      <c r="P197" s="45">
        <f>VLOOKUP(A197,'SSP_March''19'!$A$3:$Q$1193,16,0)</f>
        <v>10</v>
      </c>
      <c r="Q197" s="34">
        <f>VLOOKUP(A197,'SSP_March''19'!$A$3:$Q$1193,17,0)</f>
        <v>2</v>
      </c>
      <c r="R197" s="35">
        <f t="shared" si="11"/>
        <v>0.2</v>
      </c>
      <c r="S197" s="49">
        <f>ROUND(VLOOKUP(A197,'SSP_March''19'!$A$3:$T$1193,19,0),0)</f>
        <v>6</v>
      </c>
      <c r="T197" s="44">
        <f>VLOOKUP(A197,'SSP_March''19'!$A$3:$T$1193,20,0)</f>
        <v>0.6</v>
      </c>
      <c r="U197" s="34">
        <f>VLOOKUP(A197,'SSP_March''19'!$A$3:$X$1193,21,0)</f>
        <v>0</v>
      </c>
      <c r="V197" s="34">
        <f>VLOOKUP(A197,'SSP_March''19'!$A$3:$X$1193,22,0)</f>
        <v>0</v>
      </c>
      <c r="W197" s="34">
        <f>VLOOKUP(A197,'SSP_March''19'!$A$3:$X$1193,23,0)</f>
        <v>0</v>
      </c>
      <c r="X197" s="34">
        <f>VLOOKUP(A197,'SSP_March''19'!$A$3:$X$1193,24,0)</f>
        <v>0</v>
      </c>
    </row>
    <row r="198" spans="1:24">
      <c r="A198" s="54" t="s">
        <v>2520</v>
      </c>
      <c r="B198" s="54" t="s">
        <v>2521</v>
      </c>
      <c r="C198" s="54" t="s">
        <v>187</v>
      </c>
      <c r="D198" s="54" t="s">
        <v>122</v>
      </c>
      <c r="E198" s="54" t="s">
        <v>0</v>
      </c>
      <c r="F198" s="54" t="s">
        <v>2522</v>
      </c>
      <c r="G198" s="54">
        <v>1722004499</v>
      </c>
      <c r="H198" s="54" t="s">
        <v>229</v>
      </c>
      <c r="I198" s="54" t="s">
        <v>3514</v>
      </c>
      <c r="J198" s="34" t="s">
        <v>3515</v>
      </c>
      <c r="K198" s="43">
        <f>VLOOKUP(A198,'SSP_March''19'!$A$3:$L$1193,11,0)</f>
        <v>209942</v>
      </c>
      <c r="L198" s="43">
        <f>VLOOKUP(A198,'SSP_March''19'!$A$3:$L$1193,12,0)</f>
        <v>33430</v>
      </c>
      <c r="M198" s="44">
        <f t="shared" si="9"/>
        <v>0.15923445523049223</v>
      </c>
      <c r="N198" s="49">
        <f>ROUND(VLOOKUP(A198,'SSP_March''19'!$A$3:$N$1193,14,0),0)</f>
        <v>103633</v>
      </c>
      <c r="O198" s="44">
        <f t="shared" si="10"/>
        <v>0.4936268112145259</v>
      </c>
      <c r="P198" s="45">
        <f>VLOOKUP(A198,'SSP_March''19'!$A$3:$Q$1193,16,0)</f>
        <v>10</v>
      </c>
      <c r="Q198" s="34">
        <f>VLOOKUP(A198,'SSP_March''19'!$A$3:$Q$1193,17,0)</f>
        <v>0</v>
      </c>
      <c r="R198" s="35">
        <f t="shared" si="11"/>
        <v>0</v>
      </c>
      <c r="S198" s="49">
        <f>ROUND(VLOOKUP(A198,'SSP_March''19'!$A$3:$T$1193,19,0),0)</f>
        <v>0</v>
      </c>
      <c r="T198" s="44">
        <f>VLOOKUP(A198,'SSP_March''19'!$A$3:$T$1193,20,0)</f>
        <v>0</v>
      </c>
      <c r="U198" s="34">
        <f>VLOOKUP(A198,'SSP_March''19'!$A$3:$X$1193,21,0)</f>
        <v>0</v>
      </c>
      <c r="V198" s="34">
        <f>VLOOKUP(A198,'SSP_March''19'!$A$3:$X$1193,22,0)</f>
        <v>0</v>
      </c>
      <c r="W198" s="34">
        <f>VLOOKUP(A198,'SSP_March''19'!$A$3:$X$1193,23,0)</f>
        <v>0</v>
      </c>
      <c r="X198" s="34">
        <f>VLOOKUP(A198,'SSP_March''19'!$A$3:$X$1193,24,0)</f>
        <v>0</v>
      </c>
    </row>
    <row r="199" spans="1:24">
      <c r="A199" s="54" t="s">
        <v>2485</v>
      </c>
      <c r="B199" s="54" t="s">
        <v>2486</v>
      </c>
      <c r="C199" s="54" t="s">
        <v>187</v>
      </c>
      <c r="D199" s="54" t="s">
        <v>122</v>
      </c>
      <c r="E199" s="54" t="s">
        <v>0</v>
      </c>
      <c r="F199" s="54" t="s">
        <v>2487</v>
      </c>
      <c r="G199" s="54">
        <v>1723450605</v>
      </c>
      <c r="H199" s="54" t="s">
        <v>229</v>
      </c>
      <c r="I199" s="54" t="s">
        <v>3514</v>
      </c>
      <c r="J199" s="34" t="s">
        <v>3515</v>
      </c>
      <c r="K199" s="43">
        <f>VLOOKUP(A199,'SSP_March''19'!$A$3:$L$1193,11,0)</f>
        <v>130000</v>
      </c>
      <c r="L199" s="43">
        <f>VLOOKUP(A199,'SSP_March''19'!$A$3:$L$1193,12,0)</f>
        <v>45670</v>
      </c>
      <c r="M199" s="44">
        <f t="shared" si="9"/>
        <v>0.35130769230769232</v>
      </c>
      <c r="N199" s="49">
        <f>ROUND(VLOOKUP(A199,'SSP_March''19'!$A$3:$N$1193,14,0),0)</f>
        <v>141577</v>
      </c>
      <c r="O199" s="44">
        <f t="shared" si="10"/>
        <v>1.0890538461538462</v>
      </c>
      <c r="P199" s="45">
        <f>VLOOKUP(A199,'SSP_March''19'!$A$3:$Q$1193,16,0)</f>
        <v>10</v>
      </c>
      <c r="Q199" s="34">
        <f>VLOOKUP(A199,'SSP_March''19'!$A$3:$Q$1193,17,0)</f>
        <v>3</v>
      </c>
      <c r="R199" s="35">
        <f t="shared" si="11"/>
        <v>0.3</v>
      </c>
      <c r="S199" s="49">
        <f>ROUND(VLOOKUP(A199,'SSP_March''19'!$A$3:$T$1193,19,0),0)</f>
        <v>9</v>
      </c>
      <c r="T199" s="44">
        <f>VLOOKUP(A199,'SSP_March''19'!$A$3:$T$1193,20,0)</f>
        <v>0.9</v>
      </c>
      <c r="U199" s="34">
        <f>VLOOKUP(A199,'SSP_March''19'!$A$3:$X$1193,21,0)</f>
        <v>0</v>
      </c>
      <c r="V199" s="34">
        <f>VLOOKUP(A199,'SSP_March''19'!$A$3:$X$1193,22,0)</f>
        <v>1</v>
      </c>
      <c r="W199" s="34">
        <f>VLOOKUP(A199,'SSP_March''19'!$A$3:$X$1193,23,0)</f>
        <v>0</v>
      </c>
      <c r="X199" s="34">
        <f>VLOOKUP(A199,'SSP_March''19'!$A$3:$X$1193,24,0)</f>
        <v>0</v>
      </c>
    </row>
    <row r="200" spans="1:24">
      <c r="A200" s="54" t="s">
        <v>2620</v>
      </c>
      <c r="B200" s="54" t="s">
        <v>523</v>
      </c>
      <c r="C200" s="54" t="s">
        <v>187</v>
      </c>
      <c r="D200" s="54" t="s">
        <v>122</v>
      </c>
      <c r="E200" s="54" t="s">
        <v>0</v>
      </c>
      <c r="F200" s="54" t="s">
        <v>2621</v>
      </c>
      <c r="G200" s="54">
        <v>1788355354</v>
      </c>
      <c r="H200" s="54" t="s">
        <v>229</v>
      </c>
      <c r="I200" s="54" t="s">
        <v>3514</v>
      </c>
      <c r="J200" s="34" t="s">
        <v>3515</v>
      </c>
      <c r="K200" s="43">
        <f>VLOOKUP(A200,'SSP_March''19'!$A$3:$L$1193,11,0)</f>
        <v>206351</v>
      </c>
      <c r="L200" s="43">
        <f>VLOOKUP(A200,'SSP_March''19'!$A$3:$L$1193,12,0)</f>
        <v>60830</v>
      </c>
      <c r="M200" s="44">
        <f t="shared" si="9"/>
        <v>0.29478897606505422</v>
      </c>
      <c r="N200" s="49">
        <f>ROUND(VLOOKUP(A200,'SSP_March''19'!$A$3:$N$1193,14,0),0)</f>
        <v>188573</v>
      </c>
      <c r="O200" s="44">
        <f t="shared" si="10"/>
        <v>0.91384582580166807</v>
      </c>
      <c r="P200" s="45">
        <f>VLOOKUP(A200,'SSP_March''19'!$A$3:$Q$1193,16,0)</f>
        <v>10</v>
      </c>
      <c r="Q200" s="34">
        <f>VLOOKUP(A200,'SSP_March''19'!$A$3:$Q$1193,17,0)</f>
        <v>1</v>
      </c>
      <c r="R200" s="35">
        <f t="shared" si="11"/>
        <v>0.1</v>
      </c>
      <c r="S200" s="49">
        <f>ROUND(VLOOKUP(A200,'SSP_March''19'!$A$3:$T$1193,19,0),0)</f>
        <v>3</v>
      </c>
      <c r="T200" s="44">
        <f>VLOOKUP(A200,'SSP_March''19'!$A$3:$T$1193,20,0)</f>
        <v>0.3</v>
      </c>
      <c r="U200" s="34">
        <f>VLOOKUP(A200,'SSP_March''19'!$A$3:$X$1193,21,0)</f>
        <v>1</v>
      </c>
      <c r="V200" s="34">
        <f>VLOOKUP(A200,'SSP_March''19'!$A$3:$X$1193,22,0)</f>
        <v>0</v>
      </c>
      <c r="W200" s="34">
        <f>VLOOKUP(A200,'SSP_March''19'!$A$3:$X$1193,23,0)</f>
        <v>0</v>
      </c>
      <c r="X200" s="34">
        <f>VLOOKUP(A200,'SSP_March''19'!$A$3:$X$1193,24,0)</f>
        <v>0</v>
      </c>
    </row>
    <row r="201" spans="1:24">
      <c r="A201" s="54" t="s">
        <v>2423</v>
      </c>
      <c r="B201" s="54" t="s">
        <v>2424</v>
      </c>
      <c r="C201" s="54" t="s">
        <v>187</v>
      </c>
      <c r="D201" s="54" t="s">
        <v>122</v>
      </c>
      <c r="E201" s="54" t="s">
        <v>0</v>
      </c>
      <c r="F201" s="54" t="s">
        <v>2425</v>
      </c>
      <c r="G201" s="54">
        <v>1758202122</v>
      </c>
      <c r="H201" s="54" t="s">
        <v>229</v>
      </c>
      <c r="I201" s="54" t="s">
        <v>3514</v>
      </c>
      <c r="J201" s="34" t="s">
        <v>3419</v>
      </c>
      <c r="K201" s="43">
        <f>VLOOKUP(A201,'SSP_March''19'!$A$3:$L$1193,11,0)</f>
        <v>130000</v>
      </c>
      <c r="L201" s="43">
        <f>VLOOKUP(A201,'SSP_March''19'!$A$3:$L$1193,12,0)</f>
        <v>14170</v>
      </c>
      <c r="M201" s="44">
        <f t="shared" si="9"/>
        <v>0.109</v>
      </c>
      <c r="N201" s="49">
        <f>ROUND(VLOOKUP(A201,'SSP_March''19'!$A$3:$N$1193,14,0),0)</f>
        <v>43927</v>
      </c>
      <c r="O201" s="44">
        <f t="shared" si="10"/>
        <v>0.33789999999999998</v>
      </c>
      <c r="P201" s="45">
        <f>VLOOKUP(A201,'SSP_March''19'!$A$3:$Q$1193,16,0)</f>
        <v>10</v>
      </c>
      <c r="Q201" s="34">
        <f>VLOOKUP(A201,'SSP_March''19'!$A$3:$Q$1193,17,0)</f>
        <v>0</v>
      </c>
      <c r="R201" s="35">
        <f t="shared" si="11"/>
        <v>0</v>
      </c>
      <c r="S201" s="49">
        <f>ROUND(VLOOKUP(A201,'SSP_March''19'!$A$3:$T$1193,19,0),0)</f>
        <v>0</v>
      </c>
      <c r="T201" s="44">
        <f>VLOOKUP(A201,'SSP_March''19'!$A$3:$T$1193,20,0)</f>
        <v>0</v>
      </c>
      <c r="U201" s="34">
        <f>VLOOKUP(A201,'SSP_March''19'!$A$3:$X$1193,21,0)</f>
        <v>0</v>
      </c>
      <c r="V201" s="34">
        <f>VLOOKUP(A201,'SSP_March''19'!$A$3:$X$1193,22,0)</f>
        <v>0</v>
      </c>
      <c r="W201" s="34">
        <f>VLOOKUP(A201,'SSP_March''19'!$A$3:$X$1193,23,0)</f>
        <v>0</v>
      </c>
      <c r="X201" s="34">
        <f>VLOOKUP(A201,'SSP_March''19'!$A$3:$X$1193,24,0)</f>
        <v>0</v>
      </c>
    </row>
    <row r="202" spans="1:24">
      <c r="A202" s="54" t="s">
        <v>2754</v>
      </c>
      <c r="B202" s="54" t="s">
        <v>2755</v>
      </c>
      <c r="C202" s="54" t="s">
        <v>2374</v>
      </c>
      <c r="D202" s="54" t="s">
        <v>172</v>
      </c>
      <c r="E202" s="54" t="s">
        <v>0</v>
      </c>
      <c r="F202" s="54" t="s">
        <v>1442</v>
      </c>
      <c r="G202" s="54">
        <v>1710067814</v>
      </c>
      <c r="H202" s="54" t="s">
        <v>229</v>
      </c>
      <c r="I202" s="54" t="s">
        <v>3514</v>
      </c>
      <c r="J202" s="34" t="s">
        <v>3515</v>
      </c>
      <c r="K202" s="43">
        <f>VLOOKUP(A202,'SSP_March''19'!$A$3:$L$1193,11,0)</f>
        <v>130000</v>
      </c>
      <c r="L202" s="43">
        <f>VLOOKUP(A202,'SSP_March''19'!$A$3:$L$1193,12,0)</f>
        <v>68785</v>
      </c>
      <c r="M202" s="44">
        <f t="shared" si="9"/>
        <v>0.52911538461538465</v>
      </c>
      <c r="N202" s="49">
        <f>ROUND(VLOOKUP(A202,'SSP_March''19'!$A$3:$N$1193,14,0),0)</f>
        <v>213234</v>
      </c>
      <c r="O202" s="44">
        <f t="shared" si="10"/>
        <v>1.6402615384615384</v>
      </c>
      <c r="P202" s="45">
        <f>VLOOKUP(A202,'SSP_March''19'!$A$3:$Q$1193,16,0)</f>
        <v>10</v>
      </c>
      <c r="Q202" s="34">
        <f>VLOOKUP(A202,'SSP_March''19'!$A$3:$Q$1193,17,0)</f>
        <v>4</v>
      </c>
      <c r="R202" s="35">
        <f t="shared" si="11"/>
        <v>0.4</v>
      </c>
      <c r="S202" s="49">
        <f>ROUND(VLOOKUP(A202,'SSP_March''19'!$A$3:$T$1193,19,0),0)</f>
        <v>12</v>
      </c>
      <c r="T202" s="44">
        <f>VLOOKUP(A202,'SSP_March''19'!$A$3:$T$1193,20,0)</f>
        <v>1.2</v>
      </c>
      <c r="U202" s="34">
        <f>VLOOKUP(A202,'SSP_March''19'!$A$3:$X$1193,21,0)</f>
        <v>0</v>
      </c>
      <c r="V202" s="34">
        <f>VLOOKUP(A202,'SSP_March''19'!$A$3:$X$1193,22,0)</f>
        <v>0</v>
      </c>
      <c r="W202" s="34">
        <f>VLOOKUP(A202,'SSP_March''19'!$A$3:$X$1193,23,0)</f>
        <v>0</v>
      </c>
      <c r="X202" s="34">
        <f>VLOOKUP(A202,'SSP_March''19'!$A$3:$X$1193,24,0)</f>
        <v>0</v>
      </c>
    </row>
    <row r="203" spans="1:24">
      <c r="A203" s="54" t="s">
        <v>2611</v>
      </c>
      <c r="B203" s="54" t="s">
        <v>2612</v>
      </c>
      <c r="C203" s="54" t="s">
        <v>2374</v>
      </c>
      <c r="D203" s="54" t="s">
        <v>172</v>
      </c>
      <c r="E203" s="54" t="s">
        <v>0</v>
      </c>
      <c r="F203" s="54" t="s">
        <v>2613</v>
      </c>
      <c r="G203" s="54">
        <v>1716461689</v>
      </c>
      <c r="H203" s="54" t="s">
        <v>229</v>
      </c>
      <c r="I203" s="54" t="s">
        <v>3514</v>
      </c>
      <c r="J203" s="34" t="s">
        <v>3419</v>
      </c>
      <c r="K203" s="43">
        <f>VLOOKUP(A203,'SSP_March''19'!$A$3:$L$1193,11,0)</f>
        <v>130000</v>
      </c>
      <c r="L203" s="43">
        <f>VLOOKUP(A203,'SSP_March''19'!$A$3:$L$1193,12,0)</f>
        <v>30200</v>
      </c>
      <c r="M203" s="44">
        <f t="shared" si="9"/>
        <v>0.2323076923076923</v>
      </c>
      <c r="N203" s="49">
        <f>ROUND(VLOOKUP(A203,'SSP_March''19'!$A$3:$N$1193,14,0),0)</f>
        <v>93620</v>
      </c>
      <c r="O203" s="44">
        <f t="shared" si="10"/>
        <v>0.72015384615384614</v>
      </c>
      <c r="P203" s="45">
        <f>VLOOKUP(A203,'SSP_March''19'!$A$3:$Q$1193,16,0)</f>
        <v>10</v>
      </c>
      <c r="Q203" s="34">
        <f>VLOOKUP(A203,'SSP_March''19'!$A$3:$Q$1193,17,0)</f>
        <v>2</v>
      </c>
      <c r="R203" s="35">
        <f t="shared" si="11"/>
        <v>0.2</v>
      </c>
      <c r="S203" s="49">
        <f>ROUND(VLOOKUP(A203,'SSP_March''19'!$A$3:$T$1193,19,0),0)</f>
        <v>6</v>
      </c>
      <c r="T203" s="44">
        <f>VLOOKUP(A203,'SSP_March''19'!$A$3:$T$1193,20,0)</f>
        <v>0.6</v>
      </c>
      <c r="U203" s="34">
        <f>VLOOKUP(A203,'SSP_March''19'!$A$3:$X$1193,21,0)</f>
        <v>1</v>
      </c>
      <c r="V203" s="34">
        <f>VLOOKUP(A203,'SSP_March''19'!$A$3:$X$1193,22,0)</f>
        <v>1</v>
      </c>
      <c r="W203" s="34">
        <f>VLOOKUP(A203,'SSP_March''19'!$A$3:$X$1193,23,0)</f>
        <v>0</v>
      </c>
      <c r="X203" s="34">
        <f>VLOOKUP(A203,'SSP_March''19'!$A$3:$X$1193,24,0)</f>
        <v>0</v>
      </c>
    </row>
    <row r="204" spans="1:24">
      <c r="A204" s="54" t="s">
        <v>2599</v>
      </c>
      <c r="B204" s="54" t="s">
        <v>2600</v>
      </c>
      <c r="C204" s="54" t="s">
        <v>2374</v>
      </c>
      <c r="D204" s="54" t="s">
        <v>172</v>
      </c>
      <c r="E204" s="54" t="s">
        <v>0</v>
      </c>
      <c r="F204" s="54" t="s">
        <v>2601</v>
      </c>
      <c r="G204" s="54">
        <v>1711514147</v>
      </c>
      <c r="H204" s="54" t="s">
        <v>229</v>
      </c>
      <c r="I204" s="54" t="s">
        <v>3518</v>
      </c>
      <c r="J204" s="34" t="s">
        <v>3419</v>
      </c>
      <c r="K204" s="43">
        <f>VLOOKUP(A204,'SSP_March''19'!$A$3:$L$1193,11,0)</f>
        <v>339622</v>
      </c>
      <c r="L204" s="43">
        <f>VLOOKUP(A204,'SSP_March''19'!$A$3:$L$1193,12,0)</f>
        <v>51750</v>
      </c>
      <c r="M204" s="44">
        <f t="shared" si="9"/>
        <v>0.1523752878199881</v>
      </c>
      <c r="N204" s="49">
        <f>ROUND(VLOOKUP(A204,'SSP_March''19'!$A$3:$N$1193,14,0),0)</f>
        <v>160425</v>
      </c>
      <c r="O204" s="44">
        <f t="shared" si="10"/>
        <v>0.47236339224196311</v>
      </c>
      <c r="P204" s="45">
        <f>VLOOKUP(A204,'SSP_March''19'!$A$3:$Q$1193,16,0)</f>
        <v>22</v>
      </c>
      <c r="Q204" s="34">
        <f>VLOOKUP(A204,'SSP_March''19'!$A$3:$Q$1193,17,0)</f>
        <v>4</v>
      </c>
      <c r="R204" s="35">
        <f t="shared" si="11"/>
        <v>0.18181818181818182</v>
      </c>
      <c r="S204" s="49">
        <f>ROUND(VLOOKUP(A204,'SSP_March''19'!$A$3:$T$1193,19,0),0)</f>
        <v>12</v>
      </c>
      <c r="T204" s="44">
        <f>VLOOKUP(A204,'SSP_March''19'!$A$3:$T$1193,20,0)</f>
        <v>0.54545454545454541</v>
      </c>
      <c r="U204" s="34">
        <f>VLOOKUP(A204,'SSP_March''19'!$A$3:$X$1193,21,0)</f>
        <v>0</v>
      </c>
      <c r="V204" s="34">
        <f>VLOOKUP(A204,'SSP_March''19'!$A$3:$X$1193,22,0)</f>
        <v>2</v>
      </c>
      <c r="W204" s="34">
        <f>VLOOKUP(A204,'SSP_March''19'!$A$3:$X$1193,23,0)</f>
        <v>0</v>
      </c>
      <c r="X204" s="34">
        <f>VLOOKUP(A204,'SSP_March''19'!$A$3:$X$1193,24,0)</f>
        <v>0</v>
      </c>
    </row>
    <row r="205" spans="1:24">
      <c r="A205" s="54" t="s">
        <v>2788</v>
      </c>
      <c r="B205" s="54" t="s">
        <v>2789</v>
      </c>
      <c r="C205" s="54" t="s">
        <v>2374</v>
      </c>
      <c r="D205" s="54" t="s">
        <v>172</v>
      </c>
      <c r="E205" s="54" t="s">
        <v>0</v>
      </c>
      <c r="F205" s="54" t="s">
        <v>2790</v>
      </c>
      <c r="G205" s="54">
        <v>1758737115</v>
      </c>
      <c r="H205" s="54" t="s">
        <v>229</v>
      </c>
      <c r="I205" s="54" t="s">
        <v>3514</v>
      </c>
      <c r="J205" s="34" t="s">
        <v>3421</v>
      </c>
      <c r="K205" s="43">
        <f>VLOOKUP(A205,'SSP_March''19'!$A$3:$L$1193,11,0)</f>
        <v>170913</v>
      </c>
      <c r="L205" s="43">
        <f>VLOOKUP(A205,'SSP_March''19'!$A$3:$L$1193,12,0)</f>
        <v>43980</v>
      </c>
      <c r="M205" s="44">
        <f t="shared" si="9"/>
        <v>0.25732390163416474</v>
      </c>
      <c r="N205" s="49">
        <f>ROUND(VLOOKUP(A205,'SSP_March''19'!$A$3:$N$1193,14,0),0)</f>
        <v>136338</v>
      </c>
      <c r="O205" s="44">
        <f t="shared" si="10"/>
        <v>0.79770409506591078</v>
      </c>
      <c r="P205" s="45">
        <f>VLOOKUP(A205,'SSP_March''19'!$A$3:$Q$1193,16,0)</f>
        <v>10</v>
      </c>
      <c r="Q205" s="34">
        <f>VLOOKUP(A205,'SSP_March''19'!$A$3:$Q$1193,17,0)</f>
        <v>3</v>
      </c>
      <c r="R205" s="35">
        <f t="shared" si="11"/>
        <v>0.3</v>
      </c>
      <c r="S205" s="49">
        <f>ROUND(VLOOKUP(A205,'SSP_March''19'!$A$3:$T$1193,19,0),0)</f>
        <v>9</v>
      </c>
      <c r="T205" s="44">
        <f>VLOOKUP(A205,'SSP_March''19'!$A$3:$T$1193,20,0)</f>
        <v>0.9</v>
      </c>
      <c r="U205" s="34">
        <f>VLOOKUP(A205,'SSP_March''19'!$A$3:$X$1193,21,0)</f>
        <v>0</v>
      </c>
      <c r="V205" s="34">
        <f>VLOOKUP(A205,'SSP_March''19'!$A$3:$X$1193,22,0)</f>
        <v>0</v>
      </c>
      <c r="W205" s="34">
        <f>VLOOKUP(A205,'SSP_March''19'!$A$3:$X$1193,23,0)</f>
        <v>0</v>
      </c>
      <c r="X205" s="34">
        <f>VLOOKUP(A205,'SSP_March''19'!$A$3:$X$1193,24,0)</f>
        <v>0</v>
      </c>
    </row>
    <row r="206" spans="1:24">
      <c r="A206" s="54" t="s">
        <v>2495</v>
      </c>
      <c r="B206" s="54" t="s">
        <v>2496</v>
      </c>
      <c r="C206" s="54" t="s">
        <v>2374</v>
      </c>
      <c r="D206" s="54" t="s">
        <v>172</v>
      </c>
      <c r="E206" s="54" t="s">
        <v>0</v>
      </c>
      <c r="F206" s="54" t="s">
        <v>1155</v>
      </c>
      <c r="G206" s="54">
        <v>1716678905</v>
      </c>
      <c r="H206" s="54" t="s">
        <v>229</v>
      </c>
      <c r="I206" s="54" t="s">
        <v>3514</v>
      </c>
      <c r="J206" s="34" t="s">
        <v>3421</v>
      </c>
      <c r="K206" s="43">
        <f>VLOOKUP(A206,'SSP_March''19'!$A$3:$L$1193,11,0)</f>
        <v>130000</v>
      </c>
      <c r="L206" s="43">
        <f>VLOOKUP(A206,'SSP_March''19'!$A$3:$L$1193,12,0)</f>
        <v>18770</v>
      </c>
      <c r="M206" s="44">
        <f t="shared" si="9"/>
        <v>0.14438461538461539</v>
      </c>
      <c r="N206" s="49">
        <f>ROUND(VLOOKUP(A206,'SSP_March''19'!$A$3:$N$1193,14,0),0)</f>
        <v>58187</v>
      </c>
      <c r="O206" s="44">
        <f t="shared" si="10"/>
        <v>0.44759230769230768</v>
      </c>
      <c r="P206" s="45">
        <f>VLOOKUP(A206,'SSP_March''19'!$A$3:$Q$1193,16,0)</f>
        <v>10</v>
      </c>
      <c r="Q206" s="34">
        <f>VLOOKUP(A206,'SSP_March''19'!$A$3:$Q$1193,17,0)</f>
        <v>1</v>
      </c>
      <c r="R206" s="35">
        <f t="shared" si="11"/>
        <v>0.1</v>
      </c>
      <c r="S206" s="49">
        <f>ROUND(VLOOKUP(A206,'SSP_March''19'!$A$3:$T$1193,19,0),0)</f>
        <v>3</v>
      </c>
      <c r="T206" s="44">
        <f>VLOOKUP(A206,'SSP_March''19'!$A$3:$T$1193,20,0)</f>
        <v>0.3</v>
      </c>
      <c r="U206" s="34">
        <f>VLOOKUP(A206,'SSP_March''19'!$A$3:$X$1193,21,0)</f>
        <v>0</v>
      </c>
      <c r="V206" s="34">
        <f>VLOOKUP(A206,'SSP_March''19'!$A$3:$X$1193,22,0)</f>
        <v>0</v>
      </c>
      <c r="W206" s="34">
        <f>VLOOKUP(A206,'SSP_March''19'!$A$3:$X$1193,23,0)</f>
        <v>0</v>
      </c>
      <c r="X206" s="34">
        <f>VLOOKUP(A206,'SSP_March''19'!$A$3:$X$1193,24,0)</f>
        <v>0</v>
      </c>
    </row>
    <row r="207" spans="1:24">
      <c r="A207" s="54" t="s">
        <v>2372</v>
      </c>
      <c r="B207" s="54" t="s">
        <v>2373</v>
      </c>
      <c r="C207" s="54" t="s">
        <v>2374</v>
      </c>
      <c r="D207" s="54" t="s">
        <v>172</v>
      </c>
      <c r="E207" s="54" t="s">
        <v>0</v>
      </c>
      <c r="F207" s="54" t="s">
        <v>2375</v>
      </c>
      <c r="G207" s="54">
        <v>1775773077</v>
      </c>
      <c r="H207" s="54" t="s">
        <v>229</v>
      </c>
      <c r="I207" s="54" t="s">
        <v>3514</v>
      </c>
      <c r="J207" s="34" t="s">
        <v>3421</v>
      </c>
      <c r="K207" s="43">
        <f>VLOOKUP(A207,'SSP_March''19'!$A$3:$L$1193,11,0)</f>
        <v>130000</v>
      </c>
      <c r="L207" s="43">
        <f>VLOOKUP(A207,'SSP_March''19'!$A$3:$L$1193,12,0)</f>
        <v>53670</v>
      </c>
      <c r="M207" s="44">
        <f t="shared" ref="M207:M253" si="12">L207/K207</f>
        <v>0.41284615384615386</v>
      </c>
      <c r="N207" s="49">
        <f>ROUND(VLOOKUP(A207,'SSP_March''19'!$A$3:$N$1193,14,0),0)</f>
        <v>166377</v>
      </c>
      <c r="O207" s="44">
        <f t="shared" ref="O207:O253" si="13">N207/K207</f>
        <v>1.279823076923077</v>
      </c>
      <c r="P207" s="45">
        <f>VLOOKUP(A207,'SSP_March''19'!$A$3:$Q$1193,16,0)</f>
        <v>10</v>
      </c>
      <c r="Q207" s="34">
        <f>VLOOKUP(A207,'SSP_March''19'!$A$3:$Q$1193,17,0)</f>
        <v>2</v>
      </c>
      <c r="R207" s="35">
        <f t="shared" ref="R207:R253" si="14">Q207/P207</f>
        <v>0.2</v>
      </c>
      <c r="S207" s="49">
        <f>ROUND(VLOOKUP(A207,'SSP_March''19'!$A$3:$T$1193,19,0),0)</f>
        <v>6</v>
      </c>
      <c r="T207" s="44">
        <f>VLOOKUP(A207,'SSP_March''19'!$A$3:$T$1193,20,0)</f>
        <v>0.6</v>
      </c>
      <c r="U207" s="34">
        <f>VLOOKUP(A207,'SSP_March''19'!$A$3:$X$1193,21,0)</f>
        <v>0</v>
      </c>
      <c r="V207" s="34">
        <f>VLOOKUP(A207,'SSP_March''19'!$A$3:$X$1193,22,0)</f>
        <v>0</v>
      </c>
      <c r="W207" s="34">
        <f>VLOOKUP(A207,'SSP_March''19'!$A$3:$X$1193,23,0)</f>
        <v>0</v>
      </c>
      <c r="X207" s="34">
        <f>VLOOKUP(A207,'SSP_March''19'!$A$3:$X$1193,24,0)</f>
        <v>0</v>
      </c>
    </row>
    <row r="208" spans="1:24">
      <c r="A208" s="54" t="s">
        <v>2828</v>
      </c>
      <c r="B208" s="54" t="s">
        <v>916</v>
      </c>
      <c r="C208" s="54" t="s">
        <v>2374</v>
      </c>
      <c r="D208" s="54" t="s">
        <v>172</v>
      </c>
      <c r="E208" s="54" t="s">
        <v>0</v>
      </c>
      <c r="F208" s="54" t="s">
        <v>2829</v>
      </c>
      <c r="G208" s="54">
        <v>1748484333</v>
      </c>
      <c r="H208" s="54" t="s">
        <v>229</v>
      </c>
      <c r="I208" s="54" t="s">
        <v>3514</v>
      </c>
      <c r="J208" s="34" t="s">
        <v>3421</v>
      </c>
      <c r="K208" s="43">
        <f>VLOOKUP(A208,'SSP_March''19'!$A$3:$L$1193,11,0)</f>
        <v>130000</v>
      </c>
      <c r="L208" s="43">
        <f>VLOOKUP(A208,'SSP_March''19'!$A$3:$L$1193,12,0)</f>
        <v>45930</v>
      </c>
      <c r="M208" s="44">
        <f t="shared" si="12"/>
        <v>0.35330769230769232</v>
      </c>
      <c r="N208" s="49">
        <f>ROUND(VLOOKUP(A208,'SSP_March''19'!$A$3:$N$1193,14,0),0)</f>
        <v>142383</v>
      </c>
      <c r="O208" s="44">
        <f t="shared" si="13"/>
        <v>1.0952538461538461</v>
      </c>
      <c r="P208" s="45">
        <f>VLOOKUP(A208,'SSP_March''19'!$A$3:$Q$1193,16,0)</f>
        <v>10</v>
      </c>
      <c r="Q208" s="34">
        <f>VLOOKUP(A208,'SSP_March''19'!$A$3:$Q$1193,17,0)</f>
        <v>2</v>
      </c>
      <c r="R208" s="35">
        <f t="shared" si="14"/>
        <v>0.2</v>
      </c>
      <c r="S208" s="49">
        <f>ROUND(VLOOKUP(A208,'SSP_March''19'!$A$3:$T$1193,19,0),0)</f>
        <v>6</v>
      </c>
      <c r="T208" s="44">
        <f>VLOOKUP(A208,'SSP_March''19'!$A$3:$T$1193,20,0)</f>
        <v>0.6</v>
      </c>
      <c r="U208" s="34">
        <f>VLOOKUP(A208,'SSP_March''19'!$A$3:$X$1193,21,0)</f>
        <v>0</v>
      </c>
      <c r="V208" s="34">
        <f>VLOOKUP(A208,'SSP_March''19'!$A$3:$X$1193,22,0)</f>
        <v>0</v>
      </c>
      <c r="W208" s="34">
        <f>VLOOKUP(A208,'SSP_March''19'!$A$3:$X$1193,23,0)</f>
        <v>0</v>
      </c>
      <c r="X208" s="34">
        <f>VLOOKUP(A208,'SSP_March''19'!$A$3:$X$1193,24,0)</f>
        <v>1</v>
      </c>
    </row>
    <row r="209" spans="1:24">
      <c r="A209" s="54" t="s">
        <v>2869</v>
      </c>
      <c r="B209" s="54" t="s">
        <v>2870</v>
      </c>
      <c r="C209" s="54" t="s">
        <v>171</v>
      </c>
      <c r="D209" s="54" t="s">
        <v>172</v>
      </c>
      <c r="E209" s="54" t="s">
        <v>0</v>
      </c>
      <c r="F209" s="54" t="s">
        <v>608</v>
      </c>
      <c r="G209" s="54">
        <v>1674473173</v>
      </c>
      <c r="H209" s="54" t="s">
        <v>229</v>
      </c>
      <c r="I209" s="54" t="s">
        <v>3514</v>
      </c>
      <c r="J209" s="34" t="s">
        <v>3421</v>
      </c>
      <c r="K209" s="43">
        <f>VLOOKUP(A209,'SSP_March''19'!$A$3:$L$1193,11,0)</f>
        <v>130000</v>
      </c>
      <c r="L209" s="43">
        <f>VLOOKUP(A209,'SSP_March''19'!$A$3:$L$1193,12,0)</f>
        <v>12580</v>
      </c>
      <c r="M209" s="44">
        <f t="shared" si="12"/>
        <v>9.6769230769230774E-2</v>
      </c>
      <c r="N209" s="49">
        <f>ROUND(VLOOKUP(A209,'SSP_March''19'!$A$3:$N$1193,14,0),0)</f>
        <v>38998</v>
      </c>
      <c r="O209" s="44">
        <f t="shared" si="13"/>
        <v>0.29998461538461541</v>
      </c>
      <c r="P209" s="45">
        <f>VLOOKUP(A209,'SSP_March''19'!$A$3:$Q$1193,16,0)</f>
        <v>10</v>
      </c>
      <c r="Q209" s="34">
        <f>VLOOKUP(A209,'SSP_March''19'!$A$3:$Q$1193,17,0)</f>
        <v>1</v>
      </c>
      <c r="R209" s="35">
        <f t="shared" si="14"/>
        <v>0.1</v>
      </c>
      <c r="S209" s="49">
        <f>ROUND(VLOOKUP(A209,'SSP_March''19'!$A$3:$T$1193,19,0),0)</f>
        <v>3</v>
      </c>
      <c r="T209" s="44">
        <f>VLOOKUP(A209,'SSP_March''19'!$A$3:$T$1193,20,0)</f>
        <v>0.3</v>
      </c>
      <c r="U209" s="34">
        <f>VLOOKUP(A209,'SSP_March''19'!$A$3:$X$1193,21,0)</f>
        <v>0</v>
      </c>
      <c r="V209" s="34">
        <f>VLOOKUP(A209,'SSP_March''19'!$A$3:$X$1193,22,0)</f>
        <v>0</v>
      </c>
      <c r="W209" s="34">
        <f>VLOOKUP(A209,'SSP_March''19'!$A$3:$X$1193,23,0)</f>
        <v>1</v>
      </c>
      <c r="X209" s="34">
        <f>VLOOKUP(A209,'SSP_March''19'!$A$3:$X$1193,24,0)</f>
        <v>0</v>
      </c>
    </row>
    <row r="210" spans="1:24">
      <c r="A210" s="54" t="s">
        <v>2434</v>
      </c>
      <c r="B210" s="54" t="s">
        <v>2009</v>
      </c>
      <c r="C210" s="54" t="s">
        <v>171</v>
      </c>
      <c r="D210" s="54" t="s">
        <v>172</v>
      </c>
      <c r="E210" s="54" t="s">
        <v>0</v>
      </c>
      <c r="F210" s="54" t="s">
        <v>2435</v>
      </c>
      <c r="G210" s="54">
        <v>1711962241</v>
      </c>
      <c r="H210" s="54" t="s">
        <v>229</v>
      </c>
      <c r="I210" s="54" t="s">
        <v>3514</v>
      </c>
      <c r="J210" s="34" t="s">
        <v>3419</v>
      </c>
      <c r="K210" s="43">
        <f>VLOOKUP(A210,'SSP_March''19'!$A$3:$L$1193,11,0)</f>
        <v>130000</v>
      </c>
      <c r="L210" s="43">
        <f>VLOOKUP(A210,'SSP_March''19'!$A$3:$L$1193,12,0)</f>
        <v>49595</v>
      </c>
      <c r="M210" s="44">
        <f t="shared" si="12"/>
        <v>0.38150000000000001</v>
      </c>
      <c r="N210" s="49">
        <f>ROUND(VLOOKUP(A210,'SSP_March''19'!$A$3:$N$1193,14,0),0)</f>
        <v>153745</v>
      </c>
      <c r="O210" s="44">
        <f t="shared" si="13"/>
        <v>1.1826538461538461</v>
      </c>
      <c r="P210" s="45">
        <f>VLOOKUP(A210,'SSP_March''19'!$A$3:$Q$1193,16,0)</f>
        <v>10</v>
      </c>
      <c r="Q210" s="34">
        <f>VLOOKUP(A210,'SSP_March''19'!$A$3:$Q$1193,17,0)</f>
        <v>3</v>
      </c>
      <c r="R210" s="35">
        <f t="shared" si="14"/>
        <v>0.3</v>
      </c>
      <c r="S210" s="49">
        <f>ROUND(VLOOKUP(A210,'SSP_March''19'!$A$3:$T$1193,19,0),0)</f>
        <v>9</v>
      </c>
      <c r="T210" s="44">
        <f>VLOOKUP(A210,'SSP_March''19'!$A$3:$T$1193,20,0)</f>
        <v>0.9</v>
      </c>
      <c r="U210" s="34">
        <f>VLOOKUP(A210,'SSP_March''19'!$A$3:$X$1193,21,0)</f>
        <v>1</v>
      </c>
      <c r="V210" s="34">
        <f>VLOOKUP(A210,'SSP_March''19'!$A$3:$X$1193,22,0)</f>
        <v>1</v>
      </c>
      <c r="W210" s="34">
        <f>VLOOKUP(A210,'SSP_March''19'!$A$3:$X$1193,23,0)</f>
        <v>0</v>
      </c>
      <c r="X210" s="34">
        <f>VLOOKUP(A210,'SSP_March''19'!$A$3:$X$1193,24,0)</f>
        <v>0</v>
      </c>
    </row>
    <row r="211" spans="1:24">
      <c r="A211" s="54" t="s">
        <v>2676</v>
      </c>
      <c r="B211" s="54" t="s">
        <v>2677</v>
      </c>
      <c r="C211" s="54" t="s">
        <v>171</v>
      </c>
      <c r="D211" s="54" t="s">
        <v>172</v>
      </c>
      <c r="E211" s="54" t="s">
        <v>0</v>
      </c>
      <c r="F211" s="54" t="s">
        <v>2678</v>
      </c>
      <c r="G211" s="54">
        <v>1766251112</v>
      </c>
      <c r="H211" s="54" t="s">
        <v>229</v>
      </c>
      <c r="I211" s="54" t="s">
        <v>3514</v>
      </c>
      <c r="J211" s="34" t="s">
        <v>3419</v>
      </c>
      <c r="K211" s="43">
        <f>VLOOKUP(A211,'SSP_March''19'!$A$3:$L$1193,11,0)</f>
        <v>241443</v>
      </c>
      <c r="L211" s="43">
        <f>VLOOKUP(A211,'SSP_March''19'!$A$3:$L$1193,12,0)</f>
        <v>55830</v>
      </c>
      <c r="M211" s="44">
        <f t="shared" si="12"/>
        <v>0.23123470135808452</v>
      </c>
      <c r="N211" s="49">
        <f>ROUND(VLOOKUP(A211,'SSP_March''19'!$A$3:$N$1193,14,0),0)</f>
        <v>173073</v>
      </c>
      <c r="O211" s="44">
        <f t="shared" si="13"/>
        <v>0.71682757421006205</v>
      </c>
      <c r="P211" s="45">
        <f>VLOOKUP(A211,'SSP_March''19'!$A$3:$Q$1193,16,0)</f>
        <v>10</v>
      </c>
      <c r="Q211" s="34">
        <f>VLOOKUP(A211,'SSP_March''19'!$A$3:$Q$1193,17,0)</f>
        <v>0</v>
      </c>
      <c r="R211" s="35">
        <f t="shared" si="14"/>
        <v>0</v>
      </c>
      <c r="S211" s="49">
        <f>ROUND(VLOOKUP(A211,'SSP_March''19'!$A$3:$T$1193,19,0),0)</f>
        <v>0</v>
      </c>
      <c r="T211" s="44">
        <f>VLOOKUP(A211,'SSP_March''19'!$A$3:$T$1193,20,0)</f>
        <v>0</v>
      </c>
      <c r="U211" s="34">
        <f>VLOOKUP(A211,'SSP_March''19'!$A$3:$X$1193,21,0)</f>
        <v>0</v>
      </c>
      <c r="V211" s="34">
        <f>VLOOKUP(A211,'SSP_March''19'!$A$3:$X$1193,22,0)</f>
        <v>0</v>
      </c>
      <c r="W211" s="34">
        <f>VLOOKUP(A211,'SSP_March''19'!$A$3:$X$1193,23,0)</f>
        <v>0</v>
      </c>
      <c r="X211" s="34">
        <f>VLOOKUP(A211,'SSP_March''19'!$A$3:$X$1193,24,0)</f>
        <v>0</v>
      </c>
    </row>
    <row r="212" spans="1:24">
      <c r="A212" s="54" t="s">
        <v>2494</v>
      </c>
      <c r="B212" s="54" t="s">
        <v>792</v>
      </c>
      <c r="C212" s="54" t="s">
        <v>171</v>
      </c>
      <c r="D212" s="54" t="s">
        <v>172</v>
      </c>
      <c r="E212" s="54" t="s">
        <v>0</v>
      </c>
      <c r="F212" s="54" t="s">
        <v>462</v>
      </c>
      <c r="G212" s="54">
        <v>1811704042</v>
      </c>
      <c r="H212" s="54" t="s">
        <v>229</v>
      </c>
      <c r="I212" s="54" t="s">
        <v>3514</v>
      </c>
      <c r="J212" s="34" t="s">
        <v>3419</v>
      </c>
      <c r="K212" s="43">
        <f>VLOOKUP(A212,'SSP_March''19'!$A$3:$L$1193,11,0)</f>
        <v>130000</v>
      </c>
      <c r="L212" s="43">
        <f>VLOOKUP(A212,'SSP_March''19'!$A$3:$L$1193,12,0)</f>
        <v>30040</v>
      </c>
      <c r="M212" s="44">
        <f t="shared" si="12"/>
        <v>0.23107692307692307</v>
      </c>
      <c r="N212" s="49">
        <f>ROUND(VLOOKUP(A212,'SSP_March''19'!$A$3:$N$1193,14,0),0)</f>
        <v>93124</v>
      </c>
      <c r="O212" s="44">
        <f t="shared" si="13"/>
        <v>0.71633846153846159</v>
      </c>
      <c r="P212" s="45">
        <f>VLOOKUP(A212,'SSP_March''19'!$A$3:$Q$1193,16,0)</f>
        <v>10</v>
      </c>
      <c r="Q212" s="34">
        <f>VLOOKUP(A212,'SSP_March''19'!$A$3:$Q$1193,17,0)</f>
        <v>0</v>
      </c>
      <c r="R212" s="35">
        <f t="shared" si="14"/>
        <v>0</v>
      </c>
      <c r="S212" s="49">
        <f>ROUND(VLOOKUP(A212,'SSP_March''19'!$A$3:$T$1193,19,0),0)</f>
        <v>0</v>
      </c>
      <c r="T212" s="44">
        <f>VLOOKUP(A212,'SSP_March''19'!$A$3:$T$1193,20,0)</f>
        <v>0</v>
      </c>
      <c r="U212" s="34">
        <f>VLOOKUP(A212,'SSP_March''19'!$A$3:$X$1193,21,0)</f>
        <v>0</v>
      </c>
      <c r="V212" s="34">
        <f>VLOOKUP(A212,'SSP_March''19'!$A$3:$X$1193,22,0)</f>
        <v>0</v>
      </c>
      <c r="W212" s="34">
        <f>VLOOKUP(A212,'SSP_March''19'!$A$3:$X$1193,23,0)</f>
        <v>0</v>
      </c>
      <c r="X212" s="34">
        <f>VLOOKUP(A212,'SSP_March''19'!$A$3:$X$1193,24,0)</f>
        <v>0</v>
      </c>
    </row>
    <row r="213" spans="1:24">
      <c r="A213" s="54" t="s">
        <v>2781</v>
      </c>
      <c r="B213" s="54" t="s">
        <v>2782</v>
      </c>
      <c r="C213" s="54" t="s">
        <v>171</v>
      </c>
      <c r="D213" s="54" t="s">
        <v>172</v>
      </c>
      <c r="E213" s="54" t="s">
        <v>0</v>
      </c>
      <c r="F213" s="54" t="s">
        <v>462</v>
      </c>
      <c r="G213" s="54">
        <v>1687111263</v>
      </c>
      <c r="H213" s="54" t="s">
        <v>229</v>
      </c>
      <c r="I213" s="54" t="s">
        <v>3514</v>
      </c>
      <c r="J213" s="34" t="s">
        <v>3421</v>
      </c>
      <c r="K213" s="43">
        <f>VLOOKUP(A213,'SSP_March''19'!$A$3:$L$1193,11,0)</f>
        <v>130000</v>
      </c>
      <c r="L213" s="43">
        <f>VLOOKUP(A213,'SSP_March''19'!$A$3:$L$1193,12,0)</f>
        <v>14770</v>
      </c>
      <c r="M213" s="44">
        <f t="shared" si="12"/>
        <v>0.11361538461538462</v>
      </c>
      <c r="N213" s="49">
        <f>ROUND(VLOOKUP(A213,'SSP_March''19'!$A$3:$N$1193,14,0),0)</f>
        <v>45787</v>
      </c>
      <c r="O213" s="44">
        <f t="shared" si="13"/>
        <v>0.35220769230769233</v>
      </c>
      <c r="P213" s="45">
        <f>VLOOKUP(A213,'SSP_March''19'!$A$3:$Q$1193,16,0)</f>
        <v>10</v>
      </c>
      <c r="Q213" s="34">
        <f>VLOOKUP(A213,'SSP_March''19'!$A$3:$Q$1193,17,0)</f>
        <v>0</v>
      </c>
      <c r="R213" s="35">
        <f t="shared" si="14"/>
        <v>0</v>
      </c>
      <c r="S213" s="49">
        <f>ROUND(VLOOKUP(A213,'SSP_March''19'!$A$3:$T$1193,19,0),0)</f>
        <v>0</v>
      </c>
      <c r="T213" s="44">
        <f>VLOOKUP(A213,'SSP_March''19'!$A$3:$T$1193,20,0)</f>
        <v>0</v>
      </c>
      <c r="U213" s="34">
        <f>VLOOKUP(A213,'SSP_March''19'!$A$3:$X$1193,21,0)</f>
        <v>0</v>
      </c>
      <c r="V213" s="34">
        <f>VLOOKUP(A213,'SSP_March''19'!$A$3:$X$1193,22,0)</f>
        <v>0</v>
      </c>
      <c r="W213" s="34">
        <f>VLOOKUP(A213,'SSP_March''19'!$A$3:$X$1193,23,0)</f>
        <v>0</v>
      </c>
      <c r="X213" s="34">
        <f>VLOOKUP(A213,'SSP_March''19'!$A$3:$X$1193,24,0)</f>
        <v>0</v>
      </c>
    </row>
    <row r="214" spans="1:24">
      <c r="A214" s="54" t="s">
        <v>2670</v>
      </c>
      <c r="B214" s="54" t="s">
        <v>2671</v>
      </c>
      <c r="C214" s="54" t="s">
        <v>171</v>
      </c>
      <c r="D214" s="54" t="s">
        <v>172</v>
      </c>
      <c r="E214" s="54" t="s">
        <v>0</v>
      </c>
      <c r="F214" s="54" t="s">
        <v>2672</v>
      </c>
      <c r="G214" s="54">
        <v>1711137409</v>
      </c>
      <c r="H214" s="54" t="s">
        <v>229</v>
      </c>
      <c r="I214" s="54" t="s">
        <v>3514</v>
      </c>
      <c r="J214" s="34" t="s">
        <v>3421</v>
      </c>
      <c r="K214" s="43">
        <f>VLOOKUP(A214,'SSP_March''19'!$A$3:$L$1193,11,0)</f>
        <v>130000</v>
      </c>
      <c r="L214" s="43">
        <f>VLOOKUP(A214,'SSP_March''19'!$A$3:$L$1193,12,0)</f>
        <v>0</v>
      </c>
      <c r="M214" s="44">
        <f t="shared" si="12"/>
        <v>0</v>
      </c>
      <c r="N214" s="49">
        <f>ROUND(VLOOKUP(A214,'SSP_March''19'!$A$3:$N$1193,14,0),0)</f>
        <v>0</v>
      </c>
      <c r="O214" s="44">
        <f t="shared" si="13"/>
        <v>0</v>
      </c>
      <c r="P214" s="45">
        <f>VLOOKUP(A214,'SSP_March''19'!$A$3:$Q$1193,16,0)</f>
        <v>10</v>
      </c>
      <c r="Q214" s="34">
        <f>VLOOKUP(A214,'SSP_March''19'!$A$3:$Q$1193,17,0)</f>
        <v>0</v>
      </c>
      <c r="R214" s="35">
        <f t="shared" si="14"/>
        <v>0</v>
      </c>
      <c r="S214" s="49">
        <f>ROUND(VLOOKUP(A214,'SSP_March''19'!$A$3:$T$1193,19,0),0)</f>
        <v>0</v>
      </c>
      <c r="T214" s="44">
        <f>VLOOKUP(A214,'SSP_March''19'!$A$3:$T$1193,20,0)</f>
        <v>0</v>
      </c>
      <c r="U214" s="34">
        <f>VLOOKUP(A214,'SSP_March''19'!$A$3:$X$1193,21,0)</f>
        <v>0</v>
      </c>
      <c r="V214" s="34">
        <f>VLOOKUP(A214,'SSP_March''19'!$A$3:$X$1193,22,0)</f>
        <v>0</v>
      </c>
      <c r="W214" s="34">
        <f>VLOOKUP(A214,'SSP_March''19'!$A$3:$X$1193,23,0)</f>
        <v>0</v>
      </c>
      <c r="X214" s="34">
        <f>VLOOKUP(A214,'SSP_March''19'!$A$3:$X$1193,24,0)</f>
        <v>0</v>
      </c>
    </row>
    <row r="215" spans="1:24">
      <c r="A215" s="54" t="s">
        <v>2470</v>
      </c>
      <c r="B215" s="54" t="s">
        <v>2471</v>
      </c>
      <c r="C215" s="54" t="s">
        <v>171</v>
      </c>
      <c r="D215" s="54" t="s">
        <v>172</v>
      </c>
      <c r="E215" s="54" t="s">
        <v>0</v>
      </c>
      <c r="F215" s="54" t="s">
        <v>2472</v>
      </c>
      <c r="G215" s="54">
        <v>1715867373</v>
      </c>
      <c r="H215" s="54" t="s">
        <v>229</v>
      </c>
      <c r="I215" s="54" t="s">
        <v>3514</v>
      </c>
      <c r="J215" s="34" t="s">
        <v>3419</v>
      </c>
      <c r="K215" s="43">
        <f>VLOOKUP(A215,'SSP_March''19'!$A$3:$L$1193,11,0)</f>
        <v>170605</v>
      </c>
      <c r="L215" s="43">
        <f>VLOOKUP(A215,'SSP_March''19'!$A$3:$L$1193,12,0)</f>
        <v>25700</v>
      </c>
      <c r="M215" s="44">
        <f t="shared" si="12"/>
        <v>0.15064036810175552</v>
      </c>
      <c r="N215" s="49">
        <f>ROUND(VLOOKUP(A215,'SSP_March''19'!$A$3:$N$1193,14,0),0)</f>
        <v>79670</v>
      </c>
      <c r="O215" s="44">
        <f t="shared" si="13"/>
        <v>0.46698514111544209</v>
      </c>
      <c r="P215" s="45">
        <f>VLOOKUP(A215,'SSP_March''19'!$A$3:$Q$1193,16,0)</f>
        <v>10</v>
      </c>
      <c r="Q215" s="34">
        <f>VLOOKUP(A215,'SSP_March''19'!$A$3:$Q$1193,17,0)</f>
        <v>2</v>
      </c>
      <c r="R215" s="35">
        <f t="shared" si="14"/>
        <v>0.2</v>
      </c>
      <c r="S215" s="49">
        <f>ROUND(VLOOKUP(A215,'SSP_March''19'!$A$3:$T$1193,19,0),0)</f>
        <v>6</v>
      </c>
      <c r="T215" s="44">
        <f>VLOOKUP(A215,'SSP_March''19'!$A$3:$T$1193,20,0)</f>
        <v>0.6</v>
      </c>
      <c r="U215" s="34">
        <f>VLOOKUP(A215,'SSP_March''19'!$A$3:$X$1193,21,0)</f>
        <v>0</v>
      </c>
      <c r="V215" s="34">
        <f>VLOOKUP(A215,'SSP_March''19'!$A$3:$X$1193,22,0)</f>
        <v>0</v>
      </c>
      <c r="W215" s="34">
        <f>VLOOKUP(A215,'SSP_March''19'!$A$3:$X$1193,23,0)</f>
        <v>0</v>
      </c>
      <c r="X215" s="34">
        <f>VLOOKUP(A215,'SSP_March''19'!$A$3:$X$1193,24,0)</f>
        <v>0</v>
      </c>
    </row>
    <row r="216" spans="1:24">
      <c r="A216" s="54" t="s">
        <v>2696</v>
      </c>
      <c r="B216" s="54" t="s">
        <v>2697</v>
      </c>
      <c r="C216" s="54" t="s">
        <v>171</v>
      </c>
      <c r="D216" s="54" t="s">
        <v>172</v>
      </c>
      <c r="E216" s="54" t="s">
        <v>0</v>
      </c>
      <c r="F216" s="54" t="s">
        <v>2698</v>
      </c>
      <c r="G216" s="54">
        <v>1734711811</v>
      </c>
      <c r="H216" s="54" t="s">
        <v>229</v>
      </c>
      <c r="I216" s="54" t="s">
        <v>3514</v>
      </c>
      <c r="J216" s="34" t="s">
        <v>3421</v>
      </c>
      <c r="K216" s="43">
        <f>VLOOKUP(A216,'SSP_March''19'!$A$3:$L$1193,11,0)</f>
        <v>208749</v>
      </c>
      <c r="L216" s="43">
        <f>VLOOKUP(A216,'SSP_March''19'!$A$3:$L$1193,12,0)</f>
        <v>65189</v>
      </c>
      <c r="M216" s="44">
        <f t="shared" si="12"/>
        <v>0.3122841307024225</v>
      </c>
      <c r="N216" s="49">
        <f>ROUND(VLOOKUP(A216,'SSP_March''19'!$A$3:$N$1193,14,0),0)</f>
        <v>202086</v>
      </c>
      <c r="O216" s="44">
        <f t="shared" si="13"/>
        <v>0.96808128422172079</v>
      </c>
      <c r="P216" s="45">
        <f>VLOOKUP(A216,'SSP_March''19'!$A$3:$Q$1193,16,0)</f>
        <v>10</v>
      </c>
      <c r="Q216" s="34">
        <f>VLOOKUP(A216,'SSP_March''19'!$A$3:$Q$1193,17,0)</f>
        <v>3</v>
      </c>
      <c r="R216" s="35">
        <f t="shared" si="14"/>
        <v>0.3</v>
      </c>
      <c r="S216" s="49">
        <f>ROUND(VLOOKUP(A216,'SSP_March''19'!$A$3:$T$1193,19,0),0)</f>
        <v>9</v>
      </c>
      <c r="T216" s="44">
        <f>VLOOKUP(A216,'SSP_March''19'!$A$3:$T$1193,20,0)</f>
        <v>0.9</v>
      </c>
      <c r="U216" s="34">
        <f>VLOOKUP(A216,'SSP_March''19'!$A$3:$X$1193,21,0)</f>
        <v>0</v>
      </c>
      <c r="V216" s="34">
        <f>VLOOKUP(A216,'SSP_March''19'!$A$3:$X$1193,22,0)</f>
        <v>2</v>
      </c>
      <c r="W216" s="34">
        <f>VLOOKUP(A216,'SSP_March''19'!$A$3:$X$1193,23,0)</f>
        <v>0</v>
      </c>
      <c r="X216" s="34">
        <f>VLOOKUP(A216,'SSP_March''19'!$A$3:$X$1193,24,0)</f>
        <v>0</v>
      </c>
    </row>
    <row r="217" spans="1:24">
      <c r="A217" s="54" t="s">
        <v>2815</v>
      </c>
      <c r="B217" s="54" t="s">
        <v>2816</v>
      </c>
      <c r="C217" s="54" t="s">
        <v>171</v>
      </c>
      <c r="D217" s="54" t="s">
        <v>172</v>
      </c>
      <c r="E217" s="54" t="s">
        <v>0</v>
      </c>
      <c r="F217" s="54" t="s">
        <v>2817</v>
      </c>
      <c r="G217" s="54">
        <v>1730604055</v>
      </c>
      <c r="H217" s="54" t="s">
        <v>229</v>
      </c>
      <c r="I217" s="54" t="s">
        <v>3514</v>
      </c>
      <c r="J217" s="34" t="s">
        <v>3421</v>
      </c>
      <c r="K217" s="43">
        <f>VLOOKUP(A217,'SSP_March''19'!$A$3:$L$1193,11,0)</f>
        <v>130000</v>
      </c>
      <c r="L217" s="43">
        <f>VLOOKUP(A217,'SSP_March''19'!$A$3:$L$1193,12,0)</f>
        <v>5790</v>
      </c>
      <c r="M217" s="44">
        <f t="shared" si="12"/>
        <v>4.4538461538461541E-2</v>
      </c>
      <c r="N217" s="49">
        <f>ROUND(VLOOKUP(A217,'SSP_March''19'!$A$3:$N$1193,14,0),0)</f>
        <v>17949</v>
      </c>
      <c r="O217" s="44">
        <f t="shared" si="13"/>
        <v>0.13806923076923078</v>
      </c>
      <c r="P217" s="45">
        <f>VLOOKUP(A217,'SSP_March''19'!$A$3:$Q$1193,16,0)</f>
        <v>10</v>
      </c>
      <c r="Q217" s="34">
        <f>VLOOKUP(A217,'SSP_March''19'!$A$3:$Q$1193,17,0)</f>
        <v>0</v>
      </c>
      <c r="R217" s="35">
        <f t="shared" si="14"/>
        <v>0</v>
      </c>
      <c r="S217" s="49">
        <f>ROUND(VLOOKUP(A217,'SSP_March''19'!$A$3:$T$1193,19,0),0)</f>
        <v>0</v>
      </c>
      <c r="T217" s="44">
        <f>VLOOKUP(A217,'SSP_March''19'!$A$3:$T$1193,20,0)</f>
        <v>0</v>
      </c>
      <c r="U217" s="34">
        <f>VLOOKUP(A217,'SSP_March''19'!$A$3:$X$1193,21,0)</f>
        <v>1</v>
      </c>
      <c r="V217" s="34">
        <f>VLOOKUP(A217,'SSP_March''19'!$A$3:$X$1193,22,0)</f>
        <v>0</v>
      </c>
      <c r="W217" s="34">
        <f>VLOOKUP(A217,'SSP_March''19'!$A$3:$X$1193,23,0)</f>
        <v>0</v>
      </c>
      <c r="X217" s="34">
        <f>VLOOKUP(A217,'SSP_March''19'!$A$3:$X$1193,24,0)</f>
        <v>0</v>
      </c>
    </row>
    <row r="218" spans="1:24">
      <c r="A218" s="54" t="s">
        <v>2877</v>
      </c>
      <c r="B218" s="54" t="s">
        <v>2878</v>
      </c>
      <c r="C218" s="54" t="s">
        <v>171</v>
      </c>
      <c r="D218" s="54" t="s">
        <v>172</v>
      </c>
      <c r="E218" s="54" t="s">
        <v>0</v>
      </c>
      <c r="F218" s="54" t="s">
        <v>2879</v>
      </c>
      <c r="G218" s="54">
        <v>1740404039</v>
      </c>
      <c r="H218" s="54" t="s">
        <v>229</v>
      </c>
      <c r="I218" s="54" t="s">
        <v>3514</v>
      </c>
      <c r="J218" s="34" t="s">
        <v>3421</v>
      </c>
      <c r="K218" s="43">
        <f>VLOOKUP(A218,'SSP_March''19'!$A$3:$L$1193,11,0)</f>
        <v>130000</v>
      </c>
      <c r="L218" s="43">
        <f>VLOOKUP(A218,'SSP_March''19'!$A$3:$L$1193,12,0)</f>
        <v>5990</v>
      </c>
      <c r="M218" s="44">
        <f t="shared" si="12"/>
        <v>4.6076923076923078E-2</v>
      </c>
      <c r="N218" s="49">
        <f>ROUND(VLOOKUP(A218,'SSP_March''19'!$A$3:$N$1193,14,0),0)</f>
        <v>18569</v>
      </c>
      <c r="O218" s="44">
        <f t="shared" si="13"/>
        <v>0.14283846153846153</v>
      </c>
      <c r="P218" s="45">
        <f>VLOOKUP(A218,'SSP_March''19'!$A$3:$Q$1193,16,0)</f>
        <v>10</v>
      </c>
      <c r="Q218" s="34">
        <f>VLOOKUP(A218,'SSP_March''19'!$A$3:$Q$1193,17,0)</f>
        <v>0</v>
      </c>
      <c r="R218" s="35">
        <f t="shared" si="14"/>
        <v>0</v>
      </c>
      <c r="S218" s="49">
        <f>ROUND(VLOOKUP(A218,'SSP_March''19'!$A$3:$T$1193,19,0),0)</f>
        <v>0</v>
      </c>
      <c r="T218" s="44">
        <f>VLOOKUP(A218,'SSP_March''19'!$A$3:$T$1193,20,0)</f>
        <v>0</v>
      </c>
      <c r="U218" s="34">
        <f>VLOOKUP(A218,'SSP_March''19'!$A$3:$X$1193,21,0)</f>
        <v>0</v>
      </c>
      <c r="V218" s="34">
        <f>VLOOKUP(A218,'SSP_March''19'!$A$3:$X$1193,22,0)</f>
        <v>0</v>
      </c>
      <c r="W218" s="34">
        <f>VLOOKUP(A218,'SSP_March''19'!$A$3:$X$1193,23,0)</f>
        <v>0</v>
      </c>
      <c r="X218" s="34">
        <f>VLOOKUP(A218,'SSP_March''19'!$A$3:$X$1193,24,0)</f>
        <v>0</v>
      </c>
    </row>
    <row r="219" spans="1:24">
      <c r="A219" s="54" t="s">
        <v>2593</v>
      </c>
      <c r="B219" s="54" t="s">
        <v>2594</v>
      </c>
      <c r="C219" s="54" t="s">
        <v>171</v>
      </c>
      <c r="D219" s="54" t="s">
        <v>172</v>
      </c>
      <c r="E219" s="54" t="s">
        <v>0</v>
      </c>
      <c r="F219" s="54" t="s">
        <v>2595</v>
      </c>
      <c r="G219" s="54">
        <v>1712122837</v>
      </c>
      <c r="H219" s="54" t="s">
        <v>229</v>
      </c>
      <c r="I219" s="54" t="s">
        <v>3514</v>
      </c>
      <c r="J219" s="34" t="s">
        <v>3421</v>
      </c>
      <c r="K219" s="43">
        <f>VLOOKUP(A219,'SSP_March''19'!$A$3:$L$1193,11,0)</f>
        <v>172267</v>
      </c>
      <c r="L219" s="43">
        <f>VLOOKUP(A219,'SSP_March''19'!$A$3:$L$1193,12,0)</f>
        <v>61548</v>
      </c>
      <c r="M219" s="44">
        <f t="shared" si="12"/>
        <v>0.35728259039746441</v>
      </c>
      <c r="N219" s="49">
        <f>ROUND(VLOOKUP(A219,'SSP_March''19'!$A$3:$N$1193,14,0),0)</f>
        <v>190799</v>
      </c>
      <c r="O219" s="44">
        <f t="shared" si="13"/>
        <v>1.1075771912206052</v>
      </c>
      <c r="P219" s="45">
        <f>VLOOKUP(A219,'SSP_March''19'!$A$3:$Q$1193,16,0)</f>
        <v>10</v>
      </c>
      <c r="Q219" s="34">
        <f>VLOOKUP(A219,'SSP_March''19'!$A$3:$Q$1193,17,0)</f>
        <v>2</v>
      </c>
      <c r="R219" s="35">
        <f t="shared" si="14"/>
        <v>0.2</v>
      </c>
      <c r="S219" s="49">
        <f>ROUND(VLOOKUP(A219,'SSP_March''19'!$A$3:$T$1193,19,0),0)</f>
        <v>6</v>
      </c>
      <c r="T219" s="44">
        <f>VLOOKUP(A219,'SSP_March''19'!$A$3:$T$1193,20,0)</f>
        <v>0.6</v>
      </c>
      <c r="U219" s="34">
        <f>VLOOKUP(A219,'SSP_March''19'!$A$3:$X$1193,21,0)</f>
        <v>1</v>
      </c>
      <c r="V219" s="34">
        <f>VLOOKUP(A219,'SSP_March''19'!$A$3:$X$1193,22,0)</f>
        <v>0</v>
      </c>
      <c r="W219" s="34">
        <f>VLOOKUP(A219,'SSP_March''19'!$A$3:$X$1193,23,0)</f>
        <v>0</v>
      </c>
      <c r="X219" s="34">
        <f>VLOOKUP(A219,'SSP_March''19'!$A$3:$X$1193,24,0)</f>
        <v>0</v>
      </c>
    </row>
    <row r="220" spans="1:24">
      <c r="A220" s="54" t="s">
        <v>2459</v>
      </c>
      <c r="B220" s="54" t="s">
        <v>2460</v>
      </c>
      <c r="C220" s="54" t="s">
        <v>171</v>
      </c>
      <c r="D220" s="54" t="s">
        <v>172</v>
      </c>
      <c r="E220" s="54" t="s">
        <v>0</v>
      </c>
      <c r="F220" s="54" t="s">
        <v>2461</v>
      </c>
      <c r="G220" s="54">
        <v>1792156375</v>
      </c>
      <c r="H220" s="54" t="s">
        <v>229</v>
      </c>
      <c r="I220" s="54" t="s">
        <v>3514</v>
      </c>
      <c r="J220" s="34" t="s">
        <v>3421</v>
      </c>
      <c r="K220" s="43">
        <f>VLOOKUP(A220,'SSP_March''19'!$A$3:$L$1193,11,0)</f>
        <v>130000</v>
      </c>
      <c r="L220" s="43">
        <f>VLOOKUP(A220,'SSP_March''19'!$A$3:$L$1193,12,0)</f>
        <v>6190</v>
      </c>
      <c r="M220" s="44">
        <f t="shared" si="12"/>
        <v>4.7615384615384615E-2</v>
      </c>
      <c r="N220" s="49">
        <f>ROUND(VLOOKUP(A220,'SSP_March''19'!$A$3:$N$1193,14,0),0)</f>
        <v>19189</v>
      </c>
      <c r="O220" s="44">
        <f t="shared" si="13"/>
        <v>0.1476076923076923</v>
      </c>
      <c r="P220" s="45">
        <f>VLOOKUP(A220,'SSP_March''19'!$A$3:$Q$1193,16,0)</f>
        <v>10</v>
      </c>
      <c r="Q220" s="34">
        <f>VLOOKUP(A220,'SSP_March''19'!$A$3:$Q$1193,17,0)</f>
        <v>1</v>
      </c>
      <c r="R220" s="35">
        <f t="shared" si="14"/>
        <v>0.1</v>
      </c>
      <c r="S220" s="49">
        <f>ROUND(VLOOKUP(A220,'SSP_March''19'!$A$3:$T$1193,19,0),0)</f>
        <v>3</v>
      </c>
      <c r="T220" s="44">
        <f>VLOOKUP(A220,'SSP_March''19'!$A$3:$T$1193,20,0)</f>
        <v>0.3</v>
      </c>
      <c r="U220" s="34">
        <f>VLOOKUP(A220,'SSP_March''19'!$A$3:$X$1193,21,0)</f>
        <v>0</v>
      </c>
      <c r="V220" s="34">
        <f>VLOOKUP(A220,'SSP_March''19'!$A$3:$X$1193,22,0)</f>
        <v>0</v>
      </c>
      <c r="W220" s="34">
        <f>VLOOKUP(A220,'SSP_March''19'!$A$3:$X$1193,23,0)</f>
        <v>0</v>
      </c>
      <c r="X220" s="34">
        <f>VLOOKUP(A220,'SSP_March''19'!$A$3:$X$1193,24,0)</f>
        <v>0</v>
      </c>
    </row>
    <row r="221" spans="1:24">
      <c r="A221" s="54" t="s">
        <v>2894</v>
      </c>
      <c r="B221" s="54" t="s">
        <v>2895</v>
      </c>
      <c r="C221" s="54" t="s">
        <v>171</v>
      </c>
      <c r="D221" s="54" t="s">
        <v>172</v>
      </c>
      <c r="E221" s="54" t="s">
        <v>0</v>
      </c>
      <c r="F221" s="54" t="s">
        <v>2896</v>
      </c>
      <c r="G221" s="54">
        <v>1711308284</v>
      </c>
      <c r="H221" s="54" t="s">
        <v>229</v>
      </c>
      <c r="I221" s="54" t="s">
        <v>3514</v>
      </c>
      <c r="J221" s="34" t="s">
        <v>3421</v>
      </c>
      <c r="K221" s="43">
        <f>VLOOKUP(A221,'SSP_March''19'!$A$3:$L$1193,11,0)</f>
        <v>130000</v>
      </c>
      <c r="L221" s="43">
        <f>VLOOKUP(A221,'SSP_March''19'!$A$3:$L$1193,12,0)</f>
        <v>16570</v>
      </c>
      <c r="M221" s="44">
        <f t="shared" si="12"/>
        <v>0.12746153846153846</v>
      </c>
      <c r="N221" s="49">
        <f>ROUND(VLOOKUP(A221,'SSP_March''19'!$A$3:$N$1193,14,0),0)</f>
        <v>51367</v>
      </c>
      <c r="O221" s="44">
        <f t="shared" si="13"/>
        <v>0.39513076923076923</v>
      </c>
      <c r="P221" s="45">
        <f>VLOOKUP(A221,'SSP_March''19'!$A$3:$Q$1193,16,0)</f>
        <v>10</v>
      </c>
      <c r="Q221" s="34">
        <f>VLOOKUP(A221,'SSP_March''19'!$A$3:$Q$1193,17,0)</f>
        <v>1</v>
      </c>
      <c r="R221" s="35">
        <f t="shared" si="14"/>
        <v>0.1</v>
      </c>
      <c r="S221" s="49">
        <f>ROUND(VLOOKUP(A221,'SSP_March''19'!$A$3:$T$1193,19,0),0)</f>
        <v>3</v>
      </c>
      <c r="T221" s="44">
        <f>VLOOKUP(A221,'SSP_March''19'!$A$3:$T$1193,20,0)</f>
        <v>0.3</v>
      </c>
      <c r="U221" s="34">
        <f>VLOOKUP(A221,'SSP_March''19'!$A$3:$X$1193,21,0)</f>
        <v>1</v>
      </c>
      <c r="V221" s="34">
        <f>VLOOKUP(A221,'SSP_March''19'!$A$3:$X$1193,22,0)</f>
        <v>0</v>
      </c>
      <c r="W221" s="34">
        <f>VLOOKUP(A221,'SSP_March''19'!$A$3:$X$1193,23,0)</f>
        <v>0</v>
      </c>
      <c r="X221" s="34">
        <f>VLOOKUP(A221,'SSP_March''19'!$A$3:$X$1193,24,0)</f>
        <v>0</v>
      </c>
    </row>
    <row r="222" spans="1:24">
      <c r="A222" s="54" t="s">
        <v>3281</v>
      </c>
      <c r="B222" s="54" t="s">
        <v>3282</v>
      </c>
      <c r="C222" s="54" t="s">
        <v>171</v>
      </c>
      <c r="D222" s="54" t="s">
        <v>172</v>
      </c>
      <c r="E222" s="54" t="s">
        <v>0</v>
      </c>
      <c r="F222" s="54" t="s">
        <v>3283</v>
      </c>
      <c r="G222" s="54">
        <v>1746392613</v>
      </c>
      <c r="H222" s="54" t="s">
        <v>229</v>
      </c>
      <c r="I222" s="54" t="s">
        <v>3514</v>
      </c>
      <c r="J222" s="34" t="s">
        <v>3421</v>
      </c>
      <c r="K222" s="43">
        <f>VLOOKUP(A222,'SSP_March''19'!$A$3:$L$1193,11,0)</f>
        <v>130000</v>
      </c>
      <c r="L222" s="43">
        <f>VLOOKUP(A222,'SSP_March''19'!$A$3:$L$1193,12,0)</f>
        <v>8080</v>
      </c>
      <c r="M222" s="44">
        <f t="shared" si="12"/>
        <v>6.2153846153846157E-2</v>
      </c>
      <c r="N222" s="49">
        <f>ROUND(VLOOKUP(A222,'SSP_March''19'!$A$3:$N$1193,14,0),0)</f>
        <v>25048</v>
      </c>
      <c r="O222" s="44">
        <f t="shared" si="13"/>
        <v>0.19267692307692308</v>
      </c>
      <c r="P222" s="45">
        <f>VLOOKUP(A222,'SSP_March''19'!$A$3:$Q$1193,16,0)</f>
        <v>10</v>
      </c>
      <c r="Q222" s="34">
        <f>VLOOKUP(A222,'SSP_March''19'!$A$3:$Q$1193,17,0)</f>
        <v>0</v>
      </c>
      <c r="R222" s="35">
        <f t="shared" si="14"/>
        <v>0</v>
      </c>
      <c r="S222" s="49">
        <f>ROUND(VLOOKUP(A222,'SSP_March''19'!$A$3:$T$1193,19,0),0)</f>
        <v>0</v>
      </c>
      <c r="T222" s="44">
        <f>VLOOKUP(A222,'SSP_March''19'!$A$3:$T$1193,20,0)</f>
        <v>0</v>
      </c>
      <c r="U222" s="34">
        <f>VLOOKUP(A222,'SSP_March''19'!$A$3:$X$1193,21,0)</f>
        <v>0</v>
      </c>
      <c r="V222" s="34">
        <f>VLOOKUP(A222,'SSP_March''19'!$A$3:$X$1193,22,0)</f>
        <v>0</v>
      </c>
      <c r="W222" s="34">
        <f>VLOOKUP(A222,'SSP_March''19'!$A$3:$X$1193,23,0)</f>
        <v>0</v>
      </c>
      <c r="X222" s="34">
        <f>VLOOKUP(A222,'SSP_March''19'!$A$3:$X$1193,24,0)</f>
        <v>0</v>
      </c>
    </row>
    <row r="223" spans="1:24">
      <c r="A223" s="54" t="s">
        <v>2608</v>
      </c>
      <c r="B223" s="54" t="s">
        <v>2609</v>
      </c>
      <c r="C223" s="54" t="s">
        <v>171</v>
      </c>
      <c r="D223" s="54" t="s">
        <v>172</v>
      </c>
      <c r="E223" s="54" t="s">
        <v>0</v>
      </c>
      <c r="F223" s="54" t="s">
        <v>2610</v>
      </c>
      <c r="G223" s="54">
        <v>1741048569</v>
      </c>
      <c r="H223" s="54" t="s">
        <v>229</v>
      </c>
      <c r="I223" s="54" t="s">
        <v>3514</v>
      </c>
      <c r="J223" s="34" t="s">
        <v>3421</v>
      </c>
      <c r="K223" s="43">
        <f>VLOOKUP(A223,'SSP_March''19'!$A$3:$L$1193,11,0)</f>
        <v>185768</v>
      </c>
      <c r="L223" s="43">
        <f>VLOOKUP(A223,'SSP_March''19'!$A$3:$L$1193,12,0)</f>
        <v>65610</v>
      </c>
      <c r="M223" s="44">
        <f t="shared" si="12"/>
        <v>0.35318246414883081</v>
      </c>
      <c r="N223" s="49">
        <f>ROUND(VLOOKUP(A223,'SSP_March''19'!$A$3:$N$1193,14,0),0)</f>
        <v>203391</v>
      </c>
      <c r="O223" s="44">
        <f t="shared" si="13"/>
        <v>1.0948656388613756</v>
      </c>
      <c r="P223" s="45">
        <f>VLOOKUP(A223,'SSP_March''19'!$A$3:$Q$1193,16,0)</f>
        <v>10</v>
      </c>
      <c r="Q223" s="34">
        <f>VLOOKUP(A223,'SSP_March''19'!$A$3:$Q$1193,17,0)</f>
        <v>3</v>
      </c>
      <c r="R223" s="35">
        <f t="shared" si="14"/>
        <v>0.3</v>
      </c>
      <c r="S223" s="49">
        <f>ROUND(VLOOKUP(A223,'SSP_March''19'!$A$3:$T$1193,19,0),0)</f>
        <v>9</v>
      </c>
      <c r="T223" s="44">
        <f>VLOOKUP(A223,'SSP_March''19'!$A$3:$T$1193,20,0)</f>
        <v>0.9</v>
      </c>
      <c r="U223" s="34">
        <f>VLOOKUP(A223,'SSP_March''19'!$A$3:$X$1193,21,0)</f>
        <v>3</v>
      </c>
      <c r="V223" s="34">
        <f>VLOOKUP(A223,'SSP_March''19'!$A$3:$X$1193,22,0)</f>
        <v>0</v>
      </c>
      <c r="W223" s="34">
        <f>VLOOKUP(A223,'SSP_March''19'!$A$3:$X$1193,23,0)</f>
        <v>0</v>
      </c>
      <c r="X223" s="34">
        <f>VLOOKUP(A223,'SSP_March''19'!$A$3:$X$1193,24,0)</f>
        <v>0</v>
      </c>
    </row>
    <row r="224" spans="1:24">
      <c r="A224" s="54" t="s">
        <v>2409</v>
      </c>
      <c r="B224" s="54" t="s">
        <v>73</v>
      </c>
      <c r="C224" s="54" t="s">
        <v>171</v>
      </c>
      <c r="D224" s="54" t="s">
        <v>172</v>
      </c>
      <c r="E224" s="54" t="s">
        <v>0</v>
      </c>
      <c r="F224" s="54" t="s">
        <v>2410</v>
      </c>
      <c r="G224" s="54">
        <v>1792521818</v>
      </c>
      <c r="H224" s="54" t="s">
        <v>229</v>
      </c>
      <c r="I224" s="54" t="s">
        <v>3514</v>
      </c>
      <c r="J224" s="34" t="s">
        <v>3421</v>
      </c>
      <c r="K224" s="43">
        <f>VLOOKUP(A224,'SSP_March''19'!$A$3:$L$1193,11,0)</f>
        <v>130000</v>
      </c>
      <c r="L224" s="43">
        <f>VLOOKUP(A224,'SSP_March''19'!$A$3:$L$1193,12,0)</f>
        <v>24060</v>
      </c>
      <c r="M224" s="44">
        <f t="shared" si="12"/>
        <v>0.18507692307692308</v>
      </c>
      <c r="N224" s="49">
        <f>ROUND(VLOOKUP(A224,'SSP_March''19'!$A$3:$N$1193,14,0),0)</f>
        <v>74586</v>
      </c>
      <c r="O224" s="44">
        <f t="shared" si="13"/>
        <v>0.57373846153846153</v>
      </c>
      <c r="P224" s="45">
        <f>VLOOKUP(A224,'SSP_March''19'!$A$3:$Q$1193,16,0)</f>
        <v>10</v>
      </c>
      <c r="Q224" s="34">
        <f>VLOOKUP(A224,'SSP_March''19'!$A$3:$Q$1193,17,0)</f>
        <v>1</v>
      </c>
      <c r="R224" s="35">
        <f t="shared" si="14"/>
        <v>0.1</v>
      </c>
      <c r="S224" s="49">
        <f>ROUND(VLOOKUP(A224,'SSP_March''19'!$A$3:$T$1193,19,0),0)</f>
        <v>3</v>
      </c>
      <c r="T224" s="44">
        <f>VLOOKUP(A224,'SSP_March''19'!$A$3:$T$1193,20,0)</f>
        <v>0.3</v>
      </c>
      <c r="U224" s="34">
        <f>VLOOKUP(A224,'SSP_March''19'!$A$3:$X$1193,21,0)</f>
        <v>0</v>
      </c>
      <c r="V224" s="34">
        <f>VLOOKUP(A224,'SSP_March''19'!$A$3:$X$1193,22,0)</f>
        <v>0</v>
      </c>
      <c r="W224" s="34">
        <f>VLOOKUP(A224,'SSP_March''19'!$A$3:$X$1193,23,0)</f>
        <v>0</v>
      </c>
      <c r="X224" s="34">
        <f>VLOOKUP(A224,'SSP_March''19'!$A$3:$X$1193,24,0)</f>
        <v>0</v>
      </c>
    </row>
    <row r="225" spans="1:24">
      <c r="A225" s="54" t="s">
        <v>2786</v>
      </c>
      <c r="B225" s="54" t="s">
        <v>344</v>
      </c>
      <c r="C225" s="54" t="s">
        <v>171</v>
      </c>
      <c r="D225" s="54" t="s">
        <v>172</v>
      </c>
      <c r="E225" s="54" t="s">
        <v>0</v>
      </c>
      <c r="F225" s="54" t="s">
        <v>2787</v>
      </c>
      <c r="G225" s="54">
        <v>1712706561</v>
      </c>
      <c r="H225" s="54" t="s">
        <v>229</v>
      </c>
      <c r="I225" s="54" t="s">
        <v>3514</v>
      </c>
      <c r="J225" s="34" t="s">
        <v>3421</v>
      </c>
      <c r="K225" s="43">
        <f>VLOOKUP(A225,'SSP_March''19'!$A$3:$L$1193,11,0)</f>
        <v>130000</v>
      </c>
      <c r="L225" s="43">
        <f>VLOOKUP(A225,'SSP_March''19'!$A$3:$L$1193,12,0)</f>
        <v>3090</v>
      </c>
      <c r="M225" s="44">
        <f t="shared" si="12"/>
        <v>2.3769230769230768E-2</v>
      </c>
      <c r="N225" s="49">
        <f>ROUND(VLOOKUP(A225,'SSP_March''19'!$A$3:$N$1193,14,0),0)</f>
        <v>9579</v>
      </c>
      <c r="O225" s="44">
        <f t="shared" si="13"/>
        <v>7.368461538461539E-2</v>
      </c>
      <c r="P225" s="45">
        <f>VLOOKUP(A225,'SSP_March''19'!$A$3:$Q$1193,16,0)</f>
        <v>10</v>
      </c>
      <c r="Q225" s="34">
        <f>VLOOKUP(A225,'SSP_March''19'!$A$3:$Q$1193,17,0)</f>
        <v>0</v>
      </c>
      <c r="R225" s="35">
        <f t="shared" si="14"/>
        <v>0</v>
      </c>
      <c r="S225" s="49">
        <f>ROUND(VLOOKUP(A225,'SSP_March''19'!$A$3:$T$1193,19,0),0)</f>
        <v>0</v>
      </c>
      <c r="T225" s="44">
        <f>VLOOKUP(A225,'SSP_March''19'!$A$3:$T$1193,20,0)</f>
        <v>0</v>
      </c>
      <c r="U225" s="34">
        <f>VLOOKUP(A225,'SSP_March''19'!$A$3:$X$1193,21,0)</f>
        <v>0</v>
      </c>
      <c r="V225" s="34">
        <f>VLOOKUP(A225,'SSP_March''19'!$A$3:$X$1193,22,0)</f>
        <v>0</v>
      </c>
      <c r="W225" s="34">
        <f>VLOOKUP(A225,'SSP_March''19'!$A$3:$X$1193,23,0)</f>
        <v>0</v>
      </c>
      <c r="X225" s="34">
        <f>VLOOKUP(A225,'SSP_March''19'!$A$3:$X$1193,24,0)</f>
        <v>0</v>
      </c>
    </row>
    <row r="226" spans="1:24">
      <c r="A226" s="54" t="s">
        <v>3182</v>
      </c>
      <c r="B226" s="54" t="s">
        <v>3183</v>
      </c>
      <c r="C226" s="54" t="s">
        <v>171</v>
      </c>
      <c r="D226" s="54" t="s">
        <v>172</v>
      </c>
      <c r="E226" s="54" t="s">
        <v>0</v>
      </c>
      <c r="F226" s="54" t="s">
        <v>3184</v>
      </c>
      <c r="G226" s="54">
        <v>1757978950</v>
      </c>
      <c r="H226" s="54" t="s">
        <v>229</v>
      </c>
      <c r="I226" s="54" t="s">
        <v>3514</v>
      </c>
      <c r="J226" s="34" t="s">
        <v>3421</v>
      </c>
      <c r="K226" s="43">
        <f>VLOOKUP(A226,'SSP_March''19'!$A$3:$L$1193,11,0)</f>
        <v>130000</v>
      </c>
      <c r="L226" s="43">
        <f>VLOOKUP(A226,'SSP_March''19'!$A$3:$L$1193,12,0)</f>
        <v>37089</v>
      </c>
      <c r="M226" s="44">
        <f t="shared" si="12"/>
        <v>0.2853</v>
      </c>
      <c r="N226" s="49">
        <f>ROUND(VLOOKUP(A226,'SSP_March''19'!$A$3:$N$1193,14,0),0)</f>
        <v>114976</v>
      </c>
      <c r="O226" s="44">
        <f t="shared" si="13"/>
        <v>0.88443076923076924</v>
      </c>
      <c r="P226" s="45">
        <f>VLOOKUP(A226,'SSP_March''19'!$A$3:$Q$1193,16,0)</f>
        <v>10</v>
      </c>
      <c r="Q226" s="34">
        <f>VLOOKUP(A226,'SSP_March''19'!$A$3:$Q$1193,17,0)</f>
        <v>1</v>
      </c>
      <c r="R226" s="35">
        <f t="shared" si="14"/>
        <v>0.1</v>
      </c>
      <c r="S226" s="49">
        <f>ROUND(VLOOKUP(A226,'SSP_March''19'!$A$3:$T$1193,19,0),0)</f>
        <v>3</v>
      </c>
      <c r="T226" s="44">
        <f>VLOOKUP(A226,'SSP_March''19'!$A$3:$T$1193,20,0)</f>
        <v>0.3</v>
      </c>
      <c r="U226" s="34">
        <f>VLOOKUP(A226,'SSP_March''19'!$A$3:$X$1193,21,0)</f>
        <v>0</v>
      </c>
      <c r="V226" s="34">
        <f>VLOOKUP(A226,'SSP_March''19'!$A$3:$X$1193,22,0)</f>
        <v>0</v>
      </c>
      <c r="W226" s="34">
        <f>VLOOKUP(A226,'SSP_March''19'!$A$3:$X$1193,23,0)</f>
        <v>0</v>
      </c>
      <c r="X226" s="34">
        <f>VLOOKUP(A226,'SSP_March''19'!$A$3:$X$1193,24,0)</f>
        <v>0</v>
      </c>
    </row>
    <row r="227" spans="1:24">
      <c r="A227" s="54" t="s">
        <v>2866</v>
      </c>
      <c r="B227" s="54" t="s">
        <v>2867</v>
      </c>
      <c r="C227" s="54" t="s">
        <v>171</v>
      </c>
      <c r="D227" s="54" t="s">
        <v>172</v>
      </c>
      <c r="E227" s="54" t="s">
        <v>0</v>
      </c>
      <c r="F227" s="54" t="s">
        <v>2868</v>
      </c>
      <c r="G227" s="54">
        <v>1748205987</v>
      </c>
      <c r="H227" s="54" t="s">
        <v>229</v>
      </c>
      <c r="I227" s="54" t="s">
        <v>3514</v>
      </c>
      <c r="J227" s="34" t="s">
        <v>3421</v>
      </c>
      <c r="K227" s="43">
        <f>VLOOKUP(A227,'SSP_March''19'!$A$3:$L$1193,11,0)</f>
        <v>130000</v>
      </c>
      <c r="L227" s="43">
        <f>VLOOKUP(A227,'SSP_March''19'!$A$3:$L$1193,12,0)</f>
        <v>16120</v>
      </c>
      <c r="M227" s="44">
        <f t="shared" si="12"/>
        <v>0.124</v>
      </c>
      <c r="N227" s="49">
        <f>ROUND(VLOOKUP(A227,'SSP_March''19'!$A$3:$N$1193,14,0),0)</f>
        <v>49972</v>
      </c>
      <c r="O227" s="44">
        <f t="shared" si="13"/>
        <v>0.38440000000000002</v>
      </c>
      <c r="P227" s="45">
        <f>VLOOKUP(A227,'SSP_March''19'!$A$3:$Q$1193,16,0)</f>
        <v>10</v>
      </c>
      <c r="Q227" s="34">
        <f>VLOOKUP(A227,'SSP_March''19'!$A$3:$Q$1193,17,0)</f>
        <v>0</v>
      </c>
      <c r="R227" s="35">
        <f t="shared" si="14"/>
        <v>0</v>
      </c>
      <c r="S227" s="49">
        <f>ROUND(VLOOKUP(A227,'SSP_March''19'!$A$3:$T$1193,19,0),0)</f>
        <v>0</v>
      </c>
      <c r="T227" s="44">
        <f>VLOOKUP(A227,'SSP_March''19'!$A$3:$T$1193,20,0)</f>
        <v>0</v>
      </c>
      <c r="U227" s="34">
        <f>VLOOKUP(A227,'SSP_March''19'!$A$3:$X$1193,21,0)</f>
        <v>0</v>
      </c>
      <c r="V227" s="34">
        <f>VLOOKUP(A227,'SSP_March''19'!$A$3:$X$1193,22,0)</f>
        <v>0</v>
      </c>
      <c r="W227" s="34">
        <f>VLOOKUP(A227,'SSP_March''19'!$A$3:$X$1193,23,0)</f>
        <v>0</v>
      </c>
      <c r="X227" s="34">
        <f>VLOOKUP(A227,'SSP_March''19'!$A$3:$X$1193,24,0)</f>
        <v>0</v>
      </c>
    </row>
    <row r="228" spans="1:24">
      <c r="A228" s="54" t="s">
        <v>2734</v>
      </c>
      <c r="B228" s="54" t="s">
        <v>2735</v>
      </c>
      <c r="C228" s="54" t="s">
        <v>171</v>
      </c>
      <c r="D228" s="54" t="s">
        <v>172</v>
      </c>
      <c r="E228" s="54" t="s">
        <v>0</v>
      </c>
      <c r="F228" s="54" t="s">
        <v>2736</v>
      </c>
      <c r="G228" s="54">
        <v>1747494959</v>
      </c>
      <c r="H228" s="54" t="s">
        <v>229</v>
      </c>
      <c r="I228" s="54" t="s">
        <v>3514</v>
      </c>
      <c r="J228" s="34" t="s">
        <v>3419</v>
      </c>
      <c r="K228" s="43">
        <f>VLOOKUP(A228,'SSP_March''19'!$A$3:$L$1193,11,0)</f>
        <v>130000</v>
      </c>
      <c r="L228" s="43">
        <f>VLOOKUP(A228,'SSP_March''19'!$A$3:$L$1193,12,0)</f>
        <v>38630</v>
      </c>
      <c r="M228" s="44">
        <f t="shared" si="12"/>
        <v>0.29715384615384616</v>
      </c>
      <c r="N228" s="49">
        <f>ROUND(VLOOKUP(A228,'SSP_March''19'!$A$3:$N$1193,14,0),0)</f>
        <v>119753</v>
      </c>
      <c r="O228" s="44">
        <f t="shared" si="13"/>
        <v>0.92117692307692312</v>
      </c>
      <c r="P228" s="45">
        <f>VLOOKUP(A228,'SSP_March''19'!$A$3:$Q$1193,16,0)</f>
        <v>10</v>
      </c>
      <c r="Q228" s="34">
        <f>VLOOKUP(A228,'SSP_March''19'!$A$3:$Q$1193,17,0)</f>
        <v>1</v>
      </c>
      <c r="R228" s="35">
        <f t="shared" si="14"/>
        <v>0.1</v>
      </c>
      <c r="S228" s="49">
        <f>ROUND(VLOOKUP(A228,'SSP_March''19'!$A$3:$T$1193,19,0),0)</f>
        <v>3</v>
      </c>
      <c r="T228" s="44">
        <f>VLOOKUP(A228,'SSP_March''19'!$A$3:$T$1193,20,0)</f>
        <v>0.3</v>
      </c>
      <c r="U228" s="34">
        <f>VLOOKUP(A228,'SSP_March''19'!$A$3:$X$1193,21,0)</f>
        <v>1</v>
      </c>
      <c r="V228" s="34">
        <f>VLOOKUP(A228,'SSP_March''19'!$A$3:$X$1193,22,0)</f>
        <v>0</v>
      </c>
      <c r="W228" s="34">
        <f>VLOOKUP(A228,'SSP_March''19'!$A$3:$X$1193,23,0)</f>
        <v>0</v>
      </c>
      <c r="X228" s="34">
        <f>VLOOKUP(A228,'SSP_March''19'!$A$3:$X$1193,24,0)</f>
        <v>0</v>
      </c>
    </row>
    <row r="229" spans="1:24">
      <c r="A229" s="54" t="s">
        <v>3488</v>
      </c>
      <c r="B229" s="54" t="s">
        <v>53</v>
      </c>
      <c r="C229" s="54" t="s">
        <v>171</v>
      </c>
      <c r="D229" s="54" t="s">
        <v>172</v>
      </c>
      <c r="E229" s="54" t="s">
        <v>0</v>
      </c>
      <c r="F229" s="54" t="s">
        <v>276</v>
      </c>
      <c r="G229" s="54">
        <v>1748946203</v>
      </c>
      <c r="H229" s="54" t="s">
        <v>229</v>
      </c>
      <c r="I229" s="54" t="s">
        <v>3514</v>
      </c>
      <c r="J229" s="34" t="s">
        <v>3421</v>
      </c>
      <c r="K229" s="43">
        <f>VLOOKUP(A229,'SSP_March''19'!$A$3:$L$1193,11,0)</f>
        <v>130000</v>
      </c>
      <c r="L229" s="43">
        <f>VLOOKUP(A229,'SSP_March''19'!$A$3:$L$1193,12,0)</f>
        <v>42420</v>
      </c>
      <c r="M229" s="44">
        <f t="shared" si="12"/>
        <v>0.3263076923076923</v>
      </c>
      <c r="N229" s="49">
        <f>ROUND(VLOOKUP(A229,'SSP_March''19'!$A$3:$N$1193,14,0),0)</f>
        <v>131502</v>
      </c>
      <c r="O229" s="44">
        <f t="shared" si="13"/>
        <v>1.0115538461538462</v>
      </c>
      <c r="P229" s="45">
        <f>VLOOKUP(A229,'SSP_March''19'!$A$3:$Q$1193,16,0)</f>
        <v>10</v>
      </c>
      <c r="Q229" s="34">
        <f>VLOOKUP(A229,'SSP_March''19'!$A$3:$Q$1193,17,0)</f>
        <v>2</v>
      </c>
      <c r="R229" s="35">
        <f t="shared" si="14"/>
        <v>0.2</v>
      </c>
      <c r="S229" s="49">
        <f>ROUND(VLOOKUP(A229,'SSP_March''19'!$A$3:$T$1193,19,0),0)</f>
        <v>6</v>
      </c>
      <c r="T229" s="44">
        <f>VLOOKUP(A229,'SSP_March''19'!$A$3:$T$1193,20,0)</f>
        <v>0.6</v>
      </c>
      <c r="U229" s="34">
        <f>VLOOKUP(A229,'SSP_March''19'!$A$3:$X$1193,21,0)</f>
        <v>0</v>
      </c>
      <c r="V229" s="34">
        <f>VLOOKUP(A229,'SSP_March''19'!$A$3:$X$1193,22,0)</f>
        <v>1</v>
      </c>
      <c r="W229" s="34">
        <f>VLOOKUP(A229,'SSP_March''19'!$A$3:$X$1193,23,0)</f>
        <v>0</v>
      </c>
      <c r="X229" s="34">
        <f>VLOOKUP(A229,'SSP_March''19'!$A$3:$X$1193,24,0)</f>
        <v>0</v>
      </c>
    </row>
    <row r="230" spans="1:24">
      <c r="A230" s="54" t="s">
        <v>2558</v>
      </c>
      <c r="B230" s="54" t="s">
        <v>2559</v>
      </c>
      <c r="C230" s="54" t="s">
        <v>171</v>
      </c>
      <c r="D230" s="54" t="s">
        <v>172</v>
      </c>
      <c r="E230" s="54" t="s">
        <v>0</v>
      </c>
      <c r="F230" s="54" t="s">
        <v>2560</v>
      </c>
      <c r="G230" s="54">
        <v>1681738846</v>
      </c>
      <c r="H230" s="54" t="s">
        <v>229</v>
      </c>
      <c r="I230" s="54" t="s">
        <v>3514</v>
      </c>
      <c r="J230" s="34" t="s">
        <v>3419</v>
      </c>
      <c r="K230" s="43">
        <f>VLOOKUP(A230,'SSP_March''19'!$A$3:$L$1193,11,0)</f>
        <v>289345</v>
      </c>
      <c r="L230" s="43">
        <f>VLOOKUP(A230,'SSP_March''19'!$A$3:$L$1193,12,0)</f>
        <v>62850</v>
      </c>
      <c r="M230" s="44">
        <f t="shared" si="12"/>
        <v>0.21721474364512952</v>
      </c>
      <c r="N230" s="49">
        <f>ROUND(VLOOKUP(A230,'SSP_March''19'!$A$3:$N$1193,14,0),0)</f>
        <v>194835</v>
      </c>
      <c r="O230" s="44">
        <f t="shared" si="13"/>
        <v>0.67336570529990147</v>
      </c>
      <c r="P230" s="45">
        <f>VLOOKUP(A230,'SSP_March''19'!$A$3:$Q$1193,16,0)</f>
        <v>23</v>
      </c>
      <c r="Q230" s="34">
        <f>VLOOKUP(A230,'SSP_March''19'!$A$3:$Q$1193,17,0)</f>
        <v>6</v>
      </c>
      <c r="R230" s="35">
        <f t="shared" si="14"/>
        <v>0.2608695652173913</v>
      </c>
      <c r="S230" s="49">
        <f>ROUND(VLOOKUP(A230,'SSP_March''19'!$A$3:$T$1193,19,0),0)</f>
        <v>19</v>
      </c>
      <c r="T230" s="44">
        <f>VLOOKUP(A230,'SSP_March''19'!$A$3:$T$1193,20,0)</f>
        <v>0.82608695652173914</v>
      </c>
      <c r="U230" s="34">
        <f>VLOOKUP(A230,'SSP_March''19'!$A$3:$X$1193,21,0)</f>
        <v>0</v>
      </c>
      <c r="V230" s="34">
        <f>VLOOKUP(A230,'SSP_March''19'!$A$3:$X$1193,22,0)</f>
        <v>1</v>
      </c>
      <c r="W230" s="34">
        <f>VLOOKUP(A230,'SSP_March''19'!$A$3:$X$1193,23,0)</f>
        <v>1</v>
      </c>
      <c r="X230" s="34">
        <f>VLOOKUP(A230,'SSP_March''19'!$A$3:$X$1193,24,0)</f>
        <v>0</v>
      </c>
    </row>
    <row r="231" spans="1:24">
      <c r="A231" s="54" t="s">
        <v>2429</v>
      </c>
      <c r="B231" s="54" t="s">
        <v>59</v>
      </c>
      <c r="C231" s="54" t="s">
        <v>171</v>
      </c>
      <c r="D231" s="54" t="s">
        <v>172</v>
      </c>
      <c r="E231" s="54" t="s">
        <v>0</v>
      </c>
      <c r="F231" s="54" t="s">
        <v>2430</v>
      </c>
      <c r="G231" s="54">
        <v>1714907219</v>
      </c>
      <c r="H231" s="54" t="s">
        <v>229</v>
      </c>
      <c r="I231" s="54" t="s">
        <v>3514</v>
      </c>
      <c r="J231" s="34" t="s">
        <v>3421</v>
      </c>
      <c r="K231" s="43">
        <f>VLOOKUP(A231,'SSP_March''19'!$A$3:$L$1193,11,0)</f>
        <v>130000</v>
      </c>
      <c r="L231" s="43">
        <f>VLOOKUP(A231,'SSP_March''19'!$A$3:$L$1193,12,0)</f>
        <v>20520</v>
      </c>
      <c r="M231" s="44">
        <f t="shared" ref="M231" si="15">L231/K231</f>
        <v>0.15784615384615386</v>
      </c>
      <c r="N231" s="49">
        <f>ROUND(VLOOKUP(A231,'SSP_March''19'!$A$3:$N$1193,14,0),0)</f>
        <v>63612</v>
      </c>
      <c r="O231" s="44">
        <f t="shared" ref="O231" si="16">N231/K231</f>
        <v>0.48932307692307692</v>
      </c>
      <c r="P231" s="45">
        <f>VLOOKUP(A231,'SSP_March''19'!$A$3:$Q$1193,16,0)</f>
        <v>10</v>
      </c>
      <c r="Q231" s="34">
        <f>VLOOKUP(A231,'SSP_March''19'!$A$3:$Q$1193,17,0)</f>
        <v>1</v>
      </c>
      <c r="R231" s="35">
        <f t="shared" ref="R231" si="17">Q231/P231</f>
        <v>0.1</v>
      </c>
      <c r="S231" s="49">
        <f>ROUND(VLOOKUP(A231,'SSP_March''19'!$A$3:$T$1193,19,0),0)</f>
        <v>3</v>
      </c>
      <c r="T231" s="44">
        <f>VLOOKUP(A231,'SSP_March''19'!$A$3:$T$1193,20,0)</f>
        <v>0.3</v>
      </c>
      <c r="U231" s="34">
        <f>VLOOKUP(A231,'SSP_March''19'!$A$3:$X$1193,21,0)</f>
        <v>1</v>
      </c>
      <c r="V231" s="34">
        <f>VLOOKUP(A231,'SSP_March''19'!$A$3:$X$1193,22,0)</f>
        <v>0</v>
      </c>
      <c r="W231" s="34">
        <f>VLOOKUP(A231,'SSP_March''19'!$A$3:$X$1193,23,0)</f>
        <v>0</v>
      </c>
      <c r="X231" s="34">
        <f>VLOOKUP(A231,'SSP_March''19'!$A$3:$X$1193,24,0)</f>
        <v>1</v>
      </c>
    </row>
    <row r="232" spans="1:24">
      <c r="A232" s="54" t="s">
        <v>2883</v>
      </c>
      <c r="B232" s="54" t="s">
        <v>2884</v>
      </c>
      <c r="C232" s="54" t="s">
        <v>171</v>
      </c>
      <c r="D232" s="54" t="s">
        <v>172</v>
      </c>
      <c r="E232" s="54" t="s">
        <v>0</v>
      </c>
      <c r="F232" s="54" t="s">
        <v>2885</v>
      </c>
      <c r="G232" s="54">
        <v>1721742021</v>
      </c>
      <c r="H232" s="54" t="s">
        <v>229</v>
      </c>
      <c r="I232" s="54" t="s">
        <v>3514</v>
      </c>
      <c r="J232" s="34" t="s">
        <v>3515</v>
      </c>
      <c r="K232" s="43">
        <f>VLOOKUP(A232,'SSP_March''19'!$A$3:$L$1193,11,0)</f>
        <v>130000</v>
      </c>
      <c r="L232" s="43">
        <f>VLOOKUP(A232,'SSP_March''19'!$A$3:$L$1193,12,0)</f>
        <v>12315</v>
      </c>
      <c r="M232" s="44">
        <f t="shared" si="12"/>
        <v>9.473076923076923E-2</v>
      </c>
      <c r="N232" s="49">
        <f>ROUND(VLOOKUP(A232,'SSP_March''19'!$A$3:$N$1193,14,0),0)</f>
        <v>38177</v>
      </c>
      <c r="O232" s="44">
        <f t="shared" si="13"/>
        <v>0.29366923076923079</v>
      </c>
      <c r="P232" s="45">
        <f>VLOOKUP(A232,'SSP_March''19'!$A$3:$Q$1193,16,0)</f>
        <v>10</v>
      </c>
      <c r="Q232" s="34">
        <f>VLOOKUP(A232,'SSP_March''19'!$A$3:$Q$1193,17,0)</f>
        <v>1</v>
      </c>
      <c r="R232" s="35">
        <f t="shared" si="14"/>
        <v>0.1</v>
      </c>
      <c r="S232" s="49">
        <f>ROUND(VLOOKUP(A232,'SSP_March''19'!$A$3:$T$1193,19,0),0)</f>
        <v>3</v>
      </c>
      <c r="T232" s="44">
        <f>VLOOKUP(A232,'SSP_March''19'!$A$3:$T$1193,20,0)</f>
        <v>0.3</v>
      </c>
      <c r="U232" s="34">
        <f>VLOOKUP(A232,'SSP_March''19'!$A$3:$X$1193,21,0)</f>
        <v>0</v>
      </c>
      <c r="V232" s="34">
        <f>VLOOKUP(A232,'SSP_March''19'!$A$3:$X$1193,22,0)</f>
        <v>0</v>
      </c>
      <c r="W232" s="34">
        <f>VLOOKUP(A232,'SSP_March''19'!$A$3:$X$1193,23,0)</f>
        <v>0</v>
      </c>
      <c r="X232" s="34">
        <f>VLOOKUP(A232,'SSP_March''19'!$A$3:$X$1193,24,0)</f>
        <v>0</v>
      </c>
    </row>
    <row r="233" spans="1:24">
      <c r="A233" s="54" t="s">
        <v>2361</v>
      </c>
      <c r="B233" s="54" t="s">
        <v>2362</v>
      </c>
      <c r="C233" s="54" t="s">
        <v>171</v>
      </c>
      <c r="D233" s="54" t="s">
        <v>172</v>
      </c>
      <c r="E233" s="54" t="s">
        <v>0</v>
      </c>
      <c r="F233" s="54" t="s">
        <v>2363</v>
      </c>
      <c r="G233" s="54">
        <v>1744589027</v>
      </c>
      <c r="H233" s="54" t="s">
        <v>229</v>
      </c>
      <c r="I233" s="54" t="s">
        <v>3514</v>
      </c>
      <c r="J233" s="34" t="s">
        <v>3421</v>
      </c>
      <c r="K233" s="43">
        <f>VLOOKUP(A233,'SSP_March''19'!$A$3:$L$1193,11,0)</f>
        <v>130000</v>
      </c>
      <c r="L233" s="43">
        <f>VLOOKUP(A233,'SSP_March''19'!$A$3:$L$1193,12,0)</f>
        <v>17960</v>
      </c>
      <c r="M233" s="44">
        <f t="shared" si="12"/>
        <v>0.13815384615384615</v>
      </c>
      <c r="N233" s="49">
        <f>ROUND(VLOOKUP(A233,'SSP_March''19'!$A$3:$N$1193,14,0),0)</f>
        <v>55676</v>
      </c>
      <c r="O233" s="44">
        <f t="shared" si="13"/>
        <v>0.42827692307692306</v>
      </c>
      <c r="P233" s="45">
        <f>VLOOKUP(A233,'SSP_March''19'!$A$3:$Q$1193,16,0)</f>
        <v>10</v>
      </c>
      <c r="Q233" s="34">
        <f>VLOOKUP(A233,'SSP_March''19'!$A$3:$Q$1193,17,0)</f>
        <v>0</v>
      </c>
      <c r="R233" s="35">
        <f t="shared" si="14"/>
        <v>0</v>
      </c>
      <c r="S233" s="49">
        <f>ROUND(VLOOKUP(A233,'SSP_March''19'!$A$3:$T$1193,19,0),0)</f>
        <v>0</v>
      </c>
      <c r="T233" s="44">
        <f>VLOOKUP(A233,'SSP_March''19'!$A$3:$T$1193,20,0)</f>
        <v>0</v>
      </c>
      <c r="U233" s="34">
        <f>VLOOKUP(A233,'SSP_March''19'!$A$3:$X$1193,21,0)</f>
        <v>0</v>
      </c>
      <c r="V233" s="34">
        <f>VLOOKUP(A233,'SSP_March''19'!$A$3:$X$1193,22,0)</f>
        <v>0</v>
      </c>
      <c r="W233" s="34">
        <f>VLOOKUP(A233,'SSP_March''19'!$A$3:$X$1193,23,0)</f>
        <v>0</v>
      </c>
      <c r="X233" s="34">
        <f>VLOOKUP(A233,'SSP_March''19'!$A$3:$X$1193,24,0)</f>
        <v>0</v>
      </c>
    </row>
    <row r="234" spans="1:24">
      <c r="A234" s="54" t="s">
        <v>3284</v>
      </c>
      <c r="B234" s="54" t="s">
        <v>3285</v>
      </c>
      <c r="C234" s="54" t="s">
        <v>171</v>
      </c>
      <c r="D234" s="54" t="s">
        <v>172</v>
      </c>
      <c r="E234" s="54" t="s">
        <v>0</v>
      </c>
      <c r="F234" s="54" t="s">
        <v>3286</v>
      </c>
      <c r="G234" s="54">
        <v>1711511430</v>
      </c>
      <c r="H234" s="54" t="s">
        <v>229</v>
      </c>
      <c r="I234" s="54" t="s">
        <v>3514</v>
      </c>
      <c r="J234" s="34" t="s">
        <v>3419</v>
      </c>
      <c r="K234" s="43">
        <f>VLOOKUP(A234,'SSP_March''19'!$A$3:$L$1193,11,0)</f>
        <v>201683</v>
      </c>
      <c r="L234" s="43">
        <f>VLOOKUP(A234,'SSP_March''19'!$A$3:$L$1193,12,0)</f>
        <v>65520</v>
      </c>
      <c r="M234" s="44">
        <f t="shared" si="12"/>
        <v>0.32486625050202544</v>
      </c>
      <c r="N234" s="49">
        <f>ROUND(VLOOKUP(A234,'SSP_March''19'!$A$3:$N$1193,14,0),0)</f>
        <v>203112</v>
      </c>
      <c r="O234" s="44">
        <f t="shared" si="13"/>
        <v>1.0070853765562788</v>
      </c>
      <c r="P234" s="45">
        <f>VLOOKUP(A234,'SSP_March''19'!$A$3:$Q$1193,16,0)</f>
        <v>10</v>
      </c>
      <c r="Q234" s="34">
        <f>VLOOKUP(A234,'SSP_March''19'!$A$3:$Q$1193,17,0)</f>
        <v>2</v>
      </c>
      <c r="R234" s="35">
        <f t="shared" si="14"/>
        <v>0.2</v>
      </c>
      <c r="S234" s="49">
        <f>ROUND(VLOOKUP(A234,'SSP_March''19'!$A$3:$T$1193,19,0),0)</f>
        <v>6</v>
      </c>
      <c r="T234" s="44">
        <f>VLOOKUP(A234,'SSP_March''19'!$A$3:$T$1193,20,0)</f>
        <v>0.6</v>
      </c>
      <c r="U234" s="34">
        <f>VLOOKUP(A234,'SSP_March''19'!$A$3:$X$1193,21,0)</f>
        <v>2</v>
      </c>
      <c r="V234" s="34">
        <f>VLOOKUP(A234,'SSP_March''19'!$A$3:$X$1193,22,0)</f>
        <v>0</v>
      </c>
      <c r="W234" s="34">
        <f>VLOOKUP(A234,'SSP_March''19'!$A$3:$X$1193,23,0)</f>
        <v>0</v>
      </c>
      <c r="X234" s="34">
        <f>VLOOKUP(A234,'SSP_March''19'!$A$3:$X$1193,24,0)</f>
        <v>0</v>
      </c>
    </row>
    <row r="235" spans="1:24">
      <c r="A235" s="54" t="s">
        <v>2843</v>
      </c>
      <c r="B235" s="54" t="s">
        <v>2844</v>
      </c>
      <c r="C235" s="54" t="s">
        <v>171</v>
      </c>
      <c r="D235" s="54" t="s">
        <v>172</v>
      </c>
      <c r="E235" s="54" t="s">
        <v>0</v>
      </c>
      <c r="F235" s="54" t="s">
        <v>2845</v>
      </c>
      <c r="G235" s="54">
        <v>1676630190</v>
      </c>
      <c r="H235" s="54" t="s">
        <v>229</v>
      </c>
      <c r="I235" s="54" t="s">
        <v>3514</v>
      </c>
      <c r="J235" s="34" t="s">
        <v>3421</v>
      </c>
      <c r="K235" s="43">
        <f>VLOOKUP(A235,'SSP_March''19'!$A$3:$L$1193,11,0)</f>
        <v>130000</v>
      </c>
      <c r="L235" s="43">
        <f>VLOOKUP(A235,'SSP_March''19'!$A$3:$L$1193,12,0)</f>
        <v>29109</v>
      </c>
      <c r="M235" s="44">
        <f t="shared" si="12"/>
        <v>0.22391538461538463</v>
      </c>
      <c r="N235" s="49">
        <f>ROUND(VLOOKUP(A235,'SSP_March''19'!$A$3:$N$1193,14,0),0)</f>
        <v>90238</v>
      </c>
      <c r="O235" s="44">
        <f t="shared" si="13"/>
        <v>0.69413846153846159</v>
      </c>
      <c r="P235" s="45">
        <f>VLOOKUP(A235,'SSP_March''19'!$A$3:$Q$1193,16,0)</f>
        <v>10</v>
      </c>
      <c r="Q235" s="34">
        <f>VLOOKUP(A235,'SSP_March''19'!$A$3:$Q$1193,17,0)</f>
        <v>2</v>
      </c>
      <c r="R235" s="35">
        <f t="shared" si="14"/>
        <v>0.2</v>
      </c>
      <c r="S235" s="49">
        <f>ROUND(VLOOKUP(A235,'SSP_March''19'!$A$3:$T$1193,19,0),0)</f>
        <v>6</v>
      </c>
      <c r="T235" s="44">
        <f>VLOOKUP(A235,'SSP_March''19'!$A$3:$T$1193,20,0)</f>
        <v>0.6</v>
      </c>
      <c r="U235" s="34">
        <f>VLOOKUP(A235,'SSP_March''19'!$A$3:$X$1193,21,0)</f>
        <v>0</v>
      </c>
      <c r="V235" s="34">
        <f>VLOOKUP(A235,'SSP_March''19'!$A$3:$X$1193,22,0)</f>
        <v>2</v>
      </c>
      <c r="W235" s="34">
        <f>VLOOKUP(A235,'SSP_March''19'!$A$3:$X$1193,23,0)</f>
        <v>0</v>
      </c>
      <c r="X235" s="34">
        <f>VLOOKUP(A235,'SSP_March''19'!$A$3:$X$1193,24,0)</f>
        <v>0</v>
      </c>
    </row>
    <row r="236" spans="1:24">
      <c r="A236" s="54" t="s">
        <v>2349</v>
      </c>
      <c r="B236" s="54" t="s">
        <v>2350</v>
      </c>
      <c r="C236" s="54" t="s">
        <v>171</v>
      </c>
      <c r="D236" s="54" t="s">
        <v>172</v>
      </c>
      <c r="E236" s="54" t="s">
        <v>0</v>
      </c>
      <c r="F236" s="54" t="s">
        <v>2351</v>
      </c>
      <c r="G236" s="54">
        <v>1714649922</v>
      </c>
      <c r="H236" s="54" t="s">
        <v>229</v>
      </c>
      <c r="I236" s="54" t="s">
        <v>3514</v>
      </c>
      <c r="J236" s="34" t="s">
        <v>3421</v>
      </c>
      <c r="K236" s="43">
        <f>VLOOKUP(A236,'SSP_March''19'!$A$3:$L$1193,11,0)</f>
        <v>130000</v>
      </c>
      <c r="L236" s="43">
        <f>VLOOKUP(A236,'SSP_March''19'!$A$3:$L$1193,12,0)</f>
        <v>3090</v>
      </c>
      <c r="M236" s="44">
        <f t="shared" si="12"/>
        <v>2.3769230769230768E-2</v>
      </c>
      <c r="N236" s="49">
        <f>ROUND(VLOOKUP(A236,'SSP_March''19'!$A$3:$N$1193,14,0),0)</f>
        <v>9579</v>
      </c>
      <c r="O236" s="44">
        <f t="shared" si="13"/>
        <v>7.368461538461539E-2</v>
      </c>
      <c r="P236" s="45">
        <f>VLOOKUP(A236,'SSP_March''19'!$A$3:$Q$1193,16,0)</f>
        <v>10</v>
      </c>
      <c r="Q236" s="34">
        <f>VLOOKUP(A236,'SSP_March''19'!$A$3:$Q$1193,17,0)</f>
        <v>0</v>
      </c>
      <c r="R236" s="35">
        <f t="shared" si="14"/>
        <v>0</v>
      </c>
      <c r="S236" s="49">
        <f>ROUND(VLOOKUP(A236,'SSP_March''19'!$A$3:$T$1193,19,0),0)</f>
        <v>0</v>
      </c>
      <c r="T236" s="44">
        <f>VLOOKUP(A236,'SSP_March''19'!$A$3:$T$1193,20,0)</f>
        <v>0</v>
      </c>
      <c r="U236" s="34">
        <f>VLOOKUP(A236,'SSP_March''19'!$A$3:$X$1193,21,0)</f>
        <v>0</v>
      </c>
      <c r="V236" s="34">
        <f>VLOOKUP(A236,'SSP_March''19'!$A$3:$X$1193,22,0)</f>
        <v>0</v>
      </c>
      <c r="W236" s="34">
        <f>VLOOKUP(A236,'SSP_March''19'!$A$3:$X$1193,23,0)</f>
        <v>0</v>
      </c>
      <c r="X236" s="34">
        <f>VLOOKUP(A236,'SSP_March''19'!$A$3:$X$1193,24,0)</f>
        <v>0</v>
      </c>
    </row>
    <row r="237" spans="1:24">
      <c r="A237" s="54" t="s">
        <v>2891</v>
      </c>
      <c r="B237" s="54" t="s">
        <v>2892</v>
      </c>
      <c r="C237" s="54" t="s">
        <v>171</v>
      </c>
      <c r="D237" s="54" t="s">
        <v>172</v>
      </c>
      <c r="E237" s="54" t="s">
        <v>0</v>
      </c>
      <c r="F237" s="54" t="s">
        <v>2893</v>
      </c>
      <c r="G237" s="54">
        <v>1712548569</v>
      </c>
      <c r="H237" s="54" t="s">
        <v>229</v>
      </c>
      <c r="I237" s="54" t="s">
        <v>3514</v>
      </c>
      <c r="J237" s="34" t="s">
        <v>3421</v>
      </c>
      <c r="K237" s="43">
        <f>VLOOKUP(A237,'SSP_March''19'!$A$3:$L$1193,11,0)</f>
        <v>130000</v>
      </c>
      <c r="L237" s="43">
        <f>VLOOKUP(A237,'SSP_March''19'!$A$3:$L$1193,12,0)</f>
        <v>46570</v>
      </c>
      <c r="M237" s="44">
        <f t="shared" si="12"/>
        <v>0.35823076923076924</v>
      </c>
      <c r="N237" s="49">
        <f>ROUND(VLOOKUP(A237,'SSP_March''19'!$A$3:$N$1193,14,0),0)</f>
        <v>144367</v>
      </c>
      <c r="O237" s="44">
        <f t="shared" si="13"/>
        <v>1.1105153846153846</v>
      </c>
      <c r="P237" s="45">
        <f>VLOOKUP(A237,'SSP_March''19'!$A$3:$Q$1193,16,0)</f>
        <v>10</v>
      </c>
      <c r="Q237" s="34">
        <f>VLOOKUP(A237,'SSP_March''19'!$A$3:$Q$1193,17,0)</f>
        <v>3</v>
      </c>
      <c r="R237" s="35">
        <f t="shared" si="14"/>
        <v>0.3</v>
      </c>
      <c r="S237" s="49">
        <f>ROUND(VLOOKUP(A237,'SSP_March''19'!$A$3:$T$1193,19,0),0)</f>
        <v>9</v>
      </c>
      <c r="T237" s="44">
        <f>VLOOKUP(A237,'SSP_March''19'!$A$3:$T$1193,20,0)</f>
        <v>0.9</v>
      </c>
      <c r="U237" s="34">
        <f>VLOOKUP(A237,'SSP_March''19'!$A$3:$X$1193,21,0)</f>
        <v>0</v>
      </c>
      <c r="V237" s="34">
        <f>VLOOKUP(A237,'SSP_March''19'!$A$3:$X$1193,22,0)</f>
        <v>0</v>
      </c>
      <c r="W237" s="34">
        <f>VLOOKUP(A237,'SSP_March''19'!$A$3:$X$1193,23,0)</f>
        <v>0</v>
      </c>
      <c r="X237" s="34">
        <f>VLOOKUP(A237,'SSP_March''19'!$A$3:$X$1193,24,0)</f>
        <v>0</v>
      </c>
    </row>
    <row r="238" spans="1:24">
      <c r="A238" s="54" t="s">
        <v>2742</v>
      </c>
      <c r="B238" s="54" t="s">
        <v>2743</v>
      </c>
      <c r="C238" s="54" t="s">
        <v>171</v>
      </c>
      <c r="D238" s="54" t="s">
        <v>172</v>
      </c>
      <c r="E238" s="54" t="s">
        <v>0</v>
      </c>
      <c r="F238" s="54" t="s">
        <v>2744</v>
      </c>
      <c r="G238" s="54">
        <v>1712255351</v>
      </c>
      <c r="H238" s="54" t="s">
        <v>229</v>
      </c>
      <c r="I238" s="54" t="s">
        <v>3514</v>
      </c>
      <c r="J238" s="34" t="s">
        <v>3421</v>
      </c>
      <c r="K238" s="43">
        <f>VLOOKUP(A238,'SSP_March''19'!$A$3:$L$1193,11,0)</f>
        <v>130000</v>
      </c>
      <c r="L238" s="43">
        <f>VLOOKUP(A238,'SSP_March''19'!$A$3:$L$1193,12,0)</f>
        <v>18570</v>
      </c>
      <c r="M238" s="44">
        <f t="shared" si="12"/>
        <v>0.14284615384615384</v>
      </c>
      <c r="N238" s="49">
        <f>ROUND(VLOOKUP(A238,'SSP_March''19'!$A$3:$N$1193,14,0),0)</f>
        <v>57567</v>
      </c>
      <c r="O238" s="44">
        <f t="shared" si="13"/>
        <v>0.44282307692307693</v>
      </c>
      <c r="P238" s="45">
        <f>VLOOKUP(A238,'SSP_March''19'!$A$3:$Q$1193,16,0)</f>
        <v>10</v>
      </c>
      <c r="Q238" s="34">
        <f>VLOOKUP(A238,'SSP_March''19'!$A$3:$Q$1193,17,0)</f>
        <v>1</v>
      </c>
      <c r="R238" s="35">
        <f t="shared" si="14"/>
        <v>0.1</v>
      </c>
      <c r="S238" s="49">
        <f>ROUND(VLOOKUP(A238,'SSP_March''19'!$A$3:$T$1193,19,0),0)</f>
        <v>3</v>
      </c>
      <c r="T238" s="44">
        <f>VLOOKUP(A238,'SSP_March''19'!$A$3:$T$1193,20,0)</f>
        <v>0.3</v>
      </c>
      <c r="U238" s="34">
        <f>VLOOKUP(A238,'SSP_March''19'!$A$3:$X$1193,21,0)</f>
        <v>0</v>
      </c>
      <c r="V238" s="34">
        <f>VLOOKUP(A238,'SSP_March''19'!$A$3:$X$1193,22,0)</f>
        <v>0</v>
      </c>
      <c r="W238" s="34">
        <f>VLOOKUP(A238,'SSP_March''19'!$A$3:$X$1193,23,0)</f>
        <v>0</v>
      </c>
      <c r="X238" s="34">
        <f>VLOOKUP(A238,'SSP_March''19'!$A$3:$X$1193,24,0)</f>
        <v>0</v>
      </c>
    </row>
    <row r="239" spans="1:24">
      <c r="A239" s="54" t="s">
        <v>2651</v>
      </c>
      <c r="B239" s="54" t="s">
        <v>2652</v>
      </c>
      <c r="C239" s="54" t="s">
        <v>171</v>
      </c>
      <c r="D239" s="54" t="s">
        <v>172</v>
      </c>
      <c r="E239" s="54" t="s">
        <v>0</v>
      </c>
      <c r="F239" s="54" t="s">
        <v>2653</v>
      </c>
      <c r="G239" s="54">
        <v>1712045433</v>
      </c>
      <c r="H239" s="54" t="s">
        <v>229</v>
      </c>
      <c r="I239" s="54" t="s">
        <v>3514</v>
      </c>
      <c r="J239" s="34" t="s">
        <v>3421</v>
      </c>
      <c r="K239" s="43">
        <f>VLOOKUP(A239,'SSP_March''19'!$A$3:$L$1193,11,0)</f>
        <v>184616</v>
      </c>
      <c r="L239" s="43">
        <f>VLOOKUP(A239,'SSP_March''19'!$A$3:$L$1193,12,0)</f>
        <v>33249</v>
      </c>
      <c r="M239" s="44">
        <f t="shared" ref="M239:M243" si="18">L239/K239</f>
        <v>0.18009814967283441</v>
      </c>
      <c r="N239" s="49">
        <f>ROUND(VLOOKUP(A239,'SSP_March''19'!$A$3:$N$1193,14,0),0)</f>
        <v>103072</v>
      </c>
      <c r="O239" s="44">
        <f t="shared" ref="O239:O243" si="19">N239/K239</f>
        <v>0.55830480565064788</v>
      </c>
      <c r="P239" s="45">
        <f>VLOOKUP(A239,'SSP_March''19'!$A$3:$Q$1193,16,0)</f>
        <v>10</v>
      </c>
      <c r="Q239" s="34">
        <f>VLOOKUP(A239,'SSP_March''19'!$A$3:$Q$1193,17,0)</f>
        <v>2</v>
      </c>
      <c r="R239" s="35">
        <f t="shared" ref="R239:R243" si="20">Q239/P239</f>
        <v>0.2</v>
      </c>
      <c r="S239" s="49">
        <f>ROUND(VLOOKUP(A239,'SSP_March''19'!$A$3:$T$1193,19,0),0)</f>
        <v>6</v>
      </c>
      <c r="T239" s="44">
        <f>VLOOKUP(A239,'SSP_March''19'!$A$3:$T$1193,20,0)</f>
        <v>0.6</v>
      </c>
      <c r="U239" s="34">
        <f>VLOOKUP(A239,'SSP_March''19'!$A$3:$X$1193,21,0)</f>
        <v>0</v>
      </c>
      <c r="V239" s="34">
        <f>VLOOKUP(A239,'SSP_March''19'!$A$3:$X$1193,22,0)</f>
        <v>2</v>
      </c>
      <c r="W239" s="34">
        <f>VLOOKUP(A239,'SSP_March''19'!$A$3:$X$1193,23,0)</f>
        <v>0</v>
      </c>
      <c r="X239" s="34">
        <f>VLOOKUP(A239,'SSP_March''19'!$A$3:$X$1193,24,0)</f>
        <v>0</v>
      </c>
    </row>
    <row r="240" spans="1:24">
      <c r="A240" s="54" t="s">
        <v>2857</v>
      </c>
      <c r="B240" s="54" t="s">
        <v>2858</v>
      </c>
      <c r="C240" s="54" t="s">
        <v>171</v>
      </c>
      <c r="D240" s="54" t="s">
        <v>172</v>
      </c>
      <c r="E240" s="54" t="s">
        <v>0</v>
      </c>
      <c r="F240" s="54" t="s">
        <v>2859</v>
      </c>
      <c r="G240" s="54">
        <v>1920245464</v>
      </c>
      <c r="H240" s="54" t="s">
        <v>229</v>
      </c>
      <c r="I240" s="54" t="s">
        <v>3514</v>
      </c>
      <c r="J240" s="34" t="s">
        <v>3421</v>
      </c>
      <c r="K240" s="43">
        <f>VLOOKUP(A240,'SSP_March''19'!$A$3:$L$1193,11,0)</f>
        <v>130000</v>
      </c>
      <c r="L240" s="43">
        <f>VLOOKUP(A240,'SSP_March''19'!$A$3:$L$1193,12,0)</f>
        <v>31434</v>
      </c>
      <c r="M240" s="44">
        <f t="shared" si="18"/>
        <v>0.24179999999999999</v>
      </c>
      <c r="N240" s="49">
        <f>ROUND(VLOOKUP(A240,'SSP_March''19'!$A$3:$N$1193,14,0),0)</f>
        <v>97445</v>
      </c>
      <c r="O240" s="44">
        <f t="shared" si="19"/>
        <v>0.74957692307692303</v>
      </c>
      <c r="P240" s="45">
        <f>VLOOKUP(A240,'SSP_March''19'!$A$3:$Q$1193,16,0)</f>
        <v>10</v>
      </c>
      <c r="Q240" s="34">
        <f>VLOOKUP(A240,'SSP_March''19'!$A$3:$Q$1193,17,0)</f>
        <v>1</v>
      </c>
      <c r="R240" s="35">
        <f t="shared" si="20"/>
        <v>0.1</v>
      </c>
      <c r="S240" s="49">
        <f>ROUND(VLOOKUP(A240,'SSP_March''19'!$A$3:$T$1193,19,0),0)</f>
        <v>3</v>
      </c>
      <c r="T240" s="44">
        <f>VLOOKUP(A240,'SSP_March''19'!$A$3:$T$1193,20,0)</f>
        <v>0.3</v>
      </c>
      <c r="U240" s="34">
        <f>VLOOKUP(A240,'SSP_March''19'!$A$3:$X$1193,21,0)</f>
        <v>0</v>
      </c>
      <c r="V240" s="34">
        <f>VLOOKUP(A240,'SSP_March''19'!$A$3:$X$1193,22,0)</f>
        <v>0</v>
      </c>
      <c r="W240" s="34">
        <f>VLOOKUP(A240,'SSP_March''19'!$A$3:$X$1193,23,0)</f>
        <v>0</v>
      </c>
      <c r="X240" s="34">
        <f>VLOOKUP(A240,'SSP_March''19'!$A$3:$X$1193,24,0)</f>
        <v>0</v>
      </c>
    </row>
    <row r="241" spans="1:24">
      <c r="A241" s="54" t="s">
        <v>2745</v>
      </c>
      <c r="B241" s="54" t="s">
        <v>2746</v>
      </c>
      <c r="C241" s="54" t="s">
        <v>171</v>
      </c>
      <c r="D241" s="54" t="s">
        <v>172</v>
      </c>
      <c r="E241" s="54" t="s">
        <v>0</v>
      </c>
      <c r="F241" s="54" t="s">
        <v>2747</v>
      </c>
      <c r="G241" s="54">
        <v>1819199890</v>
      </c>
      <c r="H241" s="54" t="s">
        <v>229</v>
      </c>
      <c r="I241" s="54" t="s">
        <v>3514</v>
      </c>
      <c r="J241" s="34" t="s">
        <v>3515</v>
      </c>
      <c r="K241" s="43">
        <f>VLOOKUP(A241,'SSP_March''19'!$A$3:$L$1193,11,0)</f>
        <v>165494</v>
      </c>
      <c r="L241" s="43">
        <f>VLOOKUP(A241,'SSP_March''19'!$A$3:$L$1193,12,0)</f>
        <v>19370</v>
      </c>
      <c r="M241" s="44">
        <f t="shared" si="18"/>
        <v>0.11704351819401308</v>
      </c>
      <c r="N241" s="49">
        <f>ROUND(VLOOKUP(A241,'SSP_March''19'!$A$3:$N$1193,14,0),0)</f>
        <v>60047</v>
      </c>
      <c r="O241" s="44">
        <f t="shared" si="19"/>
        <v>0.36283490640144056</v>
      </c>
      <c r="P241" s="45">
        <f>VLOOKUP(A241,'SSP_March''19'!$A$3:$Q$1193,16,0)</f>
        <v>12</v>
      </c>
      <c r="Q241" s="34">
        <f>VLOOKUP(A241,'SSP_March''19'!$A$3:$Q$1193,17,0)</f>
        <v>1</v>
      </c>
      <c r="R241" s="35">
        <f t="shared" si="20"/>
        <v>8.3333333333333329E-2</v>
      </c>
      <c r="S241" s="49">
        <f>ROUND(VLOOKUP(A241,'SSP_March''19'!$A$3:$T$1193,19,0),0)</f>
        <v>3</v>
      </c>
      <c r="T241" s="44">
        <f>VLOOKUP(A241,'SSP_March''19'!$A$3:$T$1193,20,0)</f>
        <v>0.25</v>
      </c>
      <c r="U241" s="34">
        <f>VLOOKUP(A241,'SSP_March''19'!$A$3:$X$1193,21,0)</f>
        <v>0</v>
      </c>
      <c r="V241" s="34">
        <f>VLOOKUP(A241,'SSP_March''19'!$A$3:$X$1193,22,0)</f>
        <v>0</v>
      </c>
      <c r="W241" s="34">
        <f>VLOOKUP(A241,'SSP_March''19'!$A$3:$X$1193,23,0)</f>
        <v>0</v>
      </c>
      <c r="X241" s="34">
        <f>VLOOKUP(A241,'SSP_March''19'!$A$3:$X$1193,24,0)</f>
        <v>0</v>
      </c>
    </row>
    <row r="242" spans="1:24">
      <c r="A242" s="54" t="s">
        <v>2566</v>
      </c>
      <c r="B242" s="54" t="s">
        <v>2567</v>
      </c>
      <c r="C242" s="54" t="s">
        <v>171</v>
      </c>
      <c r="D242" s="54" t="s">
        <v>172</v>
      </c>
      <c r="E242" s="54" t="s">
        <v>0</v>
      </c>
      <c r="F242" s="54" t="s">
        <v>2568</v>
      </c>
      <c r="G242" s="54">
        <v>1739155907</v>
      </c>
      <c r="H242" s="54" t="s">
        <v>229</v>
      </c>
      <c r="I242" s="54" t="s">
        <v>3514</v>
      </c>
      <c r="J242" s="34" t="s">
        <v>3421</v>
      </c>
      <c r="K242" s="43">
        <f>VLOOKUP(A242,'SSP_March''19'!$A$3:$L$1193,11,0)</f>
        <v>130000</v>
      </c>
      <c r="L242" s="43">
        <f>VLOOKUP(A242,'SSP_March''19'!$A$3:$L$1193,12,0)</f>
        <v>3090</v>
      </c>
      <c r="M242" s="44">
        <f t="shared" si="18"/>
        <v>2.3769230769230768E-2</v>
      </c>
      <c r="N242" s="49">
        <f>ROUND(VLOOKUP(A242,'SSP_March''19'!$A$3:$N$1193,14,0),0)</f>
        <v>9579</v>
      </c>
      <c r="O242" s="44">
        <f t="shared" si="19"/>
        <v>7.368461538461539E-2</v>
      </c>
      <c r="P242" s="45">
        <f>VLOOKUP(A242,'SSP_March''19'!$A$3:$Q$1193,16,0)</f>
        <v>10</v>
      </c>
      <c r="Q242" s="34">
        <f>VLOOKUP(A242,'SSP_March''19'!$A$3:$Q$1193,17,0)</f>
        <v>0</v>
      </c>
      <c r="R242" s="35">
        <f t="shared" si="20"/>
        <v>0</v>
      </c>
      <c r="S242" s="49">
        <f>ROUND(VLOOKUP(A242,'SSP_March''19'!$A$3:$T$1193,19,0),0)</f>
        <v>0</v>
      </c>
      <c r="T242" s="44">
        <f>VLOOKUP(A242,'SSP_March''19'!$A$3:$T$1193,20,0)</f>
        <v>0</v>
      </c>
      <c r="U242" s="34">
        <f>VLOOKUP(A242,'SSP_March''19'!$A$3:$X$1193,21,0)</f>
        <v>0</v>
      </c>
      <c r="V242" s="34">
        <f>VLOOKUP(A242,'SSP_March''19'!$A$3:$X$1193,22,0)</f>
        <v>0</v>
      </c>
      <c r="W242" s="34">
        <f>VLOOKUP(A242,'SSP_March''19'!$A$3:$X$1193,23,0)</f>
        <v>0</v>
      </c>
      <c r="X242" s="34">
        <f>VLOOKUP(A242,'SSP_March''19'!$A$3:$X$1193,24,0)</f>
        <v>0</v>
      </c>
    </row>
    <row r="243" spans="1:24">
      <c r="A243" s="54" t="s">
        <v>2880</v>
      </c>
      <c r="B243" s="54" t="s">
        <v>2881</v>
      </c>
      <c r="C243" s="54" t="s">
        <v>171</v>
      </c>
      <c r="D243" s="54" t="s">
        <v>172</v>
      </c>
      <c r="E243" s="54" t="s">
        <v>0</v>
      </c>
      <c r="F243" s="54" t="s">
        <v>2882</v>
      </c>
      <c r="G243" s="54">
        <v>1733880880</v>
      </c>
      <c r="H243" s="54" t="s">
        <v>229</v>
      </c>
      <c r="I243" s="54" t="s">
        <v>3514</v>
      </c>
      <c r="J243" s="34" t="s">
        <v>3421</v>
      </c>
      <c r="K243" s="43">
        <f>VLOOKUP(A243,'SSP_March''19'!$A$3:$L$1193,11,0)</f>
        <v>130000</v>
      </c>
      <c r="L243" s="43">
        <f>VLOOKUP(A243,'SSP_March''19'!$A$3:$L$1193,12,0)</f>
        <v>14420</v>
      </c>
      <c r="M243" s="44">
        <f t="shared" si="18"/>
        <v>0.11092307692307693</v>
      </c>
      <c r="N243" s="49">
        <f>ROUND(VLOOKUP(A243,'SSP_March''19'!$A$3:$N$1193,14,0),0)</f>
        <v>44702</v>
      </c>
      <c r="O243" s="44">
        <f t="shared" si="19"/>
        <v>0.34386153846153844</v>
      </c>
      <c r="P243" s="45">
        <f>VLOOKUP(A243,'SSP_March''19'!$A$3:$Q$1193,16,0)</f>
        <v>10</v>
      </c>
      <c r="Q243" s="34">
        <f>VLOOKUP(A243,'SSP_March''19'!$A$3:$Q$1193,17,0)</f>
        <v>0</v>
      </c>
      <c r="R243" s="35">
        <f t="shared" si="20"/>
        <v>0</v>
      </c>
      <c r="S243" s="49">
        <f>ROUND(VLOOKUP(A243,'SSP_March''19'!$A$3:$T$1193,19,0),0)</f>
        <v>0</v>
      </c>
      <c r="T243" s="44">
        <f>VLOOKUP(A243,'SSP_March''19'!$A$3:$T$1193,20,0)</f>
        <v>0</v>
      </c>
      <c r="U243" s="34">
        <f>VLOOKUP(A243,'SSP_March''19'!$A$3:$X$1193,21,0)</f>
        <v>0</v>
      </c>
      <c r="V243" s="34">
        <f>VLOOKUP(A243,'SSP_March''19'!$A$3:$X$1193,22,0)</f>
        <v>0</v>
      </c>
      <c r="W243" s="34">
        <f>VLOOKUP(A243,'SSP_March''19'!$A$3:$X$1193,23,0)</f>
        <v>0</v>
      </c>
      <c r="X243" s="34">
        <f>VLOOKUP(A243,'SSP_March''19'!$A$3:$X$1193,24,0)</f>
        <v>0</v>
      </c>
    </row>
    <row r="244" spans="1:24">
      <c r="A244" s="54" t="s">
        <v>2821</v>
      </c>
      <c r="B244" s="54" t="s">
        <v>2822</v>
      </c>
      <c r="C244" s="54" t="s">
        <v>171</v>
      </c>
      <c r="D244" s="54" t="s">
        <v>172</v>
      </c>
      <c r="E244" s="54" t="s">
        <v>0</v>
      </c>
      <c r="F244" s="54" t="s">
        <v>2823</v>
      </c>
      <c r="G244" s="54">
        <v>1612883176</v>
      </c>
      <c r="H244" s="54" t="s">
        <v>229</v>
      </c>
      <c r="I244" s="54" t="s">
        <v>3514</v>
      </c>
      <c r="J244" s="34" t="s">
        <v>3515</v>
      </c>
      <c r="K244" s="43">
        <f>VLOOKUP(A244,'SSP_March''19'!$A$3:$L$1193,11,0)</f>
        <v>239917</v>
      </c>
      <c r="L244" s="43">
        <f>VLOOKUP(A244,'SSP_March''19'!$A$3:$L$1193,12,0)</f>
        <v>53500</v>
      </c>
      <c r="M244" s="44">
        <f t="shared" si="12"/>
        <v>0.22299378535076714</v>
      </c>
      <c r="N244" s="49">
        <f>ROUND(VLOOKUP(A244,'SSP_March''19'!$A$3:$N$1193,14,0),0)</f>
        <v>165850</v>
      </c>
      <c r="O244" s="44">
        <f t="shared" si="13"/>
        <v>0.69128073458737815</v>
      </c>
      <c r="P244" s="45">
        <f>VLOOKUP(A244,'SSP_March''19'!$A$3:$Q$1193,16,0)</f>
        <v>10</v>
      </c>
      <c r="Q244" s="34">
        <f>VLOOKUP(A244,'SSP_March''19'!$A$3:$Q$1193,17,0)</f>
        <v>1</v>
      </c>
      <c r="R244" s="35">
        <f t="shared" si="14"/>
        <v>0.1</v>
      </c>
      <c r="S244" s="49">
        <f>ROUND(VLOOKUP(A244,'SSP_March''19'!$A$3:$T$1193,19,0),0)</f>
        <v>3</v>
      </c>
      <c r="T244" s="44">
        <f>VLOOKUP(A244,'SSP_March''19'!$A$3:$T$1193,20,0)</f>
        <v>0.3</v>
      </c>
      <c r="U244" s="34">
        <f>VLOOKUP(A244,'SSP_March''19'!$A$3:$X$1193,21,0)</f>
        <v>1</v>
      </c>
      <c r="V244" s="34">
        <f>VLOOKUP(A244,'SSP_March''19'!$A$3:$X$1193,22,0)</f>
        <v>0</v>
      </c>
      <c r="W244" s="34">
        <f>VLOOKUP(A244,'SSP_March''19'!$A$3:$X$1193,23,0)</f>
        <v>0</v>
      </c>
      <c r="X244" s="34">
        <f>VLOOKUP(A244,'SSP_March''19'!$A$3:$X$1193,24,0)</f>
        <v>0</v>
      </c>
    </row>
    <row r="245" spans="1:24">
      <c r="A245" s="54" t="s">
        <v>2889</v>
      </c>
      <c r="B245" s="54" t="s">
        <v>2890</v>
      </c>
      <c r="C245" s="54" t="s">
        <v>171</v>
      </c>
      <c r="D245" s="54" t="s">
        <v>172</v>
      </c>
      <c r="E245" s="54" t="s">
        <v>0</v>
      </c>
      <c r="F245" s="54" t="s">
        <v>2833</v>
      </c>
      <c r="G245" s="54">
        <v>1712514202</v>
      </c>
      <c r="H245" s="54" t="s">
        <v>229</v>
      </c>
      <c r="I245" s="54" t="s">
        <v>3514</v>
      </c>
      <c r="J245" s="34" t="s">
        <v>3421</v>
      </c>
      <c r="K245" s="43">
        <f>VLOOKUP(A245,'SSP_March''19'!$A$3:$L$1193,11,0)</f>
        <v>130000</v>
      </c>
      <c r="L245" s="43">
        <f>VLOOKUP(A245,'SSP_March''19'!$A$3:$L$1193,12,0)</f>
        <v>14570</v>
      </c>
      <c r="M245" s="44">
        <f t="shared" si="12"/>
        <v>0.11207692307692307</v>
      </c>
      <c r="N245" s="49">
        <f>ROUND(VLOOKUP(A245,'SSP_March''19'!$A$3:$N$1193,14,0),0)</f>
        <v>45167</v>
      </c>
      <c r="O245" s="44">
        <f t="shared" si="13"/>
        <v>0.34743846153846153</v>
      </c>
      <c r="P245" s="45">
        <f>VLOOKUP(A245,'SSP_March''19'!$A$3:$Q$1193,16,0)</f>
        <v>10</v>
      </c>
      <c r="Q245" s="34">
        <f>VLOOKUP(A245,'SSP_March''19'!$A$3:$Q$1193,17,0)</f>
        <v>0</v>
      </c>
      <c r="R245" s="35">
        <f t="shared" si="14"/>
        <v>0</v>
      </c>
      <c r="S245" s="49">
        <f>ROUND(VLOOKUP(A245,'SSP_March''19'!$A$3:$T$1193,19,0),0)</f>
        <v>0</v>
      </c>
      <c r="T245" s="44">
        <f>VLOOKUP(A245,'SSP_March''19'!$A$3:$T$1193,20,0)</f>
        <v>0</v>
      </c>
      <c r="U245" s="34">
        <f>VLOOKUP(A245,'SSP_March''19'!$A$3:$X$1193,21,0)</f>
        <v>0</v>
      </c>
      <c r="V245" s="34">
        <f>VLOOKUP(A245,'SSP_March''19'!$A$3:$X$1193,22,0)</f>
        <v>0</v>
      </c>
      <c r="W245" s="34">
        <f>VLOOKUP(A245,'SSP_March''19'!$A$3:$X$1193,23,0)</f>
        <v>0</v>
      </c>
      <c r="X245" s="34">
        <f>VLOOKUP(A245,'SSP_March''19'!$A$3:$X$1193,24,0)</f>
        <v>0</v>
      </c>
    </row>
    <row r="246" spans="1:24">
      <c r="A246" s="54" t="s">
        <v>3287</v>
      </c>
      <c r="B246" s="54" t="s">
        <v>3288</v>
      </c>
      <c r="C246" s="54" t="s">
        <v>171</v>
      </c>
      <c r="D246" s="54" t="s">
        <v>172</v>
      </c>
      <c r="E246" s="54" t="s">
        <v>0</v>
      </c>
      <c r="F246" s="54" t="s">
        <v>3289</v>
      </c>
      <c r="G246" s="54">
        <v>1712455520</v>
      </c>
      <c r="H246" s="54" t="s">
        <v>229</v>
      </c>
      <c r="I246" s="54" t="s">
        <v>3514</v>
      </c>
      <c r="J246" s="34" t="s">
        <v>3421</v>
      </c>
      <c r="K246" s="43">
        <f>VLOOKUP(A246,'SSP_March''19'!$A$3:$L$1193,11,0)</f>
        <v>130000</v>
      </c>
      <c r="L246" s="43">
        <f>VLOOKUP(A246,'SSP_March''19'!$A$3:$L$1193,12,0)</f>
        <v>16320</v>
      </c>
      <c r="M246" s="44">
        <f t="shared" si="12"/>
        <v>0.12553846153846154</v>
      </c>
      <c r="N246" s="49">
        <f>ROUND(VLOOKUP(A246,'SSP_March''19'!$A$3:$N$1193,14,0),0)</f>
        <v>50592</v>
      </c>
      <c r="O246" s="44">
        <f t="shared" si="13"/>
        <v>0.38916923076923077</v>
      </c>
      <c r="P246" s="45">
        <f>VLOOKUP(A246,'SSP_March''19'!$A$3:$Q$1193,16,0)</f>
        <v>10</v>
      </c>
      <c r="Q246" s="34">
        <f>VLOOKUP(A246,'SSP_March''19'!$A$3:$Q$1193,17,0)</f>
        <v>0</v>
      </c>
      <c r="R246" s="35">
        <f t="shared" si="14"/>
        <v>0</v>
      </c>
      <c r="S246" s="49">
        <f>ROUND(VLOOKUP(A246,'SSP_March''19'!$A$3:$T$1193,19,0),0)</f>
        <v>0</v>
      </c>
      <c r="T246" s="44">
        <f>VLOOKUP(A246,'SSP_March''19'!$A$3:$T$1193,20,0)</f>
        <v>0</v>
      </c>
      <c r="U246" s="34">
        <f>VLOOKUP(A246,'SSP_March''19'!$A$3:$X$1193,21,0)</f>
        <v>0</v>
      </c>
      <c r="V246" s="34">
        <f>VLOOKUP(A246,'SSP_March''19'!$A$3:$X$1193,22,0)</f>
        <v>0</v>
      </c>
      <c r="W246" s="34">
        <f>VLOOKUP(A246,'SSP_March''19'!$A$3:$X$1193,23,0)</f>
        <v>0</v>
      </c>
      <c r="X246" s="34">
        <f>VLOOKUP(A246,'SSP_March''19'!$A$3:$X$1193,24,0)</f>
        <v>0</v>
      </c>
    </row>
    <row r="247" spans="1:24">
      <c r="A247" s="54" t="s">
        <v>2804</v>
      </c>
      <c r="B247" s="54" t="s">
        <v>730</v>
      </c>
      <c r="C247" s="54" t="s">
        <v>171</v>
      </c>
      <c r="D247" s="54" t="s">
        <v>172</v>
      </c>
      <c r="E247" s="54" t="s">
        <v>0</v>
      </c>
      <c r="F247" s="54" t="s">
        <v>2805</v>
      </c>
      <c r="G247" s="54">
        <v>1712418685</v>
      </c>
      <c r="H247" s="54" t="s">
        <v>229</v>
      </c>
      <c r="I247" s="54" t="s">
        <v>3514</v>
      </c>
      <c r="J247" s="34" t="s">
        <v>3421</v>
      </c>
      <c r="K247" s="43">
        <f>VLOOKUP(A247,'SSP_March''19'!$A$3:$L$1193,11,0)</f>
        <v>130000</v>
      </c>
      <c r="L247" s="43">
        <f>VLOOKUP(A247,'SSP_March''19'!$A$3:$L$1193,12,0)</f>
        <v>32790</v>
      </c>
      <c r="M247" s="44">
        <f t="shared" si="12"/>
        <v>0.25223076923076926</v>
      </c>
      <c r="N247" s="49">
        <f>ROUND(VLOOKUP(A247,'SSP_March''19'!$A$3:$N$1193,14,0),0)</f>
        <v>101649</v>
      </c>
      <c r="O247" s="44">
        <f t="shared" si="13"/>
        <v>0.78191538461538457</v>
      </c>
      <c r="P247" s="45">
        <f>VLOOKUP(A247,'SSP_March''19'!$A$3:$Q$1193,16,0)</f>
        <v>10</v>
      </c>
      <c r="Q247" s="34">
        <f>VLOOKUP(A247,'SSP_March''19'!$A$3:$Q$1193,17,0)</f>
        <v>2</v>
      </c>
      <c r="R247" s="35">
        <f t="shared" si="14"/>
        <v>0.2</v>
      </c>
      <c r="S247" s="49">
        <f>ROUND(VLOOKUP(A247,'SSP_March''19'!$A$3:$T$1193,19,0),0)</f>
        <v>6</v>
      </c>
      <c r="T247" s="44">
        <f>VLOOKUP(A247,'SSP_March''19'!$A$3:$T$1193,20,0)</f>
        <v>0.6</v>
      </c>
      <c r="U247" s="34">
        <f>VLOOKUP(A247,'SSP_March''19'!$A$3:$X$1193,21,0)</f>
        <v>0</v>
      </c>
      <c r="V247" s="34">
        <f>VLOOKUP(A247,'SSP_March''19'!$A$3:$X$1193,22,0)</f>
        <v>0</v>
      </c>
      <c r="W247" s="34">
        <f>VLOOKUP(A247,'SSP_March''19'!$A$3:$X$1193,23,0)</f>
        <v>0</v>
      </c>
      <c r="X247" s="34">
        <f>VLOOKUP(A247,'SSP_March''19'!$A$3:$X$1193,24,0)</f>
        <v>0</v>
      </c>
    </row>
    <row r="248" spans="1:24">
      <c r="A248" s="54" t="s">
        <v>2834</v>
      </c>
      <c r="B248" s="54" t="s">
        <v>2835</v>
      </c>
      <c r="C248" s="54" t="s">
        <v>171</v>
      </c>
      <c r="D248" s="54" t="s">
        <v>172</v>
      </c>
      <c r="E248" s="54" t="s">
        <v>0</v>
      </c>
      <c r="F248" s="54" t="s">
        <v>3290</v>
      </c>
      <c r="G248" s="54">
        <v>1721820229</v>
      </c>
      <c r="H248" s="54" t="s">
        <v>229</v>
      </c>
      <c r="I248" s="54" t="s">
        <v>3514</v>
      </c>
      <c r="J248" s="34" t="s">
        <v>3421</v>
      </c>
      <c r="K248" s="43">
        <f>VLOOKUP(A248,'SSP_March''19'!$A$3:$L$1193,11,0)</f>
        <v>130000</v>
      </c>
      <c r="L248" s="43">
        <f>VLOOKUP(A248,'SSP_March''19'!$A$3:$L$1193,12,0)</f>
        <v>29090</v>
      </c>
      <c r="M248" s="44">
        <f t="shared" si="12"/>
        <v>0.22376923076923078</v>
      </c>
      <c r="N248" s="49">
        <f>ROUND(VLOOKUP(A248,'SSP_March''19'!$A$3:$N$1193,14,0),0)</f>
        <v>90179</v>
      </c>
      <c r="O248" s="44">
        <f t="shared" si="13"/>
        <v>0.69368461538461534</v>
      </c>
      <c r="P248" s="45">
        <f>VLOOKUP(A248,'SSP_March''19'!$A$3:$Q$1193,16,0)</f>
        <v>10</v>
      </c>
      <c r="Q248" s="34">
        <f>VLOOKUP(A248,'SSP_March''19'!$A$3:$Q$1193,17,0)</f>
        <v>1</v>
      </c>
      <c r="R248" s="35">
        <f t="shared" si="14"/>
        <v>0.1</v>
      </c>
      <c r="S248" s="49">
        <f>ROUND(VLOOKUP(A248,'SSP_March''19'!$A$3:$T$1193,19,0),0)</f>
        <v>3</v>
      </c>
      <c r="T248" s="44">
        <f>VLOOKUP(A248,'SSP_March''19'!$A$3:$T$1193,20,0)</f>
        <v>0.3</v>
      </c>
      <c r="U248" s="34">
        <f>VLOOKUP(A248,'SSP_March''19'!$A$3:$X$1193,21,0)</f>
        <v>1</v>
      </c>
      <c r="V248" s="34">
        <f>VLOOKUP(A248,'SSP_March''19'!$A$3:$X$1193,22,0)</f>
        <v>0</v>
      </c>
      <c r="W248" s="34">
        <f>VLOOKUP(A248,'SSP_March''19'!$A$3:$X$1193,23,0)</f>
        <v>0</v>
      </c>
      <c r="X248" s="34">
        <f>VLOOKUP(A248,'SSP_March''19'!$A$3:$X$1193,24,0)</f>
        <v>0</v>
      </c>
    </row>
    <row r="249" spans="1:24">
      <c r="A249" s="54" t="s">
        <v>3291</v>
      </c>
      <c r="B249" s="54" t="s">
        <v>2761</v>
      </c>
      <c r="C249" s="54" t="s">
        <v>171</v>
      </c>
      <c r="D249" s="54" t="s">
        <v>172</v>
      </c>
      <c r="E249" s="54" t="s">
        <v>0</v>
      </c>
      <c r="F249" s="54" t="s">
        <v>3292</v>
      </c>
      <c r="G249" s="54">
        <v>1683730330</v>
      </c>
      <c r="H249" s="54" t="s">
        <v>229</v>
      </c>
      <c r="I249" s="54" t="s">
        <v>3514</v>
      </c>
      <c r="J249" s="34" t="s">
        <v>3421</v>
      </c>
      <c r="K249" s="43">
        <f>VLOOKUP(A249,'SSP_March''19'!$A$3:$L$1193,11,0)</f>
        <v>130000</v>
      </c>
      <c r="L249" s="43">
        <f>VLOOKUP(A249,'SSP_March''19'!$A$3:$L$1193,12,0)</f>
        <v>59470</v>
      </c>
      <c r="M249" s="44">
        <f t="shared" si="12"/>
        <v>0.45746153846153847</v>
      </c>
      <c r="N249" s="49">
        <f>ROUND(VLOOKUP(A249,'SSP_March''19'!$A$3:$N$1193,14,0),0)</f>
        <v>184357</v>
      </c>
      <c r="O249" s="44">
        <f t="shared" si="13"/>
        <v>1.4181307692307692</v>
      </c>
      <c r="P249" s="45">
        <f>VLOOKUP(A249,'SSP_March''19'!$A$3:$Q$1193,16,0)</f>
        <v>10</v>
      </c>
      <c r="Q249" s="34">
        <f>VLOOKUP(A249,'SSP_March''19'!$A$3:$Q$1193,17,0)</f>
        <v>5</v>
      </c>
      <c r="R249" s="35">
        <f t="shared" si="14"/>
        <v>0.5</v>
      </c>
      <c r="S249" s="49">
        <f>ROUND(VLOOKUP(A249,'SSP_March''19'!$A$3:$T$1193,19,0),0)</f>
        <v>16</v>
      </c>
      <c r="T249" s="44">
        <f>VLOOKUP(A249,'SSP_March''19'!$A$3:$T$1193,20,0)</f>
        <v>1.6</v>
      </c>
      <c r="U249" s="34">
        <f>VLOOKUP(A249,'SSP_March''19'!$A$3:$X$1193,21,0)</f>
        <v>1</v>
      </c>
      <c r="V249" s="34">
        <f>VLOOKUP(A249,'SSP_March''19'!$A$3:$X$1193,22,0)</f>
        <v>0</v>
      </c>
      <c r="W249" s="34">
        <f>VLOOKUP(A249,'SSP_March''19'!$A$3:$X$1193,23,0)</f>
        <v>0</v>
      </c>
      <c r="X249" s="34">
        <f>VLOOKUP(A249,'SSP_March''19'!$A$3:$X$1193,24,0)</f>
        <v>2</v>
      </c>
    </row>
    <row r="250" spans="1:24">
      <c r="A250" s="54" t="s">
        <v>3293</v>
      </c>
      <c r="B250" s="54" t="s">
        <v>3294</v>
      </c>
      <c r="C250" s="54" t="s">
        <v>171</v>
      </c>
      <c r="D250" s="54" t="s">
        <v>172</v>
      </c>
      <c r="E250" s="54" t="s">
        <v>0</v>
      </c>
      <c r="F250" s="54" t="s">
        <v>3295</v>
      </c>
      <c r="G250" s="54">
        <v>1682350315</v>
      </c>
      <c r="H250" s="54" t="s">
        <v>229</v>
      </c>
      <c r="I250" s="54" t="s">
        <v>3514</v>
      </c>
      <c r="J250" s="34" t="s">
        <v>3515</v>
      </c>
      <c r="K250" s="43">
        <f>VLOOKUP(A250,'SSP_March''19'!$A$3:$L$1193,11,0)</f>
        <v>130000</v>
      </c>
      <c r="L250" s="43">
        <f>VLOOKUP(A250,'SSP_March''19'!$A$3:$L$1193,12,0)</f>
        <v>30000</v>
      </c>
      <c r="M250" s="44">
        <f t="shared" si="12"/>
        <v>0.23076923076923078</v>
      </c>
      <c r="N250" s="49">
        <f>ROUND(VLOOKUP(A250,'SSP_March''19'!$A$3:$N$1193,14,0),0)</f>
        <v>93000</v>
      </c>
      <c r="O250" s="44">
        <f t="shared" si="13"/>
        <v>0.7153846153846154</v>
      </c>
      <c r="P250" s="45">
        <f>VLOOKUP(A250,'SSP_March''19'!$A$3:$Q$1193,16,0)</f>
        <v>10</v>
      </c>
      <c r="Q250" s="34">
        <f>VLOOKUP(A250,'SSP_March''19'!$A$3:$Q$1193,17,0)</f>
        <v>2</v>
      </c>
      <c r="R250" s="35">
        <f t="shared" si="14"/>
        <v>0.2</v>
      </c>
      <c r="S250" s="49">
        <f>ROUND(VLOOKUP(A250,'SSP_March''19'!$A$3:$T$1193,19,0),0)</f>
        <v>6</v>
      </c>
      <c r="T250" s="44">
        <f>VLOOKUP(A250,'SSP_March''19'!$A$3:$T$1193,20,0)</f>
        <v>0.6</v>
      </c>
      <c r="U250" s="34">
        <f>VLOOKUP(A250,'SSP_March''19'!$A$3:$X$1193,21,0)</f>
        <v>0</v>
      </c>
      <c r="V250" s="34">
        <f>VLOOKUP(A250,'SSP_March''19'!$A$3:$X$1193,22,0)</f>
        <v>0</v>
      </c>
      <c r="W250" s="34">
        <f>VLOOKUP(A250,'SSP_March''19'!$A$3:$X$1193,23,0)</f>
        <v>0</v>
      </c>
      <c r="X250" s="34">
        <f>VLOOKUP(A250,'SSP_March''19'!$A$3:$X$1193,24,0)</f>
        <v>0</v>
      </c>
    </row>
    <row r="251" spans="1:24">
      <c r="A251" s="54" t="s">
        <v>2783</v>
      </c>
      <c r="B251" s="54" t="s">
        <v>2784</v>
      </c>
      <c r="C251" s="54" t="s">
        <v>171</v>
      </c>
      <c r="D251" s="54" t="s">
        <v>172</v>
      </c>
      <c r="E251" s="54" t="s">
        <v>0</v>
      </c>
      <c r="F251" s="54" t="s">
        <v>2785</v>
      </c>
      <c r="G251" s="54">
        <v>1712108603</v>
      </c>
      <c r="H251" s="54" t="s">
        <v>229</v>
      </c>
      <c r="I251" s="54" t="s">
        <v>3514</v>
      </c>
      <c r="J251" s="34" t="s">
        <v>3419</v>
      </c>
      <c r="K251" s="43">
        <f>VLOOKUP(A251,'SSP_March''19'!$A$3:$L$1193,11,0)</f>
        <v>130000</v>
      </c>
      <c r="L251" s="43">
        <f>VLOOKUP(A251,'SSP_March''19'!$A$3:$L$1193,12,0)</f>
        <v>51720</v>
      </c>
      <c r="M251" s="44">
        <f t="shared" si="12"/>
        <v>0.39784615384615385</v>
      </c>
      <c r="N251" s="49">
        <f>ROUND(VLOOKUP(A251,'SSP_March''19'!$A$3:$N$1193,14,0),0)</f>
        <v>160332</v>
      </c>
      <c r="O251" s="44">
        <f t="shared" si="13"/>
        <v>1.233323076923077</v>
      </c>
      <c r="P251" s="45">
        <f>VLOOKUP(A251,'SSP_March''19'!$A$3:$Q$1193,16,0)</f>
        <v>10</v>
      </c>
      <c r="Q251" s="34">
        <f>VLOOKUP(A251,'SSP_March''19'!$A$3:$Q$1193,17,0)</f>
        <v>4</v>
      </c>
      <c r="R251" s="35">
        <f t="shared" si="14"/>
        <v>0.4</v>
      </c>
      <c r="S251" s="49">
        <f>ROUND(VLOOKUP(A251,'SSP_March''19'!$A$3:$T$1193,19,0),0)</f>
        <v>12</v>
      </c>
      <c r="T251" s="44">
        <f>VLOOKUP(A251,'SSP_March''19'!$A$3:$T$1193,20,0)</f>
        <v>1.2</v>
      </c>
      <c r="U251" s="34">
        <f>VLOOKUP(A251,'SSP_March''19'!$A$3:$X$1193,21,0)</f>
        <v>1</v>
      </c>
      <c r="V251" s="34">
        <f>VLOOKUP(A251,'SSP_March''19'!$A$3:$X$1193,22,0)</f>
        <v>0</v>
      </c>
      <c r="W251" s="34">
        <f>VLOOKUP(A251,'SSP_March''19'!$A$3:$X$1193,23,0)</f>
        <v>0</v>
      </c>
      <c r="X251" s="34">
        <f>VLOOKUP(A251,'SSP_March''19'!$A$3:$X$1193,24,0)</f>
        <v>0</v>
      </c>
    </row>
    <row r="252" spans="1:24">
      <c r="A252" s="54" t="s">
        <v>2812</v>
      </c>
      <c r="B252" s="54" t="s">
        <v>2813</v>
      </c>
      <c r="C252" s="54" t="s">
        <v>171</v>
      </c>
      <c r="D252" s="54" t="s">
        <v>172</v>
      </c>
      <c r="E252" s="54" t="s">
        <v>0</v>
      </c>
      <c r="F252" s="54" t="s">
        <v>2814</v>
      </c>
      <c r="G252" s="54">
        <v>1712179329</v>
      </c>
      <c r="H252" s="54" t="s">
        <v>229</v>
      </c>
      <c r="I252" s="54" t="s">
        <v>3514</v>
      </c>
      <c r="J252" s="34" t="s">
        <v>3421</v>
      </c>
      <c r="K252" s="43">
        <f>VLOOKUP(A252,'SSP_March''19'!$A$3:$L$1193,11,0)</f>
        <v>130000</v>
      </c>
      <c r="L252" s="43">
        <f>VLOOKUP(A252,'SSP_March''19'!$A$3:$L$1193,12,0)</f>
        <v>24260</v>
      </c>
      <c r="M252" s="44">
        <f t="shared" si="12"/>
        <v>0.18661538461538463</v>
      </c>
      <c r="N252" s="49">
        <f>ROUND(VLOOKUP(A252,'SSP_March''19'!$A$3:$N$1193,14,0),0)</f>
        <v>75206</v>
      </c>
      <c r="O252" s="44">
        <f t="shared" si="13"/>
        <v>0.57850769230769228</v>
      </c>
      <c r="P252" s="45">
        <f>VLOOKUP(A252,'SSP_March''19'!$A$3:$Q$1193,16,0)</f>
        <v>10</v>
      </c>
      <c r="Q252" s="34">
        <f>VLOOKUP(A252,'SSP_March''19'!$A$3:$Q$1193,17,0)</f>
        <v>3</v>
      </c>
      <c r="R252" s="35">
        <f t="shared" si="14"/>
        <v>0.3</v>
      </c>
      <c r="S252" s="49">
        <f>ROUND(VLOOKUP(A252,'SSP_March''19'!$A$3:$T$1193,19,0),0)</f>
        <v>9</v>
      </c>
      <c r="T252" s="44">
        <f>VLOOKUP(A252,'SSP_March''19'!$A$3:$T$1193,20,0)</f>
        <v>0.9</v>
      </c>
      <c r="U252" s="34">
        <f>VLOOKUP(A252,'SSP_March''19'!$A$3:$X$1193,21,0)</f>
        <v>0</v>
      </c>
      <c r="V252" s="34">
        <f>VLOOKUP(A252,'SSP_March''19'!$A$3:$X$1193,22,0)</f>
        <v>0</v>
      </c>
      <c r="W252" s="34">
        <f>VLOOKUP(A252,'SSP_March''19'!$A$3:$X$1193,23,0)</f>
        <v>0</v>
      </c>
      <c r="X252" s="34">
        <f>VLOOKUP(A252,'SSP_March''19'!$A$3:$X$1193,24,0)</f>
        <v>0</v>
      </c>
    </row>
    <row r="253" spans="1:24">
      <c r="A253" s="54" t="s">
        <v>2364</v>
      </c>
      <c r="B253" s="54" t="s">
        <v>2365</v>
      </c>
      <c r="C253" s="54" t="s">
        <v>171</v>
      </c>
      <c r="D253" s="54" t="s">
        <v>172</v>
      </c>
      <c r="E253" s="54" t="s">
        <v>0</v>
      </c>
      <c r="F253" s="54" t="s">
        <v>876</v>
      </c>
      <c r="G253" s="54">
        <v>1677049818</v>
      </c>
      <c r="H253" s="54" t="s">
        <v>229</v>
      </c>
      <c r="I253" s="54" t="s">
        <v>3514</v>
      </c>
      <c r="J253" s="34" t="s">
        <v>3515</v>
      </c>
      <c r="K253" s="43">
        <f>VLOOKUP(A253,'SSP_March''19'!$A$3:$L$1193,11,0)</f>
        <v>166650</v>
      </c>
      <c r="L253" s="43">
        <f>VLOOKUP(A253,'SSP_March''19'!$A$3:$L$1193,12,0)</f>
        <v>59995</v>
      </c>
      <c r="M253" s="44">
        <f t="shared" si="12"/>
        <v>0.36000600060005999</v>
      </c>
      <c r="N253" s="49">
        <f>ROUND(VLOOKUP(A253,'SSP_March''19'!$A$3:$N$1193,14,0),0)</f>
        <v>185985</v>
      </c>
      <c r="O253" s="44">
        <f t="shared" si="13"/>
        <v>1.1160216021602161</v>
      </c>
      <c r="P253" s="45">
        <f>VLOOKUP(A253,'SSP_March''19'!$A$3:$Q$1193,16,0)</f>
        <v>10</v>
      </c>
      <c r="Q253" s="34">
        <f>VLOOKUP(A253,'SSP_March''19'!$A$3:$Q$1193,17,0)</f>
        <v>4</v>
      </c>
      <c r="R253" s="35">
        <f t="shared" si="14"/>
        <v>0.4</v>
      </c>
      <c r="S253" s="49">
        <f>ROUND(VLOOKUP(A253,'SSP_March''19'!$A$3:$T$1193,19,0),0)</f>
        <v>12</v>
      </c>
      <c r="T253" s="44">
        <f>VLOOKUP(A253,'SSP_March''19'!$A$3:$T$1193,20,0)</f>
        <v>1.2</v>
      </c>
      <c r="U253" s="34">
        <f>VLOOKUP(A253,'SSP_March''19'!$A$3:$X$1193,21,0)</f>
        <v>1</v>
      </c>
      <c r="V253" s="34">
        <f>VLOOKUP(A253,'SSP_March''19'!$A$3:$X$1193,22,0)</f>
        <v>0</v>
      </c>
      <c r="W253" s="34">
        <f>VLOOKUP(A253,'SSP_March''19'!$A$3:$X$1193,23,0)</f>
        <v>0</v>
      </c>
      <c r="X253" s="34">
        <f>VLOOKUP(A253,'SSP_March''19'!$A$3:$X$1193,24,0)</f>
        <v>0</v>
      </c>
    </row>
  </sheetData>
  <conditionalFormatting sqref="A440:A1048576">
    <cfRule type="duplicateValues" dxfId="34" priority="45"/>
  </conditionalFormatting>
  <conditionalFormatting sqref="A2">
    <cfRule type="duplicateValues" dxfId="33" priority="43"/>
  </conditionalFormatting>
  <conditionalFormatting sqref="A2">
    <cfRule type="duplicateValues" dxfId="32" priority="41"/>
    <cfRule type="duplicateValues" priority="42"/>
  </conditionalFormatting>
  <conditionalFormatting sqref="A2">
    <cfRule type="duplicateValues" dxfId="31" priority="40"/>
  </conditionalFormatting>
  <conditionalFormatting sqref="A2">
    <cfRule type="duplicateValues" dxfId="30" priority="44"/>
  </conditionalFormatting>
  <conditionalFormatting sqref="A2">
    <cfRule type="duplicateValues" dxfId="29" priority="39"/>
  </conditionalFormatting>
  <conditionalFormatting sqref="A3:A253">
    <cfRule type="duplicateValues" dxfId="28" priority="1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66"/>
  <sheetViews>
    <sheetView workbookViewId="0">
      <pane xSplit="2" ySplit="2" topLeftCell="J3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R2" sqref="R2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8" max="8" width="11.28515625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SUBTOTAL(9,K3:K166)</f>
        <v>27409645</v>
      </c>
      <c r="L1" s="31">
        <f>SUBTOTAL(9,L3:L166)</f>
        <v>6859454</v>
      </c>
      <c r="M1" s="30">
        <f>L1/K1</f>
        <v>0.25025694422529005</v>
      </c>
      <c r="N1" s="30"/>
      <c r="O1" s="30"/>
      <c r="P1" s="31">
        <f>SUBTOTAL(9,P3:P166)</f>
        <v>1890</v>
      </c>
      <c r="Q1" s="31">
        <f>SUBTOTAL(9,Q3:Q166)</f>
        <v>376</v>
      </c>
      <c r="R1" s="30">
        <f>Q1/P1</f>
        <v>0.19894179894179895</v>
      </c>
      <c r="S1" s="30"/>
      <c r="T1" s="30"/>
      <c r="U1" s="31">
        <f>SUBTOTAL(9,U3:U166)</f>
        <v>138</v>
      </c>
      <c r="V1" s="31">
        <f>SUBTOTAL(9,V3:V166)</f>
        <v>84</v>
      </c>
      <c r="W1" s="31">
        <f>SUBTOTAL(9,W3:W166)</f>
        <v>5</v>
      </c>
      <c r="X1" s="31">
        <f>SUBTOTAL(9,X3:X166)</f>
        <v>19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34" t="s">
        <v>2051</v>
      </c>
      <c r="B3" s="34" t="s">
        <v>62</v>
      </c>
      <c r="C3" s="34" t="s">
        <v>60</v>
      </c>
      <c r="D3" s="34" t="s">
        <v>61</v>
      </c>
      <c r="E3" s="34" t="s">
        <v>4</v>
      </c>
      <c r="F3" s="34" t="s">
        <v>2052</v>
      </c>
      <c r="G3" s="54">
        <v>1930459057</v>
      </c>
      <c r="H3" s="54" t="s">
        <v>229</v>
      </c>
      <c r="I3" s="54" t="s">
        <v>3514</v>
      </c>
      <c r="J3" s="34" t="s">
        <v>3419</v>
      </c>
      <c r="K3" s="43">
        <f>VLOOKUP(A3,'SSP_March''19'!$A$3:$L$1193,11,0)</f>
        <v>213773</v>
      </c>
      <c r="L3" s="43">
        <f>VLOOKUP(A3,'SSP_March''19'!$A$3:$L$1193,12,0)</f>
        <v>26160</v>
      </c>
      <c r="M3" s="44">
        <f t="shared" ref="M3:M34" si="0">L3/K3</f>
        <v>0.12237279731303766</v>
      </c>
      <c r="N3" s="49">
        <f>ROUND(VLOOKUP(A3,'SSP_March''19'!$A$3:$N$1193,14,0),0)</f>
        <v>81096</v>
      </c>
      <c r="O3" s="44">
        <f t="shared" ref="O3:O34" si="1">N3/K3</f>
        <v>0.37935567167041673</v>
      </c>
      <c r="P3" s="45">
        <f>VLOOKUP(A3,'SSP_March''19'!$A$3:$Q$1193,16,0)</f>
        <v>15</v>
      </c>
      <c r="Q3" s="34">
        <f>VLOOKUP(A3,'SSP_March''19'!$A$3:$Q$1193,17,0)</f>
        <v>2</v>
      </c>
      <c r="R3" s="35">
        <f t="shared" ref="R3:R34" si="2">Q3/P3</f>
        <v>0.13333333333333333</v>
      </c>
      <c r="S3" s="49">
        <f>ROUND(VLOOKUP(A3,'SSP_March''19'!$A$3:$T$1193,19,0),0)</f>
        <v>6</v>
      </c>
      <c r="T3" s="44">
        <f>VLOOKUP(A3,'SSP_March''19'!$A$3:$T$1193,20,0)</f>
        <v>0.4</v>
      </c>
      <c r="U3" s="34">
        <f>VLOOKUP(A3,'SSP_March''19'!$A$3:$X$1193,21,0)</f>
        <v>0</v>
      </c>
      <c r="V3" s="34">
        <f>VLOOKUP(A3,'SSP_March''19'!$A$3:$X$1193,22,0)</f>
        <v>0</v>
      </c>
      <c r="W3" s="34">
        <f>VLOOKUP(A3,'SSP_March''19'!$A$3:$X$1193,23,0)</f>
        <v>0</v>
      </c>
      <c r="X3" s="34">
        <f>VLOOKUP(A3,'SSP_March''19'!$A$3:$X$1193,24,0)</f>
        <v>0</v>
      </c>
    </row>
    <row r="4" spans="1:24">
      <c r="A4" s="34" t="s">
        <v>2043</v>
      </c>
      <c r="B4" s="34" t="s">
        <v>2044</v>
      </c>
      <c r="C4" s="34" t="s">
        <v>60</v>
      </c>
      <c r="D4" s="34" t="s">
        <v>61</v>
      </c>
      <c r="E4" s="34" t="s">
        <v>4</v>
      </c>
      <c r="F4" s="34" t="s">
        <v>2045</v>
      </c>
      <c r="G4" s="54">
        <v>1711218739</v>
      </c>
      <c r="H4" s="54" t="s">
        <v>229</v>
      </c>
      <c r="I4" s="54" t="s">
        <v>3518</v>
      </c>
      <c r="J4" s="34" t="s">
        <v>3419</v>
      </c>
      <c r="K4" s="43">
        <f>VLOOKUP(A4,'SSP_March''19'!$A$3:$L$1193,11,0)</f>
        <v>300278</v>
      </c>
      <c r="L4" s="43">
        <f>VLOOKUP(A4,'SSP_March''19'!$A$3:$L$1193,12,0)</f>
        <v>56050</v>
      </c>
      <c r="M4" s="44">
        <f t="shared" si="0"/>
        <v>0.18666036139843745</v>
      </c>
      <c r="N4" s="49">
        <f>ROUND(VLOOKUP(A4,'SSP_March''19'!$A$3:$N$1193,14,0),0)</f>
        <v>173755</v>
      </c>
      <c r="O4" s="44">
        <f t="shared" si="1"/>
        <v>0.57864712033515608</v>
      </c>
      <c r="P4" s="45">
        <f>VLOOKUP(A4,'SSP_March''19'!$A$3:$Q$1193,16,0)</f>
        <v>15</v>
      </c>
      <c r="Q4" s="34">
        <f>VLOOKUP(A4,'SSP_March''19'!$A$3:$Q$1193,17,0)</f>
        <v>2</v>
      </c>
      <c r="R4" s="35">
        <f t="shared" si="2"/>
        <v>0.13333333333333333</v>
      </c>
      <c r="S4" s="49">
        <f>ROUND(VLOOKUP(A4,'SSP_March''19'!$A$3:$T$1193,19,0),0)</f>
        <v>6</v>
      </c>
      <c r="T4" s="44">
        <f>VLOOKUP(A4,'SSP_March''19'!$A$3:$T$1193,20,0)</f>
        <v>0.4</v>
      </c>
      <c r="U4" s="34">
        <f>VLOOKUP(A4,'SSP_March''19'!$A$3:$X$1193,21,0)</f>
        <v>4</v>
      </c>
      <c r="V4" s="34">
        <f>VLOOKUP(A4,'SSP_March''19'!$A$3:$X$1193,22,0)</f>
        <v>2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34" t="s">
        <v>2046</v>
      </c>
      <c r="B5" s="34" t="s">
        <v>843</v>
      </c>
      <c r="C5" s="34" t="s">
        <v>60</v>
      </c>
      <c r="D5" s="34" t="s">
        <v>61</v>
      </c>
      <c r="E5" s="34" t="s">
        <v>4</v>
      </c>
      <c r="F5" s="34" t="s">
        <v>2047</v>
      </c>
      <c r="G5" s="54">
        <v>1715251525</v>
      </c>
      <c r="H5" s="54" t="s">
        <v>229</v>
      </c>
      <c r="I5" s="54" t="s">
        <v>3514</v>
      </c>
      <c r="J5" s="34" t="s">
        <v>3419</v>
      </c>
      <c r="K5" s="43">
        <f>VLOOKUP(A5,'SSP_March''19'!$A$3:$L$1193,11,0)</f>
        <v>130000</v>
      </c>
      <c r="L5" s="43">
        <f>VLOOKUP(A5,'SSP_March''19'!$A$3:$L$1193,12,0)</f>
        <v>30960</v>
      </c>
      <c r="M5" s="44">
        <f t="shared" si="0"/>
        <v>0.23815384615384616</v>
      </c>
      <c r="N5" s="49">
        <f>ROUND(VLOOKUP(A5,'SSP_March''19'!$A$3:$N$1193,14,0),0)</f>
        <v>95976</v>
      </c>
      <c r="O5" s="44">
        <f t="shared" si="1"/>
        <v>0.73827692307692305</v>
      </c>
      <c r="P5" s="45">
        <f>VLOOKUP(A5,'SSP_March''19'!$A$3:$Q$1193,16,0)</f>
        <v>10</v>
      </c>
      <c r="Q5" s="34">
        <f>VLOOKUP(A5,'SSP_March''19'!$A$3:$Q$1193,17,0)</f>
        <v>3</v>
      </c>
      <c r="R5" s="35">
        <f t="shared" si="2"/>
        <v>0.3</v>
      </c>
      <c r="S5" s="49">
        <f>ROUND(VLOOKUP(A5,'SSP_March''19'!$A$3:$T$1193,19,0),0)</f>
        <v>9</v>
      </c>
      <c r="T5" s="44">
        <f>VLOOKUP(A5,'SSP_March''19'!$A$3:$T$1193,20,0)</f>
        <v>0.9</v>
      </c>
      <c r="U5" s="34">
        <f>VLOOKUP(A5,'SSP_March''19'!$A$3:$X$1193,21,0)</f>
        <v>0</v>
      </c>
      <c r="V5" s="34">
        <f>VLOOKUP(A5,'SSP_March''19'!$A$3:$X$1193,22,0)</f>
        <v>1</v>
      </c>
      <c r="W5" s="34">
        <f>VLOOKUP(A5,'SSP_March''19'!$A$3:$X$1193,23,0)</f>
        <v>0</v>
      </c>
      <c r="X5" s="34">
        <f>VLOOKUP(A5,'SSP_March''19'!$A$3:$X$1193,24,0)</f>
        <v>0</v>
      </c>
    </row>
    <row r="6" spans="1:24">
      <c r="A6" s="34" t="s">
        <v>2048</v>
      </c>
      <c r="B6" s="34" t="s">
        <v>2049</v>
      </c>
      <c r="C6" s="34" t="s">
        <v>60</v>
      </c>
      <c r="D6" s="34" t="s">
        <v>61</v>
      </c>
      <c r="E6" s="34" t="s">
        <v>4</v>
      </c>
      <c r="F6" s="34" t="s">
        <v>2050</v>
      </c>
      <c r="G6" s="54">
        <v>1711137580</v>
      </c>
      <c r="H6" s="54" t="s">
        <v>229</v>
      </c>
      <c r="I6" s="54" t="s">
        <v>3514</v>
      </c>
      <c r="J6" s="34" t="s">
        <v>3419</v>
      </c>
      <c r="K6" s="43">
        <f>VLOOKUP(A6,'SSP_March''19'!$A$3:$L$1193,11,0)</f>
        <v>130000</v>
      </c>
      <c r="L6" s="43">
        <f>VLOOKUP(A6,'SSP_March''19'!$A$3:$L$1193,12,0)</f>
        <v>18260</v>
      </c>
      <c r="M6" s="44">
        <f t="shared" si="0"/>
        <v>0.14046153846153847</v>
      </c>
      <c r="N6" s="49">
        <f>ROUND(VLOOKUP(A6,'SSP_March''19'!$A$3:$N$1193,14,0),0)</f>
        <v>56606</v>
      </c>
      <c r="O6" s="44">
        <f t="shared" si="1"/>
        <v>0.43543076923076923</v>
      </c>
      <c r="P6" s="45">
        <f>VLOOKUP(A6,'SSP_March''19'!$A$3:$Q$1193,16,0)</f>
        <v>10</v>
      </c>
      <c r="Q6" s="34">
        <f>VLOOKUP(A6,'SSP_March''19'!$A$3:$Q$1193,17,0)</f>
        <v>1</v>
      </c>
      <c r="R6" s="35">
        <f t="shared" si="2"/>
        <v>0.1</v>
      </c>
      <c r="S6" s="49">
        <f>ROUND(VLOOKUP(A6,'SSP_March''19'!$A$3:$T$1193,19,0),0)</f>
        <v>3</v>
      </c>
      <c r="T6" s="44">
        <f>VLOOKUP(A6,'SSP_March''19'!$A$3:$T$1193,20,0)</f>
        <v>0.3</v>
      </c>
      <c r="U6" s="34">
        <f>VLOOKUP(A6,'SSP_March''19'!$A$3:$X$1193,21,0)</f>
        <v>0</v>
      </c>
      <c r="V6" s="34">
        <f>VLOOKUP(A6,'SSP_March''19'!$A$3:$X$1193,22,0)</f>
        <v>0</v>
      </c>
      <c r="W6" s="34">
        <f>VLOOKUP(A6,'SSP_March''19'!$A$3:$X$1193,23,0)</f>
        <v>0</v>
      </c>
      <c r="X6" s="34">
        <f>VLOOKUP(A6,'SSP_March''19'!$A$3:$X$1193,24,0)</f>
        <v>1</v>
      </c>
    </row>
    <row r="7" spans="1:24">
      <c r="A7" s="34" t="s">
        <v>2053</v>
      </c>
      <c r="B7" s="34" t="s">
        <v>2054</v>
      </c>
      <c r="C7" s="34" t="s">
        <v>60</v>
      </c>
      <c r="D7" s="34" t="s">
        <v>61</v>
      </c>
      <c r="E7" s="34" t="s">
        <v>4</v>
      </c>
      <c r="F7" s="34" t="s">
        <v>378</v>
      </c>
      <c r="G7" s="54">
        <v>1719456783</v>
      </c>
      <c r="H7" s="54" t="s">
        <v>229</v>
      </c>
      <c r="I7" s="54" t="s">
        <v>3514</v>
      </c>
      <c r="J7" s="34" t="s">
        <v>3421</v>
      </c>
      <c r="K7" s="43">
        <f>VLOOKUP(A7,'SSP_March''19'!$A$3:$L$1193,11,0)</f>
        <v>130000</v>
      </c>
      <c r="L7" s="43">
        <f>VLOOKUP(A7,'SSP_March''19'!$A$3:$L$1193,12,0)</f>
        <v>0</v>
      </c>
      <c r="M7" s="44">
        <f t="shared" si="0"/>
        <v>0</v>
      </c>
      <c r="N7" s="49">
        <f>ROUND(VLOOKUP(A7,'SSP_March''19'!$A$3:$N$1193,14,0),0)</f>
        <v>0</v>
      </c>
      <c r="O7" s="44">
        <f t="shared" si="1"/>
        <v>0</v>
      </c>
      <c r="P7" s="45">
        <f>VLOOKUP(A7,'SSP_March''19'!$A$3:$Q$1193,16,0)</f>
        <v>10</v>
      </c>
      <c r="Q7" s="34">
        <f>VLOOKUP(A7,'SSP_March''19'!$A$3:$Q$1193,17,0)</f>
        <v>0</v>
      </c>
      <c r="R7" s="35">
        <f t="shared" si="2"/>
        <v>0</v>
      </c>
      <c r="S7" s="49">
        <f>ROUND(VLOOKUP(A7,'SSP_March''19'!$A$3:$T$1193,19,0),0)</f>
        <v>0</v>
      </c>
      <c r="T7" s="44">
        <f>VLOOKUP(A7,'SSP_March''19'!$A$3:$T$1193,20,0)</f>
        <v>0</v>
      </c>
      <c r="U7" s="34">
        <f>VLOOKUP(A7,'SSP_March''19'!$A$3:$X$1193,21,0)</f>
        <v>0</v>
      </c>
      <c r="V7" s="34">
        <f>VLOOKUP(A7,'SSP_March''19'!$A$3:$X$1193,22,0)</f>
        <v>0</v>
      </c>
      <c r="W7" s="34">
        <f>VLOOKUP(A7,'SSP_March''19'!$A$3:$X$1193,23,0)</f>
        <v>0</v>
      </c>
      <c r="X7" s="34">
        <f>VLOOKUP(A7,'SSP_March''19'!$A$3:$X$1193,24,0)</f>
        <v>0</v>
      </c>
    </row>
    <row r="8" spans="1:24">
      <c r="A8" s="34" t="s">
        <v>3442</v>
      </c>
      <c r="B8" s="34" t="s">
        <v>3443</v>
      </c>
      <c r="C8" s="34" t="s">
        <v>60</v>
      </c>
      <c r="D8" s="34" t="s">
        <v>61</v>
      </c>
      <c r="E8" s="34" t="s">
        <v>4</v>
      </c>
      <c r="F8" s="34" t="s">
        <v>3444</v>
      </c>
      <c r="G8" s="54">
        <v>1717033906</v>
      </c>
      <c r="H8" s="54" t="s">
        <v>229</v>
      </c>
      <c r="I8" s="54" t="s">
        <v>3514</v>
      </c>
      <c r="J8" s="34" t="s">
        <v>3515</v>
      </c>
      <c r="K8" s="43">
        <f>VLOOKUP(A8,'SSP_March''19'!$A$3:$L$1193,11,0)</f>
        <v>207820</v>
      </c>
      <c r="L8" s="43">
        <f>VLOOKUP(A8,'SSP_March''19'!$A$3:$L$1193,12,0)</f>
        <v>66190</v>
      </c>
      <c r="M8" s="44">
        <f t="shared" si="0"/>
        <v>0.31849677605620247</v>
      </c>
      <c r="N8" s="49">
        <f>ROUND(VLOOKUP(A8,'SSP_March''19'!$A$3:$N$1193,14,0),0)</f>
        <v>205189</v>
      </c>
      <c r="O8" s="44">
        <f t="shared" si="1"/>
        <v>0.98734000577422765</v>
      </c>
      <c r="P8" s="45">
        <f>VLOOKUP(A8,'SSP_March''19'!$A$3:$Q$1193,16,0)</f>
        <v>10</v>
      </c>
      <c r="Q8" s="34">
        <f>VLOOKUP(A8,'SSP_March''19'!$A$3:$Q$1193,17,0)</f>
        <v>3</v>
      </c>
      <c r="R8" s="35">
        <f t="shared" si="2"/>
        <v>0.3</v>
      </c>
      <c r="S8" s="49">
        <f>ROUND(VLOOKUP(A8,'SSP_March''19'!$A$3:$T$1193,19,0),0)</f>
        <v>9</v>
      </c>
      <c r="T8" s="44">
        <f>VLOOKUP(A8,'SSP_March''19'!$A$3:$T$1193,20,0)</f>
        <v>0.9</v>
      </c>
      <c r="U8" s="34">
        <f>VLOOKUP(A8,'SSP_March''19'!$A$3:$X$1193,21,0)</f>
        <v>3</v>
      </c>
      <c r="V8" s="34">
        <f>VLOOKUP(A8,'SSP_March''19'!$A$3:$X$1193,22,0)</f>
        <v>0</v>
      </c>
      <c r="W8" s="34">
        <f>VLOOKUP(A8,'SSP_March''19'!$A$3:$X$1193,23,0)</f>
        <v>0</v>
      </c>
      <c r="X8" s="34">
        <f>VLOOKUP(A8,'SSP_March''19'!$A$3:$X$1193,24,0)</f>
        <v>0</v>
      </c>
    </row>
    <row r="9" spans="1:24">
      <c r="A9" s="34" t="s">
        <v>3247</v>
      </c>
      <c r="B9" s="34" t="s">
        <v>3248</v>
      </c>
      <c r="C9" s="34" t="s">
        <v>60</v>
      </c>
      <c r="D9" s="34" t="s">
        <v>61</v>
      </c>
      <c r="E9" s="34" t="s">
        <v>4</v>
      </c>
      <c r="F9" s="34" t="s">
        <v>3249</v>
      </c>
      <c r="G9" s="54">
        <v>1730972693</v>
      </c>
      <c r="H9" s="54" t="s">
        <v>229</v>
      </c>
      <c r="I9" s="54" t="s">
        <v>3518</v>
      </c>
      <c r="J9" s="34" t="s">
        <v>3419</v>
      </c>
      <c r="K9" s="43">
        <f>VLOOKUP(A9,'SSP_March''19'!$A$3:$L$1193,11,0)</f>
        <v>403009</v>
      </c>
      <c r="L9" s="43">
        <f>VLOOKUP(A9,'SSP_March''19'!$A$3:$L$1193,12,0)</f>
        <v>115040</v>
      </c>
      <c r="M9" s="44">
        <f t="shared" si="0"/>
        <v>0.28545268219816433</v>
      </c>
      <c r="N9" s="49">
        <f>ROUND(VLOOKUP(A9,'SSP_March''19'!$A$3:$N$1193,14,0),0)</f>
        <v>356624</v>
      </c>
      <c r="O9" s="44">
        <f t="shared" si="1"/>
        <v>0.88490331481430939</v>
      </c>
      <c r="P9" s="45">
        <f>VLOOKUP(A9,'SSP_March''19'!$A$3:$Q$1193,16,0)</f>
        <v>24</v>
      </c>
      <c r="Q9" s="34">
        <f>VLOOKUP(A9,'SSP_March''19'!$A$3:$Q$1193,17,0)</f>
        <v>2</v>
      </c>
      <c r="R9" s="35">
        <f t="shared" si="2"/>
        <v>8.3333333333333329E-2</v>
      </c>
      <c r="S9" s="49">
        <f>ROUND(VLOOKUP(A9,'SSP_March''19'!$A$3:$T$1193,19,0),0)</f>
        <v>6</v>
      </c>
      <c r="T9" s="44">
        <f>VLOOKUP(A9,'SSP_March''19'!$A$3:$T$1193,20,0)</f>
        <v>0.25</v>
      </c>
      <c r="U9" s="34">
        <f>VLOOKUP(A9,'SSP_March''19'!$A$3:$X$1193,21,0)</f>
        <v>5</v>
      </c>
      <c r="V9" s="34">
        <f>VLOOKUP(A9,'SSP_March''19'!$A$3:$X$1193,22,0)</f>
        <v>0</v>
      </c>
      <c r="W9" s="34">
        <f>VLOOKUP(A9,'SSP_March''19'!$A$3:$X$1193,23,0)</f>
        <v>0</v>
      </c>
      <c r="X9" s="34">
        <f>VLOOKUP(A9,'SSP_March''19'!$A$3:$X$1193,24,0)</f>
        <v>0</v>
      </c>
    </row>
    <row r="10" spans="1:24">
      <c r="A10" s="34" t="s">
        <v>3445</v>
      </c>
      <c r="B10" s="34" t="s">
        <v>3446</v>
      </c>
      <c r="C10" s="34" t="s">
        <v>60</v>
      </c>
      <c r="D10" s="34" t="s">
        <v>61</v>
      </c>
      <c r="E10" s="34" t="s">
        <v>4</v>
      </c>
      <c r="F10" s="34" t="s">
        <v>3447</v>
      </c>
      <c r="G10" s="54">
        <v>1930459057</v>
      </c>
      <c r="H10" s="54" t="s">
        <v>229</v>
      </c>
      <c r="I10" s="54" t="s">
        <v>3514</v>
      </c>
      <c r="J10" s="34" t="s">
        <v>3420</v>
      </c>
      <c r="K10" s="43">
        <f>VLOOKUP(A10,'SSP_March''19'!$A$3:$L$1193,11,0)</f>
        <v>277379</v>
      </c>
      <c r="L10" s="43">
        <f>VLOOKUP(A10,'SSP_March''19'!$A$3:$L$1193,12,0)</f>
        <v>78830</v>
      </c>
      <c r="M10" s="44">
        <f t="shared" si="0"/>
        <v>0.28419599176577898</v>
      </c>
      <c r="N10" s="49">
        <f>ROUND(VLOOKUP(A10,'SSP_March''19'!$A$3:$N$1193,14,0),0)</f>
        <v>244373</v>
      </c>
      <c r="O10" s="44">
        <f t="shared" si="1"/>
        <v>0.88100757447391476</v>
      </c>
      <c r="P10" s="45">
        <f>VLOOKUP(A10,'SSP_March''19'!$A$3:$Q$1193,16,0)</f>
        <v>19</v>
      </c>
      <c r="Q10" s="34">
        <f>VLOOKUP(A10,'SSP_March''19'!$A$3:$Q$1193,17,0)</f>
        <v>6</v>
      </c>
      <c r="R10" s="35">
        <f t="shared" si="2"/>
        <v>0.31578947368421051</v>
      </c>
      <c r="S10" s="49">
        <f>ROUND(VLOOKUP(A10,'SSP_March''19'!$A$3:$T$1193,19,0),0)</f>
        <v>19</v>
      </c>
      <c r="T10" s="44">
        <f>VLOOKUP(A10,'SSP_March''19'!$A$3:$T$1193,20,0)</f>
        <v>1</v>
      </c>
      <c r="U10" s="34">
        <f>VLOOKUP(A10,'SSP_March''19'!$A$3:$X$1193,21,0)</f>
        <v>2</v>
      </c>
      <c r="V10" s="34">
        <f>VLOOKUP(A10,'SSP_March''19'!$A$3:$X$1193,22,0)</f>
        <v>0</v>
      </c>
      <c r="W10" s="34">
        <f>VLOOKUP(A10,'SSP_March''19'!$A$3:$X$1193,23,0)</f>
        <v>1</v>
      </c>
      <c r="X10" s="34">
        <f>VLOOKUP(A10,'SSP_March''19'!$A$3:$X$1193,24,0)</f>
        <v>0</v>
      </c>
    </row>
    <row r="11" spans="1:24">
      <c r="A11" s="34" t="s">
        <v>2091</v>
      </c>
      <c r="B11" s="34" t="s">
        <v>2092</v>
      </c>
      <c r="C11" s="34" t="s">
        <v>56</v>
      </c>
      <c r="D11" s="34" t="s">
        <v>61</v>
      </c>
      <c r="E11" s="34" t="s">
        <v>4</v>
      </c>
      <c r="F11" s="34" t="s">
        <v>2093</v>
      </c>
      <c r="G11" s="54">
        <v>1748794012</v>
      </c>
      <c r="H11" s="54" t="s">
        <v>229</v>
      </c>
      <c r="I11" s="54" t="s">
        <v>3514</v>
      </c>
      <c r="J11" s="34" t="s">
        <v>3421</v>
      </c>
      <c r="K11" s="43">
        <f>VLOOKUP(A11,'SSP_March''19'!$A$3:$L$1193,11,0)</f>
        <v>130000</v>
      </c>
      <c r="L11" s="43">
        <f>VLOOKUP(A11,'SSP_March''19'!$A$3:$L$1193,12,0)</f>
        <v>28000</v>
      </c>
      <c r="M11" s="44">
        <f t="shared" si="0"/>
        <v>0.2153846153846154</v>
      </c>
      <c r="N11" s="49">
        <f>ROUND(VLOOKUP(A11,'SSP_March''19'!$A$3:$N$1193,14,0),0)</f>
        <v>86800</v>
      </c>
      <c r="O11" s="44">
        <f t="shared" si="1"/>
        <v>0.6676923076923077</v>
      </c>
      <c r="P11" s="45">
        <f>VLOOKUP(A11,'SSP_March''19'!$A$3:$Q$1193,16,0)</f>
        <v>10</v>
      </c>
      <c r="Q11" s="34">
        <f>VLOOKUP(A11,'SSP_March''19'!$A$3:$Q$1193,17,0)</f>
        <v>2</v>
      </c>
      <c r="R11" s="35">
        <f t="shared" si="2"/>
        <v>0.2</v>
      </c>
      <c r="S11" s="49">
        <f>ROUND(VLOOKUP(A11,'SSP_March''19'!$A$3:$T$1193,19,0),0)</f>
        <v>6</v>
      </c>
      <c r="T11" s="44">
        <f>VLOOKUP(A11,'SSP_March''19'!$A$3:$T$1193,20,0)</f>
        <v>0.6</v>
      </c>
      <c r="U11" s="34">
        <f>VLOOKUP(A11,'SSP_March''19'!$A$3:$X$1193,21,0)</f>
        <v>0</v>
      </c>
      <c r="V11" s="34">
        <f>VLOOKUP(A11,'SSP_March''19'!$A$3:$X$1193,22,0)</f>
        <v>1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34" t="s">
        <v>2082</v>
      </c>
      <c r="B12" s="34" t="s">
        <v>2083</v>
      </c>
      <c r="C12" s="34" t="s">
        <v>56</v>
      </c>
      <c r="D12" s="34" t="s">
        <v>61</v>
      </c>
      <c r="E12" s="34" t="s">
        <v>4</v>
      </c>
      <c r="F12" s="34" t="s">
        <v>2084</v>
      </c>
      <c r="G12" s="54">
        <v>1924573133</v>
      </c>
      <c r="H12" s="54" t="s">
        <v>229</v>
      </c>
      <c r="I12" s="54" t="s">
        <v>3514</v>
      </c>
      <c r="J12" s="34" t="s">
        <v>3421</v>
      </c>
      <c r="K12" s="43">
        <f>VLOOKUP(A12,'SSP_March''19'!$A$3:$L$1193,11,0)</f>
        <v>130000</v>
      </c>
      <c r="L12" s="43">
        <f>VLOOKUP(A12,'SSP_March''19'!$A$3:$L$1193,12,0)</f>
        <v>5790</v>
      </c>
      <c r="M12" s="44">
        <f t="shared" si="0"/>
        <v>4.4538461538461541E-2</v>
      </c>
      <c r="N12" s="49">
        <f>ROUND(VLOOKUP(A12,'SSP_March''19'!$A$3:$N$1193,14,0),0)</f>
        <v>17949</v>
      </c>
      <c r="O12" s="44">
        <f t="shared" si="1"/>
        <v>0.13806923076923078</v>
      </c>
      <c r="P12" s="45">
        <f>VLOOKUP(A12,'SSP_March''19'!$A$3:$Q$1193,16,0)</f>
        <v>10</v>
      </c>
      <c r="Q12" s="34">
        <f>VLOOKUP(A12,'SSP_March''19'!$A$3:$Q$1193,17,0)</f>
        <v>0</v>
      </c>
      <c r="R12" s="35">
        <f t="shared" si="2"/>
        <v>0</v>
      </c>
      <c r="S12" s="49">
        <f>ROUND(VLOOKUP(A12,'SSP_March''19'!$A$3:$T$1193,19,0),0)</f>
        <v>0</v>
      </c>
      <c r="T12" s="44">
        <f>VLOOKUP(A12,'SSP_March''19'!$A$3:$T$1193,20,0)</f>
        <v>0</v>
      </c>
      <c r="U12" s="34">
        <f>VLOOKUP(A12,'SSP_March''19'!$A$3:$X$1193,21,0)</f>
        <v>1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34" t="s">
        <v>2060</v>
      </c>
      <c r="B13" s="34" t="s">
        <v>2061</v>
      </c>
      <c r="C13" s="34" t="s">
        <v>56</v>
      </c>
      <c r="D13" s="34" t="s">
        <v>61</v>
      </c>
      <c r="E13" s="34" t="s">
        <v>4</v>
      </c>
      <c r="F13" s="34" t="s">
        <v>2062</v>
      </c>
      <c r="G13" s="54">
        <v>1729376888</v>
      </c>
      <c r="H13" s="54" t="s">
        <v>229</v>
      </c>
      <c r="I13" s="54" t="s">
        <v>3514</v>
      </c>
      <c r="J13" s="34" t="s">
        <v>3515</v>
      </c>
      <c r="K13" s="43">
        <f>VLOOKUP(A13,'SSP_March''19'!$A$3:$L$1193,11,0)</f>
        <v>231933</v>
      </c>
      <c r="L13" s="43">
        <f>VLOOKUP(A13,'SSP_March''19'!$A$3:$L$1193,12,0)</f>
        <v>28140</v>
      </c>
      <c r="M13" s="44">
        <f t="shared" si="0"/>
        <v>0.12132814217899135</v>
      </c>
      <c r="N13" s="49">
        <f>ROUND(VLOOKUP(A13,'SSP_March''19'!$A$3:$N$1193,14,0),0)</f>
        <v>87234</v>
      </c>
      <c r="O13" s="44">
        <f t="shared" si="1"/>
        <v>0.37611724075487318</v>
      </c>
      <c r="P13" s="45">
        <f>VLOOKUP(A13,'SSP_March''19'!$A$3:$Q$1193,16,0)</f>
        <v>10</v>
      </c>
      <c r="Q13" s="34">
        <f>VLOOKUP(A13,'SSP_March''19'!$A$3:$Q$1193,17,0)</f>
        <v>0</v>
      </c>
      <c r="R13" s="35">
        <f t="shared" si="2"/>
        <v>0</v>
      </c>
      <c r="S13" s="49">
        <f>ROUND(VLOOKUP(A13,'SSP_March''19'!$A$3:$T$1193,19,0),0)</f>
        <v>0</v>
      </c>
      <c r="T13" s="44">
        <f>VLOOKUP(A13,'SSP_March''19'!$A$3:$T$1193,20,0)</f>
        <v>0</v>
      </c>
      <c r="U13" s="34">
        <f>VLOOKUP(A13,'SSP_March''19'!$A$3:$X$1193,21,0)</f>
        <v>1</v>
      </c>
      <c r="V13" s="34">
        <f>VLOOKUP(A13,'SSP_March''19'!$A$3:$X$1193,22,0)</f>
        <v>0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34" t="s">
        <v>2079</v>
      </c>
      <c r="B14" s="34" t="s">
        <v>2080</v>
      </c>
      <c r="C14" s="34" t="s">
        <v>56</v>
      </c>
      <c r="D14" s="34" t="s">
        <v>61</v>
      </c>
      <c r="E14" s="34" t="s">
        <v>4</v>
      </c>
      <c r="F14" s="34" t="s">
        <v>2081</v>
      </c>
      <c r="G14" s="54">
        <v>1937714778</v>
      </c>
      <c r="H14" s="54" t="s">
        <v>229</v>
      </c>
      <c r="I14" s="54" t="s">
        <v>3514</v>
      </c>
      <c r="J14" s="34" t="s">
        <v>3421</v>
      </c>
      <c r="K14" s="43">
        <f>VLOOKUP(A14,'SSP_March''19'!$A$3:$L$1193,11,0)</f>
        <v>130000</v>
      </c>
      <c r="L14" s="43">
        <f>VLOOKUP(A14,'SSP_March''19'!$A$3:$L$1193,12,0)</f>
        <v>30435</v>
      </c>
      <c r="M14" s="44">
        <f t="shared" si="0"/>
        <v>0.23411538461538461</v>
      </c>
      <c r="N14" s="49">
        <f>ROUND(VLOOKUP(A14,'SSP_March''19'!$A$3:$N$1193,14,0),0)</f>
        <v>94349</v>
      </c>
      <c r="O14" s="44">
        <f t="shared" si="1"/>
        <v>0.72576153846153846</v>
      </c>
      <c r="P14" s="45">
        <f>VLOOKUP(A14,'SSP_March''19'!$A$3:$Q$1193,16,0)</f>
        <v>10</v>
      </c>
      <c r="Q14" s="34">
        <f>VLOOKUP(A14,'SSP_March''19'!$A$3:$Q$1193,17,0)</f>
        <v>2</v>
      </c>
      <c r="R14" s="35">
        <f t="shared" si="2"/>
        <v>0.2</v>
      </c>
      <c r="S14" s="49">
        <f>ROUND(VLOOKUP(A14,'SSP_March''19'!$A$3:$T$1193,19,0),0)</f>
        <v>6</v>
      </c>
      <c r="T14" s="44">
        <f>VLOOKUP(A14,'SSP_March''19'!$A$3:$T$1193,20,0)</f>
        <v>0.6</v>
      </c>
      <c r="U14" s="34">
        <f>VLOOKUP(A14,'SSP_March''19'!$A$3:$X$1193,21,0)</f>
        <v>0</v>
      </c>
      <c r="V14" s="34">
        <f>VLOOKUP(A14,'SSP_March''19'!$A$3:$X$1193,22,0)</f>
        <v>0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34" t="s">
        <v>3448</v>
      </c>
      <c r="B15" s="34" t="s">
        <v>3449</v>
      </c>
      <c r="C15" s="34" t="s">
        <v>56</v>
      </c>
      <c r="D15" s="34" t="s">
        <v>61</v>
      </c>
      <c r="E15" s="34" t="s">
        <v>4</v>
      </c>
      <c r="F15" s="34" t="s">
        <v>3450</v>
      </c>
      <c r="G15" s="54">
        <v>1922919293</v>
      </c>
      <c r="H15" s="54" t="s">
        <v>229</v>
      </c>
      <c r="I15" s="54" t="s">
        <v>3514</v>
      </c>
      <c r="J15" s="34" t="s">
        <v>3421</v>
      </c>
      <c r="K15" s="43">
        <f>VLOOKUP(A15,'SSP_March''19'!$A$3:$L$1193,11,0)</f>
        <v>130000</v>
      </c>
      <c r="L15" s="43">
        <f>VLOOKUP(A15,'SSP_March''19'!$A$3:$L$1193,12,0)</f>
        <v>64400</v>
      </c>
      <c r="M15" s="44">
        <f t="shared" si="0"/>
        <v>0.49538461538461537</v>
      </c>
      <c r="N15" s="49">
        <f>ROUND(VLOOKUP(A15,'SSP_March''19'!$A$3:$N$1193,14,0),0)</f>
        <v>199640</v>
      </c>
      <c r="O15" s="44">
        <f t="shared" si="1"/>
        <v>1.5356923076923077</v>
      </c>
      <c r="P15" s="45">
        <f>VLOOKUP(A15,'SSP_March''19'!$A$3:$Q$1193,16,0)</f>
        <v>10</v>
      </c>
      <c r="Q15" s="34">
        <f>VLOOKUP(A15,'SSP_March''19'!$A$3:$Q$1193,17,0)</f>
        <v>6</v>
      </c>
      <c r="R15" s="35">
        <f t="shared" si="2"/>
        <v>0.6</v>
      </c>
      <c r="S15" s="49">
        <f>ROUND(VLOOKUP(A15,'SSP_March''19'!$A$3:$T$1193,19,0),0)</f>
        <v>19</v>
      </c>
      <c r="T15" s="44">
        <f>VLOOKUP(A15,'SSP_March''19'!$A$3:$T$1193,20,0)</f>
        <v>1.9</v>
      </c>
      <c r="U15" s="34">
        <f>VLOOKUP(A15,'SSP_March''19'!$A$3:$X$1193,21,0)</f>
        <v>0</v>
      </c>
      <c r="V15" s="34">
        <f>VLOOKUP(A15,'SSP_March''19'!$A$3:$X$1193,22,0)</f>
        <v>4</v>
      </c>
      <c r="W15" s="34">
        <f>VLOOKUP(A15,'SSP_March''19'!$A$3:$X$1193,23,0)</f>
        <v>0</v>
      </c>
      <c r="X15" s="34">
        <f>VLOOKUP(A15,'SSP_March''19'!$A$3:$X$1193,24,0)</f>
        <v>0</v>
      </c>
    </row>
    <row r="16" spans="1:24">
      <c r="A16" s="34" t="s">
        <v>2088</v>
      </c>
      <c r="B16" s="34" t="s">
        <v>2089</v>
      </c>
      <c r="C16" s="34" t="s">
        <v>56</v>
      </c>
      <c r="D16" s="34" t="s">
        <v>61</v>
      </c>
      <c r="E16" s="34" t="s">
        <v>4</v>
      </c>
      <c r="F16" s="34" t="s">
        <v>2090</v>
      </c>
      <c r="G16" s="54">
        <v>1722902429</v>
      </c>
      <c r="H16" s="54" t="s">
        <v>229</v>
      </c>
      <c r="I16" s="54" t="s">
        <v>3514</v>
      </c>
      <c r="J16" s="34" t="s">
        <v>3419</v>
      </c>
      <c r="K16" s="43">
        <f>VLOOKUP(A16,'SSP_March''19'!$A$3:$L$1193,11,0)</f>
        <v>171808</v>
      </c>
      <c r="L16" s="43">
        <f>VLOOKUP(A16,'SSP_March''19'!$A$3:$L$1193,12,0)</f>
        <v>10530</v>
      </c>
      <c r="M16" s="44">
        <f t="shared" si="0"/>
        <v>6.1289346246973367E-2</v>
      </c>
      <c r="N16" s="49">
        <f>ROUND(VLOOKUP(A16,'SSP_March''19'!$A$3:$N$1193,14,0),0)</f>
        <v>32643</v>
      </c>
      <c r="O16" s="44">
        <f t="shared" si="1"/>
        <v>0.18999697336561744</v>
      </c>
      <c r="P16" s="45">
        <f>VLOOKUP(A16,'SSP_March''19'!$A$3:$Q$1193,16,0)</f>
        <v>10</v>
      </c>
      <c r="Q16" s="34">
        <f>VLOOKUP(A16,'SSP_March''19'!$A$3:$Q$1193,17,0)</f>
        <v>0</v>
      </c>
      <c r="R16" s="35">
        <f t="shared" si="2"/>
        <v>0</v>
      </c>
      <c r="S16" s="49">
        <f>ROUND(VLOOKUP(A16,'SSP_March''19'!$A$3:$T$1193,19,0),0)</f>
        <v>0</v>
      </c>
      <c r="T16" s="44">
        <f>VLOOKUP(A16,'SSP_March''19'!$A$3:$T$1193,20,0)</f>
        <v>0</v>
      </c>
      <c r="U16" s="34">
        <f>VLOOKUP(A16,'SSP_March''19'!$A$3:$X$1193,21,0)</f>
        <v>1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34" t="s">
        <v>2072</v>
      </c>
      <c r="B17" s="34" t="s">
        <v>2073</v>
      </c>
      <c r="C17" s="34" t="s">
        <v>56</v>
      </c>
      <c r="D17" s="34" t="s">
        <v>61</v>
      </c>
      <c r="E17" s="34" t="s">
        <v>4</v>
      </c>
      <c r="F17" s="34" t="s">
        <v>2074</v>
      </c>
      <c r="G17" s="54">
        <v>1929435911</v>
      </c>
      <c r="H17" s="54" t="s">
        <v>229</v>
      </c>
      <c r="I17" s="54" t="s">
        <v>3514</v>
      </c>
      <c r="J17" s="34" t="s">
        <v>3419</v>
      </c>
      <c r="K17" s="43">
        <f>VLOOKUP(A17,'SSP_March''19'!$A$3:$L$1193,11,0)</f>
        <v>290002</v>
      </c>
      <c r="L17" s="43">
        <f>VLOOKUP(A17,'SSP_March''19'!$A$3:$L$1193,12,0)</f>
        <v>58800</v>
      </c>
      <c r="M17" s="44">
        <f t="shared" si="0"/>
        <v>0.20275722236398369</v>
      </c>
      <c r="N17" s="49">
        <f>ROUND(VLOOKUP(A17,'SSP_March''19'!$A$3:$N$1193,14,0),0)</f>
        <v>182280</v>
      </c>
      <c r="O17" s="44">
        <f t="shared" si="1"/>
        <v>0.62854738932834942</v>
      </c>
      <c r="P17" s="45">
        <f>VLOOKUP(A17,'SSP_March''19'!$A$3:$Q$1193,16,0)</f>
        <v>19</v>
      </c>
      <c r="Q17" s="34">
        <f>VLOOKUP(A17,'SSP_March''19'!$A$3:$Q$1193,17,0)</f>
        <v>3</v>
      </c>
      <c r="R17" s="35">
        <f t="shared" si="2"/>
        <v>0.15789473684210525</v>
      </c>
      <c r="S17" s="49">
        <f>ROUND(VLOOKUP(A17,'SSP_March''19'!$A$3:$T$1193,19,0),0)</f>
        <v>9</v>
      </c>
      <c r="T17" s="44">
        <f>VLOOKUP(A17,'SSP_March''19'!$A$3:$T$1193,20,0)</f>
        <v>0.47368421052631576</v>
      </c>
      <c r="U17" s="34">
        <f>VLOOKUP(A17,'SSP_March''19'!$A$3:$X$1193,21,0)</f>
        <v>2</v>
      </c>
      <c r="V17" s="34">
        <f>VLOOKUP(A17,'SSP_March''19'!$A$3:$X$1193,22,0)</f>
        <v>1</v>
      </c>
      <c r="W17" s="34">
        <f>VLOOKUP(A17,'SSP_March''19'!$A$3:$X$1193,23,0)</f>
        <v>0</v>
      </c>
      <c r="X17" s="34">
        <f>VLOOKUP(A17,'SSP_March''19'!$A$3:$X$1193,24,0)</f>
        <v>0</v>
      </c>
    </row>
    <row r="18" spans="1:24">
      <c r="A18" s="34" t="s">
        <v>2069</v>
      </c>
      <c r="B18" s="34" t="s">
        <v>2070</v>
      </c>
      <c r="C18" s="34" t="s">
        <v>56</v>
      </c>
      <c r="D18" s="34" t="s">
        <v>61</v>
      </c>
      <c r="E18" s="34" t="s">
        <v>4</v>
      </c>
      <c r="F18" s="34" t="s">
        <v>2071</v>
      </c>
      <c r="G18" s="54">
        <v>1722636444</v>
      </c>
      <c r="H18" s="54" t="s">
        <v>229</v>
      </c>
      <c r="I18" s="54" t="s">
        <v>3514</v>
      </c>
      <c r="J18" s="34" t="s">
        <v>3515</v>
      </c>
      <c r="K18" s="43">
        <f>VLOOKUP(A18,'SSP_March''19'!$A$3:$L$1193,11,0)</f>
        <v>154696</v>
      </c>
      <c r="L18" s="43">
        <f>VLOOKUP(A18,'SSP_March''19'!$A$3:$L$1193,12,0)</f>
        <v>74605</v>
      </c>
      <c r="M18" s="44">
        <f t="shared" si="0"/>
        <v>0.48226844908724209</v>
      </c>
      <c r="N18" s="49">
        <f>ROUND(VLOOKUP(A18,'SSP_March''19'!$A$3:$N$1193,14,0),0)</f>
        <v>231276</v>
      </c>
      <c r="O18" s="44">
        <f t="shared" si="1"/>
        <v>1.4950354243160779</v>
      </c>
      <c r="P18" s="45">
        <f>VLOOKUP(A18,'SSP_March''19'!$A$3:$Q$1193,16,0)</f>
        <v>10</v>
      </c>
      <c r="Q18" s="34">
        <f>VLOOKUP(A18,'SSP_March''19'!$A$3:$Q$1193,17,0)</f>
        <v>3</v>
      </c>
      <c r="R18" s="35">
        <f t="shared" si="2"/>
        <v>0.3</v>
      </c>
      <c r="S18" s="49">
        <f>ROUND(VLOOKUP(A18,'SSP_March''19'!$A$3:$T$1193,19,0),0)</f>
        <v>9</v>
      </c>
      <c r="T18" s="44">
        <f>VLOOKUP(A18,'SSP_March''19'!$A$3:$T$1193,20,0)</f>
        <v>0.9</v>
      </c>
      <c r="U18" s="34">
        <f>VLOOKUP(A18,'SSP_March''19'!$A$3:$X$1193,21,0)</f>
        <v>2</v>
      </c>
      <c r="V18" s="34">
        <f>VLOOKUP(A18,'SSP_March''19'!$A$3:$X$1193,22,0)</f>
        <v>0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34" t="s">
        <v>2066</v>
      </c>
      <c r="B19" s="34" t="s">
        <v>2067</v>
      </c>
      <c r="C19" s="34" t="s">
        <v>56</v>
      </c>
      <c r="D19" s="34" t="s">
        <v>61</v>
      </c>
      <c r="E19" s="34" t="s">
        <v>4</v>
      </c>
      <c r="F19" s="34" t="s">
        <v>2068</v>
      </c>
      <c r="G19" s="54">
        <v>1876349649</v>
      </c>
      <c r="H19" s="54" t="s">
        <v>229</v>
      </c>
      <c r="I19" s="54" t="s">
        <v>3514</v>
      </c>
      <c r="J19" s="34" t="s">
        <v>3419</v>
      </c>
      <c r="K19" s="43">
        <f>VLOOKUP(A19,'SSP_March''19'!$A$3:$L$1193,11,0)</f>
        <v>248409</v>
      </c>
      <c r="L19" s="43">
        <f>VLOOKUP(A19,'SSP_March''19'!$A$3:$L$1193,12,0)</f>
        <v>84570</v>
      </c>
      <c r="M19" s="44">
        <f t="shared" si="0"/>
        <v>0.34044660217624967</v>
      </c>
      <c r="N19" s="49">
        <f>ROUND(VLOOKUP(A19,'SSP_March''19'!$A$3:$N$1193,14,0),0)</f>
        <v>262167</v>
      </c>
      <c r="O19" s="44">
        <f t="shared" si="1"/>
        <v>1.0553844667463739</v>
      </c>
      <c r="P19" s="45">
        <f>VLOOKUP(A19,'SSP_March''19'!$A$3:$Q$1193,16,0)</f>
        <v>17</v>
      </c>
      <c r="Q19" s="34">
        <f>VLOOKUP(A19,'SSP_March''19'!$A$3:$Q$1193,17,0)</f>
        <v>7</v>
      </c>
      <c r="R19" s="35">
        <f t="shared" si="2"/>
        <v>0.41176470588235292</v>
      </c>
      <c r="S19" s="49">
        <f>ROUND(VLOOKUP(A19,'SSP_March''19'!$A$3:$T$1193,19,0),0)</f>
        <v>22</v>
      </c>
      <c r="T19" s="44">
        <f>VLOOKUP(A19,'SSP_March''19'!$A$3:$T$1193,20,0)</f>
        <v>1.2941176470588236</v>
      </c>
      <c r="U19" s="34">
        <f>VLOOKUP(A19,'SSP_March''19'!$A$3:$X$1193,21,0)</f>
        <v>1</v>
      </c>
      <c r="V19" s="34">
        <f>VLOOKUP(A19,'SSP_March''19'!$A$3:$X$1193,22,0)</f>
        <v>2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34" t="s">
        <v>2057</v>
      </c>
      <c r="B20" s="34" t="s">
        <v>2058</v>
      </c>
      <c r="C20" s="34" t="s">
        <v>56</v>
      </c>
      <c r="D20" s="34" t="s">
        <v>61</v>
      </c>
      <c r="E20" s="34" t="s">
        <v>4</v>
      </c>
      <c r="F20" s="34" t="s">
        <v>2059</v>
      </c>
      <c r="G20" s="54">
        <v>1993484749</v>
      </c>
      <c r="H20" s="54" t="s">
        <v>229</v>
      </c>
      <c r="I20" s="54" t="s">
        <v>3514</v>
      </c>
      <c r="J20" s="34" t="s">
        <v>3421</v>
      </c>
      <c r="K20" s="43">
        <f>VLOOKUP(A20,'SSP_March''19'!$A$3:$L$1193,11,0)</f>
        <v>130000</v>
      </c>
      <c r="L20" s="43">
        <f>VLOOKUP(A20,'SSP_March''19'!$A$3:$L$1193,12,0)</f>
        <v>45770</v>
      </c>
      <c r="M20" s="44">
        <f t="shared" si="0"/>
        <v>0.35207692307692307</v>
      </c>
      <c r="N20" s="49">
        <f>ROUND(VLOOKUP(A20,'SSP_March''19'!$A$3:$N$1193,14,0),0)</f>
        <v>141887</v>
      </c>
      <c r="O20" s="44">
        <f t="shared" si="1"/>
        <v>1.0914384615384616</v>
      </c>
      <c r="P20" s="45">
        <f>VLOOKUP(A20,'SSP_March''19'!$A$3:$Q$1193,16,0)</f>
        <v>10</v>
      </c>
      <c r="Q20" s="34">
        <f>VLOOKUP(A20,'SSP_March''19'!$A$3:$Q$1193,17,0)</f>
        <v>2</v>
      </c>
      <c r="R20" s="35">
        <f t="shared" si="2"/>
        <v>0.2</v>
      </c>
      <c r="S20" s="49">
        <f>ROUND(VLOOKUP(A20,'SSP_March''19'!$A$3:$T$1193,19,0),0)</f>
        <v>6</v>
      </c>
      <c r="T20" s="44">
        <f>VLOOKUP(A20,'SSP_March''19'!$A$3:$T$1193,20,0)</f>
        <v>0.6</v>
      </c>
      <c r="U20" s="34">
        <f>VLOOKUP(A20,'SSP_March''19'!$A$3:$X$1193,21,0)</f>
        <v>0</v>
      </c>
      <c r="V20" s="34">
        <f>VLOOKUP(A20,'SSP_March''19'!$A$3:$X$1193,22,0)</f>
        <v>0</v>
      </c>
      <c r="W20" s="34">
        <f>VLOOKUP(A20,'SSP_March''19'!$A$3:$X$1193,23,0)</f>
        <v>0</v>
      </c>
      <c r="X20" s="34">
        <f>VLOOKUP(A20,'SSP_March''19'!$A$3:$X$1193,24,0)</f>
        <v>0</v>
      </c>
    </row>
    <row r="21" spans="1:24">
      <c r="A21" s="34" t="s">
        <v>2063</v>
      </c>
      <c r="B21" s="34" t="s">
        <v>2064</v>
      </c>
      <c r="C21" s="34" t="s">
        <v>56</v>
      </c>
      <c r="D21" s="34" t="s">
        <v>61</v>
      </c>
      <c r="E21" s="34" t="s">
        <v>4</v>
      </c>
      <c r="F21" s="34" t="s">
        <v>2065</v>
      </c>
      <c r="G21" s="54">
        <v>1744545248</v>
      </c>
      <c r="H21" s="54" t="s">
        <v>229</v>
      </c>
      <c r="I21" s="54" t="s">
        <v>3514</v>
      </c>
      <c r="J21" s="34" t="s">
        <v>3421</v>
      </c>
      <c r="K21" s="43">
        <f>VLOOKUP(A21,'SSP_March''19'!$A$3:$L$1193,11,0)</f>
        <v>201957</v>
      </c>
      <c r="L21" s="43">
        <f>VLOOKUP(A21,'SSP_March''19'!$A$3:$L$1193,12,0)</f>
        <v>72220</v>
      </c>
      <c r="M21" s="44">
        <f t="shared" si="0"/>
        <v>0.35760087543387947</v>
      </c>
      <c r="N21" s="49">
        <f>ROUND(VLOOKUP(A21,'SSP_March''19'!$A$3:$N$1193,14,0),0)</f>
        <v>223882</v>
      </c>
      <c r="O21" s="44">
        <f t="shared" si="1"/>
        <v>1.1085627138450265</v>
      </c>
      <c r="P21" s="45">
        <f>VLOOKUP(A21,'SSP_March''19'!$A$3:$Q$1193,16,0)</f>
        <v>13</v>
      </c>
      <c r="Q21" s="34">
        <f>VLOOKUP(A21,'SSP_March''19'!$A$3:$Q$1193,17,0)</f>
        <v>4</v>
      </c>
      <c r="R21" s="35">
        <f t="shared" si="2"/>
        <v>0.30769230769230771</v>
      </c>
      <c r="S21" s="49">
        <f>ROUND(VLOOKUP(A21,'SSP_March''19'!$A$3:$T$1193,19,0),0)</f>
        <v>12</v>
      </c>
      <c r="T21" s="44">
        <f>VLOOKUP(A21,'SSP_March''19'!$A$3:$T$1193,20,0)</f>
        <v>0.92307692307692313</v>
      </c>
      <c r="U21" s="34">
        <f>VLOOKUP(A21,'SSP_March''19'!$A$3:$X$1193,21,0)</f>
        <v>3</v>
      </c>
      <c r="V21" s="34">
        <f>VLOOKUP(A21,'SSP_March''19'!$A$3:$X$1193,22,0)</f>
        <v>4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34" t="s">
        <v>2085</v>
      </c>
      <c r="B22" s="34" t="s">
        <v>2086</v>
      </c>
      <c r="C22" s="34" t="s">
        <v>56</v>
      </c>
      <c r="D22" s="34" t="s">
        <v>61</v>
      </c>
      <c r="E22" s="34" t="s">
        <v>4</v>
      </c>
      <c r="F22" s="34" t="s">
        <v>2087</v>
      </c>
      <c r="G22" s="54">
        <v>1760663388</v>
      </c>
      <c r="H22" s="54" t="s">
        <v>229</v>
      </c>
      <c r="I22" s="54" t="s">
        <v>3514</v>
      </c>
      <c r="J22" s="34" t="s">
        <v>3419</v>
      </c>
      <c r="K22" s="43">
        <f>VLOOKUP(A22,'SSP_March''19'!$A$3:$L$1193,11,0)</f>
        <v>229288</v>
      </c>
      <c r="L22" s="43">
        <f>VLOOKUP(A22,'SSP_March''19'!$A$3:$L$1193,12,0)</f>
        <v>101250</v>
      </c>
      <c r="M22" s="44">
        <f t="shared" si="0"/>
        <v>0.44158438295942221</v>
      </c>
      <c r="N22" s="49">
        <f>ROUND(VLOOKUP(A22,'SSP_March''19'!$A$3:$N$1193,14,0),0)</f>
        <v>313875</v>
      </c>
      <c r="O22" s="44">
        <f t="shared" si="1"/>
        <v>1.3689115871742088</v>
      </c>
      <c r="P22" s="45">
        <f>VLOOKUP(A22,'SSP_March''19'!$A$3:$Q$1193,16,0)</f>
        <v>12</v>
      </c>
      <c r="Q22" s="34">
        <f>VLOOKUP(A22,'SSP_March''19'!$A$3:$Q$1193,17,0)</f>
        <v>8</v>
      </c>
      <c r="R22" s="35">
        <f t="shared" si="2"/>
        <v>0.66666666666666663</v>
      </c>
      <c r="S22" s="49">
        <f>ROUND(VLOOKUP(A22,'SSP_March''19'!$A$3:$T$1193,19,0),0)</f>
        <v>25</v>
      </c>
      <c r="T22" s="44">
        <f>VLOOKUP(A22,'SSP_March''19'!$A$3:$T$1193,20,0)</f>
        <v>2.0833333333333335</v>
      </c>
      <c r="U22" s="34">
        <f>VLOOKUP(A22,'SSP_March''19'!$A$3:$X$1193,21,0)</f>
        <v>3</v>
      </c>
      <c r="V22" s="34">
        <f>VLOOKUP(A22,'SSP_March''19'!$A$3:$X$1193,22,0)</f>
        <v>2</v>
      </c>
      <c r="W22" s="34">
        <f>VLOOKUP(A22,'SSP_March''19'!$A$3:$X$1193,23,0)</f>
        <v>1</v>
      </c>
      <c r="X22" s="34">
        <f>VLOOKUP(A22,'SSP_March''19'!$A$3:$X$1193,24,0)</f>
        <v>0</v>
      </c>
    </row>
    <row r="23" spans="1:24">
      <c r="A23" s="34" t="s">
        <v>2055</v>
      </c>
      <c r="B23" s="34" t="s">
        <v>1502</v>
      </c>
      <c r="C23" s="34" t="s">
        <v>56</v>
      </c>
      <c r="D23" s="34" t="s">
        <v>61</v>
      </c>
      <c r="E23" s="34" t="s">
        <v>4</v>
      </c>
      <c r="F23" s="34" t="s">
        <v>2056</v>
      </c>
      <c r="G23" s="54">
        <v>1917226577</v>
      </c>
      <c r="H23" s="54" t="s">
        <v>229</v>
      </c>
      <c r="I23" s="54" t="s">
        <v>3514</v>
      </c>
      <c r="J23" s="34" t="s">
        <v>3421</v>
      </c>
      <c r="K23" s="43">
        <f>VLOOKUP(A23,'SSP_March''19'!$A$3:$L$1193,11,0)</f>
        <v>163892</v>
      </c>
      <c r="L23" s="43">
        <f>VLOOKUP(A23,'SSP_March''19'!$A$3:$L$1193,12,0)</f>
        <v>33685</v>
      </c>
      <c r="M23" s="44">
        <f t="shared" si="0"/>
        <v>0.20553169160178655</v>
      </c>
      <c r="N23" s="49">
        <f>ROUND(VLOOKUP(A23,'SSP_March''19'!$A$3:$N$1193,14,0),0)</f>
        <v>104424</v>
      </c>
      <c r="O23" s="44">
        <f t="shared" si="1"/>
        <v>0.63715129475508259</v>
      </c>
      <c r="P23" s="45">
        <f>VLOOKUP(A23,'SSP_March''19'!$A$3:$Q$1193,16,0)</f>
        <v>10</v>
      </c>
      <c r="Q23" s="34">
        <f>VLOOKUP(A23,'SSP_March''19'!$A$3:$Q$1193,17,0)</f>
        <v>3</v>
      </c>
      <c r="R23" s="35">
        <f t="shared" si="2"/>
        <v>0.3</v>
      </c>
      <c r="S23" s="49">
        <f>ROUND(VLOOKUP(A23,'SSP_March''19'!$A$3:$T$1193,19,0),0)</f>
        <v>9</v>
      </c>
      <c r="T23" s="44">
        <f>VLOOKUP(A23,'SSP_March''19'!$A$3:$T$1193,20,0)</f>
        <v>0.9</v>
      </c>
      <c r="U23" s="34">
        <f>VLOOKUP(A23,'SSP_March''19'!$A$3:$X$1193,21,0)</f>
        <v>0</v>
      </c>
      <c r="V23" s="34">
        <f>VLOOKUP(A23,'SSP_March''19'!$A$3:$X$1193,22,0)</f>
        <v>1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34" t="s">
        <v>2075</v>
      </c>
      <c r="B24" s="34" t="s">
        <v>368</v>
      </c>
      <c r="C24" s="34" t="s">
        <v>56</v>
      </c>
      <c r="D24" s="34" t="s">
        <v>61</v>
      </c>
      <c r="E24" s="34" t="s">
        <v>4</v>
      </c>
      <c r="F24" s="34" t="s">
        <v>2076</v>
      </c>
      <c r="G24" s="54">
        <v>1777204039</v>
      </c>
      <c r="H24" s="54" t="s">
        <v>229</v>
      </c>
      <c r="I24" s="54" t="s">
        <v>3514</v>
      </c>
      <c r="J24" s="34" t="s">
        <v>3515</v>
      </c>
      <c r="K24" s="43">
        <f>VLOOKUP(A24,'SSP_March''19'!$A$3:$L$1193,11,0)</f>
        <v>176739</v>
      </c>
      <c r="L24" s="43">
        <f>VLOOKUP(A24,'SSP_March''19'!$A$3:$L$1193,12,0)</f>
        <v>16470</v>
      </c>
      <c r="M24" s="44">
        <f t="shared" si="0"/>
        <v>9.318826065554292E-2</v>
      </c>
      <c r="N24" s="49">
        <f>ROUND(VLOOKUP(A24,'SSP_March''19'!$A$3:$N$1193,14,0),0)</f>
        <v>51057</v>
      </c>
      <c r="O24" s="44">
        <f t="shared" si="1"/>
        <v>0.28888360803218305</v>
      </c>
      <c r="P24" s="45">
        <f>VLOOKUP(A24,'SSP_March''19'!$A$3:$Q$1193,16,0)</f>
        <v>10</v>
      </c>
      <c r="Q24" s="34">
        <f>VLOOKUP(A24,'SSP_March''19'!$A$3:$Q$1193,17,0)</f>
        <v>0</v>
      </c>
      <c r="R24" s="35">
        <f t="shared" si="2"/>
        <v>0</v>
      </c>
      <c r="S24" s="49">
        <f>ROUND(VLOOKUP(A24,'SSP_March''19'!$A$3:$T$1193,19,0),0)</f>
        <v>0</v>
      </c>
      <c r="T24" s="44">
        <f>VLOOKUP(A24,'SSP_March''19'!$A$3:$T$1193,20,0)</f>
        <v>0</v>
      </c>
      <c r="U24" s="34">
        <f>VLOOKUP(A24,'SSP_March''19'!$A$3:$X$1193,21,0)</f>
        <v>1</v>
      </c>
      <c r="V24" s="34">
        <f>VLOOKUP(A24,'SSP_March''19'!$A$3:$X$1193,22,0)</f>
        <v>0</v>
      </c>
      <c r="W24" s="34">
        <f>VLOOKUP(A24,'SSP_March''19'!$A$3:$X$1193,23,0)</f>
        <v>0</v>
      </c>
      <c r="X24" s="34">
        <f>VLOOKUP(A24,'SSP_March''19'!$A$3:$X$1193,24,0)</f>
        <v>0</v>
      </c>
    </row>
    <row r="25" spans="1:24">
      <c r="A25" s="34" t="s">
        <v>2077</v>
      </c>
      <c r="B25" s="34" t="s">
        <v>2078</v>
      </c>
      <c r="C25" s="34" t="s">
        <v>56</v>
      </c>
      <c r="D25" s="34" t="s">
        <v>61</v>
      </c>
      <c r="E25" s="34" t="s">
        <v>4</v>
      </c>
      <c r="F25" s="34" t="s">
        <v>829</v>
      </c>
      <c r="G25" s="54">
        <v>1918511818</v>
      </c>
      <c r="H25" s="54" t="s">
        <v>229</v>
      </c>
      <c r="I25" s="54" t="s">
        <v>3514</v>
      </c>
      <c r="J25" s="34" t="s">
        <v>3419</v>
      </c>
      <c r="K25" s="43">
        <f>VLOOKUP(A25,'SSP_March''19'!$A$3:$L$1193,11,0)</f>
        <v>219815</v>
      </c>
      <c r="L25" s="43">
        <f>VLOOKUP(A25,'SSP_March''19'!$A$3:$L$1193,12,0)</f>
        <v>52960</v>
      </c>
      <c r="M25" s="44">
        <f t="shared" si="0"/>
        <v>0.24092987284762185</v>
      </c>
      <c r="N25" s="49">
        <f>ROUND(VLOOKUP(A25,'SSP_March''19'!$A$3:$N$1193,14,0),0)</f>
        <v>164176</v>
      </c>
      <c r="O25" s="44">
        <f t="shared" si="1"/>
        <v>0.74688260582762778</v>
      </c>
      <c r="P25" s="45">
        <f>VLOOKUP(A25,'SSP_March''19'!$A$3:$Q$1193,16,0)</f>
        <v>12</v>
      </c>
      <c r="Q25" s="34">
        <f>VLOOKUP(A25,'SSP_March''19'!$A$3:$Q$1193,17,0)</f>
        <v>4</v>
      </c>
      <c r="R25" s="35">
        <f t="shared" si="2"/>
        <v>0.33333333333333331</v>
      </c>
      <c r="S25" s="49">
        <f>ROUND(VLOOKUP(A25,'SSP_March''19'!$A$3:$T$1193,19,0),0)</f>
        <v>12</v>
      </c>
      <c r="T25" s="44">
        <f>VLOOKUP(A25,'SSP_March''19'!$A$3:$T$1193,20,0)</f>
        <v>1</v>
      </c>
      <c r="U25" s="34">
        <f>VLOOKUP(A25,'SSP_March''19'!$A$3:$X$1193,21,0)</f>
        <v>0</v>
      </c>
      <c r="V25" s="34">
        <f>VLOOKUP(A25,'SSP_March''19'!$A$3:$X$1193,22,0)</f>
        <v>1</v>
      </c>
      <c r="W25" s="34">
        <f>VLOOKUP(A25,'SSP_March''19'!$A$3:$X$1193,23,0)</f>
        <v>0</v>
      </c>
      <c r="X25" s="34">
        <f>VLOOKUP(A25,'SSP_March''19'!$A$3:$X$1193,24,0)</f>
        <v>0</v>
      </c>
    </row>
    <row r="26" spans="1:24">
      <c r="A26" s="34" t="s">
        <v>3582</v>
      </c>
      <c r="B26" s="34" t="s">
        <v>3583</v>
      </c>
      <c r="C26" s="34" t="s">
        <v>3584</v>
      </c>
      <c r="D26" s="34" t="s">
        <v>80</v>
      </c>
      <c r="E26" s="34" t="s">
        <v>4</v>
      </c>
      <c r="F26" s="34" t="s">
        <v>3585</v>
      </c>
      <c r="G26" s="54">
        <v>1910328686</v>
      </c>
      <c r="H26" s="54" t="s">
        <v>229</v>
      </c>
      <c r="I26" s="54" t="s">
        <v>3514</v>
      </c>
      <c r="J26" s="34" t="s">
        <v>3515</v>
      </c>
      <c r="K26" s="43">
        <f>VLOOKUP(A26,'SSP_March''19'!$A$3:$L$1193,11,0)</f>
        <v>145000</v>
      </c>
      <c r="L26" s="43">
        <f>VLOOKUP(A26,'SSP_March''19'!$A$3:$L$1193,12,0)</f>
        <v>72170</v>
      </c>
      <c r="M26" s="44">
        <f t="shared" si="0"/>
        <v>0.49772413793103448</v>
      </c>
      <c r="N26" s="49">
        <f>ROUND(VLOOKUP(A26,'SSP_March''19'!$A$3:$N$1193,14,0),0)</f>
        <v>223727</v>
      </c>
      <c r="O26" s="44">
        <f t="shared" si="1"/>
        <v>1.542944827586207</v>
      </c>
      <c r="P26" s="45">
        <f>VLOOKUP(A26,'SSP_March''19'!$A$3:$Q$1193,16,0)</f>
        <v>10</v>
      </c>
      <c r="Q26" s="34">
        <f>VLOOKUP(A26,'SSP_March''19'!$A$3:$Q$1193,17,0)</f>
        <v>2</v>
      </c>
      <c r="R26" s="35">
        <f t="shared" si="2"/>
        <v>0.2</v>
      </c>
      <c r="S26" s="49">
        <f>ROUND(VLOOKUP(A26,'SSP_March''19'!$A$3:$T$1193,19,0),0)</f>
        <v>6</v>
      </c>
      <c r="T26" s="44">
        <f>VLOOKUP(A26,'SSP_March''19'!$A$3:$T$1193,20,0)</f>
        <v>0.6</v>
      </c>
      <c r="U26" s="34">
        <f>VLOOKUP(A26,'SSP_March''19'!$A$3:$X$1193,21,0)</f>
        <v>2</v>
      </c>
      <c r="V26" s="34">
        <f>VLOOKUP(A26,'SSP_March''19'!$A$3:$X$1193,22,0)</f>
        <v>0</v>
      </c>
      <c r="W26" s="34">
        <f>VLOOKUP(A26,'SSP_March''19'!$A$3:$X$1193,23,0)</f>
        <v>0</v>
      </c>
      <c r="X26" s="34">
        <f>VLOOKUP(A26,'SSP_March''19'!$A$3:$X$1193,24,0)</f>
        <v>0</v>
      </c>
    </row>
    <row r="27" spans="1:24">
      <c r="A27" s="34" t="s">
        <v>3586</v>
      </c>
      <c r="B27" s="34" t="s">
        <v>3587</v>
      </c>
      <c r="C27" s="34" t="s">
        <v>3584</v>
      </c>
      <c r="D27" s="34" t="s">
        <v>80</v>
      </c>
      <c r="E27" s="34" t="s">
        <v>4</v>
      </c>
      <c r="F27" s="34" t="s">
        <v>3588</v>
      </c>
      <c r="G27" s="54">
        <v>1724949494</v>
      </c>
      <c r="H27" s="54" t="s">
        <v>229</v>
      </c>
      <c r="I27" s="54" t="s">
        <v>3514</v>
      </c>
      <c r="J27" s="34" t="s">
        <v>3419</v>
      </c>
      <c r="K27" s="43">
        <f>VLOOKUP(A27,'SSP_March''19'!$A$3:$L$1193,11,0)</f>
        <v>201000</v>
      </c>
      <c r="L27" s="43">
        <f>VLOOKUP(A27,'SSP_March''19'!$A$3:$L$1193,12,0)</f>
        <v>59640</v>
      </c>
      <c r="M27" s="44">
        <f t="shared" si="0"/>
        <v>0.29671641791044778</v>
      </c>
      <c r="N27" s="49">
        <f>ROUND(VLOOKUP(A27,'SSP_March''19'!$A$3:$N$1193,14,0),0)</f>
        <v>184884</v>
      </c>
      <c r="O27" s="44">
        <f t="shared" si="1"/>
        <v>0.9198208955223881</v>
      </c>
      <c r="P27" s="45">
        <f>VLOOKUP(A27,'SSP_March''19'!$A$3:$Q$1193,16,0)</f>
        <v>10</v>
      </c>
      <c r="Q27" s="34">
        <f>VLOOKUP(A27,'SSP_March''19'!$A$3:$Q$1193,17,0)</f>
        <v>0</v>
      </c>
      <c r="R27" s="35">
        <f t="shared" si="2"/>
        <v>0</v>
      </c>
      <c r="S27" s="49">
        <f>ROUND(VLOOKUP(A27,'SSP_March''19'!$A$3:$T$1193,19,0),0)</f>
        <v>0</v>
      </c>
      <c r="T27" s="44">
        <f>VLOOKUP(A27,'SSP_March''19'!$A$3:$T$1193,20,0)</f>
        <v>0</v>
      </c>
      <c r="U27" s="34">
        <f>VLOOKUP(A27,'SSP_March''19'!$A$3:$X$1193,21,0)</f>
        <v>8</v>
      </c>
      <c r="V27" s="34">
        <f>VLOOKUP(A27,'SSP_March''19'!$A$3:$X$1193,22,0)</f>
        <v>0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34" t="s">
        <v>3589</v>
      </c>
      <c r="B28" s="34" t="s">
        <v>1696</v>
      </c>
      <c r="C28" s="34" t="s">
        <v>3584</v>
      </c>
      <c r="D28" s="34" t="s">
        <v>80</v>
      </c>
      <c r="E28" s="34" t="s">
        <v>4</v>
      </c>
      <c r="F28" s="34" t="s">
        <v>3590</v>
      </c>
      <c r="G28" s="54">
        <v>1811717469</v>
      </c>
      <c r="H28" s="54" t="s">
        <v>229</v>
      </c>
      <c r="I28" s="54" t="s">
        <v>3514</v>
      </c>
      <c r="J28" s="34" t="s">
        <v>3421</v>
      </c>
      <c r="K28" s="43">
        <f>VLOOKUP(A28,'SSP_March''19'!$A$3:$L$1193,11,0)</f>
        <v>130000</v>
      </c>
      <c r="L28" s="43">
        <f>VLOOKUP(A28,'SSP_March''19'!$A$3:$L$1193,12,0)</f>
        <v>23110</v>
      </c>
      <c r="M28" s="44">
        <f t="shared" si="0"/>
        <v>0.17776923076923076</v>
      </c>
      <c r="N28" s="49">
        <f>ROUND(VLOOKUP(A28,'SSP_March''19'!$A$3:$N$1193,14,0),0)</f>
        <v>71641</v>
      </c>
      <c r="O28" s="44">
        <f t="shared" si="1"/>
        <v>0.55108461538461539</v>
      </c>
      <c r="P28" s="45">
        <f>VLOOKUP(A28,'SSP_March''19'!$A$3:$Q$1193,16,0)</f>
        <v>10</v>
      </c>
      <c r="Q28" s="34">
        <f>VLOOKUP(A28,'SSP_March''19'!$A$3:$Q$1193,17,0)</f>
        <v>1</v>
      </c>
      <c r="R28" s="35">
        <f t="shared" si="2"/>
        <v>0.1</v>
      </c>
      <c r="S28" s="49">
        <f>ROUND(VLOOKUP(A28,'SSP_March''19'!$A$3:$T$1193,19,0),0)</f>
        <v>3</v>
      </c>
      <c r="T28" s="44">
        <f>VLOOKUP(A28,'SSP_March''19'!$A$3:$T$1193,20,0)</f>
        <v>0.3</v>
      </c>
      <c r="U28" s="34">
        <f>VLOOKUP(A28,'SSP_March''19'!$A$3:$X$1193,21,0)</f>
        <v>0</v>
      </c>
      <c r="V28" s="34">
        <f>VLOOKUP(A28,'SSP_March''19'!$A$3:$X$1193,22,0)</f>
        <v>0</v>
      </c>
      <c r="W28" s="34">
        <f>VLOOKUP(A28,'SSP_March''19'!$A$3:$X$1193,23,0)</f>
        <v>0</v>
      </c>
      <c r="X28" s="34">
        <f>VLOOKUP(A28,'SSP_March''19'!$A$3:$X$1193,24,0)</f>
        <v>0</v>
      </c>
    </row>
    <row r="29" spans="1:24">
      <c r="A29" s="34" t="s">
        <v>3591</v>
      </c>
      <c r="B29" s="34" t="s">
        <v>3592</v>
      </c>
      <c r="C29" s="34" t="s">
        <v>3584</v>
      </c>
      <c r="D29" s="34" t="s">
        <v>80</v>
      </c>
      <c r="E29" s="34" t="s">
        <v>4</v>
      </c>
      <c r="F29" s="34" t="s">
        <v>3593</v>
      </c>
      <c r="G29" s="54">
        <v>1719915153</v>
      </c>
      <c r="H29" s="54" t="s">
        <v>229</v>
      </c>
      <c r="I29" s="54" t="s">
        <v>3514</v>
      </c>
      <c r="J29" s="34" t="s">
        <v>3421</v>
      </c>
      <c r="K29" s="43">
        <f>VLOOKUP(A29,'SSP_March''19'!$A$3:$L$1193,11,0)</f>
        <v>130000</v>
      </c>
      <c r="L29" s="43">
        <f>VLOOKUP(A29,'SSP_March''19'!$A$3:$L$1193,12,0)</f>
        <v>15020</v>
      </c>
      <c r="M29" s="44">
        <f t="shared" si="0"/>
        <v>0.11553846153846153</v>
      </c>
      <c r="N29" s="49">
        <f>ROUND(VLOOKUP(A29,'SSP_March''19'!$A$3:$N$1193,14,0),0)</f>
        <v>46562</v>
      </c>
      <c r="O29" s="44">
        <f t="shared" si="1"/>
        <v>0.3581692307692308</v>
      </c>
      <c r="P29" s="45">
        <f>VLOOKUP(A29,'SSP_March''19'!$A$3:$Q$1193,16,0)</f>
        <v>10</v>
      </c>
      <c r="Q29" s="34">
        <f>VLOOKUP(A29,'SSP_March''19'!$A$3:$Q$1193,17,0)</f>
        <v>0</v>
      </c>
      <c r="R29" s="35">
        <f t="shared" si="2"/>
        <v>0</v>
      </c>
      <c r="S29" s="49">
        <f>ROUND(VLOOKUP(A29,'SSP_March''19'!$A$3:$T$1193,19,0),0)</f>
        <v>0</v>
      </c>
      <c r="T29" s="44">
        <f>VLOOKUP(A29,'SSP_March''19'!$A$3:$T$1193,20,0)</f>
        <v>0</v>
      </c>
      <c r="U29" s="34">
        <f>VLOOKUP(A29,'SSP_March''19'!$A$3:$X$1193,21,0)</f>
        <v>0</v>
      </c>
      <c r="V29" s="34">
        <f>VLOOKUP(A29,'SSP_March''19'!$A$3:$X$1193,22,0)</f>
        <v>0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34" t="s">
        <v>3594</v>
      </c>
      <c r="B30" s="34" t="s">
        <v>2018</v>
      </c>
      <c r="C30" s="34" t="s">
        <v>3584</v>
      </c>
      <c r="D30" s="34" t="s">
        <v>80</v>
      </c>
      <c r="E30" s="34" t="s">
        <v>4</v>
      </c>
      <c r="F30" s="34" t="s">
        <v>3595</v>
      </c>
      <c r="G30" s="54">
        <v>1768991147</v>
      </c>
      <c r="H30" s="54" t="s">
        <v>229</v>
      </c>
      <c r="I30" s="54" t="s">
        <v>3514</v>
      </c>
      <c r="J30" s="34" t="s">
        <v>3419</v>
      </c>
      <c r="K30" s="43">
        <f>VLOOKUP(A30,'SSP_March''19'!$A$3:$L$1193,11,0)</f>
        <v>130000</v>
      </c>
      <c r="L30" s="43">
        <f>VLOOKUP(A30,'SSP_March''19'!$A$3:$L$1193,12,0)</f>
        <v>26095</v>
      </c>
      <c r="M30" s="44">
        <f t="shared" si="0"/>
        <v>0.20073076923076924</v>
      </c>
      <c r="N30" s="49">
        <f>ROUND(VLOOKUP(A30,'SSP_March''19'!$A$3:$N$1193,14,0),0)</f>
        <v>80895</v>
      </c>
      <c r="O30" s="44">
        <f t="shared" si="1"/>
        <v>0.6222692307692308</v>
      </c>
      <c r="P30" s="45">
        <f>VLOOKUP(A30,'SSP_March''19'!$A$3:$Q$1193,16,0)</f>
        <v>10</v>
      </c>
      <c r="Q30" s="34">
        <f>VLOOKUP(A30,'SSP_March''19'!$A$3:$Q$1193,17,0)</f>
        <v>2</v>
      </c>
      <c r="R30" s="35">
        <f t="shared" si="2"/>
        <v>0.2</v>
      </c>
      <c r="S30" s="49">
        <f>ROUND(VLOOKUP(A30,'SSP_March''19'!$A$3:$T$1193,19,0),0)</f>
        <v>6</v>
      </c>
      <c r="T30" s="44">
        <f>VLOOKUP(A30,'SSP_March''19'!$A$3:$T$1193,20,0)</f>
        <v>0.6</v>
      </c>
      <c r="U30" s="34">
        <f>VLOOKUP(A30,'SSP_March''19'!$A$3:$X$1193,21,0)</f>
        <v>0</v>
      </c>
      <c r="V30" s="34">
        <f>VLOOKUP(A30,'SSP_March''19'!$A$3:$X$1193,22,0)</f>
        <v>0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34" t="s">
        <v>3250</v>
      </c>
      <c r="B31" s="34" t="s">
        <v>3251</v>
      </c>
      <c r="C31" s="34" t="s">
        <v>84</v>
      </c>
      <c r="D31" s="34" t="s">
        <v>80</v>
      </c>
      <c r="E31" s="34" t="s">
        <v>4</v>
      </c>
      <c r="F31" s="34" t="s">
        <v>3252</v>
      </c>
      <c r="G31" s="54">
        <v>1723199177</v>
      </c>
      <c r="H31" s="54" t="s">
        <v>229</v>
      </c>
      <c r="I31" s="54" t="s">
        <v>3514</v>
      </c>
      <c r="J31" s="34" t="s">
        <v>3421</v>
      </c>
      <c r="K31" s="43">
        <f>VLOOKUP(A31,'SSP_March''19'!$A$3:$L$1193,11,0)</f>
        <v>130000</v>
      </c>
      <c r="L31" s="43">
        <f>VLOOKUP(A31,'SSP_March''19'!$A$3:$L$1193,12,0)</f>
        <v>27300</v>
      </c>
      <c r="M31" s="44">
        <f t="shared" si="0"/>
        <v>0.21</v>
      </c>
      <c r="N31" s="49">
        <f>ROUND(VLOOKUP(A31,'SSP_March''19'!$A$3:$N$1193,14,0),0)</f>
        <v>84630</v>
      </c>
      <c r="O31" s="44">
        <f t="shared" si="1"/>
        <v>0.65100000000000002</v>
      </c>
      <c r="P31" s="45">
        <f>VLOOKUP(A31,'SSP_March''19'!$A$3:$Q$1193,16,0)</f>
        <v>10</v>
      </c>
      <c r="Q31" s="34">
        <f>VLOOKUP(A31,'SSP_March''19'!$A$3:$Q$1193,17,0)</f>
        <v>0</v>
      </c>
      <c r="R31" s="35">
        <f t="shared" si="2"/>
        <v>0</v>
      </c>
      <c r="S31" s="49">
        <f>ROUND(VLOOKUP(A31,'SSP_March''19'!$A$3:$T$1193,19,0),0)</f>
        <v>0</v>
      </c>
      <c r="T31" s="44">
        <f>VLOOKUP(A31,'SSP_March''19'!$A$3:$T$1193,20,0)</f>
        <v>0</v>
      </c>
      <c r="U31" s="34">
        <f>VLOOKUP(A31,'SSP_March''19'!$A$3:$X$1193,21,0)</f>
        <v>2</v>
      </c>
      <c r="V31" s="34">
        <f>VLOOKUP(A31,'SSP_March''19'!$A$3:$X$1193,22,0)</f>
        <v>0</v>
      </c>
      <c r="W31" s="34">
        <f>VLOOKUP(A31,'SSP_March''19'!$A$3:$X$1193,23,0)</f>
        <v>0</v>
      </c>
      <c r="X31" s="34">
        <f>VLOOKUP(A31,'SSP_March''19'!$A$3:$X$1193,24,0)</f>
        <v>0</v>
      </c>
    </row>
    <row r="32" spans="1:24">
      <c r="A32" s="34" t="s">
        <v>2111</v>
      </c>
      <c r="B32" s="34" t="s">
        <v>2112</v>
      </c>
      <c r="C32" s="34" t="s">
        <v>84</v>
      </c>
      <c r="D32" s="34" t="s">
        <v>80</v>
      </c>
      <c r="E32" s="34" t="s">
        <v>4</v>
      </c>
      <c r="F32" s="34" t="s">
        <v>2113</v>
      </c>
      <c r="G32" s="54">
        <v>1767489191</v>
      </c>
      <c r="H32" s="54" t="s">
        <v>229</v>
      </c>
      <c r="I32" s="54" t="s">
        <v>3514</v>
      </c>
      <c r="J32" s="34" t="s">
        <v>3419</v>
      </c>
      <c r="K32" s="43">
        <f>VLOOKUP(A32,'SSP_March''19'!$A$3:$L$1193,11,0)</f>
        <v>150000</v>
      </c>
      <c r="L32" s="43">
        <f>VLOOKUP(A32,'SSP_March''19'!$A$3:$L$1193,12,0)</f>
        <v>39180</v>
      </c>
      <c r="M32" s="44">
        <f t="shared" si="0"/>
        <v>0.26119999999999999</v>
      </c>
      <c r="N32" s="49">
        <f>ROUND(VLOOKUP(A32,'SSP_March''19'!$A$3:$N$1193,14,0),0)</f>
        <v>121458</v>
      </c>
      <c r="O32" s="44">
        <f t="shared" si="1"/>
        <v>0.80972</v>
      </c>
      <c r="P32" s="45">
        <f>VLOOKUP(A32,'SSP_March''19'!$A$3:$Q$1193,16,0)</f>
        <v>12</v>
      </c>
      <c r="Q32" s="34">
        <f>VLOOKUP(A32,'SSP_March''19'!$A$3:$Q$1193,17,0)</f>
        <v>1</v>
      </c>
      <c r="R32" s="35">
        <f t="shared" si="2"/>
        <v>8.3333333333333329E-2</v>
      </c>
      <c r="S32" s="49">
        <f>ROUND(VLOOKUP(A32,'SSP_March''19'!$A$3:$T$1193,19,0),0)</f>
        <v>3</v>
      </c>
      <c r="T32" s="44">
        <f>VLOOKUP(A32,'SSP_March''19'!$A$3:$T$1193,20,0)</f>
        <v>0.25</v>
      </c>
      <c r="U32" s="34">
        <f>VLOOKUP(A32,'SSP_March''19'!$A$3:$X$1193,21,0)</f>
        <v>1</v>
      </c>
      <c r="V32" s="34">
        <f>VLOOKUP(A32,'SSP_March''19'!$A$3:$X$1193,22,0)</f>
        <v>0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34" t="s">
        <v>2106</v>
      </c>
      <c r="B33" s="34" t="s">
        <v>2107</v>
      </c>
      <c r="C33" s="34" t="s">
        <v>84</v>
      </c>
      <c r="D33" s="34" t="s">
        <v>80</v>
      </c>
      <c r="E33" s="34" t="s">
        <v>4</v>
      </c>
      <c r="F33" s="34" t="s">
        <v>2108</v>
      </c>
      <c r="G33" s="54">
        <v>1711198118</v>
      </c>
      <c r="H33" s="54" t="s">
        <v>229</v>
      </c>
      <c r="I33" s="54" t="s">
        <v>3518</v>
      </c>
      <c r="J33" s="34" t="s">
        <v>3419</v>
      </c>
      <c r="K33" s="43">
        <f>VLOOKUP(A33,'SSP_March''19'!$A$3:$L$1193,11,0)</f>
        <v>301000</v>
      </c>
      <c r="L33" s="43">
        <f>VLOOKUP(A33,'SSP_March''19'!$A$3:$L$1193,12,0)</f>
        <v>27550</v>
      </c>
      <c r="M33" s="44">
        <f t="shared" si="0"/>
        <v>9.1528239202657805E-2</v>
      </c>
      <c r="N33" s="49">
        <f>ROUND(VLOOKUP(A33,'SSP_March''19'!$A$3:$N$1193,14,0),0)</f>
        <v>85405</v>
      </c>
      <c r="O33" s="44">
        <f t="shared" si="1"/>
        <v>0.28373754152823921</v>
      </c>
      <c r="P33" s="45">
        <f>VLOOKUP(A33,'SSP_March''19'!$A$3:$Q$1193,16,0)</f>
        <v>14</v>
      </c>
      <c r="Q33" s="34">
        <f>VLOOKUP(A33,'SSP_March''19'!$A$3:$Q$1193,17,0)</f>
        <v>1</v>
      </c>
      <c r="R33" s="35">
        <f t="shared" si="2"/>
        <v>7.1428571428571425E-2</v>
      </c>
      <c r="S33" s="49">
        <f>ROUND(VLOOKUP(A33,'SSP_March''19'!$A$3:$T$1193,19,0),0)</f>
        <v>3</v>
      </c>
      <c r="T33" s="44">
        <f>VLOOKUP(A33,'SSP_March''19'!$A$3:$T$1193,20,0)</f>
        <v>0.21428571428571427</v>
      </c>
      <c r="U33" s="34">
        <f>VLOOKUP(A33,'SSP_March''19'!$A$3:$X$1193,21,0)</f>
        <v>2</v>
      </c>
      <c r="V33" s="34">
        <f>VLOOKUP(A33,'SSP_March''19'!$A$3:$X$1193,22,0)</f>
        <v>1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34" t="s">
        <v>3253</v>
      </c>
      <c r="B34" s="34" t="s">
        <v>3254</v>
      </c>
      <c r="C34" s="34" t="s">
        <v>84</v>
      </c>
      <c r="D34" s="34" t="s">
        <v>80</v>
      </c>
      <c r="E34" s="34" t="s">
        <v>4</v>
      </c>
      <c r="F34" s="34" t="s">
        <v>3255</v>
      </c>
      <c r="G34" s="54">
        <v>1722898573</v>
      </c>
      <c r="H34" s="54" t="s">
        <v>229</v>
      </c>
      <c r="I34" s="54" t="s">
        <v>3514</v>
      </c>
      <c r="J34" s="34" t="s">
        <v>3515</v>
      </c>
      <c r="K34" s="43">
        <f>VLOOKUP(A34,'SSP_March''19'!$A$3:$L$1193,11,0)</f>
        <v>130000</v>
      </c>
      <c r="L34" s="43">
        <f>VLOOKUP(A34,'SSP_March''19'!$A$3:$L$1193,12,0)</f>
        <v>60830</v>
      </c>
      <c r="M34" s="44">
        <f t="shared" si="0"/>
        <v>0.46792307692307694</v>
      </c>
      <c r="N34" s="49">
        <f>ROUND(VLOOKUP(A34,'SSP_March''19'!$A$3:$N$1193,14,0),0)</f>
        <v>188573</v>
      </c>
      <c r="O34" s="44">
        <f t="shared" si="1"/>
        <v>1.4505615384615385</v>
      </c>
      <c r="P34" s="45">
        <f>VLOOKUP(A34,'SSP_March''19'!$A$3:$Q$1193,16,0)</f>
        <v>10</v>
      </c>
      <c r="Q34" s="34">
        <f>VLOOKUP(A34,'SSP_March''19'!$A$3:$Q$1193,17,0)</f>
        <v>2</v>
      </c>
      <c r="R34" s="35">
        <f t="shared" si="2"/>
        <v>0.2</v>
      </c>
      <c r="S34" s="49">
        <f>ROUND(VLOOKUP(A34,'SSP_March''19'!$A$3:$T$1193,19,0),0)</f>
        <v>6</v>
      </c>
      <c r="T34" s="44">
        <f>VLOOKUP(A34,'SSP_March''19'!$A$3:$T$1193,20,0)</f>
        <v>0.6</v>
      </c>
      <c r="U34" s="34">
        <f>VLOOKUP(A34,'SSP_March''19'!$A$3:$X$1193,21,0)</f>
        <v>1</v>
      </c>
      <c r="V34" s="34">
        <f>VLOOKUP(A34,'SSP_March''19'!$A$3:$X$1193,22,0)</f>
        <v>0</v>
      </c>
      <c r="W34" s="34">
        <f>VLOOKUP(A34,'SSP_March''19'!$A$3:$X$1193,23,0)</f>
        <v>0</v>
      </c>
      <c r="X34" s="34">
        <f>VLOOKUP(A34,'SSP_March''19'!$A$3:$X$1193,24,0)</f>
        <v>0</v>
      </c>
    </row>
    <row r="35" spans="1:24">
      <c r="A35" s="34" t="s">
        <v>2131</v>
      </c>
      <c r="B35" s="34" t="s">
        <v>2132</v>
      </c>
      <c r="C35" s="34" t="s">
        <v>84</v>
      </c>
      <c r="D35" s="34" t="s">
        <v>80</v>
      </c>
      <c r="E35" s="34" t="s">
        <v>4</v>
      </c>
      <c r="F35" s="34" t="s">
        <v>2133</v>
      </c>
      <c r="G35" s="54">
        <v>1711229268</v>
      </c>
      <c r="H35" s="54" t="s">
        <v>229</v>
      </c>
      <c r="I35" s="54" t="s">
        <v>3514</v>
      </c>
      <c r="J35" s="34" t="s">
        <v>3421</v>
      </c>
      <c r="K35" s="43">
        <f>VLOOKUP(A35,'SSP_March''19'!$A$3:$L$1193,11,0)</f>
        <v>180000</v>
      </c>
      <c r="L35" s="43">
        <f>VLOOKUP(A35,'SSP_March''19'!$A$3:$L$1193,12,0)</f>
        <v>27510</v>
      </c>
      <c r="M35" s="44">
        <f t="shared" ref="M35:M66" si="3">L35/K35</f>
        <v>0.15283333333333332</v>
      </c>
      <c r="N35" s="49">
        <f>ROUND(VLOOKUP(A35,'SSP_March''19'!$A$3:$N$1193,14,0),0)</f>
        <v>85281</v>
      </c>
      <c r="O35" s="44">
        <f t="shared" ref="O35:O66" si="4">N35/K35</f>
        <v>0.47378333333333333</v>
      </c>
      <c r="P35" s="45">
        <f>VLOOKUP(A35,'SSP_March''19'!$A$3:$Q$1193,16,0)</f>
        <v>17</v>
      </c>
      <c r="Q35" s="34">
        <f>VLOOKUP(A35,'SSP_March''19'!$A$3:$Q$1193,17,0)</f>
        <v>2</v>
      </c>
      <c r="R35" s="35">
        <f t="shared" ref="R35:R66" si="5">Q35/P35</f>
        <v>0.11764705882352941</v>
      </c>
      <c r="S35" s="49">
        <f>ROUND(VLOOKUP(A35,'SSP_March''19'!$A$3:$T$1193,19,0),0)</f>
        <v>6</v>
      </c>
      <c r="T35" s="44">
        <f>VLOOKUP(A35,'SSP_March''19'!$A$3:$T$1193,20,0)</f>
        <v>0.35294117647058826</v>
      </c>
      <c r="U35" s="34">
        <f>VLOOKUP(A35,'SSP_March''19'!$A$3:$X$1193,21,0)</f>
        <v>0</v>
      </c>
      <c r="V35" s="34">
        <f>VLOOKUP(A35,'SSP_March''19'!$A$3:$X$1193,22,0)</f>
        <v>1</v>
      </c>
      <c r="W35" s="34">
        <f>VLOOKUP(A35,'SSP_March''19'!$A$3:$X$1193,23,0)</f>
        <v>0</v>
      </c>
      <c r="X35" s="34">
        <f>VLOOKUP(A35,'SSP_March''19'!$A$3:$X$1193,24,0)</f>
        <v>1</v>
      </c>
    </row>
    <row r="36" spans="1:24">
      <c r="A36" s="34" t="s">
        <v>2125</v>
      </c>
      <c r="B36" s="34" t="s">
        <v>2126</v>
      </c>
      <c r="C36" s="34" t="s">
        <v>84</v>
      </c>
      <c r="D36" s="34" t="s">
        <v>80</v>
      </c>
      <c r="E36" s="34" t="s">
        <v>4</v>
      </c>
      <c r="F36" s="34" t="s">
        <v>2127</v>
      </c>
      <c r="G36" s="54">
        <v>1773868433</v>
      </c>
      <c r="H36" s="54" t="s">
        <v>229</v>
      </c>
      <c r="I36" s="54" t="s">
        <v>3514</v>
      </c>
      <c r="J36" s="34" t="s">
        <v>3515</v>
      </c>
      <c r="K36" s="43">
        <f>VLOOKUP(A36,'SSP_March''19'!$A$3:$L$1193,11,0)</f>
        <v>130000</v>
      </c>
      <c r="L36" s="43">
        <f>VLOOKUP(A36,'SSP_March''19'!$A$3:$L$1193,12,0)</f>
        <v>43480</v>
      </c>
      <c r="M36" s="44">
        <f t="shared" si="3"/>
        <v>0.33446153846153848</v>
      </c>
      <c r="N36" s="49">
        <f>ROUND(VLOOKUP(A36,'SSP_March''19'!$A$3:$N$1193,14,0),0)</f>
        <v>134788</v>
      </c>
      <c r="O36" s="44">
        <f t="shared" si="4"/>
        <v>1.0368307692307692</v>
      </c>
      <c r="P36" s="45">
        <f>VLOOKUP(A36,'SSP_March''19'!$A$3:$Q$1193,16,0)</f>
        <v>10</v>
      </c>
      <c r="Q36" s="34">
        <f>VLOOKUP(A36,'SSP_March''19'!$A$3:$Q$1193,17,0)</f>
        <v>1</v>
      </c>
      <c r="R36" s="35">
        <f t="shared" si="5"/>
        <v>0.1</v>
      </c>
      <c r="S36" s="49">
        <f>ROUND(VLOOKUP(A36,'SSP_March''19'!$A$3:$T$1193,19,0),0)</f>
        <v>3</v>
      </c>
      <c r="T36" s="44">
        <f>VLOOKUP(A36,'SSP_March''19'!$A$3:$T$1193,20,0)</f>
        <v>0.3</v>
      </c>
      <c r="U36" s="34">
        <f>VLOOKUP(A36,'SSP_March''19'!$A$3:$X$1193,21,0)</f>
        <v>1</v>
      </c>
      <c r="V36" s="34">
        <f>VLOOKUP(A36,'SSP_March''19'!$A$3:$X$1193,22,0)</f>
        <v>0</v>
      </c>
      <c r="W36" s="34">
        <f>VLOOKUP(A36,'SSP_March''19'!$A$3:$X$1193,23,0)</f>
        <v>0</v>
      </c>
      <c r="X36" s="34">
        <f>VLOOKUP(A36,'SSP_March''19'!$A$3:$X$1193,24,0)</f>
        <v>0</v>
      </c>
    </row>
    <row r="37" spans="1:24">
      <c r="A37" s="34" t="s">
        <v>3164</v>
      </c>
      <c r="B37" s="34" t="s">
        <v>3165</v>
      </c>
      <c r="C37" s="34" t="s">
        <v>84</v>
      </c>
      <c r="D37" s="34" t="s">
        <v>80</v>
      </c>
      <c r="E37" s="34" t="s">
        <v>4</v>
      </c>
      <c r="F37" s="34" t="s">
        <v>3166</v>
      </c>
      <c r="G37" s="54">
        <v>1819698107</v>
      </c>
      <c r="H37" s="54" t="s">
        <v>229</v>
      </c>
      <c r="I37" s="54" t="s">
        <v>3514</v>
      </c>
      <c r="J37" s="34" t="s">
        <v>3419</v>
      </c>
      <c r="K37" s="43">
        <f>VLOOKUP(A37,'SSP_March''19'!$A$3:$L$1193,11,0)</f>
        <v>151904</v>
      </c>
      <c r="L37" s="43">
        <f>VLOOKUP(A37,'SSP_March''19'!$A$3:$L$1193,12,0)</f>
        <v>64800</v>
      </c>
      <c r="M37" s="44">
        <f t="shared" si="3"/>
        <v>0.42658521171266062</v>
      </c>
      <c r="N37" s="49">
        <f>ROUND(VLOOKUP(A37,'SSP_March''19'!$A$3:$N$1193,14,0),0)</f>
        <v>200880</v>
      </c>
      <c r="O37" s="44">
        <f t="shared" si="4"/>
        <v>1.322414156309248</v>
      </c>
      <c r="P37" s="45">
        <f>VLOOKUP(A37,'SSP_March''19'!$A$3:$Q$1193,16,0)</f>
        <v>10</v>
      </c>
      <c r="Q37" s="34">
        <f>VLOOKUP(A37,'SSP_March''19'!$A$3:$Q$1193,17,0)</f>
        <v>4</v>
      </c>
      <c r="R37" s="35">
        <f t="shared" si="5"/>
        <v>0.4</v>
      </c>
      <c r="S37" s="49">
        <f>ROUND(VLOOKUP(A37,'SSP_March''19'!$A$3:$T$1193,19,0),0)</f>
        <v>12</v>
      </c>
      <c r="T37" s="44">
        <f>VLOOKUP(A37,'SSP_March''19'!$A$3:$T$1193,20,0)</f>
        <v>1.2</v>
      </c>
      <c r="U37" s="34">
        <f>VLOOKUP(A37,'SSP_March''19'!$A$3:$X$1193,21,0)</f>
        <v>0</v>
      </c>
      <c r="V37" s="34">
        <f>VLOOKUP(A37,'SSP_March''19'!$A$3:$X$1193,22,0)</f>
        <v>0</v>
      </c>
      <c r="W37" s="34">
        <f>VLOOKUP(A37,'SSP_March''19'!$A$3:$X$1193,23,0)</f>
        <v>0</v>
      </c>
      <c r="X37" s="34">
        <f>VLOOKUP(A37,'SSP_March''19'!$A$3:$X$1193,24,0)</f>
        <v>0</v>
      </c>
    </row>
    <row r="38" spans="1:24">
      <c r="A38" s="34" t="s">
        <v>2120</v>
      </c>
      <c r="B38" s="34" t="s">
        <v>2121</v>
      </c>
      <c r="C38" s="34" t="s">
        <v>84</v>
      </c>
      <c r="D38" s="34" t="s">
        <v>80</v>
      </c>
      <c r="E38" s="34" t="s">
        <v>4</v>
      </c>
      <c r="F38" s="34" t="s">
        <v>2122</v>
      </c>
      <c r="G38" s="54">
        <v>1946587040</v>
      </c>
      <c r="H38" s="54" t="s">
        <v>229</v>
      </c>
      <c r="I38" s="54" t="s">
        <v>3514</v>
      </c>
      <c r="J38" s="34" t="s">
        <v>3419</v>
      </c>
      <c r="K38" s="43">
        <f>VLOOKUP(A38,'SSP_March''19'!$A$3:$L$1193,11,0)</f>
        <v>130000</v>
      </c>
      <c r="L38" s="43">
        <f>VLOOKUP(A38,'SSP_March''19'!$A$3:$L$1193,12,0)</f>
        <v>47850</v>
      </c>
      <c r="M38" s="44">
        <f t="shared" si="3"/>
        <v>0.36807692307692308</v>
      </c>
      <c r="N38" s="49">
        <f>ROUND(VLOOKUP(A38,'SSP_March''19'!$A$3:$N$1193,14,0),0)</f>
        <v>148335</v>
      </c>
      <c r="O38" s="44">
        <f t="shared" si="4"/>
        <v>1.1410384615384614</v>
      </c>
      <c r="P38" s="45">
        <f>VLOOKUP(A38,'SSP_March''19'!$A$3:$Q$1193,16,0)</f>
        <v>10</v>
      </c>
      <c r="Q38" s="34">
        <f>VLOOKUP(A38,'SSP_March''19'!$A$3:$Q$1193,17,0)</f>
        <v>0</v>
      </c>
      <c r="R38" s="35">
        <f t="shared" si="5"/>
        <v>0</v>
      </c>
      <c r="S38" s="49">
        <f>ROUND(VLOOKUP(A38,'SSP_March''19'!$A$3:$T$1193,19,0),0)</f>
        <v>0</v>
      </c>
      <c r="T38" s="44">
        <f>VLOOKUP(A38,'SSP_March''19'!$A$3:$T$1193,20,0)</f>
        <v>0</v>
      </c>
      <c r="U38" s="34">
        <f>VLOOKUP(A38,'SSP_March''19'!$A$3:$X$1193,21,0)</f>
        <v>0</v>
      </c>
      <c r="V38" s="34">
        <f>VLOOKUP(A38,'SSP_March''19'!$A$3:$X$1193,22,0)</f>
        <v>0</v>
      </c>
      <c r="W38" s="34">
        <f>VLOOKUP(A38,'SSP_March''19'!$A$3:$X$1193,23,0)</f>
        <v>0</v>
      </c>
      <c r="X38" s="34">
        <f>VLOOKUP(A38,'SSP_March''19'!$A$3:$X$1193,24,0)</f>
        <v>0</v>
      </c>
    </row>
    <row r="39" spans="1:24">
      <c r="A39" s="34" t="s">
        <v>2103</v>
      </c>
      <c r="B39" s="34" t="s">
        <v>2104</v>
      </c>
      <c r="C39" s="34" t="s">
        <v>84</v>
      </c>
      <c r="D39" s="34" t="s">
        <v>80</v>
      </c>
      <c r="E39" s="34" t="s">
        <v>4</v>
      </c>
      <c r="F39" s="34" t="s">
        <v>2105</v>
      </c>
      <c r="G39" s="54">
        <v>1934728834</v>
      </c>
      <c r="H39" s="54" t="s">
        <v>229</v>
      </c>
      <c r="I39" s="54" t="s">
        <v>3514</v>
      </c>
      <c r="J39" s="34" t="s">
        <v>3419</v>
      </c>
      <c r="K39" s="43">
        <f>VLOOKUP(A39,'SSP_March''19'!$A$3:$L$1193,11,0)</f>
        <v>202098</v>
      </c>
      <c r="L39" s="43">
        <f>VLOOKUP(A39,'SSP_March''19'!$A$3:$L$1193,12,0)</f>
        <v>29450</v>
      </c>
      <c r="M39" s="44">
        <f t="shared" si="3"/>
        <v>0.14572138269552395</v>
      </c>
      <c r="N39" s="49">
        <f>ROUND(VLOOKUP(A39,'SSP_March''19'!$A$3:$N$1193,14,0),0)</f>
        <v>91295</v>
      </c>
      <c r="O39" s="44">
        <f t="shared" si="4"/>
        <v>0.45173628635612428</v>
      </c>
      <c r="P39" s="45">
        <f>VLOOKUP(A39,'SSP_March''19'!$A$3:$Q$1193,16,0)</f>
        <v>10</v>
      </c>
      <c r="Q39" s="34">
        <f>VLOOKUP(A39,'SSP_March''19'!$A$3:$Q$1193,17,0)</f>
        <v>1</v>
      </c>
      <c r="R39" s="35">
        <f t="shared" si="5"/>
        <v>0.1</v>
      </c>
      <c r="S39" s="49">
        <f>ROUND(VLOOKUP(A39,'SSP_March''19'!$A$3:$T$1193,19,0),0)</f>
        <v>3</v>
      </c>
      <c r="T39" s="44">
        <f>VLOOKUP(A39,'SSP_March''19'!$A$3:$T$1193,20,0)</f>
        <v>0.3</v>
      </c>
      <c r="U39" s="34">
        <f>VLOOKUP(A39,'SSP_March''19'!$A$3:$X$1193,21,0)</f>
        <v>1</v>
      </c>
      <c r="V39" s="34">
        <f>VLOOKUP(A39,'SSP_March''19'!$A$3:$X$1193,22,0)</f>
        <v>0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34" t="s">
        <v>2094</v>
      </c>
      <c r="B40" s="34" t="s">
        <v>2095</v>
      </c>
      <c r="C40" s="34" t="s">
        <v>84</v>
      </c>
      <c r="D40" s="34" t="s">
        <v>80</v>
      </c>
      <c r="E40" s="34" t="s">
        <v>4</v>
      </c>
      <c r="F40" s="34" t="s">
        <v>2096</v>
      </c>
      <c r="G40" s="54">
        <v>1777289999</v>
      </c>
      <c r="H40" s="54" t="s">
        <v>229</v>
      </c>
      <c r="I40" s="54" t="s">
        <v>3518</v>
      </c>
      <c r="J40" s="34" t="s">
        <v>3419</v>
      </c>
      <c r="K40" s="43">
        <f>VLOOKUP(A40,'SSP_March''19'!$A$3:$L$1193,11,0)</f>
        <v>301000</v>
      </c>
      <c r="L40" s="43">
        <f>VLOOKUP(A40,'SSP_March''19'!$A$3:$L$1193,12,0)</f>
        <v>80190</v>
      </c>
      <c r="M40" s="44">
        <f t="shared" si="3"/>
        <v>0.26641196013289037</v>
      </c>
      <c r="N40" s="49">
        <f>ROUND(VLOOKUP(A40,'SSP_March''19'!$A$3:$N$1193,14,0),0)</f>
        <v>248589</v>
      </c>
      <c r="O40" s="44">
        <f t="shared" si="4"/>
        <v>0.82587707641196018</v>
      </c>
      <c r="P40" s="45">
        <f>VLOOKUP(A40,'SSP_March''19'!$A$3:$Q$1193,16,0)</f>
        <v>20</v>
      </c>
      <c r="Q40" s="34">
        <f>VLOOKUP(A40,'SSP_March''19'!$A$3:$Q$1193,17,0)</f>
        <v>8</v>
      </c>
      <c r="R40" s="35">
        <f t="shared" si="5"/>
        <v>0.4</v>
      </c>
      <c r="S40" s="49">
        <f>ROUND(VLOOKUP(A40,'SSP_March''19'!$A$3:$T$1193,19,0),0)</f>
        <v>25</v>
      </c>
      <c r="T40" s="44">
        <f>VLOOKUP(A40,'SSP_March''19'!$A$3:$T$1193,20,0)</f>
        <v>1.25</v>
      </c>
      <c r="U40" s="34">
        <f>VLOOKUP(A40,'SSP_March''19'!$A$3:$X$1193,21,0)</f>
        <v>0</v>
      </c>
      <c r="V40" s="34">
        <f>VLOOKUP(A40,'SSP_March''19'!$A$3:$X$1193,22,0)</f>
        <v>2</v>
      </c>
      <c r="W40" s="34">
        <f>VLOOKUP(A40,'SSP_March''19'!$A$3:$X$1193,23,0)</f>
        <v>0</v>
      </c>
      <c r="X40" s="34">
        <f>VLOOKUP(A40,'SSP_March''19'!$A$3:$X$1193,24,0)</f>
        <v>2</v>
      </c>
    </row>
    <row r="41" spans="1:24">
      <c r="A41" s="34" t="s">
        <v>2114</v>
      </c>
      <c r="B41" s="34" t="s">
        <v>2115</v>
      </c>
      <c r="C41" s="34" t="s">
        <v>84</v>
      </c>
      <c r="D41" s="34" t="s">
        <v>80</v>
      </c>
      <c r="E41" s="34" t="s">
        <v>4</v>
      </c>
      <c r="F41" s="34" t="s">
        <v>2116</v>
      </c>
      <c r="G41" s="54">
        <v>1939685964</v>
      </c>
      <c r="H41" s="54" t="s">
        <v>229</v>
      </c>
      <c r="I41" s="54" t="s">
        <v>3514</v>
      </c>
      <c r="J41" s="34" t="s">
        <v>3419</v>
      </c>
      <c r="K41" s="43">
        <f>VLOOKUP(A41,'SSP_March''19'!$A$3:$L$1193,11,0)</f>
        <v>150000</v>
      </c>
      <c r="L41" s="43">
        <f>VLOOKUP(A41,'SSP_March''19'!$A$3:$L$1193,12,0)</f>
        <v>65070</v>
      </c>
      <c r="M41" s="44">
        <f t="shared" si="3"/>
        <v>0.43380000000000002</v>
      </c>
      <c r="N41" s="49">
        <f>ROUND(VLOOKUP(A41,'SSP_March''19'!$A$3:$N$1193,14,0),0)</f>
        <v>201717</v>
      </c>
      <c r="O41" s="44">
        <f t="shared" si="4"/>
        <v>1.3447800000000001</v>
      </c>
      <c r="P41" s="45">
        <f>VLOOKUP(A41,'SSP_March''19'!$A$3:$Q$1193,16,0)</f>
        <v>10</v>
      </c>
      <c r="Q41" s="34">
        <f>VLOOKUP(A41,'SSP_March''19'!$A$3:$Q$1193,17,0)</f>
        <v>4</v>
      </c>
      <c r="R41" s="35">
        <f t="shared" si="5"/>
        <v>0.4</v>
      </c>
      <c r="S41" s="49">
        <f>ROUND(VLOOKUP(A41,'SSP_March''19'!$A$3:$T$1193,19,0),0)</f>
        <v>12</v>
      </c>
      <c r="T41" s="44">
        <f>VLOOKUP(A41,'SSP_March''19'!$A$3:$T$1193,20,0)</f>
        <v>1.2</v>
      </c>
      <c r="U41" s="34">
        <f>VLOOKUP(A41,'SSP_March''19'!$A$3:$X$1193,21,0)</f>
        <v>0</v>
      </c>
      <c r="V41" s="34">
        <f>VLOOKUP(A41,'SSP_March''19'!$A$3:$X$1193,22,0)</f>
        <v>0</v>
      </c>
      <c r="W41" s="34">
        <f>VLOOKUP(A41,'SSP_March''19'!$A$3:$X$1193,23,0)</f>
        <v>0</v>
      </c>
      <c r="X41" s="34">
        <f>VLOOKUP(A41,'SSP_March''19'!$A$3:$X$1193,24,0)</f>
        <v>1</v>
      </c>
    </row>
    <row r="42" spans="1:24">
      <c r="A42" s="34" t="s">
        <v>2134</v>
      </c>
      <c r="B42" s="34" t="s">
        <v>2135</v>
      </c>
      <c r="C42" s="34" t="s">
        <v>84</v>
      </c>
      <c r="D42" s="34" t="s">
        <v>80</v>
      </c>
      <c r="E42" s="34" t="s">
        <v>4</v>
      </c>
      <c r="F42" s="34" t="s">
        <v>2136</v>
      </c>
      <c r="G42" s="54">
        <v>1711470279</v>
      </c>
      <c r="H42" s="54" t="s">
        <v>229</v>
      </c>
      <c r="I42" s="54" t="s">
        <v>3514</v>
      </c>
      <c r="J42" s="34" t="s">
        <v>3421</v>
      </c>
      <c r="K42" s="43">
        <f>VLOOKUP(A42,'SSP_March''19'!$A$3:$L$1193,11,0)</f>
        <v>130000</v>
      </c>
      <c r="L42" s="43">
        <f>VLOOKUP(A42,'SSP_March''19'!$A$3:$L$1193,12,0)</f>
        <v>30000</v>
      </c>
      <c r="M42" s="44">
        <f t="shared" si="3"/>
        <v>0.23076923076923078</v>
      </c>
      <c r="N42" s="49">
        <f>ROUND(VLOOKUP(A42,'SSP_March''19'!$A$3:$N$1193,14,0),0)</f>
        <v>93000</v>
      </c>
      <c r="O42" s="44">
        <f t="shared" si="4"/>
        <v>0.7153846153846154</v>
      </c>
      <c r="P42" s="45">
        <f>VLOOKUP(A42,'SSP_March''19'!$A$3:$Q$1193,16,0)</f>
        <v>10</v>
      </c>
      <c r="Q42" s="34">
        <f>VLOOKUP(A42,'SSP_March''19'!$A$3:$Q$1193,17,0)</f>
        <v>1</v>
      </c>
      <c r="R42" s="35">
        <f t="shared" si="5"/>
        <v>0.1</v>
      </c>
      <c r="S42" s="49">
        <f>ROUND(VLOOKUP(A42,'SSP_March''19'!$A$3:$T$1193,19,0),0)</f>
        <v>3</v>
      </c>
      <c r="T42" s="44">
        <f>VLOOKUP(A42,'SSP_March''19'!$A$3:$T$1193,20,0)</f>
        <v>0.3</v>
      </c>
      <c r="U42" s="34">
        <f>VLOOKUP(A42,'SSP_March''19'!$A$3:$X$1193,21,0)</f>
        <v>2</v>
      </c>
      <c r="V42" s="34">
        <f>VLOOKUP(A42,'SSP_March''19'!$A$3:$X$1193,22,0)</f>
        <v>0</v>
      </c>
      <c r="W42" s="34">
        <f>VLOOKUP(A42,'SSP_March''19'!$A$3:$X$1193,23,0)</f>
        <v>0</v>
      </c>
      <c r="X42" s="34">
        <f>VLOOKUP(A42,'SSP_March''19'!$A$3:$X$1193,24,0)</f>
        <v>0</v>
      </c>
    </row>
    <row r="43" spans="1:24">
      <c r="A43" s="34" t="s">
        <v>3372</v>
      </c>
      <c r="B43" s="34" t="s">
        <v>3373</v>
      </c>
      <c r="C43" s="34" t="s">
        <v>84</v>
      </c>
      <c r="D43" s="34" t="s">
        <v>80</v>
      </c>
      <c r="E43" s="34" t="s">
        <v>4</v>
      </c>
      <c r="F43" s="34" t="s">
        <v>3371</v>
      </c>
      <c r="G43" s="54">
        <v>1767899433</v>
      </c>
      <c r="H43" s="54" t="s">
        <v>229</v>
      </c>
      <c r="I43" s="54" t="s">
        <v>3514</v>
      </c>
      <c r="J43" s="34" t="s">
        <v>3421</v>
      </c>
      <c r="K43" s="43">
        <f>VLOOKUP(A43,'SSP_March''19'!$A$3:$L$1193,11,0)</f>
        <v>130000</v>
      </c>
      <c r="L43" s="43">
        <f>VLOOKUP(A43,'SSP_March''19'!$A$3:$L$1193,12,0)</f>
        <v>54129</v>
      </c>
      <c r="M43" s="44">
        <f t="shared" si="3"/>
        <v>0.41637692307692309</v>
      </c>
      <c r="N43" s="49">
        <f>ROUND(VLOOKUP(A43,'SSP_March''19'!$A$3:$N$1193,14,0),0)</f>
        <v>167800</v>
      </c>
      <c r="O43" s="44">
        <f t="shared" si="4"/>
        <v>1.2907692307692307</v>
      </c>
      <c r="P43" s="45">
        <f>VLOOKUP(A43,'SSP_March''19'!$A$3:$Q$1193,16,0)</f>
        <v>10</v>
      </c>
      <c r="Q43" s="34">
        <f>VLOOKUP(A43,'SSP_March''19'!$A$3:$Q$1193,17,0)</f>
        <v>3</v>
      </c>
      <c r="R43" s="35">
        <f t="shared" si="5"/>
        <v>0.3</v>
      </c>
      <c r="S43" s="49">
        <f>ROUND(VLOOKUP(A43,'SSP_March''19'!$A$3:$T$1193,19,0),0)</f>
        <v>9</v>
      </c>
      <c r="T43" s="44">
        <f>VLOOKUP(A43,'SSP_March''19'!$A$3:$T$1193,20,0)</f>
        <v>0.9</v>
      </c>
      <c r="U43" s="34">
        <f>VLOOKUP(A43,'SSP_March''19'!$A$3:$X$1193,21,0)</f>
        <v>2</v>
      </c>
      <c r="V43" s="34">
        <f>VLOOKUP(A43,'SSP_March''19'!$A$3:$X$1193,22,0)</f>
        <v>0</v>
      </c>
      <c r="W43" s="34">
        <f>VLOOKUP(A43,'SSP_March''19'!$A$3:$X$1193,23,0)</f>
        <v>0</v>
      </c>
      <c r="X43" s="34">
        <f>VLOOKUP(A43,'SSP_March''19'!$A$3:$X$1193,24,0)</f>
        <v>1</v>
      </c>
    </row>
    <row r="44" spans="1:24">
      <c r="A44" s="34" t="s">
        <v>3256</v>
      </c>
      <c r="B44" s="34" t="s">
        <v>1305</v>
      </c>
      <c r="C44" s="34" t="s">
        <v>84</v>
      </c>
      <c r="D44" s="34" t="s">
        <v>80</v>
      </c>
      <c r="E44" s="34" t="s">
        <v>4</v>
      </c>
      <c r="F44" s="34" t="s">
        <v>3257</v>
      </c>
      <c r="G44" s="54">
        <v>1786633933</v>
      </c>
      <c r="H44" s="54" t="s">
        <v>229</v>
      </c>
      <c r="I44" s="54" t="s">
        <v>3514</v>
      </c>
      <c r="J44" s="34" t="s">
        <v>3421</v>
      </c>
      <c r="K44" s="43">
        <f>VLOOKUP(A44,'SSP_March''19'!$A$3:$L$1193,11,0)</f>
        <v>130000</v>
      </c>
      <c r="L44" s="43">
        <f>VLOOKUP(A44,'SSP_March''19'!$A$3:$L$1193,12,0)</f>
        <v>29260</v>
      </c>
      <c r="M44" s="44">
        <f t="shared" si="3"/>
        <v>0.22507692307692306</v>
      </c>
      <c r="N44" s="49">
        <f>ROUND(VLOOKUP(A44,'SSP_March''19'!$A$3:$N$1193,14,0),0)</f>
        <v>90706</v>
      </c>
      <c r="O44" s="44">
        <f t="shared" si="4"/>
        <v>0.69773846153846153</v>
      </c>
      <c r="P44" s="45">
        <f>VLOOKUP(A44,'SSP_March''19'!$A$3:$Q$1193,16,0)</f>
        <v>10</v>
      </c>
      <c r="Q44" s="34">
        <f>VLOOKUP(A44,'SSP_March''19'!$A$3:$Q$1193,17,0)</f>
        <v>2</v>
      </c>
      <c r="R44" s="35">
        <f t="shared" si="5"/>
        <v>0.2</v>
      </c>
      <c r="S44" s="49">
        <f>ROUND(VLOOKUP(A44,'SSP_March''19'!$A$3:$T$1193,19,0),0)</f>
        <v>6</v>
      </c>
      <c r="T44" s="44">
        <f>VLOOKUP(A44,'SSP_March''19'!$A$3:$T$1193,20,0)</f>
        <v>0.6</v>
      </c>
      <c r="U44" s="34">
        <f>VLOOKUP(A44,'SSP_March''19'!$A$3:$X$1193,21,0)</f>
        <v>0</v>
      </c>
      <c r="V44" s="34">
        <f>VLOOKUP(A44,'SSP_March''19'!$A$3:$X$1193,22,0)</f>
        <v>0</v>
      </c>
      <c r="W44" s="34">
        <f>VLOOKUP(A44,'SSP_March''19'!$A$3:$X$1193,23,0)</f>
        <v>0</v>
      </c>
      <c r="X44" s="34">
        <f>VLOOKUP(A44,'SSP_March''19'!$A$3:$X$1193,24,0)</f>
        <v>0</v>
      </c>
    </row>
    <row r="45" spans="1:24">
      <c r="A45" s="34" t="s">
        <v>2117</v>
      </c>
      <c r="B45" s="34" t="s">
        <v>2118</v>
      </c>
      <c r="C45" s="34" t="s">
        <v>84</v>
      </c>
      <c r="D45" s="34" t="s">
        <v>80</v>
      </c>
      <c r="E45" s="34" t="s">
        <v>4</v>
      </c>
      <c r="F45" s="34" t="s">
        <v>2119</v>
      </c>
      <c r="G45" s="54">
        <v>1735072209</v>
      </c>
      <c r="H45" s="54" t="s">
        <v>229</v>
      </c>
      <c r="I45" s="54" t="s">
        <v>3514</v>
      </c>
      <c r="J45" s="34" t="s">
        <v>3515</v>
      </c>
      <c r="K45" s="43">
        <f>VLOOKUP(A45,'SSP_March''19'!$A$3:$L$1193,11,0)</f>
        <v>130000</v>
      </c>
      <c r="L45" s="43">
        <f>VLOOKUP(A45,'SSP_March''19'!$A$3:$L$1193,12,0)</f>
        <v>37230</v>
      </c>
      <c r="M45" s="44">
        <f t="shared" si="3"/>
        <v>0.2863846153846154</v>
      </c>
      <c r="N45" s="49">
        <f>ROUND(VLOOKUP(A45,'SSP_March''19'!$A$3:$N$1193,14,0),0)</f>
        <v>115413</v>
      </c>
      <c r="O45" s="44">
        <f t="shared" si="4"/>
        <v>0.88779230769230766</v>
      </c>
      <c r="P45" s="45">
        <f>VLOOKUP(A45,'SSP_March''19'!$A$3:$Q$1193,16,0)</f>
        <v>10</v>
      </c>
      <c r="Q45" s="34">
        <f>VLOOKUP(A45,'SSP_March''19'!$A$3:$Q$1193,17,0)</f>
        <v>3</v>
      </c>
      <c r="R45" s="35">
        <f t="shared" si="5"/>
        <v>0.3</v>
      </c>
      <c r="S45" s="49">
        <f>ROUND(VLOOKUP(A45,'SSP_March''19'!$A$3:$T$1193,19,0),0)</f>
        <v>9</v>
      </c>
      <c r="T45" s="44">
        <f>VLOOKUP(A45,'SSP_March''19'!$A$3:$T$1193,20,0)</f>
        <v>0.9</v>
      </c>
      <c r="U45" s="34">
        <f>VLOOKUP(A45,'SSP_March''19'!$A$3:$X$1193,21,0)</f>
        <v>0</v>
      </c>
      <c r="V45" s="34">
        <f>VLOOKUP(A45,'SSP_March''19'!$A$3:$X$1193,22,0)</f>
        <v>2</v>
      </c>
      <c r="W45" s="34">
        <f>VLOOKUP(A45,'SSP_March''19'!$A$3:$X$1193,23,0)</f>
        <v>0</v>
      </c>
      <c r="X45" s="34">
        <f>VLOOKUP(A45,'SSP_March''19'!$A$3:$X$1193,24,0)</f>
        <v>0</v>
      </c>
    </row>
    <row r="46" spans="1:24">
      <c r="A46" s="34" t="s">
        <v>2123</v>
      </c>
      <c r="B46" s="34" t="s">
        <v>118</v>
      </c>
      <c r="C46" s="34" t="s">
        <v>84</v>
      </c>
      <c r="D46" s="34" t="s">
        <v>80</v>
      </c>
      <c r="E46" s="34" t="s">
        <v>4</v>
      </c>
      <c r="F46" s="34" t="s">
        <v>2124</v>
      </c>
      <c r="G46" s="54">
        <v>1981006880</v>
      </c>
      <c r="H46" s="54" t="s">
        <v>229</v>
      </c>
      <c r="I46" s="54" t="s">
        <v>3514</v>
      </c>
      <c r="J46" s="34" t="s">
        <v>3421</v>
      </c>
      <c r="K46" s="43">
        <f>VLOOKUP(A46,'SSP_March''19'!$A$3:$L$1193,11,0)</f>
        <v>130000</v>
      </c>
      <c r="L46" s="43">
        <f>VLOOKUP(A46,'SSP_March''19'!$A$3:$L$1193,12,0)</f>
        <v>19860</v>
      </c>
      <c r="M46" s="44">
        <f t="shared" si="3"/>
        <v>0.15276923076923077</v>
      </c>
      <c r="N46" s="49">
        <f>ROUND(VLOOKUP(A46,'SSP_March''19'!$A$3:$N$1193,14,0),0)</f>
        <v>61566</v>
      </c>
      <c r="O46" s="44">
        <f t="shared" si="4"/>
        <v>0.47358461538461538</v>
      </c>
      <c r="P46" s="45">
        <f>VLOOKUP(A46,'SSP_March''19'!$A$3:$Q$1193,16,0)</f>
        <v>10</v>
      </c>
      <c r="Q46" s="34">
        <f>VLOOKUP(A46,'SSP_March''19'!$A$3:$Q$1193,17,0)</f>
        <v>0</v>
      </c>
      <c r="R46" s="35">
        <f t="shared" si="5"/>
        <v>0</v>
      </c>
      <c r="S46" s="49">
        <f>ROUND(VLOOKUP(A46,'SSP_March''19'!$A$3:$T$1193,19,0),0)</f>
        <v>0</v>
      </c>
      <c r="T46" s="44">
        <f>VLOOKUP(A46,'SSP_March''19'!$A$3:$T$1193,20,0)</f>
        <v>0</v>
      </c>
      <c r="U46" s="34">
        <f>VLOOKUP(A46,'SSP_March''19'!$A$3:$X$1193,21,0)</f>
        <v>2</v>
      </c>
      <c r="V46" s="34">
        <f>VLOOKUP(A46,'SSP_March''19'!$A$3:$X$1193,22,0)</f>
        <v>0</v>
      </c>
      <c r="W46" s="34">
        <f>VLOOKUP(A46,'SSP_March''19'!$A$3:$X$1193,23,0)</f>
        <v>0</v>
      </c>
      <c r="X46" s="34">
        <f>VLOOKUP(A46,'SSP_March''19'!$A$3:$X$1193,24,0)</f>
        <v>0</v>
      </c>
    </row>
    <row r="47" spans="1:24">
      <c r="A47" s="34" t="s">
        <v>2109</v>
      </c>
      <c r="B47" s="34" t="s">
        <v>85</v>
      </c>
      <c r="C47" s="34" t="s">
        <v>84</v>
      </c>
      <c r="D47" s="34" t="s">
        <v>80</v>
      </c>
      <c r="E47" s="34" t="s">
        <v>4</v>
      </c>
      <c r="F47" s="34" t="s">
        <v>2110</v>
      </c>
      <c r="G47" s="54">
        <v>1814251013</v>
      </c>
      <c r="H47" s="54" t="s">
        <v>229</v>
      </c>
      <c r="I47" s="54" t="s">
        <v>3514</v>
      </c>
      <c r="J47" s="34" t="s">
        <v>3515</v>
      </c>
      <c r="K47" s="43">
        <f>VLOOKUP(A47,'SSP_March''19'!$A$3:$L$1193,11,0)</f>
        <v>170817</v>
      </c>
      <c r="L47" s="43">
        <f>VLOOKUP(A47,'SSP_March''19'!$A$3:$L$1193,12,0)</f>
        <v>65980</v>
      </c>
      <c r="M47" s="44">
        <f t="shared" si="3"/>
        <v>0.38626132059455442</v>
      </c>
      <c r="N47" s="49">
        <f>ROUND(VLOOKUP(A47,'SSP_March''19'!$A$3:$N$1193,14,0),0)</f>
        <v>204538</v>
      </c>
      <c r="O47" s="44">
        <f t="shared" si="4"/>
        <v>1.1974100938431187</v>
      </c>
      <c r="P47" s="45">
        <f>VLOOKUP(A47,'SSP_March''19'!$A$3:$Q$1193,16,0)</f>
        <v>10</v>
      </c>
      <c r="Q47" s="34">
        <f>VLOOKUP(A47,'SSP_March''19'!$A$3:$Q$1193,17,0)</f>
        <v>2</v>
      </c>
      <c r="R47" s="35">
        <f t="shared" si="5"/>
        <v>0.2</v>
      </c>
      <c r="S47" s="49">
        <f>ROUND(VLOOKUP(A47,'SSP_March''19'!$A$3:$T$1193,19,0),0)</f>
        <v>6</v>
      </c>
      <c r="T47" s="44">
        <f>VLOOKUP(A47,'SSP_March''19'!$A$3:$T$1193,20,0)</f>
        <v>0.6</v>
      </c>
      <c r="U47" s="34">
        <f>VLOOKUP(A47,'SSP_March''19'!$A$3:$X$1193,21,0)</f>
        <v>0</v>
      </c>
      <c r="V47" s="34">
        <f>VLOOKUP(A47,'SSP_March''19'!$A$3:$X$1193,22,0)</f>
        <v>0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34" t="s">
        <v>3161</v>
      </c>
      <c r="B48" s="34" t="s">
        <v>3162</v>
      </c>
      <c r="C48" s="34" t="s">
        <v>84</v>
      </c>
      <c r="D48" s="34" t="s">
        <v>80</v>
      </c>
      <c r="E48" s="34" t="s">
        <v>4</v>
      </c>
      <c r="F48" s="34" t="s">
        <v>3163</v>
      </c>
      <c r="G48" s="54">
        <v>1718182218</v>
      </c>
      <c r="H48" s="54" t="s">
        <v>229</v>
      </c>
      <c r="I48" s="54" t="s">
        <v>3514</v>
      </c>
      <c r="J48" s="34" t="s">
        <v>3421</v>
      </c>
      <c r="K48" s="43">
        <f>VLOOKUP(A48,'SSP_March''19'!$A$3:$L$1193,11,0)</f>
        <v>155000</v>
      </c>
      <c r="L48" s="43">
        <f>VLOOKUP(A48,'SSP_March''19'!$A$3:$L$1193,12,0)</f>
        <v>48030</v>
      </c>
      <c r="M48" s="44">
        <f t="shared" si="3"/>
        <v>0.30987096774193551</v>
      </c>
      <c r="N48" s="49">
        <f>ROUND(VLOOKUP(A48,'SSP_March''19'!$A$3:$N$1193,14,0),0)</f>
        <v>148893</v>
      </c>
      <c r="O48" s="44">
        <f t="shared" si="4"/>
        <v>0.96060000000000001</v>
      </c>
      <c r="P48" s="45">
        <f>VLOOKUP(A48,'SSP_March''19'!$A$3:$Q$1193,16,0)</f>
        <v>10</v>
      </c>
      <c r="Q48" s="34">
        <f>VLOOKUP(A48,'SSP_March''19'!$A$3:$Q$1193,17,0)</f>
        <v>4</v>
      </c>
      <c r="R48" s="35">
        <f t="shared" si="5"/>
        <v>0.4</v>
      </c>
      <c r="S48" s="49">
        <f>ROUND(VLOOKUP(A48,'SSP_March''19'!$A$3:$T$1193,19,0),0)</f>
        <v>12</v>
      </c>
      <c r="T48" s="44">
        <f>VLOOKUP(A48,'SSP_March''19'!$A$3:$T$1193,20,0)</f>
        <v>1.2</v>
      </c>
      <c r="U48" s="34">
        <f>VLOOKUP(A48,'SSP_March''19'!$A$3:$X$1193,21,0)</f>
        <v>1</v>
      </c>
      <c r="V48" s="34">
        <f>VLOOKUP(A48,'SSP_March''19'!$A$3:$X$1193,22,0)</f>
        <v>1</v>
      </c>
      <c r="W48" s="34">
        <f>VLOOKUP(A48,'SSP_March''19'!$A$3:$X$1193,23,0)</f>
        <v>0</v>
      </c>
      <c r="X48" s="34">
        <f>VLOOKUP(A48,'SSP_March''19'!$A$3:$X$1193,24,0)</f>
        <v>0</v>
      </c>
    </row>
    <row r="49" spans="1:24">
      <c r="A49" s="34" t="s">
        <v>2916</v>
      </c>
      <c r="B49" s="34" t="s">
        <v>136</v>
      </c>
      <c r="C49" s="34" t="s">
        <v>84</v>
      </c>
      <c r="D49" s="34" t="s">
        <v>80</v>
      </c>
      <c r="E49" s="34" t="s">
        <v>4</v>
      </c>
      <c r="F49" s="34" t="s">
        <v>2917</v>
      </c>
      <c r="G49" s="54">
        <v>1921156615</v>
      </c>
      <c r="H49" s="54" t="s">
        <v>229</v>
      </c>
      <c r="I49" s="54" t="s">
        <v>3514</v>
      </c>
      <c r="J49" s="34" t="s">
        <v>3421</v>
      </c>
      <c r="K49" s="43">
        <f>VLOOKUP(A49,'SSP_March''19'!$A$3:$L$1193,11,0)</f>
        <v>130000</v>
      </c>
      <c r="L49" s="43">
        <f>VLOOKUP(A49,'SSP_March''19'!$A$3:$L$1193,12,0)</f>
        <v>43160</v>
      </c>
      <c r="M49" s="44">
        <f t="shared" si="3"/>
        <v>0.33200000000000002</v>
      </c>
      <c r="N49" s="49">
        <f>ROUND(VLOOKUP(A49,'SSP_March''19'!$A$3:$N$1193,14,0),0)</f>
        <v>133796</v>
      </c>
      <c r="O49" s="44">
        <f t="shared" si="4"/>
        <v>1.0291999999999999</v>
      </c>
      <c r="P49" s="45">
        <f>VLOOKUP(A49,'SSP_March''19'!$A$3:$Q$1193,16,0)</f>
        <v>10</v>
      </c>
      <c r="Q49" s="34">
        <f>VLOOKUP(A49,'SSP_March''19'!$A$3:$Q$1193,17,0)</f>
        <v>3</v>
      </c>
      <c r="R49" s="35">
        <f t="shared" si="5"/>
        <v>0.3</v>
      </c>
      <c r="S49" s="49">
        <f>ROUND(VLOOKUP(A49,'SSP_March''19'!$A$3:$T$1193,19,0),0)</f>
        <v>9</v>
      </c>
      <c r="T49" s="44">
        <f>VLOOKUP(A49,'SSP_March''19'!$A$3:$T$1193,20,0)</f>
        <v>0.9</v>
      </c>
      <c r="U49" s="34">
        <f>VLOOKUP(A49,'SSP_March''19'!$A$3:$X$1193,21,0)</f>
        <v>0</v>
      </c>
      <c r="V49" s="34">
        <f>VLOOKUP(A49,'SSP_March''19'!$A$3:$X$1193,22,0)</f>
        <v>0</v>
      </c>
      <c r="W49" s="34">
        <f>VLOOKUP(A49,'SSP_March''19'!$A$3:$X$1193,23,0)</f>
        <v>0</v>
      </c>
      <c r="X49" s="34">
        <f>VLOOKUP(A49,'SSP_March''19'!$A$3:$X$1193,24,0)</f>
        <v>0</v>
      </c>
    </row>
    <row r="50" spans="1:24">
      <c r="A50" s="34" t="s">
        <v>3045</v>
      </c>
      <c r="B50" s="34" t="s">
        <v>3046</v>
      </c>
      <c r="C50" s="34" t="s">
        <v>84</v>
      </c>
      <c r="D50" s="34" t="s">
        <v>80</v>
      </c>
      <c r="E50" s="34" t="s">
        <v>4</v>
      </c>
      <c r="F50" s="34" t="s">
        <v>3047</v>
      </c>
      <c r="G50" s="54">
        <v>1911176847</v>
      </c>
      <c r="H50" s="54" t="s">
        <v>229</v>
      </c>
      <c r="I50" s="54" t="s">
        <v>3514</v>
      </c>
      <c r="J50" s="34" t="s">
        <v>3515</v>
      </c>
      <c r="K50" s="43">
        <f>VLOOKUP(A50,'SSP_March''19'!$A$3:$L$1193,11,0)</f>
        <v>150000</v>
      </c>
      <c r="L50" s="43">
        <f>VLOOKUP(A50,'SSP_March''19'!$A$3:$L$1193,12,0)</f>
        <v>42539</v>
      </c>
      <c r="M50" s="44">
        <f t="shared" si="3"/>
        <v>0.28359333333333331</v>
      </c>
      <c r="N50" s="49">
        <f>ROUND(VLOOKUP(A50,'SSP_March''19'!$A$3:$N$1193,14,0),0)</f>
        <v>131871</v>
      </c>
      <c r="O50" s="44">
        <f t="shared" si="4"/>
        <v>0.87914000000000003</v>
      </c>
      <c r="P50" s="45">
        <f>VLOOKUP(A50,'SSP_March''19'!$A$3:$Q$1193,16,0)</f>
        <v>10</v>
      </c>
      <c r="Q50" s="34">
        <f>VLOOKUP(A50,'SSP_March''19'!$A$3:$Q$1193,17,0)</f>
        <v>4</v>
      </c>
      <c r="R50" s="35">
        <f t="shared" si="5"/>
        <v>0.4</v>
      </c>
      <c r="S50" s="49">
        <f>ROUND(VLOOKUP(A50,'SSP_March''19'!$A$3:$T$1193,19,0),0)</f>
        <v>12</v>
      </c>
      <c r="T50" s="44">
        <f>VLOOKUP(A50,'SSP_March''19'!$A$3:$T$1193,20,0)</f>
        <v>1.2</v>
      </c>
      <c r="U50" s="34">
        <f>VLOOKUP(A50,'SSP_March''19'!$A$3:$X$1193,21,0)</f>
        <v>0</v>
      </c>
      <c r="V50" s="34">
        <f>VLOOKUP(A50,'SSP_March''19'!$A$3:$X$1193,22,0)</f>
        <v>2</v>
      </c>
      <c r="W50" s="34">
        <f>VLOOKUP(A50,'SSP_March''19'!$A$3:$X$1193,23,0)</f>
        <v>0</v>
      </c>
      <c r="X50" s="34">
        <f>VLOOKUP(A50,'SSP_March''19'!$A$3:$X$1193,24,0)</f>
        <v>0</v>
      </c>
    </row>
    <row r="51" spans="1:24">
      <c r="A51" s="34" t="s">
        <v>3451</v>
      </c>
      <c r="B51" s="34" t="s">
        <v>3452</v>
      </c>
      <c r="C51" s="34" t="s">
        <v>84</v>
      </c>
      <c r="D51" s="34" t="s">
        <v>80</v>
      </c>
      <c r="E51" s="34" t="s">
        <v>4</v>
      </c>
      <c r="F51" s="34" t="s">
        <v>3453</v>
      </c>
      <c r="G51" s="54">
        <v>1948139140</v>
      </c>
      <c r="H51" s="54" t="s">
        <v>229</v>
      </c>
      <c r="I51" s="54" t="s">
        <v>3514</v>
      </c>
      <c r="J51" s="34" t="s">
        <v>3421</v>
      </c>
      <c r="K51" s="43">
        <f>VLOOKUP(A51,'SSP_March''19'!$A$3:$L$1193,11,0)</f>
        <v>130000</v>
      </c>
      <c r="L51" s="43">
        <f>VLOOKUP(A51,'SSP_March''19'!$A$3:$L$1193,12,0)</f>
        <v>10780</v>
      </c>
      <c r="M51" s="44">
        <f t="shared" si="3"/>
        <v>8.2923076923076919E-2</v>
      </c>
      <c r="N51" s="49">
        <f>ROUND(VLOOKUP(A51,'SSP_March''19'!$A$3:$N$1193,14,0),0)</f>
        <v>33418</v>
      </c>
      <c r="O51" s="44">
        <f t="shared" si="4"/>
        <v>0.25706153846153845</v>
      </c>
      <c r="P51" s="45">
        <f>VLOOKUP(A51,'SSP_March''19'!$A$3:$Q$1193,16,0)</f>
        <v>10</v>
      </c>
      <c r="Q51" s="34">
        <f>VLOOKUP(A51,'SSP_March''19'!$A$3:$Q$1193,17,0)</f>
        <v>0</v>
      </c>
      <c r="R51" s="35">
        <f t="shared" si="5"/>
        <v>0</v>
      </c>
      <c r="S51" s="49">
        <f>ROUND(VLOOKUP(A51,'SSP_March''19'!$A$3:$T$1193,19,0),0)</f>
        <v>0</v>
      </c>
      <c r="T51" s="44">
        <f>VLOOKUP(A51,'SSP_March''19'!$A$3:$T$1193,20,0)</f>
        <v>0</v>
      </c>
      <c r="U51" s="34">
        <f>VLOOKUP(A51,'SSP_March''19'!$A$3:$X$1193,21,0)</f>
        <v>0</v>
      </c>
      <c r="V51" s="34">
        <f>VLOOKUP(A51,'SSP_March''19'!$A$3:$X$1193,22,0)</f>
        <v>0</v>
      </c>
      <c r="W51" s="34">
        <f>VLOOKUP(A51,'SSP_March''19'!$A$3:$X$1193,23,0)</f>
        <v>0</v>
      </c>
      <c r="X51" s="34">
        <f>VLOOKUP(A51,'SSP_March''19'!$A$3:$X$1193,24,0)</f>
        <v>0</v>
      </c>
    </row>
    <row r="52" spans="1:24">
      <c r="A52" s="34" t="s">
        <v>2128</v>
      </c>
      <c r="B52" s="34" t="s">
        <v>2129</v>
      </c>
      <c r="C52" s="34" t="s">
        <v>84</v>
      </c>
      <c r="D52" s="34" t="s">
        <v>80</v>
      </c>
      <c r="E52" s="34" t="s">
        <v>4</v>
      </c>
      <c r="F52" s="34" t="s">
        <v>2130</v>
      </c>
      <c r="G52" s="54">
        <v>1738321560</v>
      </c>
      <c r="H52" s="54" t="s">
        <v>229</v>
      </c>
      <c r="I52" s="54" t="s">
        <v>3514</v>
      </c>
      <c r="J52" s="34" t="s">
        <v>3419</v>
      </c>
      <c r="K52" s="43">
        <f>VLOOKUP(A52,'SSP_March''19'!$A$3:$L$1193,11,0)</f>
        <v>224448</v>
      </c>
      <c r="L52" s="43">
        <f>VLOOKUP(A52,'SSP_March''19'!$A$3:$L$1193,12,0)</f>
        <v>62135</v>
      </c>
      <c r="M52" s="44">
        <f t="shared" si="3"/>
        <v>0.27683472341032223</v>
      </c>
      <c r="N52" s="49">
        <f>ROUND(VLOOKUP(A52,'SSP_March''19'!$A$3:$N$1193,14,0),0)</f>
        <v>192619</v>
      </c>
      <c r="O52" s="44">
        <f t="shared" si="4"/>
        <v>0.85818987025948101</v>
      </c>
      <c r="P52" s="45">
        <f>VLOOKUP(A52,'SSP_March''19'!$A$3:$Q$1193,16,0)</f>
        <v>14</v>
      </c>
      <c r="Q52" s="34">
        <f>VLOOKUP(A52,'SSP_March''19'!$A$3:$Q$1193,17,0)</f>
        <v>3</v>
      </c>
      <c r="R52" s="35">
        <f t="shared" si="5"/>
        <v>0.21428571428571427</v>
      </c>
      <c r="S52" s="49">
        <f>ROUND(VLOOKUP(A52,'SSP_March''19'!$A$3:$T$1193,19,0),0)</f>
        <v>9</v>
      </c>
      <c r="T52" s="44">
        <f>VLOOKUP(A52,'SSP_March''19'!$A$3:$T$1193,20,0)</f>
        <v>0.6428571428571429</v>
      </c>
      <c r="U52" s="34">
        <f>VLOOKUP(A52,'SSP_March''19'!$A$3:$X$1193,21,0)</f>
        <v>2</v>
      </c>
      <c r="V52" s="34">
        <f>VLOOKUP(A52,'SSP_March''19'!$A$3:$X$1193,22,0)</f>
        <v>0</v>
      </c>
      <c r="W52" s="34">
        <f>VLOOKUP(A52,'SSP_March''19'!$A$3:$X$1193,23,0)</f>
        <v>0</v>
      </c>
      <c r="X52" s="34">
        <f>VLOOKUP(A52,'SSP_March''19'!$A$3:$X$1193,24,0)</f>
        <v>0</v>
      </c>
    </row>
    <row r="53" spans="1:24">
      <c r="A53" s="34" t="s">
        <v>2918</v>
      </c>
      <c r="B53" s="34" t="s">
        <v>2919</v>
      </c>
      <c r="C53" s="34" t="s">
        <v>84</v>
      </c>
      <c r="D53" s="34" t="s">
        <v>80</v>
      </c>
      <c r="E53" s="34" t="s">
        <v>4</v>
      </c>
      <c r="F53" s="34" t="s">
        <v>851</v>
      </c>
      <c r="G53" s="54">
        <v>1918014242</v>
      </c>
      <c r="H53" s="54" t="s">
        <v>229</v>
      </c>
      <c r="I53" s="54" t="s">
        <v>3514</v>
      </c>
      <c r="J53" s="34" t="s">
        <v>3421</v>
      </c>
      <c r="K53" s="43">
        <f>VLOOKUP(A53,'SSP_March''19'!$A$3:$L$1193,11,0)</f>
        <v>155000</v>
      </c>
      <c r="L53" s="43">
        <f>VLOOKUP(A53,'SSP_March''19'!$A$3:$L$1193,12,0)</f>
        <v>43970</v>
      </c>
      <c r="M53" s="44">
        <f t="shared" si="3"/>
        <v>0.2836774193548387</v>
      </c>
      <c r="N53" s="49">
        <f>ROUND(VLOOKUP(A53,'SSP_March''19'!$A$3:$N$1193,14,0),0)</f>
        <v>136307</v>
      </c>
      <c r="O53" s="44">
        <f t="shared" si="4"/>
        <v>0.87939999999999996</v>
      </c>
      <c r="P53" s="45">
        <f>VLOOKUP(A53,'SSP_March''19'!$A$3:$Q$1193,16,0)</f>
        <v>10</v>
      </c>
      <c r="Q53" s="34">
        <f>VLOOKUP(A53,'SSP_March''19'!$A$3:$Q$1193,17,0)</f>
        <v>2</v>
      </c>
      <c r="R53" s="35">
        <f t="shared" si="5"/>
        <v>0.2</v>
      </c>
      <c r="S53" s="49">
        <f>ROUND(VLOOKUP(A53,'SSP_March''19'!$A$3:$T$1193,19,0),0)</f>
        <v>6</v>
      </c>
      <c r="T53" s="44">
        <f>VLOOKUP(A53,'SSP_March''19'!$A$3:$T$1193,20,0)</f>
        <v>0.6</v>
      </c>
      <c r="U53" s="34">
        <f>VLOOKUP(A53,'SSP_March''19'!$A$3:$X$1193,21,0)</f>
        <v>1</v>
      </c>
      <c r="V53" s="34">
        <f>VLOOKUP(A53,'SSP_March''19'!$A$3:$X$1193,22,0)</f>
        <v>1</v>
      </c>
      <c r="W53" s="34">
        <f>VLOOKUP(A53,'SSP_March''19'!$A$3:$X$1193,23,0)</f>
        <v>0</v>
      </c>
      <c r="X53" s="34">
        <f>VLOOKUP(A53,'SSP_March''19'!$A$3:$X$1193,24,0)</f>
        <v>0</v>
      </c>
    </row>
    <row r="54" spans="1:24">
      <c r="A54" s="34" t="s">
        <v>2097</v>
      </c>
      <c r="B54" s="34" t="s">
        <v>2098</v>
      </c>
      <c r="C54" s="34" t="s">
        <v>84</v>
      </c>
      <c r="D54" s="34" t="s">
        <v>80</v>
      </c>
      <c r="E54" s="34" t="s">
        <v>4</v>
      </c>
      <c r="F54" s="34" t="s">
        <v>2099</v>
      </c>
      <c r="G54" s="54">
        <v>1725663485</v>
      </c>
      <c r="H54" s="54" t="s">
        <v>229</v>
      </c>
      <c r="I54" s="54" t="s">
        <v>3514</v>
      </c>
      <c r="J54" s="34" t="s">
        <v>3419</v>
      </c>
      <c r="K54" s="43">
        <f>VLOOKUP(A54,'SSP_March''19'!$A$3:$L$1193,11,0)</f>
        <v>130000</v>
      </c>
      <c r="L54" s="43">
        <f>VLOOKUP(A54,'SSP_March''19'!$A$3:$L$1193,12,0)</f>
        <v>33910</v>
      </c>
      <c r="M54" s="44">
        <f t="shared" si="3"/>
        <v>0.26084615384615384</v>
      </c>
      <c r="N54" s="49">
        <f>ROUND(VLOOKUP(A54,'SSP_March''19'!$A$3:$N$1193,14,0),0)</f>
        <v>105121</v>
      </c>
      <c r="O54" s="44">
        <f t="shared" si="4"/>
        <v>0.80862307692307689</v>
      </c>
      <c r="P54" s="45">
        <f>VLOOKUP(A54,'SSP_March''19'!$A$3:$Q$1193,16,0)</f>
        <v>10</v>
      </c>
      <c r="Q54" s="34">
        <f>VLOOKUP(A54,'SSP_March''19'!$A$3:$Q$1193,17,0)</f>
        <v>3</v>
      </c>
      <c r="R54" s="35">
        <f t="shared" si="5"/>
        <v>0.3</v>
      </c>
      <c r="S54" s="49">
        <f>ROUND(VLOOKUP(A54,'SSP_March''19'!$A$3:$T$1193,19,0),0)</f>
        <v>9</v>
      </c>
      <c r="T54" s="44">
        <f>VLOOKUP(A54,'SSP_March''19'!$A$3:$T$1193,20,0)</f>
        <v>0.9</v>
      </c>
      <c r="U54" s="34">
        <f>VLOOKUP(A54,'SSP_March''19'!$A$3:$X$1193,21,0)</f>
        <v>1</v>
      </c>
      <c r="V54" s="34">
        <f>VLOOKUP(A54,'SSP_March''19'!$A$3:$X$1193,22,0)</f>
        <v>0</v>
      </c>
      <c r="W54" s="34">
        <f>VLOOKUP(A54,'SSP_March''19'!$A$3:$X$1193,23,0)</f>
        <v>0</v>
      </c>
      <c r="X54" s="34">
        <f>VLOOKUP(A54,'SSP_March''19'!$A$3:$X$1193,24,0)</f>
        <v>0</v>
      </c>
    </row>
    <row r="55" spans="1:24">
      <c r="A55" s="34" t="s">
        <v>3048</v>
      </c>
      <c r="B55" s="34" t="s">
        <v>2756</v>
      </c>
      <c r="C55" s="34" t="s">
        <v>84</v>
      </c>
      <c r="D55" s="34" t="s">
        <v>80</v>
      </c>
      <c r="E55" s="34" t="s">
        <v>4</v>
      </c>
      <c r="F55" s="34" t="s">
        <v>3049</v>
      </c>
      <c r="G55" s="54">
        <v>1915420585</v>
      </c>
      <c r="H55" s="54" t="s">
        <v>229</v>
      </c>
      <c r="I55" s="54" t="s">
        <v>3514</v>
      </c>
      <c r="J55" s="34" t="s">
        <v>3421</v>
      </c>
      <c r="K55" s="43">
        <f>VLOOKUP(A55,'SSP_March''19'!$A$3:$L$1193,11,0)</f>
        <v>130000</v>
      </c>
      <c r="L55" s="43">
        <f>VLOOKUP(A55,'SSP_March''19'!$A$3:$L$1193,12,0)</f>
        <v>40840</v>
      </c>
      <c r="M55" s="44">
        <f t="shared" si="3"/>
        <v>0.31415384615384617</v>
      </c>
      <c r="N55" s="49">
        <f>ROUND(VLOOKUP(A55,'SSP_March''19'!$A$3:$N$1193,14,0),0)</f>
        <v>126604</v>
      </c>
      <c r="O55" s="44">
        <f t="shared" si="4"/>
        <v>0.97387692307692308</v>
      </c>
      <c r="P55" s="45">
        <f>VLOOKUP(A55,'SSP_March''19'!$A$3:$Q$1193,16,0)</f>
        <v>10</v>
      </c>
      <c r="Q55" s="34">
        <f>VLOOKUP(A55,'SSP_March''19'!$A$3:$Q$1193,17,0)</f>
        <v>4</v>
      </c>
      <c r="R55" s="35">
        <f t="shared" si="5"/>
        <v>0.4</v>
      </c>
      <c r="S55" s="49">
        <f>ROUND(VLOOKUP(A55,'SSP_March''19'!$A$3:$T$1193,19,0),0)</f>
        <v>12</v>
      </c>
      <c r="T55" s="44">
        <f>VLOOKUP(A55,'SSP_March''19'!$A$3:$T$1193,20,0)</f>
        <v>1.2</v>
      </c>
      <c r="U55" s="34">
        <f>VLOOKUP(A55,'SSP_March''19'!$A$3:$X$1193,21,0)</f>
        <v>1</v>
      </c>
      <c r="V55" s="34">
        <f>VLOOKUP(A55,'SSP_March''19'!$A$3:$X$1193,22,0)</f>
        <v>0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75" t="s">
        <v>3596</v>
      </c>
      <c r="B56" s="75" t="s">
        <v>3597</v>
      </c>
      <c r="C56" s="75" t="s">
        <v>84</v>
      </c>
      <c r="D56" s="75" t="s">
        <v>80</v>
      </c>
      <c r="E56" s="75" t="s">
        <v>4</v>
      </c>
      <c r="F56" s="75" t="s">
        <v>3598</v>
      </c>
      <c r="G56" s="67">
        <v>1725664950</v>
      </c>
      <c r="H56" s="54" t="s">
        <v>229</v>
      </c>
      <c r="I56" s="54" t="s">
        <v>3514</v>
      </c>
      <c r="J56" s="34" t="s">
        <v>3421</v>
      </c>
      <c r="K56" s="43">
        <f>VLOOKUP(A56,'SSP_March''19'!$A$3:$L$1193,11,0)</f>
        <v>130000</v>
      </c>
      <c r="L56" s="43">
        <f>VLOOKUP(A56,'SSP_March''19'!$A$3:$L$1193,12,0)</f>
        <v>22970</v>
      </c>
      <c r="M56" s="44">
        <f t="shared" si="3"/>
        <v>0.1766923076923077</v>
      </c>
      <c r="N56" s="49">
        <f>ROUND(VLOOKUP(A56,'SSP_March''19'!$A$3:$N$1193,14,0),0)</f>
        <v>71207</v>
      </c>
      <c r="O56" s="44">
        <f t="shared" si="4"/>
        <v>0.54774615384615388</v>
      </c>
      <c r="P56" s="45">
        <f>VLOOKUP(A56,'SSP_March''19'!$A$3:$Q$1193,16,0)</f>
        <v>10</v>
      </c>
      <c r="Q56" s="34">
        <f>VLOOKUP(A56,'SSP_March''19'!$A$3:$Q$1193,17,0)</f>
        <v>3</v>
      </c>
      <c r="R56" s="35">
        <f t="shared" si="5"/>
        <v>0.3</v>
      </c>
      <c r="S56" s="49">
        <f>ROUND(VLOOKUP(A56,'SSP_March''19'!$A$3:$T$1193,19,0),0)</f>
        <v>9</v>
      </c>
      <c r="T56" s="44">
        <f>VLOOKUP(A56,'SSP_March''19'!$A$3:$T$1193,20,0)</f>
        <v>0.9</v>
      </c>
      <c r="U56" s="34">
        <f>VLOOKUP(A56,'SSP_March''19'!$A$3:$X$1193,21,0)</f>
        <v>0</v>
      </c>
      <c r="V56" s="34">
        <f>VLOOKUP(A56,'SSP_March''19'!$A$3:$X$1193,22,0)</f>
        <v>0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34" t="s">
        <v>2100</v>
      </c>
      <c r="B57" s="34" t="s">
        <v>2101</v>
      </c>
      <c r="C57" s="34" t="s">
        <v>84</v>
      </c>
      <c r="D57" s="34" t="s">
        <v>80</v>
      </c>
      <c r="E57" s="34" t="s">
        <v>4</v>
      </c>
      <c r="F57" s="34" t="s">
        <v>2102</v>
      </c>
      <c r="G57" s="54">
        <v>1710875939</v>
      </c>
      <c r="H57" s="54" t="s">
        <v>229</v>
      </c>
      <c r="I57" s="54" t="s">
        <v>3514</v>
      </c>
      <c r="J57" s="34" t="s">
        <v>3419</v>
      </c>
      <c r="K57" s="43">
        <f>VLOOKUP(A57,'SSP_March''19'!$A$3:$L$1193,11,0)</f>
        <v>130000</v>
      </c>
      <c r="L57" s="43">
        <f>VLOOKUP(A57,'SSP_March''19'!$A$3:$L$1193,12,0)</f>
        <v>33800</v>
      </c>
      <c r="M57" s="44">
        <f t="shared" si="3"/>
        <v>0.26</v>
      </c>
      <c r="N57" s="49">
        <f>ROUND(VLOOKUP(A57,'SSP_March''19'!$A$3:$N$1193,14,0),0)</f>
        <v>104780</v>
      </c>
      <c r="O57" s="44">
        <f t="shared" si="4"/>
        <v>0.80600000000000005</v>
      </c>
      <c r="P57" s="45">
        <f>VLOOKUP(A57,'SSP_March''19'!$A$3:$Q$1193,16,0)</f>
        <v>10</v>
      </c>
      <c r="Q57" s="34">
        <f>VLOOKUP(A57,'SSP_March''19'!$A$3:$Q$1193,17,0)</f>
        <v>2</v>
      </c>
      <c r="R57" s="35">
        <f t="shared" si="5"/>
        <v>0.2</v>
      </c>
      <c r="S57" s="49">
        <f>ROUND(VLOOKUP(A57,'SSP_March''19'!$A$3:$T$1193,19,0),0)</f>
        <v>6</v>
      </c>
      <c r="T57" s="44">
        <f>VLOOKUP(A57,'SSP_March''19'!$A$3:$T$1193,20,0)</f>
        <v>0.6</v>
      </c>
      <c r="U57" s="34">
        <f>VLOOKUP(A57,'SSP_March''19'!$A$3:$X$1193,21,0)</f>
        <v>0</v>
      </c>
      <c r="V57" s="34">
        <f>VLOOKUP(A57,'SSP_March''19'!$A$3:$X$1193,22,0)</f>
        <v>0</v>
      </c>
      <c r="W57" s="34">
        <f>VLOOKUP(A57,'SSP_March''19'!$A$3:$X$1193,23,0)</f>
        <v>0</v>
      </c>
      <c r="X57" s="34">
        <f>VLOOKUP(A57,'SSP_March''19'!$A$3:$X$1193,24,0)</f>
        <v>0</v>
      </c>
    </row>
    <row r="58" spans="1:24">
      <c r="A58" s="34" t="s">
        <v>3454</v>
      </c>
      <c r="B58" s="34" t="s">
        <v>3455</v>
      </c>
      <c r="C58" s="34" t="s">
        <v>84</v>
      </c>
      <c r="D58" s="34" t="s">
        <v>80</v>
      </c>
      <c r="E58" s="34" t="s">
        <v>4</v>
      </c>
      <c r="F58" s="34" t="s">
        <v>1063</v>
      </c>
      <c r="G58" s="54">
        <v>1920509303</v>
      </c>
      <c r="H58" s="54" t="s">
        <v>229</v>
      </c>
      <c r="I58" s="54" t="s">
        <v>3514</v>
      </c>
      <c r="J58" s="34" t="s">
        <v>3421</v>
      </c>
      <c r="K58" s="43">
        <f>VLOOKUP(A58,'SSP_March''19'!$A$3:$L$1193,11,0)</f>
        <v>130000</v>
      </c>
      <c r="L58" s="43">
        <f>VLOOKUP(A58,'SSP_March''19'!$A$3:$L$1193,12,0)</f>
        <v>27250</v>
      </c>
      <c r="M58" s="44">
        <f t="shared" si="3"/>
        <v>0.20961538461538462</v>
      </c>
      <c r="N58" s="49">
        <f>ROUND(VLOOKUP(A58,'SSP_March''19'!$A$3:$N$1193,14,0),0)</f>
        <v>84475</v>
      </c>
      <c r="O58" s="44">
        <f t="shared" si="4"/>
        <v>0.64980769230769231</v>
      </c>
      <c r="P58" s="45">
        <f>VLOOKUP(A58,'SSP_March''19'!$A$3:$Q$1193,16,0)</f>
        <v>10</v>
      </c>
      <c r="Q58" s="34">
        <f>VLOOKUP(A58,'SSP_March''19'!$A$3:$Q$1193,17,0)</f>
        <v>2</v>
      </c>
      <c r="R58" s="35">
        <f t="shared" si="5"/>
        <v>0.2</v>
      </c>
      <c r="S58" s="49">
        <f>ROUND(VLOOKUP(A58,'SSP_March''19'!$A$3:$T$1193,19,0),0)</f>
        <v>6</v>
      </c>
      <c r="T58" s="44">
        <f>VLOOKUP(A58,'SSP_March''19'!$A$3:$T$1193,20,0)</f>
        <v>0.6</v>
      </c>
      <c r="U58" s="34">
        <f>VLOOKUP(A58,'SSP_March''19'!$A$3:$X$1193,21,0)</f>
        <v>0</v>
      </c>
      <c r="V58" s="34">
        <f>VLOOKUP(A58,'SSP_March''19'!$A$3:$X$1193,22,0)</f>
        <v>1</v>
      </c>
      <c r="W58" s="34">
        <f>VLOOKUP(A58,'SSP_March''19'!$A$3:$X$1193,23,0)</f>
        <v>0</v>
      </c>
      <c r="X58" s="34">
        <f>VLOOKUP(A58,'SSP_March''19'!$A$3:$X$1193,24,0)</f>
        <v>0</v>
      </c>
    </row>
    <row r="59" spans="1:24">
      <c r="A59" s="34" t="s">
        <v>3167</v>
      </c>
      <c r="B59" s="34" t="s">
        <v>3168</v>
      </c>
      <c r="C59" s="34" t="s">
        <v>84</v>
      </c>
      <c r="D59" s="34" t="s">
        <v>80</v>
      </c>
      <c r="E59" s="34" t="s">
        <v>4</v>
      </c>
      <c r="F59" s="34" t="s">
        <v>3169</v>
      </c>
      <c r="G59" s="54">
        <v>1763611180</v>
      </c>
      <c r="H59" s="54" t="s">
        <v>229</v>
      </c>
      <c r="I59" s="54" t="s">
        <v>3514</v>
      </c>
      <c r="J59" s="34" t="s">
        <v>3421</v>
      </c>
      <c r="K59" s="43">
        <f>VLOOKUP(A59,'SSP_March''19'!$A$3:$L$1193,11,0)</f>
        <v>150000</v>
      </c>
      <c r="L59" s="43">
        <f>VLOOKUP(A59,'SSP_March''19'!$A$3:$L$1193,12,0)</f>
        <v>68700</v>
      </c>
      <c r="M59" s="44">
        <f t="shared" si="3"/>
        <v>0.45800000000000002</v>
      </c>
      <c r="N59" s="49">
        <f>ROUND(VLOOKUP(A59,'SSP_March''19'!$A$3:$N$1193,14,0),0)</f>
        <v>212970</v>
      </c>
      <c r="O59" s="44">
        <f t="shared" si="4"/>
        <v>1.4198</v>
      </c>
      <c r="P59" s="45">
        <f>VLOOKUP(A59,'SSP_March''19'!$A$3:$Q$1193,16,0)</f>
        <v>10</v>
      </c>
      <c r="Q59" s="34">
        <f>VLOOKUP(A59,'SSP_March''19'!$A$3:$Q$1193,17,0)</f>
        <v>7</v>
      </c>
      <c r="R59" s="35">
        <f t="shared" si="5"/>
        <v>0.7</v>
      </c>
      <c r="S59" s="49">
        <f>ROUND(VLOOKUP(A59,'SSP_March''19'!$A$3:$T$1193,19,0),0)</f>
        <v>22</v>
      </c>
      <c r="T59" s="44">
        <f>VLOOKUP(A59,'SSP_March''19'!$A$3:$T$1193,20,0)</f>
        <v>2.2000000000000002</v>
      </c>
      <c r="U59" s="34">
        <f>VLOOKUP(A59,'SSP_March''19'!$A$3:$X$1193,21,0)</f>
        <v>1</v>
      </c>
      <c r="V59" s="34">
        <f>VLOOKUP(A59,'SSP_March''19'!$A$3:$X$1193,22,0)</f>
        <v>1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34" t="s">
        <v>2920</v>
      </c>
      <c r="B60" s="34" t="s">
        <v>2921</v>
      </c>
      <c r="C60" s="34" t="s">
        <v>84</v>
      </c>
      <c r="D60" s="34" t="s">
        <v>80</v>
      </c>
      <c r="E60" s="34" t="s">
        <v>4</v>
      </c>
      <c r="F60" s="34" t="s">
        <v>2922</v>
      </c>
      <c r="G60" s="54">
        <v>1714502323</v>
      </c>
      <c r="H60" s="54" t="s">
        <v>229</v>
      </c>
      <c r="I60" s="54" t="s">
        <v>3514</v>
      </c>
      <c r="J60" s="34" t="s">
        <v>3421</v>
      </c>
      <c r="K60" s="43">
        <f>VLOOKUP(A60,'SSP_March''19'!$A$3:$L$1193,11,0)</f>
        <v>135000</v>
      </c>
      <c r="L60" s="43">
        <f>VLOOKUP(A60,'SSP_March''19'!$A$3:$L$1193,12,0)</f>
        <v>23360</v>
      </c>
      <c r="M60" s="44">
        <f t="shared" si="3"/>
        <v>0.17303703703703704</v>
      </c>
      <c r="N60" s="49">
        <f>ROUND(VLOOKUP(A60,'SSP_March''19'!$A$3:$N$1193,14,0),0)</f>
        <v>72416</v>
      </c>
      <c r="O60" s="44">
        <f t="shared" si="4"/>
        <v>0.53641481481481479</v>
      </c>
      <c r="P60" s="45">
        <f>VLOOKUP(A60,'SSP_March''19'!$A$3:$Q$1193,16,0)</f>
        <v>10</v>
      </c>
      <c r="Q60" s="34">
        <f>VLOOKUP(A60,'SSP_March''19'!$A$3:$Q$1193,17,0)</f>
        <v>1</v>
      </c>
      <c r="R60" s="35">
        <f t="shared" si="5"/>
        <v>0.1</v>
      </c>
      <c r="S60" s="49">
        <f>ROUND(VLOOKUP(A60,'SSP_March''19'!$A$3:$T$1193,19,0),0)</f>
        <v>3</v>
      </c>
      <c r="T60" s="44">
        <f>VLOOKUP(A60,'SSP_March''19'!$A$3:$T$1193,20,0)</f>
        <v>0.3</v>
      </c>
      <c r="U60" s="34">
        <f>VLOOKUP(A60,'SSP_March''19'!$A$3:$X$1193,21,0)</f>
        <v>1</v>
      </c>
      <c r="V60" s="34">
        <f>VLOOKUP(A60,'SSP_March''19'!$A$3:$X$1193,22,0)</f>
        <v>0</v>
      </c>
      <c r="W60" s="34">
        <f>VLOOKUP(A60,'SSP_March''19'!$A$3:$X$1193,23,0)</f>
        <v>0</v>
      </c>
      <c r="X60" s="34">
        <f>VLOOKUP(A60,'SSP_March''19'!$A$3:$X$1193,24,0)</f>
        <v>0</v>
      </c>
    </row>
    <row r="61" spans="1:24">
      <c r="A61" s="34" t="s">
        <v>2173</v>
      </c>
      <c r="B61" s="34" t="s">
        <v>2174</v>
      </c>
      <c r="C61" s="34" t="s">
        <v>86</v>
      </c>
      <c r="D61" s="34" t="s">
        <v>87</v>
      </c>
      <c r="E61" s="34" t="s">
        <v>4</v>
      </c>
      <c r="F61" s="34" t="s">
        <v>2175</v>
      </c>
      <c r="G61" s="54">
        <v>1713904754</v>
      </c>
      <c r="H61" s="54" t="s">
        <v>229</v>
      </c>
      <c r="I61" s="54" t="s">
        <v>3514</v>
      </c>
      <c r="J61" s="34" t="s">
        <v>3419</v>
      </c>
      <c r="K61" s="43">
        <f>VLOOKUP(A61,'SSP_March''19'!$A$3:$L$1193,11,0)</f>
        <v>169833</v>
      </c>
      <c r="L61" s="43">
        <f>VLOOKUP(A61,'SSP_March''19'!$A$3:$L$1193,12,0)</f>
        <v>27560</v>
      </c>
      <c r="M61" s="44">
        <f t="shared" si="3"/>
        <v>0.16227706040639922</v>
      </c>
      <c r="N61" s="49">
        <f>ROUND(VLOOKUP(A61,'SSP_March''19'!$A$3:$N$1193,14,0),0)</f>
        <v>85436</v>
      </c>
      <c r="O61" s="44">
        <f t="shared" si="4"/>
        <v>0.50305888725983761</v>
      </c>
      <c r="P61" s="45">
        <f>VLOOKUP(A61,'SSP_March''19'!$A$3:$Q$1193,16,0)</f>
        <v>10</v>
      </c>
      <c r="Q61" s="34">
        <f>VLOOKUP(A61,'SSP_March''19'!$A$3:$Q$1193,17,0)</f>
        <v>2</v>
      </c>
      <c r="R61" s="35">
        <f t="shared" si="5"/>
        <v>0.2</v>
      </c>
      <c r="S61" s="49">
        <f>ROUND(VLOOKUP(A61,'SSP_March''19'!$A$3:$T$1193,19,0),0)</f>
        <v>6</v>
      </c>
      <c r="T61" s="44">
        <f>VLOOKUP(A61,'SSP_March''19'!$A$3:$T$1193,20,0)</f>
        <v>0.6</v>
      </c>
      <c r="U61" s="34">
        <f>VLOOKUP(A61,'SSP_March''19'!$A$3:$X$1193,21,0)</f>
        <v>1</v>
      </c>
      <c r="V61" s="34">
        <f>VLOOKUP(A61,'SSP_March''19'!$A$3:$X$1193,22,0)</f>
        <v>0</v>
      </c>
      <c r="W61" s="34">
        <f>VLOOKUP(A61,'SSP_March''19'!$A$3:$X$1193,23,0)</f>
        <v>0</v>
      </c>
      <c r="X61" s="34">
        <f>VLOOKUP(A61,'SSP_March''19'!$A$3:$X$1193,24,0)</f>
        <v>0</v>
      </c>
    </row>
    <row r="62" spans="1:24">
      <c r="A62" s="34" t="s">
        <v>3070</v>
      </c>
      <c r="B62" s="34" t="s">
        <v>3071</v>
      </c>
      <c r="C62" s="34" t="s">
        <v>86</v>
      </c>
      <c r="D62" s="34" t="s">
        <v>87</v>
      </c>
      <c r="E62" s="34" t="s">
        <v>4</v>
      </c>
      <c r="F62" s="34" t="s">
        <v>1100</v>
      </c>
      <c r="G62" s="54">
        <v>1766755245</v>
      </c>
      <c r="H62" s="54" t="s">
        <v>229</v>
      </c>
      <c r="I62" s="54" t="s">
        <v>3514</v>
      </c>
      <c r="J62" s="34" t="s">
        <v>3421</v>
      </c>
      <c r="K62" s="43">
        <f>VLOOKUP(A62,'SSP_March''19'!$A$3:$L$1193,11,0)</f>
        <v>182513</v>
      </c>
      <c r="L62" s="43">
        <f>VLOOKUP(A62,'SSP_March''19'!$A$3:$L$1193,12,0)</f>
        <v>77520</v>
      </c>
      <c r="M62" s="44">
        <f t="shared" si="3"/>
        <v>0.42473686805871363</v>
      </c>
      <c r="N62" s="49">
        <f>ROUND(VLOOKUP(A62,'SSP_March''19'!$A$3:$N$1193,14,0),0)</f>
        <v>240312</v>
      </c>
      <c r="O62" s="44">
        <f t="shared" si="4"/>
        <v>1.3166842909820122</v>
      </c>
      <c r="P62" s="45">
        <f>VLOOKUP(A62,'SSP_March''19'!$A$3:$Q$1193,16,0)</f>
        <v>13</v>
      </c>
      <c r="Q62" s="34">
        <f>VLOOKUP(A62,'SSP_March''19'!$A$3:$Q$1193,17,0)</f>
        <v>6</v>
      </c>
      <c r="R62" s="35">
        <f t="shared" si="5"/>
        <v>0.46153846153846156</v>
      </c>
      <c r="S62" s="49">
        <f>ROUND(VLOOKUP(A62,'SSP_March''19'!$A$3:$T$1193,19,0),0)</f>
        <v>19</v>
      </c>
      <c r="T62" s="44">
        <f>VLOOKUP(A62,'SSP_March''19'!$A$3:$T$1193,20,0)</f>
        <v>1.4615384615384615</v>
      </c>
      <c r="U62" s="34">
        <f>VLOOKUP(A62,'SSP_March''19'!$A$3:$X$1193,21,0)</f>
        <v>1</v>
      </c>
      <c r="V62" s="34">
        <f>VLOOKUP(A62,'SSP_March''19'!$A$3:$X$1193,22,0)</f>
        <v>4</v>
      </c>
      <c r="W62" s="34">
        <f>VLOOKUP(A62,'SSP_March''19'!$A$3:$X$1193,23,0)</f>
        <v>0</v>
      </c>
      <c r="X62" s="34">
        <f>VLOOKUP(A62,'SSP_March''19'!$A$3:$X$1193,24,0)</f>
        <v>0</v>
      </c>
    </row>
    <row r="63" spans="1:24">
      <c r="A63" s="34" t="s">
        <v>2155</v>
      </c>
      <c r="B63" s="34" t="s">
        <v>2156</v>
      </c>
      <c r="C63" s="34" t="s">
        <v>86</v>
      </c>
      <c r="D63" s="34" t="s">
        <v>87</v>
      </c>
      <c r="E63" s="34" t="s">
        <v>4</v>
      </c>
      <c r="F63" s="34" t="s">
        <v>2157</v>
      </c>
      <c r="G63" s="54">
        <v>1710060060</v>
      </c>
      <c r="H63" s="54" t="s">
        <v>229</v>
      </c>
      <c r="I63" s="54" t="s">
        <v>3514</v>
      </c>
      <c r="J63" s="34" t="s">
        <v>3419</v>
      </c>
      <c r="K63" s="43">
        <f>VLOOKUP(A63,'SSP_March''19'!$A$3:$L$1193,11,0)</f>
        <v>163587</v>
      </c>
      <c r="L63" s="43">
        <f>VLOOKUP(A63,'SSP_March''19'!$A$3:$L$1193,12,0)</f>
        <v>58950</v>
      </c>
      <c r="M63" s="44">
        <f t="shared" si="3"/>
        <v>0.36035870821031013</v>
      </c>
      <c r="N63" s="49">
        <f>ROUND(VLOOKUP(A63,'SSP_March''19'!$A$3:$N$1193,14,0),0)</f>
        <v>182745</v>
      </c>
      <c r="O63" s="44">
        <f t="shared" si="4"/>
        <v>1.1171119954519613</v>
      </c>
      <c r="P63" s="45">
        <f>VLOOKUP(A63,'SSP_March''19'!$A$3:$Q$1193,16,0)</f>
        <v>10</v>
      </c>
      <c r="Q63" s="34">
        <f>VLOOKUP(A63,'SSP_March''19'!$A$3:$Q$1193,17,0)</f>
        <v>3</v>
      </c>
      <c r="R63" s="35">
        <f t="shared" si="5"/>
        <v>0.3</v>
      </c>
      <c r="S63" s="49">
        <f>ROUND(VLOOKUP(A63,'SSP_March''19'!$A$3:$T$1193,19,0),0)</f>
        <v>9</v>
      </c>
      <c r="T63" s="44">
        <f>VLOOKUP(A63,'SSP_March''19'!$A$3:$T$1193,20,0)</f>
        <v>0.9</v>
      </c>
      <c r="U63" s="34">
        <f>VLOOKUP(A63,'SSP_March''19'!$A$3:$X$1193,21,0)</f>
        <v>1</v>
      </c>
      <c r="V63" s="34">
        <f>VLOOKUP(A63,'SSP_March''19'!$A$3:$X$1193,22,0)</f>
        <v>0</v>
      </c>
      <c r="W63" s="34">
        <f>VLOOKUP(A63,'SSP_March''19'!$A$3:$X$1193,23,0)</f>
        <v>0</v>
      </c>
      <c r="X63" s="34">
        <f>VLOOKUP(A63,'SSP_March''19'!$A$3:$X$1193,24,0)</f>
        <v>0</v>
      </c>
    </row>
    <row r="64" spans="1:24">
      <c r="A64" s="34" t="s">
        <v>3063</v>
      </c>
      <c r="B64" s="34" t="s">
        <v>2222</v>
      </c>
      <c r="C64" s="34" t="s">
        <v>86</v>
      </c>
      <c r="D64" s="34" t="s">
        <v>87</v>
      </c>
      <c r="E64" s="34" t="s">
        <v>4</v>
      </c>
      <c r="F64" s="34" t="s">
        <v>702</v>
      </c>
      <c r="G64" s="54">
        <v>1914424202</v>
      </c>
      <c r="H64" s="54" t="s">
        <v>229</v>
      </c>
      <c r="I64" s="54" t="s">
        <v>3514</v>
      </c>
      <c r="J64" s="34" t="s">
        <v>3421</v>
      </c>
      <c r="K64" s="43">
        <f>VLOOKUP(A64,'SSP_March''19'!$A$3:$L$1193,11,0)</f>
        <v>130000</v>
      </c>
      <c r="L64" s="43">
        <f>VLOOKUP(A64,'SSP_March''19'!$A$3:$L$1193,12,0)</f>
        <v>27800</v>
      </c>
      <c r="M64" s="44">
        <f t="shared" si="3"/>
        <v>0.21384615384615385</v>
      </c>
      <c r="N64" s="49">
        <f>ROUND(VLOOKUP(A64,'SSP_March''19'!$A$3:$N$1193,14,0),0)</f>
        <v>86180</v>
      </c>
      <c r="O64" s="44">
        <f t="shared" si="4"/>
        <v>0.66292307692307695</v>
      </c>
      <c r="P64" s="45">
        <f>VLOOKUP(A64,'SSP_March''19'!$A$3:$Q$1193,16,0)</f>
        <v>10</v>
      </c>
      <c r="Q64" s="34">
        <f>VLOOKUP(A64,'SSP_March''19'!$A$3:$Q$1193,17,0)</f>
        <v>1</v>
      </c>
      <c r="R64" s="35">
        <f t="shared" si="5"/>
        <v>0.1</v>
      </c>
      <c r="S64" s="49">
        <f>ROUND(VLOOKUP(A64,'SSP_March''19'!$A$3:$T$1193,19,0),0)</f>
        <v>3</v>
      </c>
      <c r="T64" s="44">
        <f>VLOOKUP(A64,'SSP_March''19'!$A$3:$T$1193,20,0)</f>
        <v>0.3</v>
      </c>
      <c r="U64" s="34">
        <f>VLOOKUP(A64,'SSP_March''19'!$A$3:$X$1193,21,0)</f>
        <v>1</v>
      </c>
      <c r="V64" s="34">
        <f>VLOOKUP(A64,'SSP_March''19'!$A$3:$X$1193,22,0)</f>
        <v>0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34" t="s">
        <v>2137</v>
      </c>
      <c r="B65" s="34" t="s">
        <v>2138</v>
      </c>
      <c r="C65" s="34" t="s">
        <v>86</v>
      </c>
      <c r="D65" s="34" t="s">
        <v>87</v>
      </c>
      <c r="E65" s="34" t="s">
        <v>4</v>
      </c>
      <c r="F65" s="34" t="s">
        <v>2139</v>
      </c>
      <c r="G65" s="54">
        <v>1913246623</v>
      </c>
      <c r="H65" s="54" t="s">
        <v>229</v>
      </c>
      <c r="I65" s="54" t="s">
        <v>3518</v>
      </c>
      <c r="J65" s="34" t="s">
        <v>3419</v>
      </c>
      <c r="K65" s="43">
        <f>VLOOKUP(A65,'SSP_March''19'!$A$3:$L$1193,11,0)</f>
        <v>398710</v>
      </c>
      <c r="L65" s="43">
        <f>VLOOKUP(A65,'SSP_March''19'!$A$3:$L$1193,12,0)</f>
        <v>160499</v>
      </c>
      <c r="M65" s="44">
        <f t="shared" si="3"/>
        <v>0.40254570991447419</v>
      </c>
      <c r="N65" s="49">
        <f>ROUND(VLOOKUP(A65,'SSP_March''19'!$A$3:$N$1193,14,0),0)</f>
        <v>497547</v>
      </c>
      <c r="O65" s="44">
        <f t="shared" si="4"/>
        <v>1.2478919515437286</v>
      </c>
      <c r="P65" s="45">
        <f>VLOOKUP(A65,'SSP_March''19'!$A$3:$Q$1193,16,0)</f>
        <v>28</v>
      </c>
      <c r="Q65" s="34">
        <f>VLOOKUP(A65,'SSP_March''19'!$A$3:$Q$1193,17,0)</f>
        <v>12</v>
      </c>
      <c r="R65" s="35">
        <f t="shared" si="5"/>
        <v>0.42857142857142855</v>
      </c>
      <c r="S65" s="49">
        <f>ROUND(VLOOKUP(A65,'SSP_March''19'!$A$3:$T$1193,19,0),0)</f>
        <v>37</v>
      </c>
      <c r="T65" s="44">
        <f>VLOOKUP(A65,'SSP_March''19'!$A$3:$T$1193,20,0)</f>
        <v>1.3214285714285714</v>
      </c>
      <c r="U65" s="34">
        <f>VLOOKUP(A65,'SSP_March''19'!$A$3:$X$1193,21,0)</f>
        <v>2</v>
      </c>
      <c r="V65" s="34">
        <f>VLOOKUP(A65,'SSP_March''19'!$A$3:$X$1193,22,0)</f>
        <v>6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34" t="s">
        <v>3064</v>
      </c>
      <c r="B66" s="34" t="s">
        <v>3065</v>
      </c>
      <c r="C66" s="34" t="s">
        <v>86</v>
      </c>
      <c r="D66" s="34" t="s">
        <v>87</v>
      </c>
      <c r="E66" s="34" t="s">
        <v>4</v>
      </c>
      <c r="F66" s="34" t="s">
        <v>3066</v>
      </c>
      <c r="G66" s="54">
        <v>1911952056</v>
      </c>
      <c r="H66" s="54" t="s">
        <v>229</v>
      </c>
      <c r="I66" s="54" t="s">
        <v>3514</v>
      </c>
      <c r="J66" s="34" t="s">
        <v>3421</v>
      </c>
      <c r="K66" s="43">
        <f>VLOOKUP(A66,'SSP_March''19'!$A$3:$L$1193,11,0)</f>
        <v>130000</v>
      </c>
      <c r="L66" s="43">
        <f>VLOOKUP(A66,'SSP_March''19'!$A$3:$L$1193,12,0)</f>
        <v>19770</v>
      </c>
      <c r="M66" s="44">
        <f t="shared" si="3"/>
        <v>0.15207692307692308</v>
      </c>
      <c r="N66" s="49">
        <f>ROUND(VLOOKUP(A66,'SSP_March''19'!$A$3:$N$1193,14,0),0)</f>
        <v>61287</v>
      </c>
      <c r="O66" s="44">
        <f t="shared" si="4"/>
        <v>0.47143846153846153</v>
      </c>
      <c r="P66" s="45">
        <f>VLOOKUP(A66,'SSP_March''19'!$A$3:$Q$1193,16,0)</f>
        <v>10</v>
      </c>
      <c r="Q66" s="34">
        <f>VLOOKUP(A66,'SSP_March''19'!$A$3:$Q$1193,17,0)</f>
        <v>1</v>
      </c>
      <c r="R66" s="35">
        <f t="shared" si="5"/>
        <v>0.1</v>
      </c>
      <c r="S66" s="49">
        <f>ROUND(VLOOKUP(A66,'SSP_March''19'!$A$3:$T$1193,19,0),0)</f>
        <v>3</v>
      </c>
      <c r="T66" s="44">
        <f>VLOOKUP(A66,'SSP_March''19'!$A$3:$T$1193,20,0)</f>
        <v>0.3</v>
      </c>
      <c r="U66" s="34">
        <f>VLOOKUP(A66,'SSP_March''19'!$A$3:$X$1193,21,0)</f>
        <v>1</v>
      </c>
      <c r="V66" s="34">
        <f>VLOOKUP(A66,'SSP_March''19'!$A$3:$X$1193,22,0)</f>
        <v>0</v>
      </c>
      <c r="W66" s="34">
        <f>VLOOKUP(A66,'SSP_March''19'!$A$3:$X$1193,23,0)</f>
        <v>0</v>
      </c>
      <c r="X66" s="34">
        <f>VLOOKUP(A66,'SSP_March''19'!$A$3:$X$1193,24,0)</f>
        <v>0</v>
      </c>
    </row>
    <row r="67" spans="1:24">
      <c r="A67" s="34" t="s">
        <v>2164</v>
      </c>
      <c r="B67" s="34" t="s">
        <v>2165</v>
      </c>
      <c r="C67" s="34" t="s">
        <v>86</v>
      </c>
      <c r="D67" s="34" t="s">
        <v>87</v>
      </c>
      <c r="E67" s="34" t="s">
        <v>4</v>
      </c>
      <c r="F67" s="34" t="s">
        <v>2166</v>
      </c>
      <c r="G67" s="54">
        <v>1711588244</v>
      </c>
      <c r="H67" s="54" t="s">
        <v>229</v>
      </c>
      <c r="I67" s="54" t="s">
        <v>3514</v>
      </c>
      <c r="J67" s="34" t="s">
        <v>3419</v>
      </c>
      <c r="K67" s="43">
        <f>VLOOKUP(A67,'SSP_March''19'!$A$3:$L$1193,11,0)</f>
        <v>130000</v>
      </c>
      <c r="L67" s="43">
        <f>VLOOKUP(A67,'SSP_March''19'!$A$3:$L$1193,12,0)</f>
        <v>75280</v>
      </c>
      <c r="M67" s="44">
        <f t="shared" ref="M67:M98" si="6">L67/K67</f>
        <v>0.57907692307692304</v>
      </c>
      <c r="N67" s="49">
        <f>ROUND(VLOOKUP(A67,'SSP_March''19'!$A$3:$N$1193,14,0),0)</f>
        <v>233368</v>
      </c>
      <c r="O67" s="44">
        <f t="shared" ref="O67:O98" si="7">N67/K67</f>
        <v>1.7951384615384616</v>
      </c>
      <c r="P67" s="45">
        <f>VLOOKUP(A67,'SSP_March''19'!$A$3:$Q$1193,16,0)</f>
        <v>10</v>
      </c>
      <c r="Q67" s="34">
        <f>VLOOKUP(A67,'SSP_March''19'!$A$3:$Q$1193,17,0)</f>
        <v>4</v>
      </c>
      <c r="R67" s="35">
        <f t="shared" ref="R67:R98" si="8">Q67/P67</f>
        <v>0.4</v>
      </c>
      <c r="S67" s="49">
        <f>ROUND(VLOOKUP(A67,'SSP_March''19'!$A$3:$T$1193,19,0),0)</f>
        <v>12</v>
      </c>
      <c r="T67" s="44">
        <f>VLOOKUP(A67,'SSP_March''19'!$A$3:$T$1193,20,0)</f>
        <v>1.2</v>
      </c>
      <c r="U67" s="34">
        <f>VLOOKUP(A67,'SSP_March''19'!$A$3:$X$1193,21,0)</f>
        <v>2</v>
      </c>
      <c r="V67" s="34">
        <f>VLOOKUP(A67,'SSP_March''19'!$A$3:$X$1193,22,0)</f>
        <v>0</v>
      </c>
      <c r="W67" s="34">
        <f>VLOOKUP(A67,'SSP_March''19'!$A$3:$X$1193,23,0)</f>
        <v>0</v>
      </c>
      <c r="X67" s="34">
        <f>VLOOKUP(A67,'SSP_March''19'!$A$3:$X$1193,24,0)</f>
        <v>0</v>
      </c>
    </row>
    <row r="68" spans="1:24">
      <c r="A68" s="34" t="s">
        <v>2149</v>
      </c>
      <c r="B68" s="34" t="s">
        <v>2150</v>
      </c>
      <c r="C68" s="34" t="s">
        <v>86</v>
      </c>
      <c r="D68" s="34" t="s">
        <v>87</v>
      </c>
      <c r="E68" s="34" t="s">
        <v>4</v>
      </c>
      <c r="F68" s="34" t="s">
        <v>2151</v>
      </c>
      <c r="G68" s="54">
        <v>1993077966</v>
      </c>
      <c r="H68" s="54" t="s">
        <v>229</v>
      </c>
      <c r="I68" s="54" t="s">
        <v>3518</v>
      </c>
      <c r="J68" s="34" t="s">
        <v>3421</v>
      </c>
      <c r="K68" s="43">
        <f>VLOOKUP(A68,'SSP_March''19'!$A$3:$L$1193,11,0)</f>
        <v>333597</v>
      </c>
      <c r="L68" s="43">
        <f>VLOOKUP(A68,'SSP_March''19'!$A$3:$L$1193,12,0)</f>
        <v>63869</v>
      </c>
      <c r="M68" s="44">
        <f t="shared" si="6"/>
        <v>0.1914555586531054</v>
      </c>
      <c r="N68" s="49">
        <f>ROUND(VLOOKUP(A68,'SSP_March''19'!$A$3:$N$1193,14,0),0)</f>
        <v>197994</v>
      </c>
      <c r="O68" s="44">
        <f t="shared" si="7"/>
        <v>0.59351253158751427</v>
      </c>
      <c r="P68" s="45">
        <f>VLOOKUP(A68,'SSP_March''19'!$A$3:$Q$1193,16,0)</f>
        <v>26</v>
      </c>
      <c r="Q68" s="34">
        <f>VLOOKUP(A68,'SSP_March''19'!$A$3:$Q$1193,17,0)</f>
        <v>5</v>
      </c>
      <c r="R68" s="35">
        <f t="shared" si="8"/>
        <v>0.19230769230769232</v>
      </c>
      <c r="S68" s="49">
        <f>ROUND(VLOOKUP(A68,'SSP_March''19'!$A$3:$T$1193,19,0),0)</f>
        <v>16</v>
      </c>
      <c r="T68" s="44">
        <f>VLOOKUP(A68,'SSP_March''19'!$A$3:$T$1193,20,0)</f>
        <v>0.61538461538461542</v>
      </c>
      <c r="U68" s="34">
        <f>VLOOKUP(A68,'SSP_March''19'!$A$3:$X$1193,21,0)</f>
        <v>0</v>
      </c>
      <c r="V68" s="34">
        <f>VLOOKUP(A68,'SSP_March''19'!$A$3:$X$1193,22,0)</f>
        <v>1</v>
      </c>
      <c r="W68" s="34">
        <f>VLOOKUP(A68,'SSP_March''19'!$A$3:$X$1193,23,0)</f>
        <v>0</v>
      </c>
      <c r="X68" s="34">
        <f>VLOOKUP(A68,'SSP_March''19'!$A$3:$X$1193,24,0)</f>
        <v>2</v>
      </c>
    </row>
    <row r="69" spans="1:24">
      <c r="A69" s="34" t="s">
        <v>2140</v>
      </c>
      <c r="B69" s="34" t="s">
        <v>2141</v>
      </c>
      <c r="C69" s="34" t="s">
        <v>86</v>
      </c>
      <c r="D69" s="34" t="s">
        <v>87</v>
      </c>
      <c r="E69" s="34" t="s">
        <v>4</v>
      </c>
      <c r="F69" s="34" t="s">
        <v>2142</v>
      </c>
      <c r="G69" s="54">
        <v>1933920720</v>
      </c>
      <c r="H69" s="54" t="s">
        <v>229</v>
      </c>
      <c r="I69" s="54" t="s">
        <v>3514</v>
      </c>
      <c r="J69" s="34" t="s">
        <v>3419</v>
      </c>
      <c r="K69" s="43">
        <f>VLOOKUP(A69,'SSP_March''19'!$A$3:$L$1193,11,0)</f>
        <v>180788</v>
      </c>
      <c r="L69" s="43">
        <f>VLOOKUP(A69,'SSP_March''19'!$A$3:$L$1193,12,0)</f>
        <v>48520</v>
      </c>
      <c r="M69" s="44">
        <f t="shared" si="6"/>
        <v>0.26838064473305751</v>
      </c>
      <c r="N69" s="49">
        <f>ROUND(VLOOKUP(A69,'SSP_March''19'!$A$3:$N$1193,14,0),0)</f>
        <v>150412</v>
      </c>
      <c r="O69" s="44">
        <f t="shared" si="7"/>
        <v>0.83197999867247829</v>
      </c>
      <c r="P69" s="45">
        <f>VLOOKUP(A69,'SSP_March''19'!$A$3:$Q$1193,16,0)</f>
        <v>10</v>
      </c>
      <c r="Q69" s="34">
        <f>VLOOKUP(A69,'SSP_March''19'!$A$3:$Q$1193,17,0)</f>
        <v>2</v>
      </c>
      <c r="R69" s="35">
        <f t="shared" si="8"/>
        <v>0.2</v>
      </c>
      <c r="S69" s="49">
        <f>ROUND(VLOOKUP(A69,'SSP_March''19'!$A$3:$T$1193,19,0),0)</f>
        <v>6</v>
      </c>
      <c r="T69" s="44">
        <f>VLOOKUP(A69,'SSP_March''19'!$A$3:$T$1193,20,0)</f>
        <v>0.6</v>
      </c>
      <c r="U69" s="34">
        <f>VLOOKUP(A69,'SSP_March''19'!$A$3:$X$1193,21,0)</f>
        <v>3</v>
      </c>
      <c r="V69" s="34">
        <f>VLOOKUP(A69,'SSP_March''19'!$A$3:$X$1193,22,0)</f>
        <v>0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34" t="s">
        <v>3456</v>
      </c>
      <c r="B70" s="34" t="s">
        <v>3457</v>
      </c>
      <c r="C70" s="34" t="s">
        <v>86</v>
      </c>
      <c r="D70" s="34" t="s">
        <v>87</v>
      </c>
      <c r="E70" s="34" t="s">
        <v>4</v>
      </c>
      <c r="F70" s="34" t="s">
        <v>3458</v>
      </c>
      <c r="G70" s="54">
        <v>1713902586</v>
      </c>
      <c r="H70" s="54" t="s">
        <v>229</v>
      </c>
      <c r="I70" s="54" t="s">
        <v>3514</v>
      </c>
      <c r="J70" s="34" t="s">
        <v>3421</v>
      </c>
      <c r="K70" s="43">
        <f>VLOOKUP(A70,'SSP_March''19'!$A$3:$L$1193,11,0)</f>
        <v>130000</v>
      </c>
      <c r="L70" s="43">
        <f>VLOOKUP(A70,'SSP_March''19'!$A$3:$L$1193,12,0)</f>
        <v>41380</v>
      </c>
      <c r="M70" s="44">
        <f t="shared" si="6"/>
        <v>0.31830769230769229</v>
      </c>
      <c r="N70" s="49">
        <f>ROUND(VLOOKUP(A70,'SSP_March''19'!$A$3:$N$1193,14,0),0)</f>
        <v>128278</v>
      </c>
      <c r="O70" s="44">
        <f t="shared" si="7"/>
        <v>0.9867538461538462</v>
      </c>
      <c r="P70" s="45">
        <f>VLOOKUP(A70,'SSP_March''19'!$A$3:$Q$1193,16,0)</f>
        <v>10</v>
      </c>
      <c r="Q70" s="34">
        <f>VLOOKUP(A70,'SSP_March''19'!$A$3:$Q$1193,17,0)</f>
        <v>3</v>
      </c>
      <c r="R70" s="35">
        <f t="shared" si="8"/>
        <v>0.3</v>
      </c>
      <c r="S70" s="49">
        <f>ROUND(VLOOKUP(A70,'SSP_March''19'!$A$3:$T$1193,19,0),0)</f>
        <v>9</v>
      </c>
      <c r="T70" s="44">
        <f>VLOOKUP(A70,'SSP_March''19'!$A$3:$T$1193,20,0)</f>
        <v>0.9</v>
      </c>
      <c r="U70" s="34">
        <f>VLOOKUP(A70,'SSP_March''19'!$A$3:$X$1193,21,0)</f>
        <v>0</v>
      </c>
      <c r="V70" s="34">
        <f>VLOOKUP(A70,'SSP_March''19'!$A$3:$X$1193,22,0)</f>
        <v>0</v>
      </c>
      <c r="W70" s="34">
        <f>VLOOKUP(A70,'SSP_March''19'!$A$3:$X$1193,23,0)</f>
        <v>0</v>
      </c>
      <c r="X70" s="34">
        <f>VLOOKUP(A70,'SSP_March''19'!$A$3:$X$1193,24,0)</f>
        <v>0</v>
      </c>
    </row>
    <row r="71" spans="1:24">
      <c r="A71" s="34" t="s">
        <v>3072</v>
      </c>
      <c r="B71" s="34" t="s">
        <v>3073</v>
      </c>
      <c r="C71" s="34" t="s">
        <v>86</v>
      </c>
      <c r="D71" s="34" t="s">
        <v>87</v>
      </c>
      <c r="E71" s="34" t="s">
        <v>4</v>
      </c>
      <c r="F71" s="34" t="s">
        <v>3074</v>
      </c>
      <c r="G71" s="54">
        <v>1733001868</v>
      </c>
      <c r="H71" s="54" t="s">
        <v>229</v>
      </c>
      <c r="I71" s="54" t="s">
        <v>3514</v>
      </c>
      <c r="J71" s="34" t="s">
        <v>3421</v>
      </c>
      <c r="K71" s="43">
        <f>VLOOKUP(A71,'SSP_March''19'!$A$3:$L$1193,11,0)</f>
        <v>130000</v>
      </c>
      <c r="L71" s="43">
        <f>VLOOKUP(A71,'SSP_March''19'!$A$3:$L$1193,12,0)</f>
        <v>33135</v>
      </c>
      <c r="M71" s="44">
        <f t="shared" si="6"/>
        <v>0.25488461538461538</v>
      </c>
      <c r="N71" s="49">
        <f>ROUND(VLOOKUP(A71,'SSP_March''19'!$A$3:$N$1193,14,0),0)</f>
        <v>102719</v>
      </c>
      <c r="O71" s="44">
        <f t="shared" si="7"/>
        <v>0.79014615384615383</v>
      </c>
      <c r="P71" s="45">
        <f>VLOOKUP(A71,'SSP_March''19'!$A$3:$Q$1193,16,0)</f>
        <v>10</v>
      </c>
      <c r="Q71" s="34">
        <f>VLOOKUP(A71,'SSP_March''19'!$A$3:$Q$1193,17,0)</f>
        <v>3</v>
      </c>
      <c r="R71" s="35">
        <f t="shared" si="8"/>
        <v>0.3</v>
      </c>
      <c r="S71" s="49">
        <f>ROUND(VLOOKUP(A71,'SSP_March''19'!$A$3:$T$1193,19,0),0)</f>
        <v>9</v>
      </c>
      <c r="T71" s="44">
        <f>VLOOKUP(A71,'SSP_March''19'!$A$3:$T$1193,20,0)</f>
        <v>0.9</v>
      </c>
      <c r="U71" s="34">
        <f>VLOOKUP(A71,'SSP_March''19'!$A$3:$X$1193,21,0)</f>
        <v>1</v>
      </c>
      <c r="V71" s="34">
        <f>VLOOKUP(A71,'SSP_March''19'!$A$3:$X$1193,22,0)</f>
        <v>0</v>
      </c>
      <c r="W71" s="34">
        <f>VLOOKUP(A71,'SSP_March''19'!$A$3:$X$1193,23,0)</f>
        <v>0</v>
      </c>
      <c r="X71" s="34">
        <f>VLOOKUP(A71,'SSP_March''19'!$A$3:$X$1193,24,0)</f>
        <v>0</v>
      </c>
    </row>
    <row r="72" spans="1:24">
      <c r="A72" s="34" t="s">
        <v>2158</v>
      </c>
      <c r="B72" s="34" t="s">
        <v>2159</v>
      </c>
      <c r="C72" s="34" t="s">
        <v>86</v>
      </c>
      <c r="D72" s="34" t="s">
        <v>87</v>
      </c>
      <c r="E72" s="34" t="s">
        <v>4</v>
      </c>
      <c r="F72" s="34" t="s">
        <v>2160</v>
      </c>
      <c r="G72" s="54">
        <v>1711399320</v>
      </c>
      <c r="H72" s="54" t="s">
        <v>229</v>
      </c>
      <c r="I72" s="54" t="s">
        <v>3514</v>
      </c>
      <c r="J72" s="34" t="s">
        <v>3419</v>
      </c>
      <c r="K72" s="43">
        <f>VLOOKUP(A72,'SSP_March''19'!$A$3:$L$1193,11,0)</f>
        <v>190967</v>
      </c>
      <c r="L72" s="43">
        <f>VLOOKUP(A72,'SSP_March''19'!$A$3:$L$1193,12,0)</f>
        <v>24180</v>
      </c>
      <c r="M72" s="44">
        <f t="shared" si="6"/>
        <v>0.12661873517414005</v>
      </c>
      <c r="N72" s="49">
        <f>ROUND(VLOOKUP(A72,'SSP_March''19'!$A$3:$N$1193,14,0),0)</f>
        <v>74958</v>
      </c>
      <c r="O72" s="44">
        <f t="shared" si="7"/>
        <v>0.3925180790398341</v>
      </c>
      <c r="P72" s="45">
        <f>VLOOKUP(A72,'SSP_March''19'!$A$3:$Q$1193,16,0)</f>
        <v>10</v>
      </c>
      <c r="Q72" s="34">
        <f>VLOOKUP(A72,'SSP_March''19'!$A$3:$Q$1193,17,0)</f>
        <v>2</v>
      </c>
      <c r="R72" s="35">
        <f t="shared" si="8"/>
        <v>0.2</v>
      </c>
      <c r="S72" s="49">
        <f>ROUND(VLOOKUP(A72,'SSP_March''19'!$A$3:$T$1193,19,0),0)</f>
        <v>6</v>
      </c>
      <c r="T72" s="44">
        <f>VLOOKUP(A72,'SSP_March''19'!$A$3:$T$1193,20,0)</f>
        <v>0.6</v>
      </c>
      <c r="U72" s="34">
        <f>VLOOKUP(A72,'SSP_March''19'!$A$3:$X$1193,21,0)</f>
        <v>0</v>
      </c>
      <c r="V72" s="34">
        <f>VLOOKUP(A72,'SSP_March''19'!$A$3:$X$1193,22,0)</f>
        <v>0</v>
      </c>
      <c r="W72" s="34">
        <f>VLOOKUP(A72,'SSP_March''19'!$A$3:$X$1193,23,0)</f>
        <v>0</v>
      </c>
      <c r="X72" s="34">
        <f>VLOOKUP(A72,'SSP_March''19'!$A$3:$X$1193,24,0)</f>
        <v>0</v>
      </c>
    </row>
    <row r="73" spans="1:24">
      <c r="A73" s="34" t="s">
        <v>2170</v>
      </c>
      <c r="B73" s="34" t="s">
        <v>2171</v>
      </c>
      <c r="C73" s="34" t="s">
        <v>86</v>
      </c>
      <c r="D73" s="34" t="s">
        <v>87</v>
      </c>
      <c r="E73" s="34" t="s">
        <v>4</v>
      </c>
      <c r="F73" s="34" t="s">
        <v>2172</v>
      </c>
      <c r="G73" s="54">
        <v>1728239999</v>
      </c>
      <c r="H73" s="54" t="s">
        <v>229</v>
      </c>
      <c r="I73" s="54" t="s">
        <v>3518</v>
      </c>
      <c r="J73" s="34" t="s">
        <v>3419</v>
      </c>
      <c r="K73" s="43">
        <f>VLOOKUP(A73,'SSP_March''19'!$A$3:$L$1193,11,0)</f>
        <v>385121</v>
      </c>
      <c r="L73" s="43">
        <f>VLOOKUP(A73,'SSP_March''19'!$A$3:$L$1193,12,0)</f>
        <v>80650</v>
      </c>
      <c r="M73" s="44">
        <f t="shared" si="6"/>
        <v>0.20941470343086979</v>
      </c>
      <c r="N73" s="49">
        <f>ROUND(VLOOKUP(A73,'SSP_March''19'!$A$3:$N$1193,14,0),0)</f>
        <v>250015</v>
      </c>
      <c r="O73" s="44">
        <f t="shared" si="7"/>
        <v>0.64918558063569631</v>
      </c>
      <c r="P73" s="45">
        <f>VLOOKUP(A73,'SSP_March''19'!$A$3:$Q$1193,16,0)</f>
        <v>24</v>
      </c>
      <c r="Q73" s="34">
        <f>VLOOKUP(A73,'SSP_March''19'!$A$3:$Q$1193,17,0)</f>
        <v>5</v>
      </c>
      <c r="R73" s="35">
        <f t="shared" si="8"/>
        <v>0.20833333333333334</v>
      </c>
      <c r="S73" s="49">
        <f>ROUND(VLOOKUP(A73,'SSP_March''19'!$A$3:$T$1193,19,0),0)</f>
        <v>16</v>
      </c>
      <c r="T73" s="44">
        <f>VLOOKUP(A73,'SSP_March''19'!$A$3:$T$1193,20,0)</f>
        <v>0.66666666666666663</v>
      </c>
      <c r="U73" s="34">
        <f>VLOOKUP(A73,'SSP_March''19'!$A$3:$X$1193,21,0)</f>
        <v>1</v>
      </c>
      <c r="V73" s="34">
        <f>VLOOKUP(A73,'SSP_March''19'!$A$3:$X$1193,22,0)</f>
        <v>1</v>
      </c>
      <c r="W73" s="34">
        <f>VLOOKUP(A73,'SSP_March''19'!$A$3:$X$1193,23,0)</f>
        <v>0</v>
      </c>
      <c r="X73" s="34">
        <f>VLOOKUP(A73,'SSP_March''19'!$A$3:$X$1193,24,0)</f>
        <v>0</v>
      </c>
    </row>
    <row r="74" spans="1:24">
      <c r="A74" s="34" t="s">
        <v>2146</v>
      </c>
      <c r="B74" s="34" t="s">
        <v>2147</v>
      </c>
      <c r="C74" s="34" t="s">
        <v>86</v>
      </c>
      <c r="D74" s="34" t="s">
        <v>87</v>
      </c>
      <c r="E74" s="34" t="s">
        <v>4</v>
      </c>
      <c r="F74" s="34" t="s">
        <v>2148</v>
      </c>
      <c r="G74" s="54">
        <v>1918895516</v>
      </c>
      <c r="H74" s="54" t="s">
        <v>229</v>
      </c>
      <c r="I74" s="54" t="s">
        <v>3514</v>
      </c>
      <c r="J74" s="34" t="s">
        <v>3421</v>
      </c>
      <c r="K74" s="43">
        <f>VLOOKUP(A74,'SSP_March''19'!$A$3:$L$1193,11,0)</f>
        <v>158365</v>
      </c>
      <c r="L74" s="43">
        <f>VLOOKUP(A74,'SSP_March''19'!$A$3:$L$1193,12,0)</f>
        <v>38720</v>
      </c>
      <c r="M74" s="44">
        <f t="shared" si="6"/>
        <v>0.24449846872730718</v>
      </c>
      <c r="N74" s="49">
        <f>ROUND(VLOOKUP(A74,'SSP_March''19'!$A$3:$N$1193,14,0),0)</f>
        <v>120032</v>
      </c>
      <c r="O74" s="44">
        <f t="shared" si="7"/>
        <v>0.75794525305465221</v>
      </c>
      <c r="P74" s="45">
        <f>VLOOKUP(A74,'SSP_March''19'!$A$3:$Q$1193,16,0)</f>
        <v>13</v>
      </c>
      <c r="Q74" s="34">
        <f>VLOOKUP(A74,'SSP_March''19'!$A$3:$Q$1193,17,0)</f>
        <v>1</v>
      </c>
      <c r="R74" s="35">
        <f t="shared" si="8"/>
        <v>7.6923076923076927E-2</v>
      </c>
      <c r="S74" s="49">
        <f>ROUND(VLOOKUP(A74,'SSP_March''19'!$A$3:$T$1193,19,0),0)</f>
        <v>3</v>
      </c>
      <c r="T74" s="44">
        <f>VLOOKUP(A74,'SSP_March''19'!$A$3:$T$1193,20,0)</f>
        <v>0.23076923076923078</v>
      </c>
      <c r="U74" s="34">
        <f>VLOOKUP(A74,'SSP_March''19'!$A$3:$X$1193,21,0)</f>
        <v>2</v>
      </c>
      <c r="V74" s="34">
        <f>VLOOKUP(A74,'SSP_March''19'!$A$3:$X$1193,22,0)</f>
        <v>1</v>
      </c>
      <c r="W74" s="34">
        <f>VLOOKUP(A74,'SSP_March''19'!$A$3:$X$1193,23,0)</f>
        <v>0</v>
      </c>
      <c r="X74" s="34">
        <f>VLOOKUP(A74,'SSP_March''19'!$A$3:$X$1193,24,0)</f>
        <v>0</v>
      </c>
    </row>
    <row r="75" spans="1:24">
      <c r="A75" s="34" t="s">
        <v>3053</v>
      </c>
      <c r="B75" s="34" t="s">
        <v>1420</v>
      </c>
      <c r="C75" s="34" t="s">
        <v>86</v>
      </c>
      <c r="D75" s="34" t="s">
        <v>87</v>
      </c>
      <c r="E75" s="34" t="s">
        <v>4</v>
      </c>
      <c r="F75" s="34" t="s">
        <v>3054</v>
      </c>
      <c r="G75" s="54">
        <v>1724784353</v>
      </c>
      <c r="H75" s="54" t="s">
        <v>229</v>
      </c>
      <c r="I75" s="54" t="s">
        <v>3514</v>
      </c>
      <c r="J75" s="34" t="s">
        <v>3421</v>
      </c>
      <c r="K75" s="43">
        <f>VLOOKUP(A75,'SSP_March''19'!$A$3:$L$1193,11,0)</f>
        <v>178701</v>
      </c>
      <c r="L75" s="43">
        <f>VLOOKUP(A75,'SSP_March''19'!$A$3:$L$1193,12,0)</f>
        <v>35540</v>
      </c>
      <c r="M75" s="44">
        <f t="shared" si="6"/>
        <v>0.19887969289483551</v>
      </c>
      <c r="N75" s="49">
        <f>ROUND(VLOOKUP(A75,'SSP_March''19'!$A$3:$N$1193,14,0),0)</f>
        <v>110174</v>
      </c>
      <c r="O75" s="44">
        <f t="shared" si="7"/>
        <v>0.61652704797399005</v>
      </c>
      <c r="P75" s="45">
        <f>VLOOKUP(A75,'SSP_March''19'!$A$3:$Q$1193,16,0)</f>
        <v>10</v>
      </c>
      <c r="Q75" s="34">
        <f>VLOOKUP(A75,'SSP_March''19'!$A$3:$Q$1193,17,0)</f>
        <v>2</v>
      </c>
      <c r="R75" s="35">
        <f t="shared" si="8"/>
        <v>0.2</v>
      </c>
      <c r="S75" s="49">
        <f>ROUND(VLOOKUP(A75,'SSP_March''19'!$A$3:$T$1193,19,0),0)</f>
        <v>6</v>
      </c>
      <c r="T75" s="44">
        <f>VLOOKUP(A75,'SSP_March''19'!$A$3:$T$1193,20,0)</f>
        <v>0.6</v>
      </c>
      <c r="U75" s="34">
        <f>VLOOKUP(A75,'SSP_March''19'!$A$3:$X$1193,21,0)</f>
        <v>2</v>
      </c>
      <c r="V75" s="34">
        <f>VLOOKUP(A75,'SSP_March''19'!$A$3:$X$1193,22,0)</f>
        <v>0</v>
      </c>
      <c r="W75" s="34">
        <f>VLOOKUP(A75,'SSP_March''19'!$A$3:$X$1193,23,0)</f>
        <v>0</v>
      </c>
      <c r="X75" s="34">
        <f>VLOOKUP(A75,'SSP_March''19'!$A$3:$X$1193,24,0)</f>
        <v>0</v>
      </c>
    </row>
    <row r="76" spans="1:24">
      <c r="A76" s="34" t="s">
        <v>3020</v>
      </c>
      <c r="B76" s="34" t="s">
        <v>3021</v>
      </c>
      <c r="C76" s="34" t="s">
        <v>86</v>
      </c>
      <c r="D76" s="34" t="s">
        <v>87</v>
      </c>
      <c r="E76" s="34" t="s">
        <v>4</v>
      </c>
      <c r="F76" s="34" t="s">
        <v>3022</v>
      </c>
      <c r="G76" s="54">
        <v>1739000700</v>
      </c>
      <c r="H76" s="54" t="s">
        <v>229</v>
      </c>
      <c r="I76" s="54" t="s">
        <v>3514</v>
      </c>
      <c r="J76" s="34" t="s">
        <v>3421</v>
      </c>
      <c r="K76" s="43">
        <f>VLOOKUP(A76,'SSP_March''19'!$A$3:$L$1193,11,0)</f>
        <v>176230</v>
      </c>
      <c r="L76" s="43">
        <f>VLOOKUP(A76,'SSP_March''19'!$A$3:$L$1193,12,0)</f>
        <v>20369</v>
      </c>
      <c r="M76" s="44">
        <f t="shared" si="6"/>
        <v>0.11558191000397208</v>
      </c>
      <c r="N76" s="49">
        <f>ROUND(VLOOKUP(A76,'SSP_March''19'!$A$3:$N$1193,14,0),0)</f>
        <v>63144</v>
      </c>
      <c r="O76" s="44">
        <f t="shared" si="7"/>
        <v>0.35830448845259039</v>
      </c>
      <c r="P76" s="45">
        <f>VLOOKUP(A76,'SSP_March''19'!$A$3:$Q$1193,16,0)</f>
        <v>10</v>
      </c>
      <c r="Q76" s="34">
        <f>VLOOKUP(A76,'SSP_March''19'!$A$3:$Q$1193,17,0)</f>
        <v>1</v>
      </c>
      <c r="R76" s="35">
        <f t="shared" si="8"/>
        <v>0.1</v>
      </c>
      <c r="S76" s="49">
        <f>ROUND(VLOOKUP(A76,'SSP_March''19'!$A$3:$T$1193,19,0),0)</f>
        <v>3</v>
      </c>
      <c r="T76" s="44">
        <f>VLOOKUP(A76,'SSP_March''19'!$A$3:$T$1193,20,0)</f>
        <v>0.3</v>
      </c>
      <c r="U76" s="34">
        <f>VLOOKUP(A76,'SSP_March''19'!$A$3:$X$1193,21,0)</f>
        <v>0</v>
      </c>
      <c r="V76" s="34">
        <f>VLOOKUP(A76,'SSP_March''19'!$A$3:$X$1193,22,0)</f>
        <v>1</v>
      </c>
      <c r="W76" s="34">
        <f>VLOOKUP(A76,'SSP_March''19'!$A$3:$X$1193,23,0)</f>
        <v>0</v>
      </c>
      <c r="X76" s="34">
        <f>VLOOKUP(A76,'SSP_March''19'!$A$3:$X$1193,24,0)</f>
        <v>0</v>
      </c>
    </row>
    <row r="77" spans="1:24">
      <c r="A77" s="34" t="s">
        <v>2143</v>
      </c>
      <c r="B77" s="34" t="s">
        <v>2144</v>
      </c>
      <c r="C77" s="34" t="s">
        <v>86</v>
      </c>
      <c r="D77" s="34" t="s">
        <v>87</v>
      </c>
      <c r="E77" s="34" t="s">
        <v>4</v>
      </c>
      <c r="F77" s="34" t="s">
        <v>2145</v>
      </c>
      <c r="G77" s="54">
        <v>1911200235</v>
      </c>
      <c r="H77" s="54" t="s">
        <v>229</v>
      </c>
      <c r="I77" s="54" t="s">
        <v>3514</v>
      </c>
      <c r="J77" s="34" t="s">
        <v>3419</v>
      </c>
      <c r="K77" s="43">
        <f>VLOOKUP(A77,'SSP_March''19'!$A$3:$L$1193,11,0)</f>
        <v>222749</v>
      </c>
      <c r="L77" s="43">
        <f>VLOOKUP(A77,'SSP_March''19'!$A$3:$L$1193,12,0)</f>
        <v>59840</v>
      </c>
      <c r="M77" s="44">
        <f t="shared" si="6"/>
        <v>0.26864318133863674</v>
      </c>
      <c r="N77" s="49">
        <f>ROUND(VLOOKUP(A77,'SSP_March''19'!$A$3:$N$1193,14,0),0)</f>
        <v>185504</v>
      </c>
      <c r="O77" s="44">
        <f t="shared" si="7"/>
        <v>0.83279386214977391</v>
      </c>
      <c r="P77" s="45">
        <f>VLOOKUP(A77,'SSP_March''19'!$A$3:$Q$1193,16,0)</f>
        <v>14</v>
      </c>
      <c r="Q77" s="34">
        <f>VLOOKUP(A77,'SSP_March''19'!$A$3:$Q$1193,17,0)</f>
        <v>2</v>
      </c>
      <c r="R77" s="35">
        <f t="shared" si="8"/>
        <v>0.14285714285714285</v>
      </c>
      <c r="S77" s="49">
        <f>ROUND(VLOOKUP(A77,'SSP_March''19'!$A$3:$T$1193,19,0),0)</f>
        <v>6</v>
      </c>
      <c r="T77" s="44">
        <f>VLOOKUP(A77,'SSP_March''19'!$A$3:$T$1193,20,0)</f>
        <v>0.42857142857142855</v>
      </c>
      <c r="U77" s="34">
        <f>VLOOKUP(A77,'SSP_March''19'!$A$3:$X$1193,21,0)</f>
        <v>1</v>
      </c>
      <c r="V77" s="34">
        <f>VLOOKUP(A77,'SSP_March''19'!$A$3:$X$1193,22,0)</f>
        <v>1</v>
      </c>
      <c r="W77" s="34">
        <f>VLOOKUP(A77,'SSP_March''19'!$A$3:$X$1193,23,0)</f>
        <v>0</v>
      </c>
      <c r="X77" s="34">
        <f>VLOOKUP(A77,'SSP_March''19'!$A$3:$X$1193,24,0)</f>
        <v>0</v>
      </c>
    </row>
    <row r="78" spans="1:24">
      <c r="A78" s="34" t="s">
        <v>2161</v>
      </c>
      <c r="B78" s="34" t="s">
        <v>2162</v>
      </c>
      <c r="C78" s="34" t="s">
        <v>86</v>
      </c>
      <c r="D78" s="34" t="s">
        <v>87</v>
      </c>
      <c r="E78" s="34" t="s">
        <v>4</v>
      </c>
      <c r="F78" s="34" t="s">
        <v>2163</v>
      </c>
      <c r="G78" s="54">
        <v>1972480869</v>
      </c>
      <c r="H78" s="54" t="s">
        <v>229</v>
      </c>
      <c r="I78" s="54" t="s">
        <v>3514</v>
      </c>
      <c r="J78" s="34" t="s">
        <v>3419</v>
      </c>
      <c r="K78" s="43">
        <f>VLOOKUP(A78,'SSP_March''19'!$A$3:$L$1193,11,0)</f>
        <v>204722</v>
      </c>
      <c r="L78" s="43">
        <f>VLOOKUP(A78,'SSP_March''19'!$A$3:$L$1193,12,0)</f>
        <v>91489</v>
      </c>
      <c r="M78" s="44">
        <f t="shared" si="6"/>
        <v>0.44689383651976827</v>
      </c>
      <c r="N78" s="49">
        <f>ROUND(VLOOKUP(A78,'SSP_March''19'!$A$3:$N$1193,14,0),0)</f>
        <v>283616</v>
      </c>
      <c r="O78" s="44">
        <f t="shared" si="7"/>
        <v>1.3853713816785689</v>
      </c>
      <c r="P78" s="45">
        <f>VLOOKUP(A78,'SSP_March''19'!$A$3:$Q$1193,16,0)</f>
        <v>13</v>
      </c>
      <c r="Q78" s="34">
        <f>VLOOKUP(A78,'SSP_March''19'!$A$3:$Q$1193,17,0)</f>
        <v>4</v>
      </c>
      <c r="R78" s="35">
        <f t="shared" si="8"/>
        <v>0.30769230769230771</v>
      </c>
      <c r="S78" s="49">
        <f>ROUND(VLOOKUP(A78,'SSP_March''19'!$A$3:$T$1193,19,0),0)</f>
        <v>12</v>
      </c>
      <c r="T78" s="44">
        <f>VLOOKUP(A78,'SSP_March''19'!$A$3:$T$1193,20,0)</f>
        <v>0.92307692307692313</v>
      </c>
      <c r="U78" s="34">
        <f>VLOOKUP(A78,'SSP_March''19'!$A$3:$X$1193,21,0)</f>
        <v>3</v>
      </c>
      <c r="V78" s="34">
        <f>VLOOKUP(A78,'SSP_March''19'!$A$3:$X$1193,22,0)</f>
        <v>2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34" t="s">
        <v>3459</v>
      </c>
      <c r="B79" s="34" t="s">
        <v>3460</v>
      </c>
      <c r="C79" s="34" t="s">
        <v>86</v>
      </c>
      <c r="D79" s="34" t="s">
        <v>87</v>
      </c>
      <c r="E79" s="34" t="s">
        <v>4</v>
      </c>
      <c r="F79" s="34" t="s">
        <v>3461</v>
      </c>
      <c r="G79" s="54">
        <v>1729953548</v>
      </c>
      <c r="H79" s="54" t="s">
        <v>229</v>
      </c>
      <c r="I79" s="54" t="s">
        <v>3514</v>
      </c>
      <c r="J79" s="34" t="s">
        <v>3421</v>
      </c>
      <c r="K79" s="43">
        <f>VLOOKUP(A79,'SSP_March''19'!$A$3:$L$1193,11,0)</f>
        <v>130000</v>
      </c>
      <c r="L79" s="43">
        <f>VLOOKUP(A79,'SSP_March''19'!$A$3:$L$1193,12,0)</f>
        <v>23355</v>
      </c>
      <c r="M79" s="44">
        <f t="shared" si="6"/>
        <v>0.17965384615384616</v>
      </c>
      <c r="N79" s="49">
        <f>ROUND(VLOOKUP(A79,'SSP_March''19'!$A$3:$N$1193,14,0),0)</f>
        <v>72401</v>
      </c>
      <c r="O79" s="44">
        <f t="shared" si="7"/>
        <v>0.55693076923076923</v>
      </c>
      <c r="P79" s="45">
        <f>VLOOKUP(A79,'SSP_March''19'!$A$3:$Q$1193,16,0)</f>
        <v>10</v>
      </c>
      <c r="Q79" s="34">
        <f>VLOOKUP(A79,'SSP_March''19'!$A$3:$Q$1193,17,0)</f>
        <v>2</v>
      </c>
      <c r="R79" s="35">
        <f t="shared" si="8"/>
        <v>0.2</v>
      </c>
      <c r="S79" s="49">
        <f>ROUND(VLOOKUP(A79,'SSP_March''19'!$A$3:$T$1193,19,0),0)</f>
        <v>6</v>
      </c>
      <c r="T79" s="44">
        <f>VLOOKUP(A79,'SSP_March''19'!$A$3:$T$1193,20,0)</f>
        <v>0.6</v>
      </c>
      <c r="U79" s="34">
        <f>VLOOKUP(A79,'SSP_March''19'!$A$3:$X$1193,21,0)</f>
        <v>1</v>
      </c>
      <c r="V79" s="34">
        <f>VLOOKUP(A79,'SSP_March''19'!$A$3:$X$1193,22,0)</f>
        <v>0</v>
      </c>
      <c r="W79" s="34">
        <f>VLOOKUP(A79,'SSP_March''19'!$A$3:$X$1193,23,0)</f>
        <v>0</v>
      </c>
      <c r="X79" s="34">
        <f>VLOOKUP(A79,'SSP_March''19'!$A$3:$X$1193,24,0)</f>
        <v>1</v>
      </c>
    </row>
    <row r="80" spans="1:24">
      <c r="A80" s="34" t="s">
        <v>2152</v>
      </c>
      <c r="B80" s="34" t="s">
        <v>2153</v>
      </c>
      <c r="C80" s="34" t="s">
        <v>86</v>
      </c>
      <c r="D80" s="34" t="s">
        <v>87</v>
      </c>
      <c r="E80" s="34" t="s">
        <v>4</v>
      </c>
      <c r="F80" s="34" t="s">
        <v>2154</v>
      </c>
      <c r="G80" s="54">
        <v>1724844865</v>
      </c>
      <c r="H80" s="54" t="s">
        <v>229</v>
      </c>
      <c r="I80" s="54" t="s">
        <v>3518</v>
      </c>
      <c r="J80" s="34" t="s">
        <v>3419</v>
      </c>
      <c r="K80" s="43">
        <f>VLOOKUP(A80,'SSP_March''19'!$A$3:$L$1193,11,0)</f>
        <v>366574</v>
      </c>
      <c r="L80" s="43">
        <f>VLOOKUP(A80,'SSP_March''19'!$A$3:$L$1193,12,0)</f>
        <v>127330</v>
      </c>
      <c r="M80" s="44">
        <f t="shared" si="6"/>
        <v>0.3473514215410804</v>
      </c>
      <c r="N80" s="49">
        <f>ROUND(VLOOKUP(A80,'SSP_March''19'!$A$3:$N$1193,14,0),0)</f>
        <v>394723</v>
      </c>
      <c r="O80" s="44">
        <f t="shared" si="7"/>
        <v>1.0767894067773491</v>
      </c>
      <c r="P80" s="45">
        <f>VLOOKUP(A80,'SSP_March''19'!$A$3:$Q$1193,16,0)</f>
        <v>23</v>
      </c>
      <c r="Q80" s="34">
        <f>VLOOKUP(A80,'SSP_March''19'!$A$3:$Q$1193,17,0)</f>
        <v>10</v>
      </c>
      <c r="R80" s="35">
        <f t="shared" si="8"/>
        <v>0.43478260869565216</v>
      </c>
      <c r="S80" s="49">
        <f>ROUND(VLOOKUP(A80,'SSP_March''19'!$A$3:$T$1193,19,0),0)</f>
        <v>31</v>
      </c>
      <c r="T80" s="44">
        <f>VLOOKUP(A80,'SSP_March''19'!$A$3:$T$1193,20,0)</f>
        <v>1.3478260869565217</v>
      </c>
      <c r="U80" s="34">
        <f>VLOOKUP(A80,'SSP_March''19'!$A$3:$X$1193,21,0)</f>
        <v>5</v>
      </c>
      <c r="V80" s="34">
        <f>VLOOKUP(A80,'SSP_March''19'!$A$3:$X$1193,22,0)</f>
        <v>0</v>
      </c>
      <c r="W80" s="34">
        <f>VLOOKUP(A80,'SSP_March''19'!$A$3:$X$1193,23,0)</f>
        <v>0</v>
      </c>
      <c r="X80" s="34">
        <f>VLOOKUP(A80,'SSP_March''19'!$A$3:$X$1193,24,0)</f>
        <v>1</v>
      </c>
    </row>
    <row r="81" spans="1:24">
      <c r="A81" s="34" t="s">
        <v>3055</v>
      </c>
      <c r="B81" s="34" t="s">
        <v>3056</v>
      </c>
      <c r="C81" s="34" t="s">
        <v>86</v>
      </c>
      <c r="D81" s="34" t="s">
        <v>87</v>
      </c>
      <c r="E81" s="34" t="s">
        <v>4</v>
      </c>
      <c r="F81" s="34" t="s">
        <v>3057</v>
      </c>
      <c r="G81" s="54">
        <v>1711588372</v>
      </c>
      <c r="H81" s="54" t="s">
        <v>229</v>
      </c>
      <c r="I81" s="54" t="s">
        <v>3514</v>
      </c>
      <c r="J81" s="34" t="s">
        <v>3419</v>
      </c>
      <c r="K81" s="43">
        <f>VLOOKUP(A81,'SSP_March''19'!$A$3:$L$1193,11,0)</f>
        <v>226026</v>
      </c>
      <c r="L81" s="43">
        <f>VLOOKUP(A81,'SSP_March''19'!$A$3:$L$1193,12,0)</f>
        <v>44460</v>
      </c>
      <c r="M81" s="44">
        <f t="shared" si="6"/>
        <v>0.1967030341642112</v>
      </c>
      <c r="N81" s="49">
        <f>ROUND(VLOOKUP(A81,'SSP_March''19'!$A$3:$N$1193,14,0),0)</f>
        <v>137826</v>
      </c>
      <c r="O81" s="44">
        <f t="shared" si="7"/>
        <v>0.60977940590905466</v>
      </c>
      <c r="P81" s="45">
        <f>VLOOKUP(A81,'SSP_March''19'!$A$3:$Q$1193,16,0)</f>
        <v>15</v>
      </c>
      <c r="Q81" s="34">
        <f>VLOOKUP(A81,'SSP_March''19'!$A$3:$Q$1193,17,0)</f>
        <v>1</v>
      </c>
      <c r="R81" s="35">
        <f t="shared" si="8"/>
        <v>6.6666666666666666E-2</v>
      </c>
      <c r="S81" s="49">
        <f>ROUND(VLOOKUP(A81,'SSP_March''19'!$A$3:$T$1193,19,0),0)</f>
        <v>3</v>
      </c>
      <c r="T81" s="44">
        <f>VLOOKUP(A81,'SSP_March''19'!$A$3:$T$1193,20,0)</f>
        <v>0.2</v>
      </c>
      <c r="U81" s="34">
        <f>VLOOKUP(A81,'SSP_March''19'!$A$3:$X$1193,21,0)</f>
        <v>1</v>
      </c>
      <c r="V81" s="34">
        <f>VLOOKUP(A81,'SSP_March''19'!$A$3:$X$1193,22,0)</f>
        <v>0</v>
      </c>
      <c r="W81" s="34">
        <f>VLOOKUP(A81,'SSP_March''19'!$A$3:$X$1193,23,0)</f>
        <v>0</v>
      </c>
      <c r="X81" s="34">
        <f>VLOOKUP(A81,'SSP_March''19'!$A$3:$X$1193,24,0)</f>
        <v>0</v>
      </c>
    </row>
    <row r="82" spans="1:24">
      <c r="A82" s="34" t="s">
        <v>3462</v>
      </c>
      <c r="B82" s="34" t="s">
        <v>3463</v>
      </c>
      <c r="C82" s="34" t="s">
        <v>86</v>
      </c>
      <c r="D82" s="34" t="s">
        <v>87</v>
      </c>
      <c r="E82" s="34" t="s">
        <v>4</v>
      </c>
      <c r="F82" s="34" t="s">
        <v>835</v>
      </c>
      <c r="G82" s="54">
        <v>1911534410</v>
      </c>
      <c r="H82" s="54" t="s">
        <v>229</v>
      </c>
      <c r="I82" s="54" t="s">
        <v>3514</v>
      </c>
      <c r="J82" s="34" t="s">
        <v>3421</v>
      </c>
      <c r="K82" s="43">
        <f>VLOOKUP(A82,'SSP_March''19'!$A$3:$L$1193,11,0)</f>
        <v>158987</v>
      </c>
      <c r="L82" s="43">
        <f>VLOOKUP(A82,'SSP_March''19'!$A$3:$L$1193,12,0)</f>
        <v>41540</v>
      </c>
      <c r="M82" s="44">
        <f t="shared" si="6"/>
        <v>0.26127922408750404</v>
      </c>
      <c r="N82" s="49">
        <f>ROUND(VLOOKUP(A82,'SSP_March''19'!$A$3:$N$1193,14,0),0)</f>
        <v>128774</v>
      </c>
      <c r="O82" s="44">
        <f t="shared" si="7"/>
        <v>0.80996559467126239</v>
      </c>
      <c r="P82" s="45">
        <f>VLOOKUP(A82,'SSP_March''19'!$A$3:$Q$1193,16,0)</f>
        <v>10</v>
      </c>
      <c r="Q82" s="34">
        <f>VLOOKUP(A82,'SSP_March''19'!$A$3:$Q$1193,17,0)</f>
        <v>3</v>
      </c>
      <c r="R82" s="35">
        <f t="shared" si="8"/>
        <v>0.3</v>
      </c>
      <c r="S82" s="49">
        <f>ROUND(VLOOKUP(A82,'SSP_March''19'!$A$3:$T$1193,19,0),0)</f>
        <v>9</v>
      </c>
      <c r="T82" s="44">
        <f>VLOOKUP(A82,'SSP_March''19'!$A$3:$T$1193,20,0)</f>
        <v>0.9</v>
      </c>
      <c r="U82" s="34">
        <f>VLOOKUP(A82,'SSP_March''19'!$A$3:$X$1193,21,0)</f>
        <v>2</v>
      </c>
      <c r="V82" s="34">
        <f>VLOOKUP(A82,'SSP_March''19'!$A$3:$X$1193,22,0)</f>
        <v>0</v>
      </c>
      <c r="W82" s="34">
        <f>VLOOKUP(A82,'SSP_March''19'!$A$3:$X$1193,23,0)</f>
        <v>0</v>
      </c>
      <c r="X82" s="34">
        <f>VLOOKUP(A82,'SSP_March''19'!$A$3:$X$1193,24,0)</f>
        <v>1</v>
      </c>
    </row>
    <row r="83" spans="1:24">
      <c r="A83" s="34" t="s">
        <v>2167</v>
      </c>
      <c r="B83" s="34" t="s">
        <v>2168</v>
      </c>
      <c r="C83" s="34" t="s">
        <v>86</v>
      </c>
      <c r="D83" s="34" t="s">
        <v>87</v>
      </c>
      <c r="E83" s="34" t="s">
        <v>4</v>
      </c>
      <c r="F83" s="34" t="s">
        <v>2169</v>
      </c>
      <c r="G83" s="54">
        <v>1949131415</v>
      </c>
      <c r="H83" s="54" t="s">
        <v>229</v>
      </c>
      <c r="I83" s="54" t="s">
        <v>3514</v>
      </c>
      <c r="J83" s="34" t="s">
        <v>3419</v>
      </c>
      <c r="K83" s="43">
        <f>VLOOKUP(A83,'SSP_March''19'!$A$3:$L$1193,11,0)</f>
        <v>130000</v>
      </c>
      <c r="L83" s="43">
        <f>VLOOKUP(A83,'SSP_March''19'!$A$3:$L$1193,12,0)</f>
        <v>39880</v>
      </c>
      <c r="M83" s="44">
        <f t="shared" si="6"/>
        <v>0.30676923076923079</v>
      </c>
      <c r="N83" s="49">
        <f>ROUND(VLOOKUP(A83,'SSP_March''19'!$A$3:$N$1193,14,0),0)</f>
        <v>123628</v>
      </c>
      <c r="O83" s="44">
        <f t="shared" si="7"/>
        <v>0.95098461538461543</v>
      </c>
      <c r="P83" s="45">
        <f>VLOOKUP(A83,'SSP_March''19'!$A$3:$Q$1193,16,0)</f>
        <v>10</v>
      </c>
      <c r="Q83" s="34">
        <f>VLOOKUP(A83,'SSP_March''19'!$A$3:$Q$1193,17,0)</f>
        <v>1</v>
      </c>
      <c r="R83" s="35">
        <f t="shared" si="8"/>
        <v>0.1</v>
      </c>
      <c r="S83" s="49">
        <f>ROUND(VLOOKUP(A83,'SSP_March''19'!$A$3:$T$1193,19,0),0)</f>
        <v>3</v>
      </c>
      <c r="T83" s="44">
        <f>VLOOKUP(A83,'SSP_March''19'!$A$3:$T$1193,20,0)</f>
        <v>0.3</v>
      </c>
      <c r="U83" s="34">
        <f>VLOOKUP(A83,'SSP_March''19'!$A$3:$X$1193,21,0)</f>
        <v>0</v>
      </c>
      <c r="V83" s="34">
        <f>VLOOKUP(A83,'SSP_March''19'!$A$3:$X$1193,22,0)</f>
        <v>0</v>
      </c>
      <c r="W83" s="34">
        <f>VLOOKUP(A83,'SSP_March''19'!$A$3:$X$1193,23,0)</f>
        <v>0</v>
      </c>
      <c r="X83" s="34">
        <f>VLOOKUP(A83,'SSP_March''19'!$A$3:$X$1193,24,0)</f>
        <v>0</v>
      </c>
    </row>
    <row r="84" spans="1:24">
      <c r="A84" s="34" t="s">
        <v>3464</v>
      </c>
      <c r="B84" s="34" t="s">
        <v>3465</v>
      </c>
      <c r="C84" s="34" t="s">
        <v>86</v>
      </c>
      <c r="D84" s="34" t="s">
        <v>87</v>
      </c>
      <c r="E84" s="34" t="s">
        <v>4</v>
      </c>
      <c r="F84" s="34" t="s">
        <v>3466</v>
      </c>
      <c r="G84" s="54">
        <v>1713911156</v>
      </c>
      <c r="H84" s="54" t="s">
        <v>229</v>
      </c>
      <c r="I84" s="54" t="s">
        <v>3514</v>
      </c>
      <c r="J84" s="34" t="s">
        <v>3421</v>
      </c>
      <c r="K84" s="43">
        <f>VLOOKUP(A84,'SSP_March''19'!$A$3:$L$1193,11,0)</f>
        <v>130000</v>
      </c>
      <c r="L84" s="43">
        <f>VLOOKUP(A84,'SSP_March''19'!$A$3:$L$1193,12,0)</f>
        <v>27760</v>
      </c>
      <c r="M84" s="44">
        <f t="shared" si="6"/>
        <v>0.21353846153846154</v>
      </c>
      <c r="N84" s="49">
        <f>ROUND(VLOOKUP(A84,'SSP_March''19'!$A$3:$N$1193,14,0),0)</f>
        <v>86056</v>
      </c>
      <c r="O84" s="44">
        <f t="shared" si="7"/>
        <v>0.66196923076923075</v>
      </c>
      <c r="P84" s="45">
        <f>VLOOKUP(A84,'SSP_March''19'!$A$3:$Q$1193,16,0)</f>
        <v>10</v>
      </c>
      <c r="Q84" s="34">
        <f>VLOOKUP(A84,'SSP_March''19'!$A$3:$Q$1193,17,0)</f>
        <v>2</v>
      </c>
      <c r="R84" s="35">
        <f t="shared" si="8"/>
        <v>0.2</v>
      </c>
      <c r="S84" s="49">
        <f>ROUND(VLOOKUP(A84,'SSP_March''19'!$A$3:$T$1193,19,0),0)</f>
        <v>6</v>
      </c>
      <c r="T84" s="44">
        <f>VLOOKUP(A84,'SSP_March''19'!$A$3:$T$1193,20,0)</f>
        <v>0.6</v>
      </c>
      <c r="U84" s="34">
        <f>VLOOKUP(A84,'SSP_March''19'!$A$3:$X$1193,21,0)</f>
        <v>1</v>
      </c>
      <c r="V84" s="34">
        <f>VLOOKUP(A84,'SSP_March''19'!$A$3:$X$1193,22,0)</f>
        <v>0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34" t="s">
        <v>3060</v>
      </c>
      <c r="B85" s="34" t="s">
        <v>3061</v>
      </c>
      <c r="C85" s="34" t="s">
        <v>170</v>
      </c>
      <c r="D85" s="34" t="s">
        <v>87</v>
      </c>
      <c r="E85" s="34" t="s">
        <v>4</v>
      </c>
      <c r="F85" s="34" t="s">
        <v>3062</v>
      </c>
      <c r="G85" s="54">
        <v>1736167046</v>
      </c>
      <c r="H85" s="54" t="s">
        <v>229</v>
      </c>
      <c r="I85" s="54" t="s">
        <v>3514</v>
      </c>
      <c r="J85" s="34" t="s">
        <v>3421</v>
      </c>
      <c r="K85" s="43">
        <f>VLOOKUP(A85,'SSP_March''19'!$A$3:$L$1193,11,0)</f>
        <v>163711</v>
      </c>
      <c r="L85" s="43">
        <f>VLOOKUP(A85,'SSP_March''19'!$A$3:$L$1193,12,0)</f>
        <v>48170</v>
      </c>
      <c r="M85" s="44">
        <f t="shared" si="6"/>
        <v>0.29423801699336027</v>
      </c>
      <c r="N85" s="49">
        <f>ROUND(VLOOKUP(A85,'SSP_March''19'!$A$3:$N$1193,14,0),0)</f>
        <v>149327</v>
      </c>
      <c r="O85" s="44">
        <f t="shared" si="7"/>
        <v>0.91213785267941683</v>
      </c>
      <c r="P85" s="45">
        <f>VLOOKUP(A85,'SSP_March''19'!$A$3:$Q$1193,16,0)</f>
        <v>10</v>
      </c>
      <c r="Q85" s="34">
        <f>VLOOKUP(A85,'SSP_March''19'!$A$3:$Q$1193,17,0)</f>
        <v>2</v>
      </c>
      <c r="R85" s="35">
        <f t="shared" si="8"/>
        <v>0.2</v>
      </c>
      <c r="S85" s="49">
        <f>ROUND(VLOOKUP(A85,'SSP_March''19'!$A$3:$T$1193,19,0),0)</f>
        <v>6</v>
      </c>
      <c r="T85" s="44">
        <f>VLOOKUP(A85,'SSP_March''19'!$A$3:$T$1193,20,0)</f>
        <v>0.6</v>
      </c>
      <c r="U85" s="34">
        <f>VLOOKUP(A85,'SSP_March''19'!$A$3:$X$1193,21,0)</f>
        <v>0</v>
      </c>
      <c r="V85" s="34">
        <f>VLOOKUP(A85,'SSP_March''19'!$A$3:$X$1193,22,0)</f>
        <v>1</v>
      </c>
      <c r="W85" s="34">
        <f>VLOOKUP(A85,'SSP_March''19'!$A$3:$X$1193,23,0)</f>
        <v>0</v>
      </c>
      <c r="X85" s="34">
        <f>VLOOKUP(A85,'SSP_March''19'!$A$3:$X$1193,24,0)</f>
        <v>0</v>
      </c>
    </row>
    <row r="86" spans="1:24">
      <c r="A86" s="34" t="s">
        <v>2176</v>
      </c>
      <c r="B86" s="34" t="s">
        <v>2177</v>
      </c>
      <c r="C86" s="34" t="s">
        <v>170</v>
      </c>
      <c r="D86" s="34" t="s">
        <v>87</v>
      </c>
      <c r="E86" s="34" t="s">
        <v>4</v>
      </c>
      <c r="F86" s="34" t="s">
        <v>2178</v>
      </c>
      <c r="G86" s="54">
        <v>1727470976</v>
      </c>
      <c r="H86" s="54" t="s">
        <v>229</v>
      </c>
      <c r="I86" s="54" t="s">
        <v>3514</v>
      </c>
      <c r="J86" s="34" t="s">
        <v>3515</v>
      </c>
      <c r="K86" s="43">
        <f>VLOOKUP(A86,'SSP_March''19'!$A$3:$L$1193,11,0)</f>
        <v>217785</v>
      </c>
      <c r="L86" s="43">
        <f>VLOOKUP(A86,'SSP_March''19'!$A$3:$L$1193,12,0)</f>
        <v>71079</v>
      </c>
      <c r="M86" s="44">
        <f t="shared" si="6"/>
        <v>0.32637233969281632</v>
      </c>
      <c r="N86" s="49">
        <f>ROUND(VLOOKUP(A86,'SSP_March''19'!$A$3:$N$1193,14,0),0)</f>
        <v>220345</v>
      </c>
      <c r="O86" s="44">
        <f t="shared" si="7"/>
        <v>1.0117547122161765</v>
      </c>
      <c r="P86" s="45">
        <f>VLOOKUP(A86,'SSP_March''19'!$A$3:$Q$1193,16,0)</f>
        <v>19</v>
      </c>
      <c r="Q86" s="34">
        <f>VLOOKUP(A86,'SSP_March''19'!$A$3:$Q$1193,17,0)</f>
        <v>3</v>
      </c>
      <c r="R86" s="35">
        <f t="shared" si="8"/>
        <v>0.15789473684210525</v>
      </c>
      <c r="S86" s="49">
        <f>ROUND(VLOOKUP(A86,'SSP_March''19'!$A$3:$T$1193,19,0),0)</f>
        <v>9</v>
      </c>
      <c r="T86" s="44">
        <f>VLOOKUP(A86,'SSP_March''19'!$A$3:$T$1193,20,0)</f>
        <v>0.47368421052631576</v>
      </c>
      <c r="U86" s="34">
        <f>VLOOKUP(A86,'SSP_March''19'!$A$3:$X$1193,21,0)</f>
        <v>1</v>
      </c>
      <c r="V86" s="34">
        <f>VLOOKUP(A86,'SSP_March''19'!$A$3:$X$1193,22,0)</f>
        <v>1</v>
      </c>
      <c r="W86" s="34">
        <f>VLOOKUP(A86,'SSP_March''19'!$A$3:$X$1193,23,0)</f>
        <v>0</v>
      </c>
      <c r="X86" s="34">
        <f>VLOOKUP(A86,'SSP_March''19'!$A$3:$X$1193,24,0)</f>
        <v>0</v>
      </c>
    </row>
    <row r="87" spans="1:24">
      <c r="A87" s="34" t="s">
        <v>2188</v>
      </c>
      <c r="B87" s="34" t="s">
        <v>2189</v>
      </c>
      <c r="C87" s="34" t="s">
        <v>170</v>
      </c>
      <c r="D87" s="34" t="s">
        <v>87</v>
      </c>
      <c r="E87" s="34" t="s">
        <v>4</v>
      </c>
      <c r="F87" s="34" t="s">
        <v>2190</v>
      </c>
      <c r="G87" s="54">
        <v>1839110337</v>
      </c>
      <c r="H87" s="54" t="s">
        <v>229</v>
      </c>
      <c r="I87" s="54" t="s">
        <v>3514</v>
      </c>
      <c r="J87" s="34" t="s">
        <v>3421</v>
      </c>
      <c r="K87" s="43">
        <f>VLOOKUP(A87,'SSP_March''19'!$A$3:$L$1193,11,0)</f>
        <v>130000</v>
      </c>
      <c r="L87" s="43">
        <f>VLOOKUP(A87,'SSP_March''19'!$A$3:$L$1193,12,0)</f>
        <v>81195</v>
      </c>
      <c r="M87" s="44">
        <f t="shared" si="6"/>
        <v>0.62457692307692303</v>
      </c>
      <c r="N87" s="49">
        <f>ROUND(VLOOKUP(A87,'SSP_March''19'!$A$3:$N$1193,14,0),0)</f>
        <v>251705</v>
      </c>
      <c r="O87" s="44">
        <f t="shared" si="7"/>
        <v>1.9361923076923078</v>
      </c>
      <c r="P87" s="45">
        <f>VLOOKUP(A87,'SSP_March''19'!$A$3:$Q$1193,16,0)</f>
        <v>10</v>
      </c>
      <c r="Q87" s="34">
        <f>VLOOKUP(A87,'SSP_March''19'!$A$3:$Q$1193,17,0)</f>
        <v>4</v>
      </c>
      <c r="R87" s="35">
        <f t="shared" si="8"/>
        <v>0.4</v>
      </c>
      <c r="S87" s="49">
        <f>ROUND(VLOOKUP(A87,'SSP_March''19'!$A$3:$T$1193,19,0),0)</f>
        <v>12</v>
      </c>
      <c r="T87" s="44">
        <f>VLOOKUP(A87,'SSP_March''19'!$A$3:$T$1193,20,0)</f>
        <v>1.2</v>
      </c>
      <c r="U87" s="34">
        <f>VLOOKUP(A87,'SSP_March''19'!$A$3:$X$1193,21,0)</f>
        <v>3</v>
      </c>
      <c r="V87" s="34">
        <f>VLOOKUP(A87,'SSP_March''19'!$A$3:$X$1193,22,0)</f>
        <v>0</v>
      </c>
      <c r="W87" s="34">
        <f>VLOOKUP(A87,'SSP_March''19'!$A$3:$X$1193,23,0)</f>
        <v>0</v>
      </c>
      <c r="X87" s="34">
        <f>VLOOKUP(A87,'SSP_March''19'!$A$3:$X$1193,24,0)</f>
        <v>0</v>
      </c>
    </row>
    <row r="88" spans="1:24">
      <c r="A88" s="34" t="s">
        <v>2179</v>
      </c>
      <c r="B88" s="34" t="s">
        <v>2180</v>
      </c>
      <c r="C88" s="34" t="s">
        <v>170</v>
      </c>
      <c r="D88" s="34" t="s">
        <v>87</v>
      </c>
      <c r="E88" s="34" t="s">
        <v>4</v>
      </c>
      <c r="F88" s="34" t="s">
        <v>2181</v>
      </c>
      <c r="G88" s="54">
        <v>1715268970</v>
      </c>
      <c r="H88" s="54" t="s">
        <v>229</v>
      </c>
      <c r="I88" s="54" t="s">
        <v>3514</v>
      </c>
      <c r="J88" s="34" t="s">
        <v>3421</v>
      </c>
      <c r="K88" s="43">
        <f>VLOOKUP(A88,'SSP_March''19'!$A$3:$L$1193,11,0)</f>
        <v>214663</v>
      </c>
      <c r="L88" s="43">
        <f>VLOOKUP(A88,'SSP_March''19'!$A$3:$L$1193,12,0)</f>
        <v>30490</v>
      </c>
      <c r="M88" s="44">
        <f t="shared" si="6"/>
        <v>0.1420365875814649</v>
      </c>
      <c r="N88" s="49">
        <f>ROUND(VLOOKUP(A88,'SSP_March''19'!$A$3:$N$1193,14,0),0)</f>
        <v>94519</v>
      </c>
      <c r="O88" s="44">
        <f t="shared" si="7"/>
        <v>0.44031342150254121</v>
      </c>
      <c r="P88" s="45">
        <f>VLOOKUP(A88,'SSP_March''19'!$A$3:$Q$1193,16,0)</f>
        <v>14</v>
      </c>
      <c r="Q88" s="34">
        <f>VLOOKUP(A88,'SSP_March''19'!$A$3:$Q$1193,17,0)</f>
        <v>0</v>
      </c>
      <c r="R88" s="35">
        <f t="shared" si="8"/>
        <v>0</v>
      </c>
      <c r="S88" s="49">
        <f>ROUND(VLOOKUP(A88,'SSP_March''19'!$A$3:$T$1193,19,0),0)</f>
        <v>0</v>
      </c>
      <c r="T88" s="44">
        <f>VLOOKUP(A88,'SSP_March''19'!$A$3:$T$1193,20,0)</f>
        <v>0</v>
      </c>
      <c r="U88" s="34">
        <f>VLOOKUP(A88,'SSP_March''19'!$A$3:$X$1193,21,0)</f>
        <v>0</v>
      </c>
      <c r="V88" s="34">
        <f>VLOOKUP(A88,'SSP_March''19'!$A$3:$X$1193,22,0)</f>
        <v>0</v>
      </c>
      <c r="W88" s="34">
        <f>VLOOKUP(A88,'SSP_March''19'!$A$3:$X$1193,23,0)</f>
        <v>0</v>
      </c>
      <c r="X88" s="34">
        <f>VLOOKUP(A88,'SSP_March''19'!$A$3:$X$1193,24,0)</f>
        <v>0</v>
      </c>
    </row>
    <row r="89" spans="1:24">
      <c r="A89" s="34" t="s">
        <v>3058</v>
      </c>
      <c r="B89" s="34" t="s">
        <v>3059</v>
      </c>
      <c r="C89" s="34" t="s">
        <v>170</v>
      </c>
      <c r="D89" s="34" t="s">
        <v>87</v>
      </c>
      <c r="E89" s="34" t="s">
        <v>4</v>
      </c>
      <c r="F89" s="34" t="s">
        <v>2071</v>
      </c>
      <c r="G89" s="54">
        <v>1923713027</v>
      </c>
      <c r="H89" s="54" t="s">
        <v>229</v>
      </c>
      <c r="I89" s="54" t="s">
        <v>3514</v>
      </c>
      <c r="J89" s="34" t="s">
        <v>3421</v>
      </c>
      <c r="K89" s="43">
        <f>VLOOKUP(A89,'SSP_March''19'!$A$3:$L$1193,11,0)</f>
        <v>130000</v>
      </c>
      <c r="L89" s="43">
        <f>VLOOKUP(A89,'SSP_March''19'!$A$3:$L$1193,12,0)</f>
        <v>47610</v>
      </c>
      <c r="M89" s="44">
        <f t="shared" si="6"/>
        <v>0.36623076923076925</v>
      </c>
      <c r="N89" s="49">
        <f>ROUND(VLOOKUP(A89,'SSP_March''19'!$A$3:$N$1193,14,0),0)</f>
        <v>147591</v>
      </c>
      <c r="O89" s="44">
        <f t="shared" si="7"/>
        <v>1.1353153846153847</v>
      </c>
      <c r="P89" s="45">
        <f>VLOOKUP(A89,'SSP_March''19'!$A$3:$Q$1193,16,0)</f>
        <v>10</v>
      </c>
      <c r="Q89" s="34">
        <f>VLOOKUP(A89,'SSP_March''19'!$A$3:$Q$1193,17,0)</f>
        <v>1</v>
      </c>
      <c r="R89" s="35">
        <f t="shared" si="8"/>
        <v>0.1</v>
      </c>
      <c r="S89" s="49">
        <f>ROUND(VLOOKUP(A89,'SSP_March''19'!$A$3:$T$1193,19,0),0)</f>
        <v>3</v>
      </c>
      <c r="T89" s="44">
        <f>VLOOKUP(A89,'SSP_March''19'!$A$3:$T$1193,20,0)</f>
        <v>0.3</v>
      </c>
      <c r="U89" s="34">
        <f>VLOOKUP(A89,'SSP_March''19'!$A$3:$X$1193,21,0)</f>
        <v>0</v>
      </c>
      <c r="V89" s="34">
        <f>VLOOKUP(A89,'SSP_March''19'!$A$3:$X$1193,22,0)</f>
        <v>1</v>
      </c>
      <c r="W89" s="34">
        <f>VLOOKUP(A89,'SSP_March''19'!$A$3:$X$1193,23,0)</f>
        <v>0</v>
      </c>
      <c r="X89" s="34">
        <f>VLOOKUP(A89,'SSP_March''19'!$A$3:$X$1193,24,0)</f>
        <v>0</v>
      </c>
    </row>
    <row r="90" spans="1:24">
      <c r="A90" s="34" t="s">
        <v>2191</v>
      </c>
      <c r="B90" s="34" t="s">
        <v>395</v>
      </c>
      <c r="C90" s="34" t="s">
        <v>170</v>
      </c>
      <c r="D90" s="34" t="s">
        <v>87</v>
      </c>
      <c r="E90" s="34" t="s">
        <v>4</v>
      </c>
      <c r="F90" s="34" t="s">
        <v>2192</v>
      </c>
      <c r="G90" s="54">
        <v>1941797955</v>
      </c>
      <c r="H90" s="54" t="s">
        <v>229</v>
      </c>
      <c r="I90" s="54" t="s">
        <v>3514</v>
      </c>
      <c r="J90" s="34" t="s">
        <v>3421</v>
      </c>
      <c r="K90" s="43">
        <f>VLOOKUP(A90,'SSP_March''19'!$A$3:$L$1193,11,0)</f>
        <v>130000</v>
      </c>
      <c r="L90" s="43">
        <f>VLOOKUP(A90,'SSP_March''19'!$A$3:$L$1193,12,0)</f>
        <v>18420</v>
      </c>
      <c r="M90" s="44">
        <f t="shared" si="6"/>
        <v>0.1416923076923077</v>
      </c>
      <c r="N90" s="49">
        <f>ROUND(VLOOKUP(A90,'SSP_March''19'!$A$3:$N$1193,14,0),0)</f>
        <v>57102</v>
      </c>
      <c r="O90" s="44">
        <f t="shared" si="7"/>
        <v>0.43924615384615384</v>
      </c>
      <c r="P90" s="45">
        <f>VLOOKUP(A90,'SSP_March''19'!$A$3:$Q$1193,16,0)</f>
        <v>10</v>
      </c>
      <c r="Q90" s="34">
        <f>VLOOKUP(A90,'SSP_March''19'!$A$3:$Q$1193,17,0)</f>
        <v>1</v>
      </c>
      <c r="R90" s="35">
        <f t="shared" si="8"/>
        <v>0.1</v>
      </c>
      <c r="S90" s="49">
        <f>ROUND(VLOOKUP(A90,'SSP_March''19'!$A$3:$T$1193,19,0),0)</f>
        <v>3</v>
      </c>
      <c r="T90" s="44">
        <f>VLOOKUP(A90,'SSP_March''19'!$A$3:$T$1193,20,0)</f>
        <v>0.3</v>
      </c>
      <c r="U90" s="34">
        <f>VLOOKUP(A90,'SSP_March''19'!$A$3:$X$1193,21,0)</f>
        <v>0</v>
      </c>
      <c r="V90" s="34">
        <f>VLOOKUP(A90,'SSP_March''19'!$A$3:$X$1193,22,0)</f>
        <v>0</v>
      </c>
      <c r="W90" s="34">
        <f>VLOOKUP(A90,'SSP_March''19'!$A$3:$X$1193,23,0)</f>
        <v>0</v>
      </c>
      <c r="X90" s="34">
        <f>VLOOKUP(A90,'SSP_March''19'!$A$3:$X$1193,24,0)</f>
        <v>0</v>
      </c>
    </row>
    <row r="91" spans="1:24">
      <c r="A91" s="34" t="s">
        <v>3258</v>
      </c>
      <c r="B91" s="34" t="s">
        <v>3259</v>
      </c>
      <c r="C91" s="34" t="s">
        <v>170</v>
      </c>
      <c r="D91" s="34" t="s">
        <v>87</v>
      </c>
      <c r="E91" s="34" t="s">
        <v>4</v>
      </c>
      <c r="F91" s="34" t="s">
        <v>3260</v>
      </c>
      <c r="G91" s="54">
        <v>1753647374</v>
      </c>
      <c r="H91" s="54" t="s">
        <v>229</v>
      </c>
      <c r="I91" s="54" t="s">
        <v>3514</v>
      </c>
      <c r="J91" s="34" t="s">
        <v>3419</v>
      </c>
      <c r="K91" s="43">
        <f>VLOOKUP(A91,'SSP_March''19'!$A$3:$L$1193,11,0)</f>
        <v>194937</v>
      </c>
      <c r="L91" s="43">
        <f>VLOOKUP(A91,'SSP_March''19'!$A$3:$L$1193,12,0)</f>
        <v>80769</v>
      </c>
      <c r="M91" s="44">
        <f t="shared" si="6"/>
        <v>0.41433386170916758</v>
      </c>
      <c r="N91" s="49">
        <f>ROUND(VLOOKUP(A91,'SSP_March''19'!$A$3:$N$1193,14,0),0)</f>
        <v>250384</v>
      </c>
      <c r="O91" s="44">
        <f t="shared" si="7"/>
        <v>1.2844354842846664</v>
      </c>
      <c r="P91" s="45">
        <f>VLOOKUP(A91,'SSP_March''19'!$A$3:$Q$1193,16,0)</f>
        <v>10</v>
      </c>
      <c r="Q91" s="34">
        <f>VLOOKUP(A91,'SSP_March''19'!$A$3:$Q$1193,17,0)</f>
        <v>5</v>
      </c>
      <c r="R91" s="35">
        <f t="shared" si="8"/>
        <v>0.5</v>
      </c>
      <c r="S91" s="49">
        <f>ROUND(VLOOKUP(A91,'SSP_March''19'!$A$3:$T$1193,19,0),0)</f>
        <v>16</v>
      </c>
      <c r="T91" s="44">
        <f>VLOOKUP(A91,'SSP_March''19'!$A$3:$T$1193,20,0)</f>
        <v>1.6</v>
      </c>
      <c r="U91" s="34">
        <f>VLOOKUP(A91,'SSP_March''19'!$A$3:$X$1193,21,0)</f>
        <v>2</v>
      </c>
      <c r="V91" s="34">
        <f>VLOOKUP(A91,'SSP_March''19'!$A$3:$X$1193,22,0)</f>
        <v>0</v>
      </c>
      <c r="W91" s="34">
        <f>VLOOKUP(A91,'SSP_March''19'!$A$3:$X$1193,23,0)</f>
        <v>0</v>
      </c>
      <c r="X91" s="34">
        <f>VLOOKUP(A91,'SSP_March''19'!$A$3:$X$1193,24,0)</f>
        <v>0</v>
      </c>
    </row>
    <row r="92" spans="1:24">
      <c r="A92" s="34" t="s">
        <v>3067</v>
      </c>
      <c r="B92" s="34" t="s">
        <v>3068</v>
      </c>
      <c r="C92" s="34" t="s">
        <v>170</v>
      </c>
      <c r="D92" s="34" t="s">
        <v>87</v>
      </c>
      <c r="E92" s="34" t="s">
        <v>4</v>
      </c>
      <c r="F92" s="34" t="s">
        <v>3069</v>
      </c>
      <c r="G92" s="54">
        <v>1733948964</v>
      </c>
      <c r="H92" s="54" t="s">
        <v>229</v>
      </c>
      <c r="I92" s="54" t="s">
        <v>3514</v>
      </c>
      <c r="J92" s="34" t="s">
        <v>3421</v>
      </c>
      <c r="K92" s="43">
        <f>VLOOKUP(A92,'SSP_March''19'!$A$3:$L$1193,11,0)</f>
        <v>130000</v>
      </c>
      <c r="L92" s="43">
        <f>VLOOKUP(A92,'SSP_March''19'!$A$3:$L$1193,12,0)</f>
        <v>6690</v>
      </c>
      <c r="M92" s="44">
        <f t="shared" si="6"/>
        <v>5.1461538461538461E-2</v>
      </c>
      <c r="N92" s="49">
        <f>ROUND(VLOOKUP(A92,'SSP_March''19'!$A$3:$N$1193,14,0),0)</f>
        <v>20739</v>
      </c>
      <c r="O92" s="44">
        <f t="shared" si="7"/>
        <v>0.15953076923076923</v>
      </c>
      <c r="P92" s="45">
        <f>VLOOKUP(A92,'SSP_March''19'!$A$3:$Q$1193,16,0)</f>
        <v>10</v>
      </c>
      <c r="Q92" s="34">
        <f>VLOOKUP(A92,'SSP_March''19'!$A$3:$Q$1193,17,0)</f>
        <v>1</v>
      </c>
      <c r="R92" s="35">
        <f t="shared" si="8"/>
        <v>0.1</v>
      </c>
      <c r="S92" s="49">
        <f>ROUND(VLOOKUP(A92,'SSP_March''19'!$A$3:$T$1193,19,0),0)</f>
        <v>3</v>
      </c>
      <c r="T92" s="44">
        <f>VLOOKUP(A92,'SSP_March''19'!$A$3:$T$1193,20,0)</f>
        <v>0.3</v>
      </c>
      <c r="U92" s="34">
        <f>VLOOKUP(A92,'SSP_March''19'!$A$3:$X$1193,21,0)</f>
        <v>0</v>
      </c>
      <c r="V92" s="34">
        <f>VLOOKUP(A92,'SSP_March''19'!$A$3:$X$1193,22,0)</f>
        <v>1</v>
      </c>
      <c r="W92" s="34">
        <f>VLOOKUP(A92,'SSP_March''19'!$A$3:$X$1193,23,0)</f>
        <v>0</v>
      </c>
      <c r="X92" s="34">
        <f>VLOOKUP(A92,'SSP_March''19'!$A$3:$X$1193,24,0)</f>
        <v>0</v>
      </c>
    </row>
    <row r="93" spans="1:24">
      <c r="A93" s="34" t="s">
        <v>2185</v>
      </c>
      <c r="B93" s="34" t="s">
        <v>2186</v>
      </c>
      <c r="C93" s="34" t="s">
        <v>170</v>
      </c>
      <c r="D93" s="34" t="s">
        <v>87</v>
      </c>
      <c r="E93" s="34" t="s">
        <v>4</v>
      </c>
      <c r="F93" s="34" t="s">
        <v>2187</v>
      </c>
      <c r="G93" s="54">
        <v>1724249943</v>
      </c>
      <c r="H93" s="54" t="s">
        <v>229</v>
      </c>
      <c r="I93" s="54" t="s">
        <v>3514</v>
      </c>
      <c r="J93" s="34" t="s">
        <v>3421</v>
      </c>
      <c r="K93" s="43">
        <f>VLOOKUP(A93,'SSP_March''19'!$A$3:$L$1193,11,0)</f>
        <v>130000</v>
      </c>
      <c r="L93" s="43">
        <f>VLOOKUP(A93,'SSP_March''19'!$A$3:$L$1193,12,0)</f>
        <v>32390</v>
      </c>
      <c r="M93" s="44">
        <f t="shared" si="6"/>
        <v>0.24915384615384614</v>
      </c>
      <c r="N93" s="49">
        <f>ROUND(VLOOKUP(A93,'SSP_March''19'!$A$3:$N$1193,14,0),0)</f>
        <v>100409</v>
      </c>
      <c r="O93" s="44">
        <f t="shared" si="7"/>
        <v>0.77237692307692307</v>
      </c>
      <c r="P93" s="45">
        <f>VLOOKUP(A93,'SSP_March''19'!$A$3:$Q$1193,16,0)</f>
        <v>10</v>
      </c>
      <c r="Q93" s="34">
        <f>VLOOKUP(A93,'SSP_March''19'!$A$3:$Q$1193,17,0)</f>
        <v>1</v>
      </c>
      <c r="R93" s="35">
        <f t="shared" si="8"/>
        <v>0.1</v>
      </c>
      <c r="S93" s="49">
        <f>ROUND(VLOOKUP(A93,'SSP_March''19'!$A$3:$T$1193,19,0),0)</f>
        <v>3</v>
      </c>
      <c r="T93" s="44">
        <f>VLOOKUP(A93,'SSP_March''19'!$A$3:$T$1193,20,0)</f>
        <v>0.3</v>
      </c>
      <c r="U93" s="34">
        <f>VLOOKUP(A93,'SSP_March''19'!$A$3:$X$1193,21,0)</f>
        <v>1</v>
      </c>
      <c r="V93" s="34">
        <f>VLOOKUP(A93,'SSP_March''19'!$A$3:$X$1193,22,0)</f>
        <v>0</v>
      </c>
      <c r="W93" s="34">
        <f>VLOOKUP(A93,'SSP_March''19'!$A$3:$X$1193,23,0)</f>
        <v>0</v>
      </c>
      <c r="X93" s="34">
        <f>VLOOKUP(A93,'SSP_March''19'!$A$3:$X$1193,24,0)</f>
        <v>0</v>
      </c>
    </row>
    <row r="94" spans="1:24">
      <c r="A94" s="34" t="s">
        <v>2182</v>
      </c>
      <c r="B94" s="34" t="s">
        <v>2183</v>
      </c>
      <c r="C94" s="34" t="s">
        <v>170</v>
      </c>
      <c r="D94" s="34" t="s">
        <v>87</v>
      </c>
      <c r="E94" s="34" t="s">
        <v>4</v>
      </c>
      <c r="F94" s="34" t="s">
        <v>2184</v>
      </c>
      <c r="G94" s="54">
        <v>1795760436</v>
      </c>
      <c r="H94" s="54" t="s">
        <v>229</v>
      </c>
      <c r="I94" s="54" t="s">
        <v>3514</v>
      </c>
      <c r="J94" s="34" t="s">
        <v>3419</v>
      </c>
      <c r="K94" s="43">
        <f>VLOOKUP(A94,'SSP_March''19'!$A$3:$L$1193,11,0)</f>
        <v>279563</v>
      </c>
      <c r="L94" s="43">
        <f>VLOOKUP(A94,'SSP_March''19'!$A$3:$L$1193,12,0)</f>
        <v>56369</v>
      </c>
      <c r="M94" s="44">
        <f t="shared" si="6"/>
        <v>0.20163254794089347</v>
      </c>
      <c r="N94" s="49">
        <f>ROUND(VLOOKUP(A94,'SSP_March''19'!$A$3:$N$1193,14,0),0)</f>
        <v>174744</v>
      </c>
      <c r="O94" s="44">
        <f t="shared" si="7"/>
        <v>0.62506125631789611</v>
      </c>
      <c r="P94" s="45">
        <f>VLOOKUP(A94,'SSP_March''19'!$A$3:$Q$1193,16,0)</f>
        <v>18</v>
      </c>
      <c r="Q94" s="34">
        <f>VLOOKUP(A94,'SSP_March''19'!$A$3:$Q$1193,17,0)</f>
        <v>5</v>
      </c>
      <c r="R94" s="35">
        <f t="shared" si="8"/>
        <v>0.27777777777777779</v>
      </c>
      <c r="S94" s="49">
        <f>ROUND(VLOOKUP(A94,'SSP_March''19'!$A$3:$T$1193,19,0),0)</f>
        <v>16</v>
      </c>
      <c r="T94" s="44">
        <f>VLOOKUP(A94,'SSP_March''19'!$A$3:$T$1193,20,0)</f>
        <v>0.88888888888888884</v>
      </c>
      <c r="U94" s="34">
        <f>VLOOKUP(A94,'SSP_March''19'!$A$3:$X$1193,21,0)</f>
        <v>0</v>
      </c>
      <c r="V94" s="34">
        <f>VLOOKUP(A94,'SSP_March''19'!$A$3:$X$1193,22,0)</f>
        <v>1</v>
      </c>
      <c r="W94" s="34">
        <f>VLOOKUP(A94,'SSP_March''19'!$A$3:$X$1193,23,0)</f>
        <v>0</v>
      </c>
      <c r="X94" s="34">
        <f>VLOOKUP(A94,'SSP_March''19'!$A$3:$X$1193,24,0)</f>
        <v>0</v>
      </c>
    </row>
    <row r="95" spans="1:24">
      <c r="A95" s="34" t="s">
        <v>3261</v>
      </c>
      <c r="B95" s="34" t="s">
        <v>3262</v>
      </c>
      <c r="C95" s="34" t="s">
        <v>124</v>
      </c>
      <c r="D95" s="34" t="s">
        <v>4</v>
      </c>
      <c r="E95" s="34" t="s">
        <v>4</v>
      </c>
      <c r="F95" s="34" t="s">
        <v>3263</v>
      </c>
      <c r="G95" s="54">
        <v>1953831386</v>
      </c>
      <c r="H95" s="54" t="s">
        <v>229</v>
      </c>
      <c r="I95" s="54" t="s">
        <v>3514</v>
      </c>
      <c r="J95" s="34" t="s">
        <v>3419</v>
      </c>
      <c r="K95" s="43">
        <f>VLOOKUP(A95,'SSP_March''19'!$A$3:$L$1193,11,0)</f>
        <v>130000</v>
      </c>
      <c r="L95" s="43">
        <f>VLOOKUP(A95,'SSP_March''19'!$A$3:$L$1193,12,0)</f>
        <v>72139</v>
      </c>
      <c r="M95" s="44">
        <f t="shared" si="6"/>
        <v>0.55491538461538459</v>
      </c>
      <c r="N95" s="49">
        <f>ROUND(VLOOKUP(A95,'SSP_March''19'!$A$3:$N$1193,14,0),0)</f>
        <v>223631</v>
      </c>
      <c r="O95" s="44">
        <f t="shared" si="7"/>
        <v>1.7202384615384616</v>
      </c>
      <c r="P95" s="45">
        <f>VLOOKUP(A95,'SSP_March''19'!$A$3:$Q$1193,16,0)</f>
        <v>10</v>
      </c>
      <c r="Q95" s="34">
        <f>VLOOKUP(A95,'SSP_March''19'!$A$3:$Q$1193,17,0)</f>
        <v>5</v>
      </c>
      <c r="R95" s="35">
        <f t="shared" si="8"/>
        <v>0.5</v>
      </c>
      <c r="S95" s="49">
        <f>ROUND(VLOOKUP(A95,'SSP_March''19'!$A$3:$T$1193,19,0),0)</f>
        <v>16</v>
      </c>
      <c r="T95" s="44">
        <f>VLOOKUP(A95,'SSP_March''19'!$A$3:$T$1193,20,0)</f>
        <v>1.6</v>
      </c>
      <c r="U95" s="34">
        <f>VLOOKUP(A95,'SSP_March''19'!$A$3:$X$1193,21,0)</f>
        <v>0</v>
      </c>
      <c r="V95" s="34">
        <f>VLOOKUP(A95,'SSP_March''19'!$A$3:$X$1193,22,0)</f>
        <v>4</v>
      </c>
      <c r="W95" s="34">
        <f>VLOOKUP(A95,'SSP_March''19'!$A$3:$X$1193,23,0)</f>
        <v>0</v>
      </c>
      <c r="X95" s="34">
        <f>VLOOKUP(A95,'SSP_March''19'!$A$3:$X$1193,24,0)</f>
        <v>1</v>
      </c>
    </row>
    <row r="96" spans="1:24">
      <c r="A96" s="34" t="s">
        <v>2212</v>
      </c>
      <c r="B96" s="34" t="s">
        <v>818</v>
      </c>
      <c r="C96" s="34" t="s">
        <v>124</v>
      </c>
      <c r="D96" s="34" t="s">
        <v>4</v>
      </c>
      <c r="E96" s="34" t="s">
        <v>4</v>
      </c>
      <c r="F96" s="34" t="s">
        <v>2213</v>
      </c>
      <c r="G96" s="54">
        <v>1946604413</v>
      </c>
      <c r="H96" s="54" t="s">
        <v>229</v>
      </c>
      <c r="I96" s="54" t="s">
        <v>3514</v>
      </c>
      <c r="J96" s="34" t="s">
        <v>3421</v>
      </c>
      <c r="K96" s="43">
        <f>VLOOKUP(A96,'SSP_March''19'!$A$3:$L$1193,11,0)</f>
        <v>130000</v>
      </c>
      <c r="L96" s="43">
        <f>VLOOKUP(A96,'SSP_March''19'!$A$3:$L$1193,12,0)</f>
        <v>15670</v>
      </c>
      <c r="M96" s="44">
        <f t="shared" si="6"/>
        <v>0.12053846153846154</v>
      </c>
      <c r="N96" s="49">
        <f>ROUND(VLOOKUP(A96,'SSP_March''19'!$A$3:$N$1193,14,0),0)</f>
        <v>48577</v>
      </c>
      <c r="O96" s="44">
        <f t="shared" si="7"/>
        <v>0.37366923076923075</v>
      </c>
      <c r="P96" s="45">
        <f>VLOOKUP(A96,'SSP_March''19'!$A$3:$Q$1193,16,0)</f>
        <v>10</v>
      </c>
      <c r="Q96" s="34">
        <f>VLOOKUP(A96,'SSP_March''19'!$A$3:$Q$1193,17,0)</f>
        <v>0</v>
      </c>
      <c r="R96" s="35">
        <f t="shared" si="8"/>
        <v>0</v>
      </c>
      <c r="S96" s="49">
        <f>ROUND(VLOOKUP(A96,'SSP_March''19'!$A$3:$T$1193,19,0),0)</f>
        <v>0</v>
      </c>
      <c r="T96" s="44">
        <f>VLOOKUP(A96,'SSP_March''19'!$A$3:$T$1193,20,0)</f>
        <v>0</v>
      </c>
      <c r="U96" s="34">
        <f>VLOOKUP(A96,'SSP_March''19'!$A$3:$X$1193,21,0)</f>
        <v>0</v>
      </c>
      <c r="V96" s="34">
        <f>VLOOKUP(A96,'SSP_March''19'!$A$3:$X$1193,22,0)</f>
        <v>0</v>
      </c>
      <c r="W96" s="34">
        <f>VLOOKUP(A96,'SSP_March''19'!$A$3:$X$1193,23,0)</f>
        <v>0</v>
      </c>
      <c r="X96" s="34">
        <f>VLOOKUP(A96,'SSP_March''19'!$A$3:$X$1193,24,0)</f>
        <v>0</v>
      </c>
    </row>
    <row r="97" spans="1:24">
      <c r="A97" s="34" t="s">
        <v>2220</v>
      </c>
      <c r="B97" s="34" t="s">
        <v>2221</v>
      </c>
      <c r="C97" s="34" t="s">
        <v>124</v>
      </c>
      <c r="D97" s="34" t="s">
        <v>4</v>
      </c>
      <c r="E97" s="34" t="s">
        <v>4</v>
      </c>
      <c r="F97" s="34" t="s">
        <v>1113</v>
      </c>
      <c r="G97" s="54">
        <v>1922295981</v>
      </c>
      <c r="H97" s="54" t="s">
        <v>229</v>
      </c>
      <c r="I97" s="54" t="s">
        <v>3514</v>
      </c>
      <c r="J97" s="34" t="s">
        <v>3419</v>
      </c>
      <c r="K97" s="43">
        <f>VLOOKUP(A97,'SSP_March''19'!$A$3:$L$1193,11,0)</f>
        <v>163609</v>
      </c>
      <c r="L97" s="43">
        <f>VLOOKUP(A97,'SSP_March''19'!$A$3:$L$1193,12,0)</f>
        <v>57860</v>
      </c>
      <c r="M97" s="44">
        <f t="shared" si="6"/>
        <v>0.35364802669779782</v>
      </c>
      <c r="N97" s="49">
        <f>ROUND(VLOOKUP(A97,'SSP_March''19'!$A$3:$N$1193,14,0),0)</f>
        <v>179366</v>
      </c>
      <c r="O97" s="44">
        <f t="shared" si="7"/>
        <v>1.0963088827631731</v>
      </c>
      <c r="P97" s="45">
        <f>VLOOKUP(A97,'SSP_March''19'!$A$3:$Q$1193,16,0)</f>
        <v>10</v>
      </c>
      <c r="Q97" s="34">
        <f>VLOOKUP(A97,'SSP_March''19'!$A$3:$Q$1193,17,0)</f>
        <v>5</v>
      </c>
      <c r="R97" s="35">
        <f t="shared" si="8"/>
        <v>0.5</v>
      </c>
      <c r="S97" s="49">
        <f>ROUND(VLOOKUP(A97,'SSP_March''19'!$A$3:$T$1193,19,0),0)</f>
        <v>16</v>
      </c>
      <c r="T97" s="44">
        <f>VLOOKUP(A97,'SSP_March''19'!$A$3:$T$1193,20,0)</f>
        <v>1.6</v>
      </c>
      <c r="U97" s="34">
        <f>VLOOKUP(A97,'SSP_March''19'!$A$3:$X$1193,21,0)</f>
        <v>1</v>
      </c>
      <c r="V97" s="34">
        <f>VLOOKUP(A97,'SSP_March''19'!$A$3:$X$1193,22,0)</f>
        <v>1</v>
      </c>
      <c r="W97" s="34">
        <f>VLOOKUP(A97,'SSP_March''19'!$A$3:$X$1193,23,0)</f>
        <v>0</v>
      </c>
      <c r="X97" s="34">
        <f>VLOOKUP(A97,'SSP_March''19'!$A$3:$X$1193,24,0)</f>
        <v>0</v>
      </c>
    </row>
    <row r="98" spans="1:24">
      <c r="A98" s="34" t="s">
        <v>3374</v>
      </c>
      <c r="B98" s="34" t="s">
        <v>3375</v>
      </c>
      <c r="C98" s="34" t="s">
        <v>124</v>
      </c>
      <c r="D98" s="34" t="s">
        <v>4</v>
      </c>
      <c r="E98" s="34" t="s">
        <v>4</v>
      </c>
      <c r="F98" s="34" t="s">
        <v>558</v>
      </c>
      <c r="G98" s="54">
        <v>1916407031</v>
      </c>
      <c r="H98" s="54" t="s">
        <v>229</v>
      </c>
      <c r="I98" s="54" t="s">
        <v>3514</v>
      </c>
      <c r="J98" s="34" t="s">
        <v>3421</v>
      </c>
      <c r="K98" s="43">
        <f>VLOOKUP(A98,'SSP_March''19'!$A$3:$L$1193,11,0)</f>
        <v>130000</v>
      </c>
      <c r="L98" s="43">
        <f>VLOOKUP(A98,'SSP_March''19'!$A$3:$L$1193,12,0)</f>
        <v>26150</v>
      </c>
      <c r="M98" s="44">
        <f t="shared" si="6"/>
        <v>0.20115384615384616</v>
      </c>
      <c r="N98" s="49">
        <f>ROUND(VLOOKUP(A98,'SSP_March''19'!$A$3:$N$1193,14,0),0)</f>
        <v>81065</v>
      </c>
      <c r="O98" s="44">
        <f t="shared" si="7"/>
        <v>0.62357692307692303</v>
      </c>
      <c r="P98" s="45">
        <f>VLOOKUP(A98,'SSP_March''19'!$A$3:$Q$1193,16,0)</f>
        <v>10</v>
      </c>
      <c r="Q98" s="34">
        <f>VLOOKUP(A98,'SSP_March''19'!$A$3:$Q$1193,17,0)</f>
        <v>2</v>
      </c>
      <c r="R98" s="35">
        <f t="shared" si="8"/>
        <v>0.2</v>
      </c>
      <c r="S98" s="49">
        <f>ROUND(VLOOKUP(A98,'SSP_March''19'!$A$3:$T$1193,19,0),0)</f>
        <v>6</v>
      </c>
      <c r="T98" s="44">
        <f>VLOOKUP(A98,'SSP_March''19'!$A$3:$T$1193,20,0)</f>
        <v>0.6</v>
      </c>
      <c r="U98" s="34">
        <f>VLOOKUP(A98,'SSP_March''19'!$A$3:$X$1193,21,0)</f>
        <v>0</v>
      </c>
      <c r="V98" s="34">
        <f>VLOOKUP(A98,'SSP_March''19'!$A$3:$X$1193,22,0)</f>
        <v>0</v>
      </c>
      <c r="W98" s="34">
        <f>VLOOKUP(A98,'SSP_March''19'!$A$3:$X$1193,23,0)</f>
        <v>0</v>
      </c>
      <c r="X98" s="34">
        <f>VLOOKUP(A98,'SSP_March''19'!$A$3:$X$1193,24,0)</f>
        <v>0</v>
      </c>
    </row>
    <row r="99" spans="1:24">
      <c r="A99" s="34" t="s">
        <v>2217</v>
      </c>
      <c r="B99" s="34" t="s">
        <v>2218</v>
      </c>
      <c r="C99" s="34" t="s">
        <v>124</v>
      </c>
      <c r="D99" s="34" t="s">
        <v>4</v>
      </c>
      <c r="E99" s="34" t="s">
        <v>4</v>
      </c>
      <c r="F99" s="34" t="s">
        <v>2219</v>
      </c>
      <c r="G99" s="54">
        <v>1968682010</v>
      </c>
      <c r="H99" s="54" t="s">
        <v>229</v>
      </c>
      <c r="I99" s="54" t="s">
        <v>3514</v>
      </c>
      <c r="J99" s="34" t="s">
        <v>3515</v>
      </c>
      <c r="K99" s="43">
        <f>VLOOKUP(A99,'SSP_March''19'!$A$3:$L$1193,11,0)</f>
        <v>130000</v>
      </c>
      <c r="L99" s="43">
        <f>VLOOKUP(A99,'SSP_March''19'!$A$3:$L$1193,12,0)</f>
        <v>11780</v>
      </c>
      <c r="M99" s="44">
        <f t="shared" ref="M99:M130" si="9">L99/K99</f>
        <v>9.0615384615384612E-2</v>
      </c>
      <c r="N99" s="49">
        <f>ROUND(VLOOKUP(A99,'SSP_March''19'!$A$3:$N$1193,14,0),0)</f>
        <v>36518</v>
      </c>
      <c r="O99" s="44">
        <f t="shared" ref="O99:O130" si="10">N99/K99</f>
        <v>0.2809076923076923</v>
      </c>
      <c r="P99" s="45">
        <f>VLOOKUP(A99,'SSP_March''19'!$A$3:$Q$1193,16,0)</f>
        <v>10</v>
      </c>
      <c r="Q99" s="34">
        <f>VLOOKUP(A99,'SSP_March''19'!$A$3:$Q$1193,17,0)</f>
        <v>0</v>
      </c>
      <c r="R99" s="35">
        <f t="shared" ref="R99:R130" si="11">Q99/P99</f>
        <v>0</v>
      </c>
      <c r="S99" s="49">
        <f>ROUND(VLOOKUP(A99,'SSP_March''19'!$A$3:$T$1193,19,0),0)</f>
        <v>0</v>
      </c>
      <c r="T99" s="44">
        <f>VLOOKUP(A99,'SSP_March''19'!$A$3:$T$1193,20,0)</f>
        <v>0</v>
      </c>
      <c r="U99" s="34">
        <f>VLOOKUP(A99,'SSP_March''19'!$A$3:$X$1193,21,0)</f>
        <v>1</v>
      </c>
      <c r="V99" s="34">
        <f>VLOOKUP(A99,'SSP_March''19'!$A$3:$X$1193,22,0)</f>
        <v>0</v>
      </c>
      <c r="W99" s="34">
        <f>VLOOKUP(A99,'SSP_March''19'!$A$3:$X$1193,23,0)</f>
        <v>0</v>
      </c>
      <c r="X99" s="34">
        <f>VLOOKUP(A99,'SSP_March''19'!$A$3:$X$1193,24,0)</f>
        <v>0</v>
      </c>
    </row>
    <row r="100" spans="1:24">
      <c r="A100" s="34" t="s">
        <v>2209</v>
      </c>
      <c r="B100" s="34" t="s">
        <v>2210</v>
      </c>
      <c r="C100" s="34" t="s">
        <v>124</v>
      </c>
      <c r="D100" s="34" t="s">
        <v>4</v>
      </c>
      <c r="E100" s="34" t="s">
        <v>4</v>
      </c>
      <c r="F100" s="34" t="s">
        <v>2211</v>
      </c>
      <c r="G100" s="54">
        <v>1911648961</v>
      </c>
      <c r="H100" s="54" t="s">
        <v>229</v>
      </c>
      <c r="I100" s="54" t="s">
        <v>3514</v>
      </c>
      <c r="J100" s="34" t="s">
        <v>3419</v>
      </c>
      <c r="K100" s="43">
        <f>VLOOKUP(A100,'SSP_March''19'!$A$3:$L$1193,11,0)</f>
        <v>190000</v>
      </c>
      <c r="L100" s="43">
        <f>VLOOKUP(A100,'SSP_March''19'!$A$3:$L$1193,12,0)</f>
        <v>43579</v>
      </c>
      <c r="M100" s="44">
        <f t="shared" si="9"/>
        <v>0.22936315789473685</v>
      </c>
      <c r="N100" s="49">
        <f>ROUND(VLOOKUP(A100,'SSP_March''19'!$A$3:$N$1193,14,0),0)</f>
        <v>135095</v>
      </c>
      <c r="O100" s="44">
        <f t="shared" si="10"/>
        <v>0.71102631578947373</v>
      </c>
      <c r="P100" s="45">
        <f>VLOOKUP(A100,'SSP_March''19'!$A$3:$Q$1193,16,0)</f>
        <v>13</v>
      </c>
      <c r="Q100" s="34">
        <f>VLOOKUP(A100,'SSP_March''19'!$A$3:$Q$1193,17,0)</f>
        <v>2</v>
      </c>
      <c r="R100" s="35">
        <f t="shared" si="11"/>
        <v>0.15384615384615385</v>
      </c>
      <c r="S100" s="49">
        <f>ROUND(VLOOKUP(A100,'SSP_March''19'!$A$3:$T$1193,19,0),0)</f>
        <v>6</v>
      </c>
      <c r="T100" s="44">
        <f>VLOOKUP(A100,'SSP_March''19'!$A$3:$T$1193,20,0)</f>
        <v>0.46153846153846156</v>
      </c>
      <c r="U100" s="34">
        <f>VLOOKUP(A100,'SSP_March''19'!$A$3:$X$1193,21,0)</f>
        <v>0</v>
      </c>
      <c r="V100" s="34">
        <f>VLOOKUP(A100,'SSP_March''19'!$A$3:$X$1193,22,0)</f>
        <v>0</v>
      </c>
      <c r="W100" s="34">
        <f>VLOOKUP(A100,'SSP_March''19'!$A$3:$X$1193,23,0)</f>
        <v>0</v>
      </c>
      <c r="X100" s="34">
        <f>VLOOKUP(A100,'SSP_March''19'!$A$3:$X$1193,24,0)</f>
        <v>0</v>
      </c>
    </row>
    <row r="101" spans="1:24">
      <c r="A101" s="34" t="s">
        <v>2197</v>
      </c>
      <c r="B101" s="34" t="s">
        <v>2198</v>
      </c>
      <c r="C101" s="34" t="s">
        <v>124</v>
      </c>
      <c r="D101" s="34" t="s">
        <v>4</v>
      </c>
      <c r="E101" s="34" t="s">
        <v>4</v>
      </c>
      <c r="F101" s="34" t="s">
        <v>2199</v>
      </c>
      <c r="G101" s="54">
        <v>1794325613</v>
      </c>
      <c r="H101" s="54" t="s">
        <v>229</v>
      </c>
      <c r="I101" s="54" t="s">
        <v>3514</v>
      </c>
      <c r="J101" s="34" t="s">
        <v>3515</v>
      </c>
      <c r="K101" s="43">
        <f>VLOOKUP(A101,'SSP_March''19'!$A$3:$L$1193,11,0)</f>
        <v>190000</v>
      </c>
      <c r="L101" s="43">
        <f>VLOOKUP(A101,'SSP_March''19'!$A$3:$L$1193,12,0)</f>
        <v>16079</v>
      </c>
      <c r="M101" s="44">
        <f t="shared" si="9"/>
        <v>8.4626315789473688E-2</v>
      </c>
      <c r="N101" s="49">
        <f>ROUND(VLOOKUP(A101,'SSP_March''19'!$A$3:$N$1193,14,0),0)</f>
        <v>49845</v>
      </c>
      <c r="O101" s="44">
        <f t="shared" si="10"/>
        <v>0.26234210526315788</v>
      </c>
      <c r="P101" s="45">
        <f>VLOOKUP(A101,'SSP_March''19'!$A$3:$Q$1193,16,0)</f>
        <v>15</v>
      </c>
      <c r="Q101" s="34">
        <f>VLOOKUP(A101,'SSP_March''19'!$A$3:$Q$1193,17,0)</f>
        <v>1</v>
      </c>
      <c r="R101" s="35">
        <f t="shared" si="11"/>
        <v>6.6666666666666666E-2</v>
      </c>
      <c r="S101" s="49">
        <f>ROUND(VLOOKUP(A101,'SSP_March''19'!$A$3:$T$1193,19,0),0)</f>
        <v>3</v>
      </c>
      <c r="T101" s="44">
        <f>VLOOKUP(A101,'SSP_March''19'!$A$3:$T$1193,20,0)</f>
        <v>0.2</v>
      </c>
      <c r="U101" s="34">
        <f>VLOOKUP(A101,'SSP_March''19'!$A$3:$X$1193,21,0)</f>
        <v>0</v>
      </c>
      <c r="V101" s="34">
        <f>VLOOKUP(A101,'SSP_March''19'!$A$3:$X$1193,22,0)</f>
        <v>0</v>
      </c>
      <c r="W101" s="34">
        <f>VLOOKUP(A101,'SSP_March''19'!$A$3:$X$1193,23,0)</f>
        <v>0</v>
      </c>
      <c r="X101" s="34">
        <f>VLOOKUP(A101,'SSP_March''19'!$A$3:$X$1193,24,0)</f>
        <v>0</v>
      </c>
    </row>
    <row r="102" spans="1:24">
      <c r="A102" s="34" t="s">
        <v>2214</v>
      </c>
      <c r="B102" s="34" t="s">
        <v>2215</v>
      </c>
      <c r="C102" s="34" t="s">
        <v>124</v>
      </c>
      <c r="D102" s="34" t="s">
        <v>4</v>
      </c>
      <c r="E102" s="34" t="s">
        <v>4</v>
      </c>
      <c r="F102" s="34" t="s">
        <v>2216</v>
      </c>
      <c r="G102" s="54">
        <v>1717322055</v>
      </c>
      <c r="H102" s="54" t="s">
        <v>229</v>
      </c>
      <c r="I102" s="54" t="s">
        <v>3514</v>
      </c>
      <c r="J102" s="34" t="s">
        <v>3515</v>
      </c>
      <c r="K102" s="43">
        <f>VLOOKUP(A102,'SSP_March''19'!$A$3:$L$1193,11,0)</f>
        <v>165911</v>
      </c>
      <c r="L102" s="43">
        <f>VLOOKUP(A102,'SSP_March''19'!$A$3:$L$1193,12,0)</f>
        <v>55020</v>
      </c>
      <c r="M102" s="44">
        <f t="shared" si="9"/>
        <v>0.33162358131769443</v>
      </c>
      <c r="N102" s="49">
        <f>ROUND(VLOOKUP(A102,'SSP_March''19'!$A$3:$N$1193,14,0),0)</f>
        <v>170562</v>
      </c>
      <c r="O102" s="44">
        <f t="shared" si="10"/>
        <v>1.0280331020848528</v>
      </c>
      <c r="P102" s="45">
        <f>VLOOKUP(A102,'SSP_March''19'!$A$3:$Q$1193,16,0)</f>
        <v>11</v>
      </c>
      <c r="Q102" s="34">
        <f>VLOOKUP(A102,'SSP_March''19'!$A$3:$Q$1193,17,0)</f>
        <v>5</v>
      </c>
      <c r="R102" s="35">
        <f t="shared" si="11"/>
        <v>0.45454545454545453</v>
      </c>
      <c r="S102" s="49">
        <f>ROUND(VLOOKUP(A102,'SSP_March''19'!$A$3:$T$1193,19,0),0)</f>
        <v>16</v>
      </c>
      <c r="T102" s="44">
        <f>VLOOKUP(A102,'SSP_March''19'!$A$3:$T$1193,20,0)</f>
        <v>1.4545454545454546</v>
      </c>
      <c r="U102" s="34">
        <f>VLOOKUP(A102,'SSP_March''19'!$A$3:$X$1193,21,0)</f>
        <v>0</v>
      </c>
      <c r="V102" s="34">
        <f>VLOOKUP(A102,'SSP_March''19'!$A$3:$X$1193,22,0)</f>
        <v>2</v>
      </c>
      <c r="W102" s="34">
        <f>VLOOKUP(A102,'SSP_March''19'!$A$3:$X$1193,23,0)</f>
        <v>0</v>
      </c>
      <c r="X102" s="34">
        <f>VLOOKUP(A102,'SSP_March''19'!$A$3:$X$1193,24,0)</f>
        <v>0</v>
      </c>
    </row>
    <row r="103" spans="1:24">
      <c r="A103" s="34" t="s">
        <v>2206</v>
      </c>
      <c r="B103" s="34" t="s">
        <v>2207</v>
      </c>
      <c r="C103" s="34" t="s">
        <v>124</v>
      </c>
      <c r="D103" s="34" t="s">
        <v>4</v>
      </c>
      <c r="E103" s="34" t="s">
        <v>4</v>
      </c>
      <c r="F103" s="34" t="s">
        <v>2208</v>
      </c>
      <c r="G103" s="54">
        <v>1771177717</v>
      </c>
      <c r="H103" s="54" t="s">
        <v>229</v>
      </c>
      <c r="I103" s="54" t="s">
        <v>3514</v>
      </c>
      <c r="J103" s="34" t="s">
        <v>3419</v>
      </c>
      <c r="K103" s="43">
        <f>VLOOKUP(A103,'SSP_March''19'!$A$3:$L$1193,11,0)</f>
        <v>130000</v>
      </c>
      <c r="L103" s="43">
        <f>VLOOKUP(A103,'SSP_March''19'!$A$3:$L$1193,12,0)</f>
        <v>0</v>
      </c>
      <c r="M103" s="44">
        <f t="shared" si="9"/>
        <v>0</v>
      </c>
      <c r="N103" s="49">
        <f>ROUND(VLOOKUP(A103,'SSP_March''19'!$A$3:$N$1193,14,0),0)</f>
        <v>0</v>
      </c>
      <c r="O103" s="44">
        <f t="shared" si="10"/>
        <v>0</v>
      </c>
      <c r="P103" s="45">
        <f>VLOOKUP(A103,'SSP_March''19'!$A$3:$Q$1193,16,0)</f>
        <v>10</v>
      </c>
      <c r="Q103" s="34">
        <f>VLOOKUP(A103,'SSP_March''19'!$A$3:$Q$1193,17,0)</f>
        <v>0</v>
      </c>
      <c r="R103" s="35">
        <f t="shared" si="11"/>
        <v>0</v>
      </c>
      <c r="S103" s="49">
        <f>ROUND(VLOOKUP(A103,'SSP_March''19'!$A$3:$T$1193,19,0),0)</f>
        <v>0</v>
      </c>
      <c r="T103" s="44">
        <f>VLOOKUP(A103,'SSP_March''19'!$A$3:$T$1193,20,0)</f>
        <v>0</v>
      </c>
      <c r="U103" s="34">
        <f>VLOOKUP(A103,'SSP_March''19'!$A$3:$X$1193,21,0)</f>
        <v>0</v>
      </c>
      <c r="V103" s="34">
        <f>VLOOKUP(A103,'SSP_March''19'!$A$3:$X$1193,22,0)</f>
        <v>0</v>
      </c>
      <c r="W103" s="34">
        <f>VLOOKUP(A103,'SSP_March''19'!$A$3:$X$1193,23,0)</f>
        <v>0</v>
      </c>
      <c r="X103" s="34">
        <f>VLOOKUP(A103,'SSP_March''19'!$A$3:$X$1193,24,0)</f>
        <v>0</v>
      </c>
    </row>
    <row r="104" spans="1:24">
      <c r="A104" s="34" t="s">
        <v>2194</v>
      </c>
      <c r="B104" s="34" t="s">
        <v>2195</v>
      </c>
      <c r="C104" s="34" t="s">
        <v>124</v>
      </c>
      <c r="D104" s="34" t="s">
        <v>4</v>
      </c>
      <c r="E104" s="34" t="s">
        <v>4</v>
      </c>
      <c r="F104" s="34" t="s">
        <v>2196</v>
      </c>
      <c r="G104" s="54">
        <v>1822012877</v>
      </c>
      <c r="H104" s="54" t="s">
        <v>229</v>
      </c>
      <c r="I104" s="54" t="s">
        <v>3514</v>
      </c>
      <c r="J104" s="34" t="s">
        <v>3421</v>
      </c>
      <c r="K104" s="43">
        <f>VLOOKUP(A104,'SSP_March''19'!$A$3:$L$1193,11,0)</f>
        <v>130000</v>
      </c>
      <c r="L104" s="43">
        <f>VLOOKUP(A104,'SSP_March''19'!$A$3:$L$1193,12,0)</f>
        <v>30450</v>
      </c>
      <c r="M104" s="44">
        <f t="shared" si="9"/>
        <v>0.23423076923076924</v>
      </c>
      <c r="N104" s="49">
        <f>ROUND(VLOOKUP(A104,'SSP_March''19'!$A$3:$N$1193,14,0),0)</f>
        <v>94395</v>
      </c>
      <c r="O104" s="44">
        <f t="shared" si="10"/>
        <v>0.72611538461538461</v>
      </c>
      <c r="P104" s="45">
        <f>VLOOKUP(A104,'SSP_March''19'!$A$3:$Q$1193,16,0)</f>
        <v>10</v>
      </c>
      <c r="Q104" s="34">
        <f>VLOOKUP(A104,'SSP_March''19'!$A$3:$Q$1193,17,0)</f>
        <v>2</v>
      </c>
      <c r="R104" s="35">
        <f t="shared" si="11"/>
        <v>0.2</v>
      </c>
      <c r="S104" s="49">
        <f>ROUND(VLOOKUP(A104,'SSP_March''19'!$A$3:$T$1193,19,0),0)</f>
        <v>6</v>
      </c>
      <c r="T104" s="44">
        <f>VLOOKUP(A104,'SSP_March''19'!$A$3:$T$1193,20,0)</f>
        <v>0.6</v>
      </c>
      <c r="U104" s="34">
        <f>VLOOKUP(A104,'SSP_March''19'!$A$3:$X$1193,21,0)</f>
        <v>1</v>
      </c>
      <c r="V104" s="34">
        <f>VLOOKUP(A104,'SSP_March''19'!$A$3:$X$1193,22,0)</f>
        <v>1</v>
      </c>
      <c r="W104" s="34">
        <f>VLOOKUP(A104,'SSP_March''19'!$A$3:$X$1193,23,0)</f>
        <v>0</v>
      </c>
      <c r="X104" s="34">
        <f>VLOOKUP(A104,'SSP_March''19'!$A$3:$X$1193,24,0)</f>
        <v>0</v>
      </c>
    </row>
    <row r="105" spans="1:24">
      <c r="A105" s="34" t="s">
        <v>2200</v>
      </c>
      <c r="B105" s="34" t="s">
        <v>2201</v>
      </c>
      <c r="C105" s="34" t="s">
        <v>124</v>
      </c>
      <c r="D105" s="34" t="s">
        <v>4</v>
      </c>
      <c r="E105" s="34" t="s">
        <v>4</v>
      </c>
      <c r="F105" s="34" t="s">
        <v>2202</v>
      </c>
      <c r="G105" s="54">
        <v>1706140857</v>
      </c>
      <c r="H105" s="54" t="s">
        <v>229</v>
      </c>
      <c r="I105" s="54" t="s">
        <v>3514</v>
      </c>
      <c r="J105" s="34" t="s">
        <v>3421</v>
      </c>
      <c r="K105" s="43">
        <f>VLOOKUP(A105,'SSP_March''19'!$A$3:$L$1193,11,0)</f>
        <v>130000</v>
      </c>
      <c r="L105" s="43">
        <f>VLOOKUP(A105,'SSP_March''19'!$A$3:$L$1193,12,0)</f>
        <v>41180</v>
      </c>
      <c r="M105" s="44">
        <f t="shared" si="9"/>
        <v>0.31676923076923075</v>
      </c>
      <c r="N105" s="49">
        <f>ROUND(VLOOKUP(A105,'SSP_March''19'!$A$3:$N$1193,14,0),0)</f>
        <v>127658</v>
      </c>
      <c r="O105" s="44">
        <f t="shared" si="10"/>
        <v>0.98198461538461534</v>
      </c>
      <c r="P105" s="45">
        <f>VLOOKUP(A105,'SSP_March''19'!$A$3:$Q$1193,16,0)</f>
        <v>10</v>
      </c>
      <c r="Q105" s="34">
        <f>VLOOKUP(A105,'SSP_March''19'!$A$3:$Q$1193,17,0)</f>
        <v>2</v>
      </c>
      <c r="R105" s="35">
        <f t="shared" si="11"/>
        <v>0.2</v>
      </c>
      <c r="S105" s="49">
        <f>ROUND(VLOOKUP(A105,'SSP_March''19'!$A$3:$T$1193,19,0),0)</f>
        <v>6</v>
      </c>
      <c r="T105" s="44">
        <f>VLOOKUP(A105,'SSP_March''19'!$A$3:$T$1193,20,0)</f>
        <v>0.6</v>
      </c>
      <c r="U105" s="34">
        <f>VLOOKUP(A105,'SSP_March''19'!$A$3:$X$1193,21,0)</f>
        <v>1</v>
      </c>
      <c r="V105" s="34">
        <f>VLOOKUP(A105,'SSP_March''19'!$A$3:$X$1193,22,0)</f>
        <v>1</v>
      </c>
      <c r="W105" s="34">
        <f>VLOOKUP(A105,'SSP_March''19'!$A$3:$X$1193,23,0)</f>
        <v>0</v>
      </c>
      <c r="X105" s="34">
        <f>VLOOKUP(A105,'SSP_March''19'!$A$3:$X$1193,24,0)</f>
        <v>0</v>
      </c>
    </row>
    <row r="106" spans="1:24">
      <c r="A106" s="34" t="s">
        <v>2193</v>
      </c>
      <c r="B106" s="34" t="s">
        <v>128</v>
      </c>
      <c r="C106" s="34" t="s">
        <v>124</v>
      </c>
      <c r="D106" s="34" t="s">
        <v>4</v>
      </c>
      <c r="E106" s="34" t="s">
        <v>4</v>
      </c>
      <c r="F106" s="34" t="s">
        <v>851</v>
      </c>
      <c r="G106" s="54">
        <v>1919731270</v>
      </c>
      <c r="H106" s="54" t="s">
        <v>229</v>
      </c>
      <c r="I106" s="54" t="s">
        <v>3514</v>
      </c>
      <c r="J106" s="34" t="s">
        <v>3515</v>
      </c>
      <c r="K106" s="43">
        <f>VLOOKUP(A106,'SSP_March''19'!$A$3:$L$1193,11,0)</f>
        <v>250000</v>
      </c>
      <c r="L106" s="43">
        <f>VLOOKUP(A106,'SSP_March''19'!$A$3:$L$1193,12,0)</f>
        <v>84960</v>
      </c>
      <c r="M106" s="44">
        <f t="shared" si="9"/>
        <v>0.33983999999999998</v>
      </c>
      <c r="N106" s="49">
        <f>ROUND(VLOOKUP(A106,'SSP_March''19'!$A$3:$N$1193,14,0),0)</f>
        <v>263376</v>
      </c>
      <c r="O106" s="44">
        <f t="shared" si="10"/>
        <v>1.053504</v>
      </c>
      <c r="P106" s="45">
        <f>VLOOKUP(A106,'SSP_March''19'!$A$3:$Q$1193,16,0)</f>
        <v>14</v>
      </c>
      <c r="Q106" s="34">
        <f>VLOOKUP(A106,'SSP_March''19'!$A$3:$Q$1193,17,0)</f>
        <v>7</v>
      </c>
      <c r="R106" s="35">
        <f t="shared" si="11"/>
        <v>0.5</v>
      </c>
      <c r="S106" s="49">
        <f>ROUND(VLOOKUP(A106,'SSP_March''19'!$A$3:$T$1193,19,0),0)</f>
        <v>22</v>
      </c>
      <c r="T106" s="44">
        <f>VLOOKUP(A106,'SSP_March''19'!$A$3:$T$1193,20,0)</f>
        <v>1.5714285714285714</v>
      </c>
      <c r="U106" s="34">
        <f>VLOOKUP(A106,'SSP_March''19'!$A$3:$X$1193,21,0)</f>
        <v>0</v>
      </c>
      <c r="V106" s="34">
        <f>VLOOKUP(A106,'SSP_March''19'!$A$3:$X$1193,22,0)</f>
        <v>3</v>
      </c>
      <c r="W106" s="34">
        <f>VLOOKUP(A106,'SSP_March''19'!$A$3:$X$1193,23,0)</f>
        <v>0</v>
      </c>
      <c r="X106" s="34">
        <f>VLOOKUP(A106,'SSP_March''19'!$A$3:$X$1193,24,0)</f>
        <v>2</v>
      </c>
    </row>
    <row r="107" spans="1:24">
      <c r="A107" s="34" t="s">
        <v>2203</v>
      </c>
      <c r="B107" s="34" t="s">
        <v>2204</v>
      </c>
      <c r="C107" s="34" t="s">
        <v>124</v>
      </c>
      <c r="D107" s="34" t="s">
        <v>4</v>
      </c>
      <c r="E107" s="34" t="s">
        <v>4</v>
      </c>
      <c r="F107" s="34" t="s">
        <v>2205</v>
      </c>
      <c r="G107" s="54">
        <v>1916488036</v>
      </c>
      <c r="H107" s="54" t="s">
        <v>229</v>
      </c>
      <c r="I107" s="54" t="s">
        <v>3514</v>
      </c>
      <c r="J107" s="34" t="s">
        <v>3419</v>
      </c>
      <c r="K107" s="43">
        <f>VLOOKUP(A107,'SSP_March''19'!$A$3:$L$1193,11,0)</f>
        <v>260000</v>
      </c>
      <c r="L107" s="43">
        <f>VLOOKUP(A107,'SSP_March''19'!$A$3:$L$1193,12,0)</f>
        <v>85990</v>
      </c>
      <c r="M107" s="44">
        <f t="shared" si="9"/>
        <v>0.33073076923076922</v>
      </c>
      <c r="N107" s="49">
        <f>ROUND(VLOOKUP(A107,'SSP_March''19'!$A$3:$N$1193,14,0),0)</f>
        <v>266569</v>
      </c>
      <c r="O107" s="44">
        <f t="shared" si="10"/>
        <v>1.0252653846153845</v>
      </c>
      <c r="P107" s="45">
        <f>VLOOKUP(A107,'SSP_March''19'!$A$3:$Q$1193,16,0)</f>
        <v>14</v>
      </c>
      <c r="Q107" s="34">
        <f>VLOOKUP(A107,'SSP_March''19'!$A$3:$Q$1193,17,0)</f>
        <v>1</v>
      </c>
      <c r="R107" s="35">
        <f t="shared" si="11"/>
        <v>7.1428571428571425E-2</v>
      </c>
      <c r="S107" s="49">
        <f>ROUND(VLOOKUP(A107,'SSP_March''19'!$A$3:$T$1193,19,0),0)</f>
        <v>3</v>
      </c>
      <c r="T107" s="44">
        <f>VLOOKUP(A107,'SSP_March''19'!$A$3:$T$1193,20,0)</f>
        <v>0.21428571428571427</v>
      </c>
      <c r="U107" s="34">
        <f>VLOOKUP(A107,'SSP_March''19'!$A$3:$X$1193,21,0)</f>
        <v>3</v>
      </c>
      <c r="V107" s="34">
        <f>VLOOKUP(A107,'SSP_March''19'!$A$3:$X$1193,22,0)</f>
        <v>1</v>
      </c>
      <c r="W107" s="34">
        <f>VLOOKUP(A107,'SSP_March''19'!$A$3:$X$1193,23,0)</f>
        <v>0</v>
      </c>
      <c r="X107" s="34">
        <f>VLOOKUP(A107,'SSP_March''19'!$A$3:$X$1193,24,0)</f>
        <v>0</v>
      </c>
    </row>
    <row r="108" spans="1:24">
      <c r="A108" s="34" t="s">
        <v>2223</v>
      </c>
      <c r="B108" s="34" t="s">
        <v>2224</v>
      </c>
      <c r="C108" s="34" t="s">
        <v>94</v>
      </c>
      <c r="D108" s="34" t="s">
        <v>95</v>
      </c>
      <c r="E108" s="34" t="s">
        <v>4</v>
      </c>
      <c r="F108" s="34" t="s">
        <v>2225</v>
      </c>
      <c r="G108" s="54">
        <v>1711009759</v>
      </c>
      <c r="H108" s="54" t="s">
        <v>229</v>
      </c>
      <c r="I108" s="54" t="s">
        <v>3514</v>
      </c>
      <c r="J108" s="34" t="s">
        <v>3515</v>
      </c>
      <c r="K108" s="43">
        <f>VLOOKUP(A108,'SSP_March''19'!$A$3:$L$1193,11,0)</f>
        <v>130000</v>
      </c>
      <c r="L108" s="43">
        <f>VLOOKUP(A108,'SSP_March''19'!$A$3:$L$1193,12,0)</f>
        <v>9949</v>
      </c>
      <c r="M108" s="44">
        <f t="shared" si="9"/>
        <v>7.6530769230769236E-2</v>
      </c>
      <c r="N108" s="49">
        <f>ROUND(VLOOKUP(A108,'SSP_March''19'!$A$3:$N$1193,14,0),0)</f>
        <v>30842</v>
      </c>
      <c r="O108" s="44">
        <f t="shared" si="10"/>
        <v>0.23724615384615386</v>
      </c>
      <c r="P108" s="45">
        <f>VLOOKUP(A108,'SSP_March''19'!$A$3:$Q$1193,16,0)</f>
        <v>10</v>
      </c>
      <c r="Q108" s="34">
        <f>VLOOKUP(A108,'SSP_March''19'!$A$3:$Q$1193,17,0)</f>
        <v>0</v>
      </c>
      <c r="R108" s="35">
        <f t="shared" si="11"/>
        <v>0</v>
      </c>
      <c r="S108" s="49">
        <f>ROUND(VLOOKUP(A108,'SSP_March''19'!$A$3:$T$1193,19,0),0)</f>
        <v>0</v>
      </c>
      <c r="T108" s="44">
        <f>VLOOKUP(A108,'SSP_March''19'!$A$3:$T$1193,20,0)</f>
        <v>0</v>
      </c>
      <c r="U108" s="34">
        <f>VLOOKUP(A108,'SSP_March''19'!$A$3:$X$1193,21,0)</f>
        <v>0</v>
      </c>
      <c r="V108" s="34">
        <f>VLOOKUP(A108,'SSP_March''19'!$A$3:$X$1193,22,0)</f>
        <v>0</v>
      </c>
      <c r="W108" s="34">
        <f>VLOOKUP(A108,'SSP_March''19'!$A$3:$X$1193,23,0)</f>
        <v>0</v>
      </c>
      <c r="X108" s="34">
        <f>VLOOKUP(A108,'SSP_March''19'!$A$3:$X$1193,24,0)</f>
        <v>0</v>
      </c>
    </row>
    <row r="109" spans="1:24">
      <c r="A109" s="34" t="s">
        <v>2235</v>
      </c>
      <c r="B109" s="34" t="s">
        <v>2236</v>
      </c>
      <c r="C109" s="34" t="s">
        <v>94</v>
      </c>
      <c r="D109" s="34" t="s">
        <v>95</v>
      </c>
      <c r="E109" s="34" t="s">
        <v>4</v>
      </c>
      <c r="F109" s="34" t="s">
        <v>2237</v>
      </c>
      <c r="G109" s="54">
        <v>1766979899</v>
      </c>
      <c r="H109" s="54" t="s">
        <v>229</v>
      </c>
      <c r="I109" s="54" t="s">
        <v>3514</v>
      </c>
      <c r="J109" s="34" t="s">
        <v>3421</v>
      </c>
      <c r="K109" s="43">
        <f>VLOOKUP(A109,'SSP_March''19'!$A$3:$L$1193,11,0)</f>
        <v>130000</v>
      </c>
      <c r="L109" s="43">
        <f>VLOOKUP(A109,'SSP_March''19'!$A$3:$L$1193,12,0)</f>
        <v>20480</v>
      </c>
      <c r="M109" s="44">
        <f t="shared" si="9"/>
        <v>0.15753846153846154</v>
      </c>
      <c r="N109" s="49">
        <f>ROUND(VLOOKUP(A109,'SSP_March''19'!$A$3:$N$1193,14,0),0)</f>
        <v>63488</v>
      </c>
      <c r="O109" s="44">
        <f t="shared" si="10"/>
        <v>0.48836923076923078</v>
      </c>
      <c r="P109" s="45">
        <f>VLOOKUP(A109,'SSP_March''19'!$A$3:$Q$1193,16,0)</f>
        <v>10</v>
      </c>
      <c r="Q109" s="34">
        <f>VLOOKUP(A109,'SSP_March''19'!$A$3:$Q$1193,17,0)</f>
        <v>2</v>
      </c>
      <c r="R109" s="35">
        <f t="shared" si="11"/>
        <v>0.2</v>
      </c>
      <c r="S109" s="49">
        <f>ROUND(VLOOKUP(A109,'SSP_March''19'!$A$3:$T$1193,19,0),0)</f>
        <v>6</v>
      </c>
      <c r="T109" s="44">
        <f>VLOOKUP(A109,'SSP_March''19'!$A$3:$T$1193,20,0)</f>
        <v>0.6</v>
      </c>
      <c r="U109" s="34">
        <f>VLOOKUP(A109,'SSP_March''19'!$A$3:$X$1193,21,0)</f>
        <v>0</v>
      </c>
      <c r="V109" s="34">
        <f>VLOOKUP(A109,'SSP_March''19'!$A$3:$X$1193,22,0)</f>
        <v>0</v>
      </c>
      <c r="W109" s="34">
        <f>VLOOKUP(A109,'SSP_March''19'!$A$3:$X$1193,23,0)</f>
        <v>0</v>
      </c>
      <c r="X109" s="34">
        <f>VLOOKUP(A109,'SSP_March''19'!$A$3:$X$1193,24,0)</f>
        <v>0</v>
      </c>
    </row>
    <row r="110" spans="1:24">
      <c r="A110" s="34" t="s">
        <v>3141</v>
      </c>
      <c r="B110" s="34" t="s">
        <v>3142</v>
      </c>
      <c r="C110" s="34" t="s">
        <v>94</v>
      </c>
      <c r="D110" s="34" t="s">
        <v>95</v>
      </c>
      <c r="E110" s="34" t="s">
        <v>4</v>
      </c>
      <c r="F110" s="34" t="s">
        <v>3143</v>
      </c>
      <c r="G110" s="54">
        <v>1782320038</v>
      </c>
      <c r="H110" s="54" t="s">
        <v>229</v>
      </c>
      <c r="I110" s="54" t="s">
        <v>3518</v>
      </c>
      <c r="J110" s="34" t="s">
        <v>3419</v>
      </c>
      <c r="K110" s="43">
        <f>VLOOKUP(A110,'SSP_March''19'!$A$3:$L$1193,11,0)</f>
        <v>301000</v>
      </c>
      <c r="L110" s="43">
        <f>VLOOKUP(A110,'SSP_March''19'!$A$3:$L$1193,12,0)</f>
        <v>74670</v>
      </c>
      <c r="M110" s="44">
        <f t="shared" si="9"/>
        <v>0.24807308970099667</v>
      </c>
      <c r="N110" s="49">
        <f>ROUND(VLOOKUP(A110,'SSP_March''19'!$A$3:$N$1193,14,0),0)</f>
        <v>231477</v>
      </c>
      <c r="O110" s="44">
        <f t="shared" si="10"/>
        <v>0.76902657807308972</v>
      </c>
      <c r="P110" s="45">
        <f>VLOOKUP(A110,'SSP_March''19'!$A$3:$Q$1193,16,0)</f>
        <v>18</v>
      </c>
      <c r="Q110" s="34">
        <f>VLOOKUP(A110,'SSP_March''19'!$A$3:$Q$1193,17,0)</f>
        <v>4</v>
      </c>
      <c r="R110" s="35">
        <f t="shared" si="11"/>
        <v>0.22222222222222221</v>
      </c>
      <c r="S110" s="49">
        <f>ROUND(VLOOKUP(A110,'SSP_March''19'!$A$3:$T$1193,19,0),0)</f>
        <v>12</v>
      </c>
      <c r="T110" s="44">
        <f>VLOOKUP(A110,'SSP_March''19'!$A$3:$T$1193,20,0)</f>
        <v>0.66666666666666663</v>
      </c>
      <c r="U110" s="34">
        <f>VLOOKUP(A110,'SSP_March''19'!$A$3:$X$1193,21,0)</f>
        <v>2</v>
      </c>
      <c r="V110" s="34">
        <f>VLOOKUP(A110,'SSP_March''19'!$A$3:$X$1193,22,0)</f>
        <v>1</v>
      </c>
      <c r="W110" s="34">
        <f>VLOOKUP(A110,'SSP_March''19'!$A$3:$X$1193,23,0)</f>
        <v>0</v>
      </c>
      <c r="X110" s="34">
        <f>VLOOKUP(A110,'SSP_March''19'!$A$3:$X$1193,24,0)</f>
        <v>0</v>
      </c>
    </row>
    <row r="111" spans="1:24">
      <c r="A111" s="34" t="s">
        <v>2232</v>
      </c>
      <c r="B111" s="34" t="s">
        <v>2233</v>
      </c>
      <c r="C111" s="34" t="s">
        <v>94</v>
      </c>
      <c r="D111" s="34" t="s">
        <v>95</v>
      </c>
      <c r="E111" s="34" t="s">
        <v>4</v>
      </c>
      <c r="F111" s="34" t="s">
        <v>2234</v>
      </c>
      <c r="G111" s="54">
        <v>1848093380</v>
      </c>
      <c r="H111" s="54" t="s">
        <v>229</v>
      </c>
      <c r="I111" s="54" t="s">
        <v>3514</v>
      </c>
      <c r="J111" s="34" t="s">
        <v>3515</v>
      </c>
      <c r="K111" s="43">
        <f>VLOOKUP(A111,'SSP_March''19'!$A$3:$L$1193,11,0)</f>
        <v>130000</v>
      </c>
      <c r="L111" s="43">
        <f>VLOOKUP(A111,'SSP_March''19'!$A$3:$L$1193,12,0)</f>
        <v>12730</v>
      </c>
      <c r="M111" s="44">
        <f t="shared" si="9"/>
        <v>9.7923076923076918E-2</v>
      </c>
      <c r="N111" s="49">
        <f>ROUND(VLOOKUP(A111,'SSP_March''19'!$A$3:$N$1193,14,0),0)</f>
        <v>39463</v>
      </c>
      <c r="O111" s="44">
        <f t="shared" si="10"/>
        <v>0.30356153846153844</v>
      </c>
      <c r="P111" s="45">
        <f>VLOOKUP(A111,'SSP_March''19'!$A$3:$Q$1193,16,0)</f>
        <v>10</v>
      </c>
      <c r="Q111" s="34">
        <f>VLOOKUP(A111,'SSP_March''19'!$A$3:$Q$1193,17,0)</f>
        <v>1</v>
      </c>
      <c r="R111" s="35">
        <f t="shared" si="11"/>
        <v>0.1</v>
      </c>
      <c r="S111" s="49">
        <f>ROUND(VLOOKUP(A111,'SSP_March''19'!$A$3:$T$1193,19,0),0)</f>
        <v>3</v>
      </c>
      <c r="T111" s="44">
        <f>VLOOKUP(A111,'SSP_March''19'!$A$3:$T$1193,20,0)</f>
        <v>0.3</v>
      </c>
      <c r="U111" s="34">
        <f>VLOOKUP(A111,'SSP_March''19'!$A$3:$X$1193,21,0)</f>
        <v>0</v>
      </c>
      <c r="V111" s="34">
        <f>VLOOKUP(A111,'SSP_March''19'!$A$3:$X$1193,22,0)</f>
        <v>0</v>
      </c>
      <c r="W111" s="34">
        <f>VLOOKUP(A111,'SSP_March''19'!$A$3:$X$1193,23,0)</f>
        <v>0</v>
      </c>
      <c r="X111" s="34">
        <f>VLOOKUP(A111,'SSP_March''19'!$A$3:$X$1193,24,0)</f>
        <v>0</v>
      </c>
    </row>
    <row r="112" spans="1:24">
      <c r="A112" s="34" t="s">
        <v>2226</v>
      </c>
      <c r="B112" s="34" t="s">
        <v>2227</v>
      </c>
      <c r="C112" s="34" t="s">
        <v>94</v>
      </c>
      <c r="D112" s="34" t="s">
        <v>95</v>
      </c>
      <c r="E112" s="34" t="s">
        <v>4</v>
      </c>
      <c r="F112" s="34" t="s">
        <v>2228</v>
      </c>
      <c r="G112" s="54">
        <v>1730984550</v>
      </c>
      <c r="H112" s="54" t="s">
        <v>229</v>
      </c>
      <c r="I112" s="54" t="s">
        <v>3514</v>
      </c>
      <c r="J112" s="34" t="s">
        <v>3419</v>
      </c>
      <c r="K112" s="43">
        <f>VLOOKUP(A112,'SSP_March''19'!$A$3:$L$1193,11,0)</f>
        <v>130000</v>
      </c>
      <c r="L112" s="43">
        <f>VLOOKUP(A112,'SSP_March''19'!$A$3:$L$1193,12,0)</f>
        <v>40065</v>
      </c>
      <c r="M112" s="44">
        <f t="shared" si="9"/>
        <v>0.30819230769230771</v>
      </c>
      <c r="N112" s="49">
        <f>ROUND(VLOOKUP(A112,'SSP_March''19'!$A$3:$N$1193,14,0),0)</f>
        <v>124202</v>
      </c>
      <c r="O112" s="44">
        <f t="shared" si="10"/>
        <v>0.95540000000000003</v>
      </c>
      <c r="P112" s="45">
        <f>VLOOKUP(A112,'SSP_March''19'!$A$3:$Q$1193,16,0)</f>
        <v>10</v>
      </c>
      <c r="Q112" s="34">
        <f>VLOOKUP(A112,'SSP_March''19'!$A$3:$Q$1193,17,0)</f>
        <v>2</v>
      </c>
      <c r="R112" s="35">
        <f t="shared" si="11"/>
        <v>0.2</v>
      </c>
      <c r="S112" s="49">
        <f>ROUND(VLOOKUP(A112,'SSP_March''19'!$A$3:$T$1193,19,0),0)</f>
        <v>6</v>
      </c>
      <c r="T112" s="44">
        <f>VLOOKUP(A112,'SSP_March''19'!$A$3:$T$1193,20,0)</f>
        <v>0.6</v>
      </c>
      <c r="U112" s="34">
        <f>VLOOKUP(A112,'SSP_March''19'!$A$3:$X$1193,21,0)</f>
        <v>1</v>
      </c>
      <c r="V112" s="34">
        <f>VLOOKUP(A112,'SSP_March''19'!$A$3:$X$1193,22,0)</f>
        <v>0</v>
      </c>
      <c r="W112" s="34">
        <f>VLOOKUP(A112,'SSP_March''19'!$A$3:$X$1193,23,0)</f>
        <v>0</v>
      </c>
      <c r="X112" s="34">
        <f>VLOOKUP(A112,'SSP_March''19'!$A$3:$X$1193,24,0)</f>
        <v>0</v>
      </c>
    </row>
    <row r="113" spans="1:24">
      <c r="A113" s="34" t="s">
        <v>2244</v>
      </c>
      <c r="B113" s="34" t="s">
        <v>2245</v>
      </c>
      <c r="C113" s="34" t="s">
        <v>94</v>
      </c>
      <c r="D113" s="34" t="s">
        <v>95</v>
      </c>
      <c r="E113" s="34" t="s">
        <v>4</v>
      </c>
      <c r="F113" s="34" t="s">
        <v>2246</v>
      </c>
      <c r="G113" s="54">
        <v>1724135109</v>
      </c>
      <c r="H113" s="54" t="s">
        <v>229</v>
      </c>
      <c r="I113" s="54" t="s">
        <v>3514</v>
      </c>
      <c r="J113" s="34" t="s">
        <v>3419</v>
      </c>
      <c r="K113" s="43">
        <f>VLOOKUP(A113,'SSP_March''19'!$A$3:$L$1193,11,0)</f>
        <v>130000</v>
      </c>
      <c r="L113" s="43">
        <f>VLOOKUP(A113,'SSP_March''19'!$A$3:$L$1193,12,0)</f>
        <v>63590</v>
      </c>
      <c r="M113" s="44">
        <f t="shared" si="9"/>
        <v>0.48915384615384616</v>
      </c>
      <c r="N113" s="49">
        <f>ROUND(VLOOKUP(A113,'SSP_March''19'!$A$3:$N$1193,14,0),0)</f>
        <v>197129</v>
      </c>
      <c r="O113" s="44">
        <f t="shared" si="10"/>
        <v>1.5163769230769231</v>
      </c>
      <c r="P113" s="45">
        <f>VLOOKUP(A113,'SSP_March''19'!$A$3:$Q$1193,16,0)</f>
        <v>10</v>
      </c>
      <c r="Q113" s="34">
        <f>VLOOKUP(A113,'SSP_March''19'!$A$3:$Q$1193,17,0)</f>
        <v>4</v>
      </c>
      <c r="R113" s="35">
        <f t="shared" si="11"/>
        <v>0.4</v>
      </c>
      <c r="S113" s="49">
        <f>ROUND(VLOOKUP(A113,'SSP_March''19'!$A$3:$T$1193,19,0),0)</f>
        <v>12</v>
      </c>
      <c r="T113" s="44">
        <f>VLOOKUP(A113,'SSP_March''19'!$A$3:$T$1193,20,0)</f>
        <v>1.2</v>
      </c>
      <c r="U113" s="34">
        <f>VLOOKUP(A113,'SSP_March''19'!$A$3:$X$1193,21,0)</f>
        <v>0</v>
      </c>
      <c r="V113" s="34">
        <f>VLOOKUP(A113,'SSP_March''19'!$A$3:$X$1193,22,0)</f>
        <v>2</v>
      </c>
      <c r="W113" s="34">
        <f>VLOOKUP(A113,'SSP_March''19'!$A$3:$X$1193,23,0)</f>
        <v>1</v>
      </c>
      <c r="X113" s="34">
        <f>VLOOKUP(A113,'SSP_March''19'!$A$3:$X$1193,24,0)</f>
        <v>0</v>
      </c>
    </row>
    <row r="114" spans="1:24">
      <c r="A114" s="34" t="s">
        <v>2229</v>
      </c>
      <c r="B114" s="34" t="s">
        <v>2230</v>
      </c>
      <c r="C114" s="34" t="s">
        <v>94</v>
      </c>
      <c r="D114" s="34" t="s">
        <v>95</v>
      </c>
      <c r="E114" s="34" t="s">
        <v>4</v>
      </c>
      <c r="F114" s="34" t="s">
        <v>2231</v>
      </c>
      <c r="G114" s="54">
        <v>1718210092</v>
      </c>
      <c r="H114" s="54" t="s">
        <v>229</v>
      </c>
      <c r="I114" s="54" t="s">
        <v>3514</v>
      </c>
      <c r="J114" s="34" t="s">
        <v>3515</v>
      </c>
      <c r="K114" s="43">
        <f>VLOOKUP(A114,'SSP_March''19'!$A$3:$L$1193,11,0)</f>
        <v>152625</v>
      </c>
      <c r="L114" s="43">
        <f>VLOOKUP(A114,'SSP_March''19'!$A$3:$L$1193,12,0)</f>
        <v>63575</v>
      </c>
      <c r="M114" s="44">
        <f t="shared" si="9"/>
        <v>0.41654381654381656</v>
      </c>
      <c r="N114" s="49">
        <f>ROUND(VLOOKUP(A114,'SSP_March''19'!$A$3:$N$1193,14,0),0)</f>
        <v>197083</v>
      </c>
      <c r="O114" s="44">
        <f t="shared" si="10"/>
        <v>1.2912891072891073</v>
      </c>
      <c r="P114" s="45">
        <f>VLOOKUP(A114,'SSP_March''19'!$A$3:$Q$1193,16,0)</f>
        <v>10</v>
      </c>
      <c r="Q114" s="34">
        <f>VLOOKUP(A114,'SSP_March''19'!$A$3:$Q$1193,17,0)</f>
        <v>3</v>
      </c>
      <c r="R114" s="35">
        <f t="shared" si="11"/>
        <v>0.3</v>
      </c>
      <c r="S114" s="49">
        <f>ROUND(VLOOKUP(A114,'SSP_March''19'!$A$3:$T$1193,19,0),0)</f>
        <v>9</v>
      </c>
      <c r="T114" s="44">
        <f>VLOOKUP(A114,'SSP_March''19'!$A$3:$T$1193,20,0)</f>
        <v>0.9</v>
      </c>
      <c r="U114" s="34">
        <f>VLOOKUP(A114,'SSP_March''19'!$A$3:$X$1193,21,0)</f>
        <v>0</v>
      </c>
      <c r="V114" s="34">
        <f>VLOOKUP(A114,'SSP_March''19'!$A$3:$X$1193,22,0)</f>
        <v>0</v>
      </c>
      <c r="W114" s="34">
        <f>VLOOKUP(A114,'SSP_March''19'!$A$3:$X$1193,23,0)</f>
        <v>0</v>
      </c>
      <c r="X114" s="34">
        <f>VLOOKUP(A114,'SSP_March''19'!$A$3:$X$1193,24,0)</f>
        <v>0</v>
      </c>
    </row>
    <row r="115" spans="1:24">
      <c r="A115" s="34" t="s">
        <v>3467</v>
      </c>
      <c r="B115" s="34" t="s">
        <v>3468</v>
      </c>
      <c r="C115" s="34" t="s">
        <v>94</v>
      </c>
      <c r="D115" s="34" t="s">
        <v>95</v>
      </c>
      <c r="E115" s="34" t="s">
        <v>4</v>
      </c>
      <c r="F115" s="34" t="s">
        <v>3469</v>
      </c>
      <c r="G115" s="54">
        <v>1917442265</v>
      </c>
      <c r="H115" s="54" t="s">
        <v>229</v>
      </c>
      <c r="I115" s="54" t="s">
        <v>3518</v>
      </c>
      <c r="J115" s="34" t="s">
        <v>3419</v>
      </c>
      <c r="K115" s="43">
        <f>VLOOKUP(A115,'SSP_March''19'!$A$3:$L$1193,11,0)</f>
        <v>301000</v>
      </c>
      <c r="L115" s="43">
        <f>VLOOKUP(A115,'SSP_March''19'!$A$3:$L$1193,12,0)</f>
        <v>33534</v>
      </c>
      <c r="M115" s="44">
        <f t="shared" si="9"/>
        <v>0.11140863787375416</v>
      </c>
      <c r="N115" s="49">
        <f>ROUND(VLOOKUP(A115,'SSP_March''19'!$A$3:$N$1193,14,0),0)</f>
        <v>103955</v>
      </c>
      <c r="O115" s="44">
        <f t="shared" si="10"/>
        <v>0.34536544850498341</v>
      </c>
      <c r="P115" s="45">
        <f>VLOOKUP(A115,'SSP_March''19'!$A$3:$Q$1193,16,0)</f>
        <v>19</v>
      </c>
      <c r="Q115" s="34">
        <f>VLOOKUP(A115,'SSP_March''19'!$A$3:$Q$1193,17,0)</f>
        <v>2</v>
      </c>
      <c r="R115" s="35">
        <f t="shared" si="11"/>
        <v>0.10526315789473684</v>
      </c>
      <c r="S115" s="49">
        <f>ROUND(VLOOKUP(A115,'SSP_March''19'!$A$3:$T$1193,19,0),0)</f>
        <v>6</v>
      </c>
      <c r="T115" s="44">
        <f>VLOOKUP(A115,'SSP_March''19'!$A$3:$T$1193,20,0)</f>
        <v>0.31578947368421051</v>
      </c>
      <c r="U115" s="34">
        <f>VLOOKUP(A115,'SSP_March''19'!$A$3:$X$1193,21,0)</f>
        <v>0</v>
      </c>
      <c r="V115" s="34">
        <f>VLOOKUP(A115,'SSP_March''19'!$A$3:$X$1193,22,0)</f>
        <v>0</v>
      </c>
      <c r="W115" s="34">
        <f>VLOOKUP(A115,'SSP_March''19'!$A$3:$X$1193,23,0)</f>
        <v>0</v>
      </c>
      <c r="X115" s="34">
        <f>VLOOKUP(A115,'SSP_March''19'!$A$3:$X$1193,24,0)</f>
        <v>0</v>
      </c>
    </row>
    <row r="116" spans="1:24">
      <c r="A116" s="34" t="s">
        <v>2238</v>
      </c>
      <c r="B116" s="34" t="s">
        <v>2239</v>
      </c>
      <c r="C116" s="34" t="s">
        <v>94</v>
      </c>
      <c r="D116" s="34" t="s">
        <v>95</v>
      </c>
      <c r="E116" s="34" t="s">
        <v>4</v>
      </c>
      <c r="F116" s="34" t="s">
        <v>2240</v>
      </c>
      <c r="G116" s="54">
        <v>1713931393</v>
      </c>
      <c r="H116" s="54" t="s">
        <v>229</v>
      </c>
      <c r="I116" s="54" t="s">
        <v>3514</v>
      </c>
      <c r="J116" s="34" t="s">
        <v>3515</v>
      </c>
      <c r="K116" s="43">
        <f>VLOOKUP(A116,'SSP_March''19'!$A$3:$L$1193,11,0)</f>
        <v>130000</v>
      </c>
      <c r="L116" s="43">
        <f>VLOOKUP(A116,'SSP_March''19'!$A$3:$L$1193,12,0)</f>
        <v>52255</v>
      </c>
      <c r="M116" s="44">
        <f t="shared" si="9"/>
        <v>0.40196153846153848</v>
      </c>
      <c r="N116" s="49">
        <f>ROUND(VLOOKUP(A116,'SSP_March''19'!$A$3:$N$1193,14,0),0)</f>
        <v>161991</v>
      </c>
      <c r="O116" s="44">
        <f t="shared" si="10"/>
        <v>1.2460846153846155</v>
      </c>
      <c r="P116" s="45">
        <f>VLOOKUP(A116,'SSP_March''19'!$A$3:$Q$1193,16,0)</f>
        <v>10</v>
      </c>
      <c r="Q116" s="34">
        <f>VLOOKUP(A116,'SSP_March''19'!$A$3:$Q$1193,17,0)</f>
        <v>5</v>
      </c>
      <c r="R116" s="35">
        <f t="shared" si="11"/>
        <v>0.5</v>
      </c>
      <c r="S116" s="49">
        <f>ROUND(VLOOKUP(A116,'SSP_March''19'!$A$3:$T$1193,19,0),0)</f>
        <v>16</v>
      </c>
      <c r="T116" s="44">
        <f>VLOOKUP(A116,'SSP_March''19'!$A$3:$T$1193,20,0)</f>
        <v>1.6</v>
      </c>
      <c r="U116" s="34">
        <f>VLOOKUP(A116,'SSP_March''19'!$A$3:$X$1193,21,0)</f>
        <v>0</v>
      </c>
      <c r="V116" s="34">
        <f>VLOOKUP(A116,'SSP_March''19'!$A$3:$X$1193,22,0)</f>
        <v>0</v>
      </c>
      <c r="W116" s="34">
        <f>VLOOKUP(A116,'SSP_March''19'!$A$3:$X$1193,23,0)</f>
        <v>1</v>
      </c>
      <c r="X116" s="34">
        <f>VLOOKUP(A116,'SSP_March''19'!$A$3:$X$1193,24,0)</f>
        <v>0</v>
      </c>
    </row>
    <row r="117" spans="1:24">
      <c r="A117" s="34" t="s">
        <v>2241</v>
      </c>
      <c r="B117" s="34" t="s">
        <v>2242</v>
      </c>
      <c r="C117" s="34" t="s">
        <v>94</v>
      </c>
      <c r="D117" s="34" t="s">
        <v>95</v>
      </c>
      <c r="E117" s="34" t="s">
        <v>4</v>
      </c>
      <c r="F117" s="34" t="s">
        <v>2243</v>
      </c>
      <c r="G117" s="54">
        <v>1712756792</v>
      </c>
      <c r="H117" s="54" t="s">
        <v>229</v>
      </c>
      <c r="I117" s="54" t="s">
        <v>3514</v>
      </c>
      <c r="J117" s="34" t="s">
        <v>3419</v>
      </c>
      <c r="K117" s="43">
        <f>VLOOKUP(A117,'SSP_March''19'!$A$3:$L$1193,11,0)</f>
        <v>200000</v>
      </c>
      <c r="L117" s="43">
        <f>VLOOKUP(A117,'SSP_March''19'!$A$3:$L$1193,12,0)</f>
        <v>60800</v>
      </c>
      <c r="M117" s="44">
        <f t="shared" si="9"/>
        <v>0.30399999999999999</v>
      </c>
      <c r="N117" s="49">
        <f>ROUND(VLOOKUP(A117,'SSP_March''19'!$A$3:$N$1193,14,0),0)</f>
        <v>188480</v>
      </c>
      <c r="O117" s="44">
        <f t="shared" si="10"/>
        <v>0.94240000000000002</v>
      </c>
      <c r="P117" s="45">
        <f>VLOOKUP(A117,'SSP_March''19'!$A$3:$Q$1193,16,0)</f>
        <v>12</v>
      </c>
      <c r="Q117" s="34">
        <f>VLOOKUP(A117,'SSP_March''19'!$A$3:$Q$1193,17,0)</f>
        <v>3</v>
      </c>
      <c r="R117" s="35">
        <f t="shared" si="11"/>
        <v>0.25</v>
      </c>
      <c r="S117" s="49">
        <f>ROUND(VLOOKUP(A117,'SSP_March''19'!$A$3:$T$1193,19,0),0)</f>
        <v>9</v>
      </c>
      <c r="T117" s="44">
        <f>VLOOKUP(A117,'SSP_March''19'!$A$3:$T$1193,20,0)</f>
        <v>0.75</v>
      </c>
      <c r="U117" s="34">
        <f>VLOOKUP(A117,'SSP_March''19'!$A$3:$X$1193,21,0)</f>
        <v>0</v>
      </c>
      <c r="V117" s="34">
        <f>VLOOKUP(A117,'SSP_March''19'!$A$3:$X$1193,22,0)</f>
        <v>0</v>
      </c>
      <c r="W117" s="34">
        <f>VLOOKUP(A117,'SSP_March''19'!$A$3:$X$1193,23,0)</f>
        <v>0</v>
      </c>
      <c r="X117" s="34">
        <f>VLOOKUP(A117,'SSP_March''19'!$A$3:$X$1193,24,0)</f>
        <v>0</v>
      </c>
    </row>
    <row r="118" spans="1:24">
      <c r="A118" s="34" t="s">
        <v>2256</v>
      </c>
      <c r="B118" s="34" t="s">
        <v>859</v>
      </c>
      <c r="C118" s="34" t="s">
        <v>115</v>
      </c>
      <c r="D118" s="34" t="s">
        <v>116</v>
      </c>
      <c r="E118" s="34" t="s">
        <v>4</v>
      </c>
      <c r="F118" s="34" t="s">
        <v>2257</v>
      </c>
      <c r="G118" s="54">
        <v>1739481137</v>
      </c>
      <c r="H118" s="54" t="s">
        <v>229</v>
      </c>
      <c r="I118" s="54" t="s">
        <v>3514</v>
      </c>
      <c r="J118" s="34" t="s">
        <v>3419</v>
      </c>
      <c r="K118" s="43">
        <f>VLOOKUP(A118,'SSP_March''19'!$A$3:$L$1193,11,0)</f>
        <v>171509</v>
      </c>
      <c r="L118" s="43">
        <f>VLOOKUP(A118,'SSP_March''19'!$A$3:$L$1193,12,0)</f>
        <v>54669</v>
      </c>
      <c r="M118" s="44">
        <f t="shared" si="9"/>
        <v>0.3187529517401419</v>
      </c>
      <c r="N118" s="49">
        <f>ROUND(VLOOKUP(A118,'SSP_March''19'!$A$3:$N$1193,14,0),0)</f>
        <v>169474</v>
      </c>
      <c r="O118" s="44">
        <f t="shared" si="10"/>
        <v>0.98813473345422109</v>
      </c>
      <c r="P118" s="45">
        <f>VLOOKUP(A118,'SSP_March''19'!$A$3:$Q$1193,16,0)</f>
        <v>10</v>
      </c>
      <c r="Q118" s="34">
        <f>VLOOKUP(A118,'SSP_March''19'!$A$3:$Q$1193,17,0)</f>
        <v>2</v>
      </c>
      <c r="R118" s="35">
        <f t="shared" si="11"/>
        <v>0.2</v>
      </c>
      <c r="S118" s="49">
        <f>ROUND(VLOOKUP(A118,'SSP_March''19'!$A$3:$T$1193,19,0),0)</f>
        <v>6</v>
      </c>
      <c r="T118" s="44">
        <f>VLOOKUP(A118,'SSP_March''19'!$A$3:$T$1193,20,0)</f>
        <v>0.6</v>
      </c>
      <c r="U118" s="34">
        <f>VLOOKUP(A118,'SSP_March''19'!$A$3:$X$1193,21,0)</f>
        <v>0</v>
      </c>
      <c r="V118" s="34">
        <f>VLOOKUP(A118,'SSP_March''19'!$A$3:$X$1193,22,0)</f>
        <v>0</v>
      </c>
      <c r="W118" s="34">
        <f>VLOOKUP(A118,'SSP_March''19'!$A$3:$X$1193,23,0)</f>
        <v>0</v>
      </c>
      <c r="X118" s="34">
        <f>VLOOKUP(A118,'SSP_March''19'!$A$3:$X$1193,24,0)</f>
        <v>0</v>
      </c>
    </row>
    <row r="119" spans="1:24">
      <c r="A119" s="34" t="s">
        <v>2264</v>
      </c>
      <c r="B119" s="34" t="s">
        <v>2265</v>
      </c>
      <c r="C119" s="34" t="s">
        <v>115</v>
      </c>
      <c r="D119" s="34" t="s">
        <v>116</v>
      </c>
      <c r="E119" s="34" t="s">
        <v>4</v>
      </c>
      <c r="F119" s="34" t="s">
        <v>2266</v>
      </c>
      <c r="G119" s="54">
        <v>1910303072</v>
      </c>
      <c r="H119" s="54" t="s">
        <v>229</v>
      </c>
      <c r="I119" s="54" t="s">
        <v>3514</v>
      </c>
      <c r="J119" s="34" t="s">
        <v>3419</v>
      </c>
      <c r="K119" s="43">
        <f>VLOOKUP(A119,'SSP_March''19'!$A$3:$L$1193,11,0)</f>
        <v>130000</v>
      </c>
      <c r="L119" s="43">
        <f>VLOOKUP(A119,'SSP_March''19'!$A$3:$L$1193,12,0)</f>
        <v>36784</v>
      </c>
      <c r="M119" s="44">
        <f t="shared" si="9"/>
        <v>0.28295384615384617</v>
      </c>
      <c r="N119" s="49">
        <f>ROUND(VLOOKUP(A119,'SSP_March''19'!$A$3:$N$1193,14,0),0)</f>
        <v>114030</v>
      </c>
      <c r="O119" s="44">
        <f t="shared" si="10"/>
        <v>0.87715384615384617</v>
      </c>
      <c r="P119" s="45">
        <f>VLOOKUP(A119,'SSP_March''19'!$A$3:$Q$1193,16,0)</f>
        <v>10</v>
      </c>
      <c r="Q119" s="34">
        <f>VLOOKUP(A119,'SSP_March''19'!$A$3:$Q$1193,17,0)</f>
        <v>2</v>
      </c>
      <c r="R119" s="35">
        <f t="shared" si="11"/>
        <v>0.2</v>
      </c>
      <c r="S119" s="49">
        <f>ROUND(VLOOKUP(A119,'SSP_March''19'!$A$3:$T$1193,19,0),0)</f>
        <v>6</v>
      </c>
      <c r="T119" s="44">
        <f>VLOOKUP(A119,'SSP_March''19'!$A$3:$T$1193,20,0)</f>
        <v>0.6</v>
      </c>
      <c r="U119" s="34">
        <f>VLOOKUP(A119,'SSP_March''19'!$A$3:$X$1193,21,0)</f>
        <v>1</v>
      </c>
      <c r="V119" s="34">
        <f>VLOOKUP(A119,'SSP_March''19'!$A$3:$X$1193,22,0)</f>
        <v>0</v>
      </c>
      <c r="W119" s="34">
        <f>VLOOKUP(A119,'SSP_March''19'!$A$3:$X$1193,23,0)</f>
        <v>0</v>
      </c>
      <c r="X119" s="34">
        <f>VLOOKUP(A119,'SSP_March''19'!$A$3:$X$1193,24,0)</f>
        <v>0</v>
      </c>
    </row>
    <row r="120" spans="1:24">
      <c r="A120" s="34" t="s">
        <v>2261</v>
      </c>
      <c r="B120" s="34" t="s">
        <v>2262</v>
      </c>
      <c r="C120" s="34" t="s">
        <v>115</v>
      </c>
      <c r="D120" s="34" t="s">
        <v>116</v>
      </c>
      <c r="E120" s="34" t="s">
        <v>4</v>
      </c>
      <c r="F120" s="34" t="s">
        <v>2263</v>
      </c>
      <c r="G120" s="54">
        <v>1672854511</v>
      </c>
      <c r="H120" s="54" t="s">
        <v>229</v>
      </c>
      <c r="I120" s="54" t="s">
        <v>3514</v>
      </c>
      <c r="J120" s="34" t="s">
        <v>3421</v>
      </c>
      <c r="K120" s="43">
        <f>VLOOKUP(A120,'SSP_March''19'!$A$3:$L$1193,11,0)</f>
        <v>130000</v>
      </c>
      <c r="L120" s="43">
        <f>VLOOKUP(A120,'SSP_March''19'!$A$3:$L$1193,12,0)</f>
        <v>4740</v>
      </c>
      <c r="M120" s="44">
        <f t="shared" si="9"/>
        <v>3.6461538461538462E-2</v>
      </c>
      <c r="N120" s="49">
        <f>ROUND(VLOOKUP(A120,'SSP_March''19'!$A$3:$N$1193,14,0),0)</f>
        <v>14694</v>
      </c>
      <c r="O120" s="44">
        <f t="shared" si="10"/>
        <v>0.11303076923076923</v>
      </c>
      <c r="P120" s="45">
        <f>VLOOKUP(A120,'SSP_March''19'!$A$3:$Q$1193,16,0)</f>
        <v>10</v>
      </c>
      <c r="Q120" s="34">
        <f>VLOOKUP(A120,'SSP_March''19'!$A$3:$Q$1193,17,0)</f>
        <v>0</v>
      </c>
      <c r="R120" s="35">
        <f t="shared" si="11"/>
        <v>0</v>
      </c>
      <c r="S120" s="49">
        <f>ROUND(VLOOKUP(A120,'SSP_March''19'!$A$3:$T$1193,19,0),0)</f>
        <v>0</v>
      </c>
      <c r="T120" s="44">
        <f>VLOOKUP(A120,'SSP_March''19'!$A$3:$T$1193,20,0)</f>
        <v>0</v>
      </c>
      <c r="U120" s="34">
        <f>VLOOKUP(A120,'SSP_March''19'!$A$3:$X$1193,21,0)</f>
        <v>0</v>
      </c>
      <c r="V120" s="34">
        <f>VLOOKUP(A120,'SSP_March''19'!$A$3:$X$1193,22,0)</f>
        <v>0</v>
      </c>
      <c r="W120" s="34">
        <f>VLOOKUP(A120,'SSP_March''19'!$A$3:$X$1193,23,0)</f>
        <v>0</v>
      </c>
      <c r="X120" s="34">
        <f>VLOOKUP(A120,'SSP_March''19'!$A$3:$X$1193,24,0)</f>
        <v>0</v>
      </c>
    </row>
    <row r="121" spans="1:24">
      <c r="A121" s="34" t="s">
        <v>2253</v>
      </c>
      <c r="B121" s="34" t="s">
        <v>2254</v>
      </c>
      <c r="C121" s="34" t="s">
        <v>115</v>
      </c>
      <c r="D121" s="34" t="s">
        <v>116</v>
      </c>
      <c r="E121" s="34" t="s">
        <v>4</v>
      </c>
      <c r="F121" s="34" t="s">
        <v>2255</v>
      </c>
      <c r="G121" s="54">
        <v>1764236044</v>
      </c>
      <c r="H121" s="54" t="s">
        <v>229</v>
      </c>
      <c r="I121" s="54" t="s">
        <v>3514</v>
      </c>
      <c r="J121" s="34" t="s">
        <v>3421</v>
      </c>
      <c r="K121" s="43">
        <f>VLOOKUP(A121,'SSP_March''19'!$A$3:$L$1193,11,0)</f>
        <v>130000</v>
      </c>
      <c r="L121" s="43">
        <f>VLOOKUP(A121,'SSP_March''19'!$A$3:$L$1193,12,0)</f>
        <v>41370</v>
      </c>
      <c r="M121" s="44">
        <f t="shared" si="9"/>
        <v>0.31823076923076921</v>
      </c>
      <c r="N121" s="49">
        <f>ROUND(VLOOKUP(A121,'SSP_March''19'!$A$3:$N$1193,14,0),0)</f>
        <v>128247</v>
      </c>
      <c r="O121" s="44">
        <f t="shared" si="10"/>
        <v>0.98651538461538457</v>
      </c>
      <c r="P121" s="45">
        <f>VLOOKUP(A121,'SSP_March''19'!$A$3:$Q$1193,16,0)</f>
        <v>10</v>
      </c>
      <c r="Q121" s="34">
        <f>VLOOKUP(A121,'SSP_March''19'!$A$3:$Q$1193,17,0)</f>
        <v>0</v>
      </c>
      <c r="R121" s="35">
        <f t="shared" si="11"/>
        <v>0</v>
      </c>
      <c r="S121" s="49">
        <f>ROUND(VLOOKUP(A121,'SSP_March''19'!$A$3:$T$1193,19,0),0)</f>
        <v>0</v>
      </c>
      <c r="T121" s="44">
        <f>VLOOKUP(A121,'SSP_March''19'!$A$3:$T$1193,20,0)</f>
        <v>0</v>
      </c>
      <c r="U121" s="34">
        <f>VLOOKUP(A121,'SSP_March''19'!$A$3:$X$1193,21,0)</f>
        <v>0</v>
      </c>
      <c r="V121" s="34">
        <f>VLOOKUP(A121,'SSP_March''19'!$A$3:$X$1193,22,0)</f>
        <v>0</v>
      </c>
      <c r="W121" s="34">
        <f>VLOOKUP(A121,'SSP_March''19'!$A$3:$X$1193,23,0)</f>
        <v>0</v>
      </c>
      <c r="X121" s="34">
        <f>VLOOKUP(A121,'SSP_March''19'!$A$3:$X$1193,24,0)</f>
        <v>0</v>
      </c>
    </row>
    <row r="122" spans="1:24">
      <c r="A122" s="34" t="s">
        <v>2247</v>
      </c>
      <c r="B122" s="34" t="s">
        <v>2248</v>
      </c>
      <c r="C122" s="34" t="s">
        <v>115</v>
      </c>
      <c r="D122" s="34" t="s">
        <v>116</v>
      </c>
      <c r="E122" s="34" t="s">
        <v>4</v>
      </c>
      <c r="F122" s="34" t="s">
        <v>2249</v>
      </c>
      <c r="G122" s="54">
        <v>1815191504</v>
      </c>
      <c r="H122" s="54" t="s">
        <v>229</v>
      </c>
      <c r="I122" s="54" t="s">
        <v>3514</v>
      </c>
      <c r="J122" s="34" t="s">
        <v>3515</v>
      </c>
      <c r="K122" s="43">
        <f>VLOOKUP(A122,'SSP_March''19'!$A$3:$L$1193,11,0)</f>
        <v>155011</v>
      </c>
      <c r="L122" s="43">
        <f>VLOOKUP(A122,'SSP_March''19'!$A$3:$L$1193,12,0)</f>
        <v>40005</v>
      </c>
      <c r="M122" s="44">
        <f t="shared" si="9"/>
        <v>0.25807845894807463</v>
      </c>
      <c r="N122" s="49">
        <f>ROUND(VLOOKUP(A122,'SSP_March''19'!$A$3:$N$1193,14,0),0)</f>
        <v>124016</v>
      </c>
      <c r="O122" s="44">
        <f t="shared" si="10"/>
        <v>0.80004644831657112</v>
      </c>
      <c r="P122" s="45">
        <f>VLOOKUP(A122,'SSP_March''19'!$A$3:$Q$1193,16,0)</f>
        <v>12</v>
      </c>
      <c r="Q122" s="34">
        <f>VLOOKUP(A122,'SSP_March''19'!$A$3:$Q$1193,17,0)</f>
        <v>2</v>
      </c>
      <c r="R122" s="35">
        <f t="shared" si="11"/>
        <v>0.16666666666666666</v>
      </c>
      <c r="S122" s="49">
        <f>ROUND(VLOOKUP(A122,'SSP_March''19'!$A$3:$T$1193,19,0),0)</f>
        <v>6</v>
      </c>
      <c r="T122" s="44">
        <f>VLOOKUP(A122,'SSP_March''19'!$A$3:$T$1193,20,0)</f>
        <v>0.5</v>
      </c>
      <c r="U122" s="34">
        <f>VLOOKUP(A122,'SSP_March''19'!$A$3:$X$1193,21,0)</f>
        <v>1</v>
      </c>
      <c r="V122" s="34">
        <f>VLOOKUP(A122,'SSP_March''19'!$A$3:$X$1193,22,0)</f>
        <v>1</v>
      </c>
      <c r="W122" s="34">
        <f>VLOOKUP(A122,'SSP_March''19'!$A$3:$X$1193,23,0)</f>
        <v>0</v>
      </c>
      <c r="X122" s="34">
        <f>VLOOKUP(A122,'SSP_March''19'!$A$3:$X$1193,24,0)</f>
        <v>0</v>
      </c>
    </row>
    <row r="123" spans="1:24">
      <c r="A123" s="34" t="s">
        <v>2270</v>
      </c>
      <c r="B123" s="34" t="s">
        <v>50</v>
      </c>
      <c r="C123" s="34" t="s">
        <v>115</v>
      </c>
      <c r="D123" s="34" t="s">
        <v>116</v>
      </c>
      <c r="E123" s="34" t="s">
        <v>4</v>
      </c>
      <c r="F123" s="34" t="s">
        <v>2271</v>
      </c>
      <c r="G123" s="54">
        <v>1628414243</v>
      </c>
      <c r="H123" s="54" t="s">
        <v>229</v>
      </c>
      <c r="I123" s="54" t="s">
        <v>3514</v>
      </c>
      <c r="J123" s="34" t="s">
        <v>3421</v>
      </c>
      <c r="K123" s="43">
        <f>VLOOKUP(A123,'SSP_March''19'!$A$3:$L$1193,11,0)</f>
        <v>130000</v>
      </c>
      <c r="L123" s="43">
        <f>VLOOKUP(A123,'SSP_March''19'!$A$3:$L$1193,12,0)</f>
        <v>29459</v>
      </c>
      <c r="M123" s="44">
        <f t="shared" si="9"/>
        <v>0.22660769230769232</v>
      </c>
      <c r="N123" s="49">
        <f>ROUND(VLOOKUP(A123,'SSP_March''19'!$A$3:$N$1193,14,0),0)</f>
        <v>91323</v>
      </c>
      <c r="O123" s="44">
        <f t="shared" si="10"/>
        <v>0.70248461538461537</v>
      </c>
      <c r="P123" s="45">
        <f>VLOOKUP(A123,'SSP_March''19'!$A$3:$Q$1193,16,0)</f>
        <v>10</v>
      </c>
      <c r="Q123" s="34">
        <f>VLOOKUP(A123,'SSP_March''19'!$A$3:$Q$1193,17,0)</f>
        <v>2</v>
      </c>
      <c r="R123" s="35">
        <f t="shared" si="11"/>
        <v>0.2</v>
      </c>
      <c r="S123" s="49">
        <f>ROUND(VLOOKUP(A123,'SSP_March''19'!$A$3:$T$1193,19,0),0)</f>
        <v>6</v>
      </c>
      <c r="T123" s="44">
        <f>VLOOKUP(A123,'SSP_March''19'!$A$3:$T$1193,20,0)</f>
        <v>0.6</v>
      </c>
      <c r="U123" s="34">
        <f>VLOOKUP(A123,'SSP_March''19'!$A$3:$X$1193,21,0)</f>
        <v>1</v>
      </c>
      <c r="V123" s="34">
        <f>VLOOKUP(A123,'SSP_March''19'!$A$3:$X$1193,22,0)</f>
        <v>1</v>
      </c>
      <c r="W123" s="34">
        <f>VLOOKUP(A123,'SSP_March''19'!$A$3:$X$1193,23,0)</f>
        <v>0</v>
      </c>
      <c r="X123" s="34">
        <f>VLOOKUP(A123,'SSP_March''19'!$A$3:$X$1193,24,0)</f>
        <v>0</v>
      </c>
    </row>
    <row r="124" spans="1:24">
      <c r="A124" s="34" t="s">
        <v>2272</v>
      </c>
      <c r="B124" s="34" t="s">
        <v>2273</v>
      </c>
      <c r="C124" s="34" t="s">
        <v>115</v>
      </c>
      <c r="D124" s="34" t="s">
        <v>116</v>
      </c>
      <c r="E124" s="34" t="s">
        <v>4</v>
      </c>
      <c r="F124" s="34" t="s">
        <v>2274</v>
      </c>
      <c r="G124" s="54">
        <v>1839476909</v>
      </c>
      <c r="H124" s="54" t="s">
        <v>229</v>
      </c>
      <c r="I124" s="54" t="s">
        <v>3514</v>
      </c>
      <c r="J124" s="34" t="s">
        <v>3421</v>
      </c>
      <c r="K124" s="43">
        <f>VLOOKUP(A124,'SSP_March''19'!$A$3:$L$1193,11,0)</f>
        <v>130000</v>
      </c>
      <c r="L124" s="43">
        <f>VLOOKUP(A124,'SSP_March''19'!$A$3:$L$1193,12,0)</f>
        <v>6150</v>
      </c>
      <c r="M124" s="44">
        <f t="shared" si="9"/>
        <v>4.7307692307692308E-2</v>
      </c>
      <c r="N124" s="49">
        <f>ROUND(VLOOKUP(A124,'SSP_March''19'!$A$3:$N$1193,14,0),0)</f>
        <v>19065</v>
      </c>
      <c r="O124" s="44">
        <f t="shared" si="10"/>
        <v>0.14665384615384616</v>
      </c>
      <c r="P124" s="45">
        <f>VLOOKUP(A124,'SSP_March''19'!$A$3:$Q$1193,16,0)</f>
        <v>10</v>
      </c>
      <c r="Q124" s="34">
        <f>VLOOKUP(A124,'SSP_March''19'!$A$3:$Q$1193,17,0)</f>
        <v>1</v>
      </c>
      <c r="R124" s="35">
        <f t="shared" si="11"/>
        <v>0.1</v>
      </c>
      <c r="S124" s="49">
        <f>ROUND(VLOOKUP(A124,'SSP_March''19'!$A$3:$T$1193,19,0),0)</f>
        <v>3</v>
      </c>
      <c r="T124" s="44">
        <f>VLOOKUP(A124,'SSP_March''19'!$A$3:$T$1193,20,0)</f>
        <v>0.3</v>
      </c>
      <c r="U124" s="34">
        <f>VLOOKUP(A124,'SSP_March''19'!$A$3:$X$1193,21,0)</f>
        <v>0</v>
      </c>
      <c r="V124" s="34">
        <f>VLOOKUP(A124,'SSP_March''19'!$A$3:$X$1193,22,0)</f>
        <v>0</v>
      </c>
      <c r="W124" s="34">
        <f>VLOOKUP(A124,'SSP_March''19'!$A$3:$X$1193,23,0)</f>
        <v>0</v>
      </c>
      <c r="X124" s="34">
        <f>VLOOKUP(A124,'SSP_March''19'!$A$3:$X$1193,24,0)</f>
        <v>0</v>
      </c>
    </row>
    <row r="125" spans="1:24">
      <c r="A125" s="34" t="s">
        <v>2275</v>
      </c>
      <c r="B125" s="34" t="s">
        <v>2276</v>
      </c>
      <c r="C125" s="34" t="s">
        <v>115</v>
      </c>
      <c r="D125" s="34" t="s">
        <v>116</v>
      </c>
      <c r="E125" s="34" t="s">
        <v>4</v>
      </c>
      <c r="F125" s="34" t="s">
        <v>2277</v>
      </c>
      <c r="G125" s="54">
        <v>1761866642</v>
      </c>
      <c r="H125" s="54" t="s">
        <v>229</v>
      </c>
      <c r="I125" s="54" t="s">
        <v>3514</v>
      </c>
      <c r="J125" s="34" t="s">
        <v>3515</v>
      </c>
      <c r="K125" s="43">
        <f>VLOOKUP(A125,'SSP_March''19'!$A$3:$L$1193,11,0)</f>
        <v>130000</v>
      </c>
      <c r="L125" s="43">
        <f>VLOOKUP(A125,'SSP_March''19'!$A$3:$L$1193,12,0)</f>
        <v>31860</v>
      </c>
      <c r="M125" s="44">
        <f t="shared" si="9"/>
        <v>0.24507692307692308</v>
      </c>
      <c r="N125" s="49">
        <f>ROUND(VLOOKUP(A125,'SSP_March''19'!$A$3:$N$1193,14,0),0)</f>
        <v>98766</v>
      </c>
      <c r="O125" s="44">
        <f t="shared" si="10"/>
        <v>0.75973846153846158</v>
      </c>
      <c r="P125" s="45">
        <f>VLOOKUP(A125,'SSP_March''19'!$A$3:$Q$1193,16,0)</f>
        <v>10</v>
      </c>
      <c r="Q125" s="34">
        <f>VLOOKUP(A125,'SSP_March''19'!$A$3:$Q$1193,17,0)</f>
        <v>3</v>
      </c>
      <c r="R125" s="35">
        <f t="shared" si="11"/>
        <v>0.3</v>
      </c>
      <c r="S125" s="49">
        <f>ROUND(VLOOKUP(A125,'SSP_March''19'!$A$3:$T$1193,19,0),0)</f>
        <v>9</v>
      </c>
      <c r="T125" s="44">
        <f>VLOOKUP(A125,'SSP_March''19'!$A$3:$T$1193,20,0)</f>
        <v>0.9</v>
      </c>
      <c r="U125" s="34">
        <f>VLOOKUP(A125,'SSP_March''19'!$A$3:$X$1193,21,0)</f>
        <v>0</v>
      </c>
      <c r="V125" s="34">
        <f>VLOOKUP(A125,'SSP_March''19'!$A$3:$X$1193,22,0)</f>
        <v>0</v>
      </c>
      <c r="W125" s="34">
        <f>VLOOKUP(A125,'SSP_March''19'!$A$3:$X$1193,23,0)</f>
        <v>0</v>
      </c>
      <c r="X125" s="34">
        <f>VLOOKUP(A125,'SSP_March''19'!$A$3:$X$1193,24,0)</f>
        <v>0</v>
      </c>
    </row>
    <row r="126" spans="1:24">
      <c r="A126" s="34" t="s">
        <v>2258</v>
      </c>
      <c r="B126" s="34" t="s">
        <v>2259</v>
      </c>
      <c r="C126" s="34" t="s">
        <v>115</v>
      </c>
      <c r="D126" s="34" t="s">
        <v>116</v>
      </c>
      <c r="E126" s="34" t="s">
        <v>4</v>
      </c>
      <c r="F126" s="34" t="s">
        <v>2260</v>
      </c>
      <c r="G126" s="54">
        <v>1851180723</v>
      </c>
      <c r="H126" s="54" t="s">
        <v>229</v>
      </c>
      <c r="I126" s="54" t="s">
        <v>3514</v>
      </c>
      <c r="J126" s="34" t="s">
        <v>3515</v>
      </c>
      <c r="K126" s="43">
        <f>VLOOKUP(A126,'SSP_March''19'!$A$3:$L$1193,11,0)</f>
        <v>130000</v>
      </c>
      <c r="L126" s="43">
        <f>VLOOKUP(A126,'SSP_March''19'!$A$3:$L$1193,12,0)</f>
        <v>64170</v>
      </c>
      <c r="M126" s="44">
        <f t="shared" si="9"/>
        <v>0.49361538461538462</v>
      </c>
      <c r="N126" s="49">
        <f>ROUND(VLOOKUP(A126,'SSP_March''19'!$A$3:$N$1193,14,0),0)</f>
        <v>198927</v>
      </c>
      <c r="O126" s="44">
        <f t="shared" si="10"/>
        <v>1.5302076923076924</v>
      </c>
      <c r="P126" s="45">
        <f>VLOOKUP(A126,'SSP_March''19'!$A$3:$Q$1193,16,0)</f>
        <v>10</v>
      </c>
      <c r="Q126" s="34">
        <f>VLOOKUP(A126,'SSP_March''19'!$A$3:$Q$1193,17,0)</f>
        <v>1</v>
      </c>
      <c r="R126" s="35">
        <f t="shared" si="11"/>
        <v>0.1</v>
      </c>
      <c r="S126" s="49">
        <f>ROUND(VLOOKUP(A126,'SSP_March''19'!$A$3:$T$1193,19,0),0)</f>
        <v>3</v>
      </c>
      <c r="T126" s="44">
        <f>VLOOKUP(A126,'SSP_March''19'!$A$3:$T$1193,20,0)</f>
        <v>0.3</v>
      </c>
      <c r="U126" s="34">
        <f>VLOOKUP(A126,'SSP_March''19'!$A$3:$X$1193,21,0)</f>
        <v>1</v>
      </c>
      <c r="V126" s="34">
        <f>VLOOKUP(A126,'SSP_March''19'!$A$3:$X$1193,22,0)</f>
        <v>0</v>
      </c>
      <c r="W126" s="34">
        <f>VLOOKUP(A126,'SSP_March''19'!$A$3:$X$1193,23,0)</f>
        <v>0</v>
      </c>
      <c r="X126" s="34">
        <f>VLOOKUP(A126,'SSP_March''19'!$A$3:$X$1193,24,0)</f>
        <v>0</v>
      </c>
    </row>
    <row r="127" spans="1:24">
      <c r="A127" s="34" t="s">
        <v>2250</v>
      </c>
      <c r="B127" s="34" t="s">
        <v>2251</v>
      </c>
      <c r="C127" s="34" t="s">
        <v>115</v>
      </c>
      <c r="D127" s="34" t="s">
        <v>116</v>
      </c>
      <c r="E127" s="34" t="s">
        <v>4</v>
      </c>
      <c r="F127" s="34" t="s">
        <v>2252</v>
      </c>
      <c r="G127" s="54">
        <v>1925330930</v>
      </c>
      <c r="H127" s="54" t="s">
        <v>229</v>
      </c>
      <c r="I127" s="54" t="s">
        <v>3514</v>
      </c>
      <c r="J127" s="34" t="s">
        <v>3419</v>
      </c>
      <c r="K127" s="43">
        <f>VLOOKUP(A127,'SSP_March''19'!$A$3:$L$1193,11,0)</f>
        <v>130000</v>
      </c>
      <c r="L127" s="43">
        <f>VLOOKUP(A127,'SSP_March''19'!$A$3:$L$1193,12,0)</f>
        <v>33125</v>
      </c>
      <c r="M127" s="44">
        <f t="shared" si="9"/>
        <v>0.25480769230769229</v>
      </c>
      <c r="N127" s="49">
        <f>ROUND(VLOOKUP(A127,'SSP_March''19'!$A$3:$N$1193,14,0),0)</f>
        <v>102688</v>
      </c>
      <c r="O127" s="44">
        <f t="shared" si="10"/>
        <v>0.78990769230769231</v>
      </c>
      <c r="P127" s="45">
        <f>VLOOKUP(A127,'SSP_March''19'!$A$3:$Q$1193,16,0)</f>
        <v>10</v>
      </c>
      <c r="Q127" s="34">
        <f>VLOOKUP(A127,'SSP_March''19'!$A$3:$Q$1193,17,0)</f>
        <v>1</v>
      </c>
      <c r="R127" s="35">
        <f t="shared" si="11"/>
        <v>0.1</v>
      </c>
      <c r="S127" s="49">
        <f>ROUND(VLOOKUP(A127,'SSP_March''19'!$A$3:$T$1193,19,0),0)</f>
        <v>3</v>
      </c>
      <c r="T127" s="44">
        <f>VLOOKUP(A127,'SSP_March''19'!$A$3:$T$1193,20,0)</f>
        <v>0.3</v>
      </c>
      <c r="U127" s="34">
        <f>VLOOKUP(A127,'SSP_March''19'!$A$3:$X$1193,21,0)</f>
        <v>1</v>
      </c>
      <c r="V127" s="34">
        <f>VLOOKUP(A127,'SSP_March''19'!$A$3:$X$1193,22,0)</f>
        <v>0</v>
      </c>
      <c r="W127" s="34">
        <f>VLOOKUP(A127,'SSP_March''19'!$A$3:$X$1193,23,0)</f>
        <v>0</v>
      </c>
      <c r="X127" s="34">
        <f>VLOOKUP(A127,'SSP_March''19'!$A$3:$X$1193,24,0)</f>
        <v>0</v>
      </c>
    </row>
    <row r="128" spans="1:24">
      <c r="A128" s="34" t="s">
        <v>2267</v>
      </c>
      <c r="B128" s="34" t="s">
        <v>2268</v>
      </c>
      <c r="C128" s="34" t="s">
        <v>115</v>
      </c>
      <c r="D128" s="34" t="s">
        <v>116</v>
      </c>
      <c r="E128" s="34" t="s">
        <v>4</v>
      </c>
      <c r="F128" s="34" t="s">
        <v>2269</v>
      </c>
      <c r="G128" s="54">
        <v>1715855805</v>
      </c>
      <c r="H128" s="54" t="s">
        <v>229</v>
      </c>
      <c r="I128" s="54" t="s">
        <v>3514</v>
      </c>
      <c r="J128" s="34" t="s">
        <v>3419</v>
      </c>
      <c r="K128" s="43">
        <f>VLOOKUP(A128,'SSP_March''19'!$A$3:$L$1193,11,0)</f>
        <v>130000</v>
      </c>
      <c r="L128" s="43">
        <f>VLOOKUP(A128,'SSP_March''19'!$A$3:$L$1193,12,0)</f>
        <v>10580</v>
      </c>
      <c r="M128" s="44">
        <f t="shared" si="9"/>
        <v>8.1384615384615389E-2</v>
      </c>
      <c r="N128" s="49">
        <f>ROUND(VLOOKUP(A128,'SSP_March''19'!$A$3:$N$1193,14,0),0)</f>
        <v>32798</v>
      </c>
      <c r="O128" s="44">
        <f t="shared" si="10"/>
        <v>0.2522923076923077</v>
      </c>
      <c r="P128" s="45">
        <f>VLOOKUP(A128,'SSP_March''19'!$A$3:$Q$1193,16,0)</f>
        <v>10</v>
      </c>
      <c r="Q128" s="34">
        <f>VLOOKUP(A128,'SSP_March''19'!$A$3:$Q$1193,17,0)</f>
        <v>0</v>
      </c>
      <c r="R128" s="35">
        <f t="shared" si="11"/>
        <v>0</v>
      </c>
      <c r="S128" s="49">
        <f>ROUND(VLOOKUP(A128,'SSP_March''19'!$A$3:$T$1193,19,0),0)</f>
        <v>0</v>
      </c>
      <c r="T128" s="44">
        <f>VLOOKUP(A128,'SSP_March''19'!$A$3:$T$1193,20,0)</f>
        <v>0</v>
      </c>
      <c r="U128" s="34">
        <f>VLOOKUP(A128,'SSP_March''19'!$A$3:$X$1193,21,0)</f>
        <v>0</v>
      </c>
      <c r="V128" s="34">
        <f>VLOOKUP(A128,'SSP_March''19'!$A$3:$X$1193,22,0)</f>
        <v>0</v>
      </c>
      <c r="W128" s="34">
        <f>VLOOKUP(A128,'SSP_March''19'!$A$3:$X$1193,23,0)</f>
        <v>0</v>
      </c>
      <c r="X128" s="34">
        <f>VLOOKUP(A128,'SSP_March''19'!$A$3:$X$1193,24,0)</f>
        <v>0</v>
      </c>
    </row>
    <row r="129" spans="1:24">
      <c r="A129" s="34" t="s">
        <v>2280</v>
      </c>
      <c r="B129" s="34" t="s">
        <v>2281</v>
      </c>
      <c r="C129" s="34" t="s">
        <v>186</v>
      </c>
      <c r="D129" s="34" t="s">
        <v>116</v>
      </c>
      <c r="E129" s="34" t="s">
        <v>4</v>
      </c>
      <c r="F129" s="34" t="s">
        <v>2282</v>
      </c>
      <c r="G129" s="54">
        <v>1715485344</v>
      </c>
      <c r="H129" s="54" t="s">
        <v>229</v>
      </c>
      <c r="I129" s="54" t="s">
        <v>3514</v>
      </c>
      <c r="J129" s="34" t="s">
        <v>3421</v>
      </c>
      <c r="K129" s="43">
        <f>VLOOKUP(A129,'SSP_March''19'!$A$3:$L$1193,11,0)</f>
        <v>130000</v>
      </c>
      <c r="L129" s="43">
        <f>VLOOKUP(A129,'SSP_March''19'!$A$3:$L$1193,12,0)</f>
        <v>29440</v>
      </c>
      <c r="M129" s="44">
        <f t="shared" si="9"/>
        <v>0.22646153846153846</v>
      </c>
      <c r="N129" s="49">
        <f>ROUND(VLOOKUP(A129,'SSP_March''19'!$A$3:$N$1193,14,0),0)</f>
        <v>91264</v>
      </c>
      <c r="O129" s="44">
        <f t="shared" si="10"/>
        <v>0.70203076923076924</v>
      </c>
      <c r="P129" s="45">
        <f>VLOOKUP(A129,'SSP_March''19'!$A$3:$Q$1193,16,0)</f>
        <v>10</v>
      </c>
      <c r="Q129" s="34">
        <f>VLOOKUP(A129,'SSP_March''19'!$A$3:$Q$1193,17,0)</f>
        <v>1</v>
      </c>
      <c r="R129" s="35">
        <f t="shared" si="11"/>
        <v>0.1</v>
      </c>
      <c r="S129" s="49">
        <f>ROUND(VLOOKUP(A129,'SSP_March''19'!$A$3:$T$1193,19,0),0)</f>
        <v>3</v>
      </c>
      <c r="T129" s="44">
        <f>VLOOKUP(A129,'SSP_March''19'!$A$3:$T$1193,20,0)</f>
        <v>0.3</v>
      </c>
      <c r="U129" s="34">
        <f>VLOOKUP(A129,'SSP_March''19'!$A$3:$X$1193,21,0)</f>
        <v>2</v>
      </c>
      <c r="V129" s="34">
        <f>VLOOKUP(A129,'SSP_March''19'!$A$3:$X$1193,22,0)</f>
        <v>1</v>
      </c>
      <c r="W129" s="34">
        <f>VLOOKUP(A129,'SSP_March''19'!$A$3:$X$1193,23,0)</f>
        <v>0</v>
      </c>
      <c r="X129" s="34">
        <f>VLOOKUP(A129,'SSP_March''19'!$A$3:$X$1193,24,0)</f>
        <v>0</v>
      </c>
    </row>
    <row r="130" spans="1:24">
      <c r="A130" s="34" t="s">
        <v>2289</v>
      </c>
      <c r="B130" s="34" t="s">
        <v>2290</v>
      </c>
      <c r="C130" s="34" t="s">
        <v>186</v>
      </c>
      <c r="D130" s="34" t="s">
        <v>116</v>
      </c>
      <c r="E130" s="34" t="s">
        <v>4</v>
      </c>
      <c r="F130" s="34" t="s">
        <v>2291</v>
      </c>
      <c r="G130" s="54">
        <v>1715851586</v>
      </c>
      <c r="H130" s="54" t="s">
        <v>229</v>
      </c>
      <c r="I130" s="54" t="s">
        <v>3514</v>
      </c>
      <c r="J130" s="34" t="s">
        <v>3515</v>
      </c>
      <c r="K130" s="43">
        <f>VLOOKUP(A130,'SSP_March''19'!$A$3:$L$1193,11,0)</f>
        <v>130000</v>
      </c>
      <c r="L130" s="43">
        <f>VLOOKUP(A130,'SSP_March''19'!$A$3:$L$1193,12,0)</f>
        <v>19070</v>
      </c>
      <c r="M130" s="44">
        <f t="shared" si="9"/>
        <v>0.14669230769230771</v>
      </c>
      <c r="N130" s="49">
        <f>ROUND(VLOOKUP(A130,'SSP_March''19'!$A$3:$N$1193,14,0),0)</f>
        <v>59117</v>
      </c>
      <c r="O130" s="44">
        <f t="shared" si="10"/>
        <v>0.45474615384615386</v>
      </c>
      <c r="P130" s="45">
        <f>VLOOKUP(A130,'SSP_March''19'!$A$3:$Q$1193,16,0)</f>
        <v>10</v>
      </c>
      <c r="Q130" s="34">
        <f>VLOOKUP(A130,'SSP_March''19'!$A$3:$Q$1193,17,0)</f>
        <v>2</v>
      </c>
      <c r="R130" s="35">
        <f t="shared" si="11"/>
        <v>0.2</v>
      </c>
      <c r="S130" s="49">
        <f>ROUND(VLOOKUP(A130,'SSP_March''19'!$A$3:$T$1193,19,0),0)</f>
        <v>6</v>
      </c>
      <c r="T130" s="44">
        <f>VLOOKUP(A130,'SSP_March''19'!$A$3:$T$1193,20,0)</f>
        <v>0.6</v>
      </c>
      <c r="U130" s="34">
        <f>VLOOKUP(A130,'SSP_March''19'!$A$3:$X$1193,21,0)</f>
        <v>0</v>
      </c>
      <c r="V130" s="34">
        <f>VLOOKUP(A130,'SSP_March''19'!$A$3:$X$1193,22,0)</f>
        <v>0</v>
      </c>
      <c r="W130" s="34">
        <f>VLOOKUP(A130,'SSP_March''19'!$A$3:$X$1193,23,0)</f>
        <v>0</v>
      </c>
      <c r="X130" s="34">
        <f>VLOOKUP(A130,'SSP_March''19'!$A$3:$X$1193,24,0)</f>
        <v>0</v>
      </c>
    </row>
    <row r="131" spans="1:24">
      <c r="A131" s="34" t="s">
        <v>2286</v>
      </c>
      <c r="B131" s="34" t="s">
        <v>2287</v>
      </c>
      <c r="C131" s="34" t="s">
        <v>186</v>
      </c>
      <c r="D131" s="34" t="s">
        <v>116</v>
      </c>
      <c r="E131" s="34" t="s">
        <v>4</v>
      </c>
      <c r="F131" s="34" t="s">
        <v>2288</v>
      </c>
      <c r="G131" s="54">
        <v>1714669246</v>
      </c>
      <c r="H131" s="54" t="s">
        <v>229</v>
      </c>
      <c r="I131" s="54" t="s">
        <v>3514</v>
      </c>
      <c r="J131" s="34" t="s">
        <v>3515</v>
      </c>
      <c r="K131" s="43">
        <f>VLOOKUP(A131,'SSP_March''19'!$A$3:$L$1193,11,0)</f>
        <v>130000</v>
      </c>
      <c r="L131" s="43">
        <f>VLOOKUP(A131,'SSP_March''19'!$A$3:$L$1193,12,0)</f>
        <v>40580</v>
      </c>
      <c r="M131" s="44">
        <f t="shared" ref="M131:M162" si="12">L131/K131</f>
        <v>0.31215384615384617</v>
      </c>
      <c r="N131" s="49">
        <f>ROUND(VLOOKUP(A131,'SSP_March''19'!$A$3:$N$1193,14,0),0)</f>
        <v>125798</v>
      </c>
      <c r="O131" s="44">
        <f t="shared" ref="O131:O162" si="13">N131/K131</f>
        <v>0.9676769230769231</v>
      </c>
      <c r="P131" s="45">
        <f>VLOOKUP(A131,'SSP_March''19'!$A$3:$Q$1193,16,0)</f>
        <v>10</v>
      </c>
      <c r="Q131" s="34">
        <f>VLOOKUP(A131,'SSP_March''19'!$A$3:$Q$1193,17,0)</f>
        <v>2</v>
      </c>
      <c r="R131" s="35">
        <f t="shared" ref="R131:R162" si="14">Q131/P131</f>
        <v>0.2</v>
      </c>
      <c r="S131" s="49">
        <f>ROUND(VLOOKUP(A131,'SSP_March''19'!$A$3:$T$1193,19,0),0)</f>
        <v>6</v>
      </c>
      <c r="T131" s="44">
        <f>VLOOKUP(A131,'SSP_March''19'!$A$3:$T$1193,20,0)</f>
        <v>0.6</v>
      </c>
      <c r="U131" s="34">
        <f>VLOOKUP(A131,'SSP_March''19'!$A$3:$X$1193,21,0)</f>
        <v>0</v>
      </c>
      <c r="V131" s="34">
        <f>VLOOKUP(A131,'SSP_March''19'!$A$3:$X$1193,22,0)</f>
        <v>0</v>
      </c>
      <c r="W131" s="34">
        <f>VLOOKUP(A131,'SSP_March''19'!$A$3:$X$1193,23,0)</f>
        <v>0</v>
      </c>
      <c r="X131" s="34">
        <f>VLOOKUP(A131,'SSP_March''19'!$A$3:$X$1193,24,0)</f>
        <v>0</v>
      </c>
    </row>
    <row r="132" spans="1:24">
      <c r="A132" s="34" t="s">
        <v>2923</v>
      </c>
      <c r="B132" s="34" t="s">
        <v>2924</v>
      </c>
      <c r="C132" s="34" t="s">
        <v>186</v>
      </c>
      <c r="D132" s="34" t="s">
        <v>116</v>
      </c>
      <c r="E132" s="34" t="s">
        <v>4</v>
      </c>
      <c r="F132" s="34" t="s">
        <v>2925</v>
      </c>
      <c r="G132" s="54">
        <v>1775801301</v>
      </c>
      <c r="H132" s="54" t="s">
        <v>229</v>
      </c>
      <c r="I132" s="54" t="s">
        <v>3514</v>
      </c>
      <c r="J132" s="34" t="s">
        <v>3421</v>
      </c>
      <c r="K132" s="43">
        <f>VLOOKUP(A132,'SSP_March''19'!$A$3:$L$1193,11,0)</f>
        <v>130000</v>
      </c>
      <c r="L132" s="43">
        <f>VLOOKUP(A132,'SSP_March''19'!$A$3:$L$1193,12,0)</f>
        <v>10689</v>
      </c>
      <c r="M132" s="44">
        <f t="shared" si="12"/>
        <v>8.2223076923076927E-2</v>
      </c>
      <c r="N132" s="49">
        <f>ROUND(VLOOKUP(A132,'SSP_March''19'!$A$3:$N$1193,14,0),0)</f>
        <v>33136</v>
      </c>
      <c r="O132" s="44">
        <f t="shared" si="13"/>
        <v>0.2548923076923077</v>
      </c>
      <c r="P132" s="45">
        <f>VLOOKUP(A132,'SSP_March''19'!$A$3:$Q$1193,16,0)</f>
        <v>10</v>
      </c>
      <c r="Q132" s="34">
        <f>VLOOKUP(A132,'SSP_March''19'!$A$3:$Q$1193,17,0)</f>
        <v>0</v>
      </c>
      <c r="R132" s="35">
        <f t="shared" si="14"/>
        <v>0</v>
      </c>
      <c r="S132" s="49">
        <f>ROUND(VLOOKUP(A132,'SSP_March''19'!$A$3:$T$1193,19,0),0)</f>
        <v>0</v>
      </c>
      <c r="T132" s="44">
        <f>VLOOKUP(A132,'SSP_March''19'!$A$3:$T$1193,20,0)</f>
        <v>0</v>
      </c>
      <c r="U132" s="34">
        <f>VLOOKUP(A132,'SSP_March''19'!$A$3:$X$1193,21,0)</f>
        <v>0</v>
      </c>
      <c r="V132" s="34">
        <f>VLOOKUP(A132,'SSP_March''19'!$A$3:$X$1193,22,0)</f>
        <v>0</v>
      </c>
      <c r="W132" s="34">
        <f>VLOOKUP(A132,'SSP_March''19'!$A$3:$X$1193,23,0)</f>
        <v>0</v>
      </c>
      <c r="X132" s="34">
        <f>VLOOKUP(A132,'SSP_March''19'!$A$3:$X$1193,24,0)</f>
        <v>0</v>
      </c>
    </row>
    <row r="133" spans="1:24">
      <c r="A133" s="75" t="s">
        <v>3599</v>
      </c>
      <c r="B133" s="75" t="s">
        <v>3600</v>
      </c>
      <c r="C133" s="75" t="s">
        <v>186</v>
      </c>
      <c r="D133" s="75" t="s">
        <v>116</v>
      </c>
      <c r="E133" s="75" t="s">
        <v>4</v>
      </c>
      <c r="F133" s="75" t="s">
        <v>3601</v>
      </c>
      <c r="G133" s="67">
        <v>1754322005</v>
      </c>
      <c r="H133" s="54" t="s">
        <v>229</v>
      </c>
      <c r="I133" s="54" t="s">
        <v>3514</v>
      </c>
      <c r="J133" s="34" t="s">
        <v>3421</v>
      </c>
      <c r="K133" s="43">
        <f>VLOOKUP(A133,'SSP_March''19'!$A$3:$L$1193,11,0)</f>
        <v>130000</v>
      </c>
      <c r="L133" s="43">
        <f>VLOOKUP(A133,'SSP_March''19'!$A$3:$L$1193,12,0)</f>
        <v>5290</v>
      </c>
      <c r="M133" s="44">
        <f t="shared" si="12"/>
        <v>4.0692307692307694E-2</v>
      </c>
      <c r="N133" s="49">
        <f>ROUND(VLOOKUP(A133,'SSP_March''19'!$A$3:$N$1193,14,0),0)</f>
        <v>16399</v>
      </c>
      <c r="O133" s="44">
        <f t="shared" si="13"/>
        <v>0.12614615384615385</v>
      </c>
      <c r="P133" s="45">
        <f>VLOOKUP(A133,'SSP_March''19'!$A$3:$Q$1193,16,0)</f>
        <v>10</v>
      </c>
      <c r="Q133" s="34">
        <f>VLOOKUP(A133,'SSP_March''19'!$A$3:$Q$1193,17,0)</f>
        <v>0</v>
      </c>
      <c r="R133" s="35">
        <f t="shared" si="14"/>
        <v>0</v>
      </c>
      <c r="S133" s="49">
        <f>ROUND(VLOOKUP(A133,'SSP_March''19'!$A$3:$T$1193,19,0),0)</f>
        <v>0</v>
      </c>
      <c r="T133" s="44">
        <f>VLOOKUP(A133,'SSP_March''19'!$A$3:$T$1193,20,0)</f>
        <v>0</v>
      </c>
      <c r="U133" s="34">
        <f>VLOOKUP(A133,'SSP_March''19'!$A$3:$X$1193,21,0)</f>
        <v>0</v>
      </c>
      <c r="V133" s="34">
        <f>VLOOKUP(A133,'SSP_March''19'!$A$3:$X$1193,22,0)</f>
        <v>0</v>
      </c>
      <c r="W133" s="34">
        <f>VLOOKUP(A133,'SSP_March''19'!$A$3:$X$1193,23,0)</f>
        <v>0</v>
      </c>
      <c r="X133" s="34">
        <f>VLOOKUP(A133,'SSP_March''19'!$A$3:$X$1193,24,0)</f>
        <v>0</v>
      </c>
    </row>
    <row r="134" spans="1:24">
      <c r="A134" s="34" t="s">
        <v>2292</v>
      </c>
      <c r="B134" s="34" t="s">
        <v>2293</v>
      </c>
      <c r="C134" s="34" t="s">
        <v>186</v>
      </c>
      <c r="D134" s="34" t="s">
        <v>116</v>
      </c>
      <c r="E134" s="34" t="s">
        <v>4</v>
      </c>
      <c r="F134" s="34" t="s">
        <v>2294</v>
      </c>
      <c r="G134" s="54">
        <v>1748996676</v>
      </c>
      <c r="H134" s="54" t="s">
        <v>229</v>
      </c>
      <c r="I134" s="54" t="s">
        <v>3514</v>
      </c>
      <c r="J134" s="34" t="s">
        <v>3515</v>
      </c>
      <c r="K134" s="43">
        <f>VLOOKUP(A134,'SSP_March''19'!$A$3:$L$1193,11,0)</f>
        <v>130000</v>
      </c>
      <c r="L134" s="43">
        <f>VLOOKUP(A134,'SSP_March''19'!$A$3:$L$1193,12,0)</f>
        <v>23600</v>
      </c>
      <c r="M134" s="44">
        <f t="shared" si="12"/>
        <v>0.18153846153846154</v>
      </c>
      <c r="N134" s="49">
        <f>ROUND(VLOOKUP(A134,'SSP_March''19'!$A$3:$N$1193,14,0),0)</f>
        <v>73160</v>
      </c>
      <c r="O134" s="44">
        <f t="shared" si="13"/>
        <v>0.5627692307692308</v>
      </c>
      <c r="P134" s="45">
        <f>VLOOKUP(A134,'SSP_March''19'!$A$3:$Q$1193,16,0)</f>
        <v>10</v>
      </c>
      <c r="Q134" s="34">
        <f>VLOOKUP(A134,'SSP_March''19'!$A$3:$Q$1193,17,0)</f>
        <v>0</v>
      </c>
      <c r="R134" s="35">
        <f t="shared" si="14"/>
        <v>0</v>
      </c>
      <c r="S134" s="49">
        <f>ROUND(VLOOKUP(A134,'SSP_March''19'!$A$3:$T$1193,19,0),0)</f>
        <v>0</v>
      </c>
      <c r="T134" s="44">
        <f>VLOOKUP(A134,'SSP_March''19'!$A$3:$T$1193,20,0)</f>
        <v>0</v>
      </c>
      <c r="U134" s="34">
        <f>VLOOKUP(A134,'SSP_March''19'!$A$3:$X$1193,21,0)</f>
        <v>0</v>
      </c>
      <c r="V134" s="34">
        <f>VLOOKUP(A134,'SSP_March''19'!$A$3:$X$1193,22,0)</f>
        <v>0</v>
      </c>
      <c r="W134" s="34">
        <f>VLOOKUP(A134,'SSP_March''19'!$A$3:$X$1193,23,0)</f>
        <v>0</v>
      </c>
      <c r="X134" s="34">
        <f>VLOOKUP(A134,'SSP_March''19'!$A$3:$X$1193,24,0)</f>
        <v>0</v>
      </c>
    </row>
    <row r="135" spans="1:24">
      <c r="A135" s="34" t="s">
        <v>2283</v>
      </c>
      <c r="B135" s="34" t="s">
        <v>2284</v>
      </c>
      <c r="C135" s="34" t="s">
        <v>186</v>
      </c>
      <c r="D135" s="34" t="s">
        <v>116</v>
      </c>
      <c r="E135" s="34" t="s">
        <v>4</v>
      </c>
      <c r="F135" s="34" t="s">
        <v>2285</v>
      </c>
      <c r="G135" s="54">
        <v>1789337719</v>
      </c>
      <c r="H135" s="54" t="s">
        <v>229</v>
      </c>
      <c r="I135" s="54" t="s">
        <v>3514</v>
      </c>
      <c r="J135" s="34" t="s">
        <v>3515</v>
      </c>
      <c r="K135" s="43">
        <f>VLOOKUP(A135,'SSP_March''19'!$A$3:$L$1193,11,0)</f>
        <v>150000</v>
      </c>
      <c r="L135" s="43">
        <f>VLOOKUP(A135,'SSP_March''19'!$A$3:$L$1193,12,0)</f>
        <v>43140</v>
      </c>
      <c r="M135" s="44">
        <f t="shared" si="12"/>
        <v>0.28760000000000002</v>
      </c>
      <c r="N135" s="49">
        <f>ROUND(VLOOKUP(A135,'SSP_March''19'!$A$3:$N$1193,14,0),0)</f>
        <v>133734</v>
      </c>
      <c r="O135" s="44">
        <f t="shared" si="13"/>
        <v>0.89156000000000002</v>
      </c>
      <c r="P135" s="45">
        <f>VLOOKUP(A135,'SSP_March''19'!$A$3:$Q$1193,16,0)</f>
        <v>10</v>
      </c>
      <c r="Q135" s="34">
        <f>VLOOKUP(A135,'SSP_March''19'!$A$3:$Q$1193,17,0)</f>
        <v>4</v>
      </c>
      <c r="R135" s="35">
        <f t="shared" si="14"/>
        <v>0.4</v>
      </c>
      <c r="S135" s="49">
        <f>ROUND(VLOOKUP(A135,'SSP_March''19'!$A$3:$T$1193,19,0),0)</f>
        <v>12</v>
      </c>
      <c r="T135" s="44">
        <f>VLOOKUP(A135,'SSP_March''19'!$A$3:$T$1193,20,0)</f>
        <v>1.2</v>
      </c>
      <c r="U135" s="34">
        <f>VLOOKUP(A135,'SSP_March''19'!$A$3:$X$1193,21,0)</f>
        <v>0</v>
      </c>
      <c r="V135" s="34">
        <f>VLOOKUP(A135,'SSP_March''19'!$A$3:$X$1193,22,0)</f>
        <v>0</v>
      </c>
      <c r="W135" s="34">
        <f>VLOOKUP(A135,'SSP_March''19'!$A$3:$X$1193,23,0)</f>
        <v>0</v>
      </c>
      <c r="X135" s="34">
        <f>VLOOKUP(A135,'SSP_March''19'!$A$3:$X$1193,24,0)</f>
        <v>1</v>
      </c>
    </row>
    <row r="136" spans="1:24">
      <c r="A136" s="34" t="s">
        <v>2298</v>
      </c>
      <c r="B136" s="34" t="s">
        <v>2299</v>
      </c>
      <c r="C136" s="34" t="s">
        <v>186</v>
      </c>
      <c r="D136" s="34" t="s">
        <v>116</v>
      </c>
      <c r="E136" s="34" t="s">
        <v>4</v>
      </c>
      <c r="F136" s="34" t="s">
        <v>2300</v>
      </c>
      <c r="G136" s="54">
        <v>1710874904</v>
      </c>
      <c r="H136" s="54" t="s">
        <v>229</v>
      </c>
      <c r="I136" s="54" t="s">
        <v>3514</v>
      </c>
      <c r="J136" s="34" t="s">
        <v>3419</v>
      </c>
      <c r="K136" s="43">
        <f>VLOOKUP(A136,'SSP_March''19'!$A$3:$L$1193,11,0)</f>
        <v>180000</v>
      </c>
      <c r="L136" s="43">
        <f>VLOOKUP(A136,'SSP_March''19'!$A$3:$L$1193,12,0)</f>
        <v>69180</v>
      </c>
      <c r="M136" s="44">
        <f t="shared" si="12"/>
        <v>0.38433333333333336</v>
      </c>
      <c r="N136" s="49">
        <f>ROUND(VLOOKUP(A136,'SSP_March''19'!$A$3:$N$1193,14,0),0)</f>
        <v>214458</v>
      </c>
      <c r="O136" s="44">
        <f t="shared" si="13"/>
        <v>1.1914333333333333</v>
      </c>
      <c r="P136" s="45">
        <f>VLOOKUP(A136,'SSP_March''19'!$A$3:$Q$1193,16,0)</f>
        <v>10</v>
      </c>
      <c r="Q136" s="34">
        <f>VLOOKUP(A136,'SSP_March''19'!$A$3:$Q$1193,17,0)</f>
        <v>5</v>
      </c>
      <c r="R136" s="35">
        <f t="shared" si="14"/>
        <v>0.5</v>
      </c>
      <c r="S136" s="49">
        <f>ROUND(VLOOKUP(A136,'SSP_March''19'!$A$3:$T$1193,19,0),0)</f>
        <v>16</v>
      </c>
      <c r="T136" s="44">
        <f>VLOOKUP(A136,'SSP_March''19'!$A$3:$T$1193,20,0)</f>
        <v>1.6</v>
      </c>
      <c r="U136" s="34">
        <f>VLOOKUP(A136,'SSP_March''19'!$A$3:$X$1193,21,0)</f>
        <v>0</v>
      </c>
      <c r="V136" s="34">
        <f>VLOOKUP(A136,'SSP_March''19'!$A$3:$X$1193,22,0)</f>
        <v>3</v>
      </c>
      <c r="W136" s="34">
        <f>VLOOKUP(A136,'SSP_March''19'!$A$3:$X$1193,23,0)</f>
        <v>0</v>
      </c>
      <c r="X136" s="34">
        <f>VLOOKUP(A136,'SSP_March''19'!$A$3:$X$1193,24,0)</f>
        <v>0</v>
      </c>
    </row>
    <row r="137" spans="1:24">
      <c r="A137" s="34" t="s">
        <v>2301</v>
      </c>
      <c r="B137" s="34" t="s">
        <v>2302</v>
      </c>
      <c r="C137" s="34" t="s">
        <v>186</v>
      </c>
      <c r="D137" s="34" t="s">
        <v>116</v>
      </c>
      <c r="E137" s="34" t="s">
        <v>4</v>
      </c>
      <c r="F137" s="34" t="s">
        <v>2303</v>
      </c>
      <c r="G137" s="54">
        <v>1718606667</v>
      </c>
      <c r="H137" s="54" t="s">
        <v>229</v>
      </c>
      <c r="I137" s="54" t="s">
        <v>3518</v>
      </c>
      <c r="J137" s="34" t="s">
        <v>3421</v>
      </c>
      <c r="K137" s="43">
        <f>VLOOKUP(A137,'SSP_March''19'!$A$3:$L$1193,11,0)</f>
        <v>300000</v>
      </c>
      <c r="L137" s="43">
        <f>VLOOKUP(A137,'SSP_March''19'!$A$3:$L$1193,12,0)</f>
        <v>17279</v>
      </c>
      <c r="M137" s="44">
        <f t="shared" si="12"/>
        <v>5.7596666666666664E-2</v>
      </c>
      <c r="N137" s="49">
        <f>ROUND(VLOOKUP(A137,'SSP_March''19'!$A$3:$N$1193,14,0),0)</f>
        <v>53565</v>
      </c>
      <c r="O137" s="44">
        <f t="shared" si="13"/>
        <v>0.17854999999999999</v>
      </c>
      <c r="P137" s="45">
        <f>VLOOKUP(A137,'SSP_March''19'!$A$3:$Q$1193,16,0)</f>
        <v>20</v>
      </c>
      <c r="Q137" s="34">
        <f>VLOOKUP(A137,'SSP_March''19'!$A$3:$Q$1193,17,0)</f>
        <v>1</v>
      </c>
      <c r="R137" s="35">
        <f t="shared" si="14"/>
        <v>0.05</v>
      </c>
      <c r="S137" s="49">
        <f>ROUND(VLOOKUP(A137,'SSP_March''19'!$A$3:$T$1193,19,0),0)</f>
        <v>3</v>
      </c>
      <c r="T137" s="44">
        <f>VLOOKUP(A137,'SSP_March''19'!$A$3:$T$1193,20,0)</f>
        <v>0.15</v>
      </c>
      <c r="U137" s="34">
        <f>VLOOKUP(A137,'SSP_March''19'!$A$3:$X$1193,21,0)</f>
        <v>0</v>
      </c>
      <c r="V137" s="34">
        <f>VLOOKUP(A137,'SSP_March''19'!$A$3:$X$1193,22,0)</f>
        <v>0</v>
      </c>
      <c r="W137" s="34">
        <f>VLOOKUP(A137,'SSP_March''19'!$A$3:$X$1193,23,0)</f>
        <v>0</v>
      </c>
      <c r="X137" s="34">
        <f>VLOOKUP(A137,'SSP_March''19'!$A$3:$X$1193,24,0)</f>
        <v>0</v>
      </c>
    </row>
    <row r="138" spans="1:24">
      <c r="A138" s="34" t="s">
        <v>2304</v>
      </c>
      <c r="B138" s="34" t="s">
        <v>2305</v>
      </c>
      <c r="C138" s="34" t="s">
        <v>186</v>
      </c>
      <c r="D138" s="34" t="s">
        <v>116</v>
      </c>
      <c r="E138" s="34" t="s">
        <v>4</v>
      </c>
      <c r="F138" s="34" t="s">
        <v>2306</v>
      </c>
      <c r="G138" s="54">
        <v>1714382703</v>
      </c>
      <c r="H138" s="54" t="s">
        <v>229</v>
      </c>
      <c r="I138" s="54" t="s">
        <v>3514</v>
      </c>
      <c r="J138" s="34" t="s">
        <v>3515</v>
      </c>
      <c r="K138" s="43">
        <f>VLOOKUP(A138,'SSP_March''19'!$A$3:$L$1193,11,0)</f>
        <v>190288</v>
      </c>
      <c r="L138" s="43">
        <f>VLOOKUP(A138,'SSP_March''19'!$A$3:$L$1193,12,0)</f>
        <v>107570</v>
      </c>
      <c r="M138" s="44">
        <f t="shared" si="12"/>
        <v>0.56530101740519634</v>
      </c>
      <c r="N138" s="49">
        <f>ROUND(VLOOKUP(A138,'SSP_March''19'!$A$3:$N$1193,14,0),0)</f>
        <v>333467</v>
      </c>
      <c r="O138" s="44">
        <f t="shared" si="13"/>
        <v>1.7524331539561087</v>
      </c>
      <c r="P138" s="45">
        <f>VLOOKUP(A138,'SSP_March''19'!$A$3:$Q$1193,16,0)</f>
        <v>10</v>
      </c>
      <c r="Q138" s="34">
        <f>VLOOKUP(A138,'SSP_March''19'!$A$3:$Q$1193,17,0)</f>
        <v>4</v>
      </c>
      <c r="R138" s="35">
        <f t="shared" si="14"/>
        <v>0.4</v>
      </c>
      <c r="S138" s="49">
        <f>ROUND(VLOOKUP(A138,'SSP_March''19'!$A$3:$T$1193,19,0),0)</f>
        <v>12</v>
      </c>
      <c r="T138" s="44">
        <f>VLOOKUP(A138,'SSP_March''19'!$A$3:$T$1193,20,0)</f>
        <v>1.2</v>
      </c>
      <c r="U138" s="34">
        <f>VLOOKUP(A138,'SSP_March''19'!$A$3:$X$1193,21,0)</f>
        <v>2</v>
      </c>
      <c r="V138" s="34">
        <f>VLOOKUP(A138,'SSP_March''19'!$A$3:$X$1193,22,0)</f>
        <v>1</v>
      </c>
      <c r="W138" s="34">
        <f>VLOOKUP(A138,'SSP_March''19'!$A$3:$X$1193,23,0)</f>
        <v>0</v>
      </c>
      <c r="X138" s="34">
        <f>VLOOKUP(A138,'SSP_March''19'!$A$3:$X$1193,24,0)</f>
        <v>0</v>
      </c>
    </row>
    <row r="139" spans="1:24">
      <c r="A139" s="34" t="s">
        <v>2295</v>
      </c>
      <c r="B139" s="34" t="s">
        <v>2296</v>
      </c>
      <c r="C139" s="34" t="s">
        <v>186</v>
      </c>
      <c r="D139" s="34" t="s">
        <v>116</v>
      </c>
      <c r="E139" s="34" t="s">
        <v>4</v>
      </c>
      <c r="F139" s="34" t="s">
        <v>2297</v>
      </c>
      <c r="G139" s="54">
        <v>1742575777</v>
      </c>
      <c r="H139" s="54" t="s">
        <v>229</v>
      </c>
      <c r="I139" s="54" t="s">
        <v>3514</v>
      </c>
      <c r="J139" s="34" t="s">
        <v>3419</v>
      </c>
      <c r="K139" s="43">
        <f>VLOOKUP(A139,'SSP_March''19'!$A$3:$L$1193,11,0)</f>
        <v>150000</v>
      </c>
      <c r="L139" s="43">
        <f>VLOOKUP(A139,'SSP_March''19'!$A$3:$L$1193,12,0)</f>
        <v>82690</v>
      </c>
      <c r="M139" s="44">
        <f t="shared" si="12"/>
        <v>0.55126666666666668</v>
      </c>
      <c r="N139" s="49">
        <f>ROUND(VLOOKUP(A139,'SSP_March''19'!$A$3:$N$1193,14,0),0)</f>
        <v>256339</v>
      </c>
      <c r="O139" s="44">
        <f t="shared" si="13"/>
        <v>1.7089266666666667</v>
      </c>
      <c r="P139" s="45">
        <f>VLOOKUP(A139,'SSP_March''19'!$A$3:$Q$1193,16,0)</f>
        <v>10</v>
      </c>
      <c r="Q139" s="34">
        <f>VLOOKUP(A139,'SSP_March''19'!$A$3:$Q$1193,17,0)</f>
        <v>2</v>
      </c>
      <c r="R139" s="35">
        <f t="shared" si="14"/>
        <v>0.2</v>
      </c>
      <c r="S139" s="49">
        <f>ROUND(VLOOKUP(A139,'SSP_March''19'!$A$3:$T$1193,19,0),0)</f>
        <v>6</v>
      </c>
      <c r="T139" s="44">
        <f>VLOOKUP(A139,'SSP_March''19'!$A$3:$T$1193,20,0)</f>
        <v>0.6</v>
      </c>
      <c r="U139" s="34">
        <f>VLOOKUP(A139,'SSP_March''19'!$A$3:$X$1193,21,0)</f>
        <v>1</v>
      </c>
      <c r="V139" s="34">
        <f>VLOOKUP(A139,'SSP_March''19'!$A$3:$X$1193,22,0)</f>
        <v>0</v>
      </c>
      <c r="W139" s="34">
        <f>VLOOKUP(A139,'SSP_March''19'!$A$3:$X$1193,23,0)</f>
        <v>0</v>
      </c>
      <c r="X139" s="34">
        <f>VLOOKUP(A139,'SSP_March''19'!$A$3:$X$1193,24,0)</f>
        <v>0</v>
      </c>
    </row>
    <row r="140" spans="1:24">
      <c r="A140" s="34" t="s">
        <v>2278</v>
      </c>
      <c r="B140" s="34" t="s">
        <v>2279</v>
      </c>
      <c r="C140" s="34" t="s">
        <v>186</v>
      </c>
      <c r="D140" s="34" t="s">
        <v>116</v>
      </c>
      <c r="E140" s="34" t="s">
        <v>4</v>
      </c>
      <c r="F140" s="34" t="s">
        <v>1259</v>
      </c>
      <c r="G140" s="54">
        <v>1799514833</v>
      </c>
      <c r="H140" s="54" t="s">
        <v>229</v>
      </c>
      <c r="I140" s="54" t="s">
        <v>3514</v>
      </c>
      <c r="J140" s="34" t="s">
        <v>3419</v>
      </c>
      <c r="K140" s="43">
        <f>VLOOKUP(A140,'SSP_March''19'!$A$3:$L$1193,11,0)</f>
        <v>220000</v>
      </c>
      <c r="L140" s="43">
        <f>VLOOKUP(A140,'SSP_March''19'!$A$3:$L$1193,12,0)</f>
        <v>105619</v>
      </c>
      <c r="M140" s="44">
        <f t="shared" si="12"/>
        <v>0.48008636363636364</v>
      </c>
      <c r="N140" s="49">
        <f>ROUND(VLOOKUP(A140,'SSP_March''19'!$A$3:$N$1193,14,0),0)</f>
        <v>327419</v>
      </c>
      <c r="O140" s="44">
        <f t="shared" si="13"/>
        <v>1.4882681818181818</v>
      </c>
      <c r="P140" s="45">
        <f>VLOOKUP(A140,'SSP_March''19'!$A$3:$Q$1193,16,0)</f>
        <v>12</v>
      </c>
      <c r="Q140" s="34">
        <f>VLOOKUP(A140,'SSP_March''19'!$A$3:$Q$1193,17,0)</f>
        <v>2</v>
      </c>
      <c r="R140" s="35">
        <f t="shared" si="14"/>
        <v>0.16666666666666666</v>
      </c>
      <c r="S140" s="49">
        <f>ROUND(VLOOKUP(A140,'SSP_March''19'!$A$3:$T$1193,19,0),0)</f>
        <v>6</v>
      </c>
      <c r="T140" s="44">
        <f>VLOOKUP(A140,'SSP_March''19'!$A$3:$T$1193,20,0)</f>
        <v>0.5</v>
      </c>
      <c r="U140" s="34">
        <f>VLOOKUP(A140,'SSP_March''19'!$A$3:$X$1193,21,0)</f>
        <v>4</v>
      </c>
      <c r="V140" s="34">
        <f>VLOOKUP(A140,'SSP_March''19'!$A$3:$X$1193,22,0)</f>
        <v>0</v>
      </c>
      <c r="W140" s="34">
        <f>VLOOKUP(A140,'SSP_March''19'!$A$3:$X$1193,23,0)</f>
        <v>0</v>
      </c>
      <c r="X140" s="34">
        <f>VLOOKUP(A140,'SSP_March''19'!$A$3:$X$1193,24,0)</f>
        <v>0</v>
      </c>
    </row>
    <row r="141" spans="1:24">
      <c r="A141" s="34" t="s">
        <v>2341</v>
      </c>
      <c r="B141" s="34" t="s">
        <v>2342</v>
      </c>
      <c r="C141" s="34" t="s">
        <v>136</v>
      </c>
      <c r="D141" s="34" t="s">
        <v>137</v>
      </c>
      <c r="E141" s="34" t="s">
        <v>4</v>
      </c>
      <c r="F141" s="34" t="s">
        <v>2343</v>
      </c>
      <c r="G141" s="54">
        <v>1767427052</v>
      </c>
      <c r="H141" s="54" t="s">
        <v>229</v>
      </c>
      <c r="I141" s="54" t="s">
        <v>3514</v>
      </c>
      <c r="J141" s="34" t="s">
        <v>3421</v>
      </c>
      <c r="K141" s="43">
        <f>VLOOKUP(A141,'SSP_March''19'!$A$3:$L$1193,11,0)</f>
        <v>130000</v>
      </c>
      <c r="L141" s="43">
        <f>VLOOKUP(A141,'SSP_March''19'!$A$3:$L$1193,12,0)</f>
        <v>17629</v>
      </c>
      <c r="M141" s="44">
        <f t="shared" si="12"/>
        <v>0.13560769230769232</v>
      </c>
      <c r="N141" s="49">
        <f>ROUND(VLOOKUP(A141,'SSP_March''19'!$A$3:$N$1193,14,0),0)</f>
        <v>54650</v>
      </c>
      <c r="O141" s="44">
        <f t="shared" si="13"/>
        <v>0.42038461538461541</v>
      </c>
      <c r="P141" s="45">
        <f>VLOOKUP(A141,'SSP_March''19'!$A$3:$Q$1193,16,0)</f>
        <v>10</v>
      </c>
      <c r="Q141" s="34">
        <f>VLOOKUP(A141,'SSP_March''19'!$A$3:$Q$1193,17,0)</f>
        <v>1</v>
      </c>
      <c r="R141" s="35">
        <f t="shared" si="14"/>
        <v>0.1</v>
      </c>
      <c r="S141" s="49">
        <f>ROUND(VLOOKUP(A141,'SSP_March''19'!$A$3:$T$1193,19,0),0)</f>
        <v>3</v>
      </c>
      <c r="T141" s="44">
        <f>VLOOKUP(A141,'SSP_March''19'!$A$3:$T$1193,20,0)</f>
        <v>0.3</v>
      </c>
      <c r="U141" s="34">
        <f>VLOOKUP(A141,'SSP_March''19'!$A$3:$X$1193,21,0)</f>
        <v>0</v>
      </c>
      <c r="V141" s="34">
        <f>VLOOKUP(A141,'SSP_March''19'!$A$3:$X$1193,22,0)</f>
        <v>0</v>
      </c>
      <c r="W141" s="34">
        <f>VLOOKUP(A141,'SSP_March''19'!$A$3:$X$1193,23,0)</f>
        <v>0</v>
      </c>
      <c r="X141" s="34">
        <f>VLOOKUP(A141,'SSP_March''19'!$A$3:$X$1193,24,0)</f>
        <v>0</v>
      </c>
    </row>
    <row r="142" spans="1:24">
      <c r="A142" s="34" t="s">
        <v>3050</v>
      </c>
      <c r="B142" s="34" t="s">
        <v>3051</v>
      </c>
      <c r="C142" s="34" t="s">
        <v>136</v>
      </c>
      <c r="D142" s="34" t="s">
        <v>137</v>
      </c>
      <c r="E142" s="34" t="s">
        <v>4</v>
      </c>
      <c r="F142" s="34" t="s">
        <v>3052</v>
      </c>
      <c r="G142" s="54">
        <v>1986673651</v>
      </c>
      <c r="H142" s="54" t="s">
        <v>229</v>
      </c>
      <c r="I142" s="54" t="s">
        <v>3514</v>
      </c>
      <c r="J142" s="34" t="s">
        <v>3421</v>
      </c>
      <c r="K142" s="43">
        <f>VLOOKUP(A142,'SSP_March''19'!$A$3:$L$1193,11,0)</f>
        <v>130000</v>
      </c>
      <c r="L142" s="43">
        <f>VLOOKUP(A142,'SSP_March''19'!$A$3:$L$1193,12,0)</f>
        <v>10530</v>
      </c>
      <c r="M142" s="44">
        <f t="shared" si="12"/>
        <v>8.1000000000000003E-2</v>
      </c>
      <c r="N142" s="49">
        <f>ROUND(VLOOKUP(A142,'SSP_March''19'!$A$3:$N$1193,14,0),0)</f>
        <v>32643</v>
      </c>
      <c r="O142" s="44">
        <f t="shared" si="13"/>
        <v>0.25109999999999999</v>
      </c>
      <c r="P142" s="45">
        <f>VLOOKUP(A142,'SSP_March''19'!$A$3:$Q$1193,16,0)</f>
        <v>10</v>
      </c>
      <c r="Q142" s="34">
        <f>VLOOKUP(A142,'SSP_March''19'!$A$3:$Q$1193,17,0)</f>
        <v>0</v>
      </c>
      <c r="R142" s="35">
        <f t="shared" si="14"/>
        <v>0</v>
      </c>
      <c r="S142" s="49">
        <f>ROUND(VLOOKUP(A142,'SSP_March''19'!$A$3:$T$1193,19,0),0)</f>
        <v>0</v>
      </c>
      <c r="T142" s="44">
        <f>VLOOKUP(A142,'SSP_March''19'!$A$3:$T$1193,20,0)</f>
        <v>0</v>
      </c>
      <c r="U142" s="34">
        <f>VLOOKUP(A142,'SSP_March''19'!$A$3:$X$1193,21,0)</f>
        <v>1</v>
      </c>
      <c r="V142" s="34">
        <f>VLOOKUP(A142,'SSP_March''19'!$A$3:$X$1193,22,0)</f>
        <v>0</v>
      </c>
      <c r="W142" s="34">
        <f>VLOOKUP(A142,'SSP_March''19'!$A$3:$X$1193,23,0)</f>
        <v>0</v>
      </c>
      <c r="X142" s="34">
        <f>VLOOKUP(A142,'SSP_March''19'!$A$3:$X$1193,24,0)</f>
        <v>0</v>
      </c>
    </row>
    <row r="143" spans="1:24">
      <c r="A143" s="75" t="s">
        <v>3602</v>
      </c>
      <c r="B143" s="75" t="s">
        <v>3603</v>
      </c>
      <c r="C143" s="75" t="s">
        <v>136</v>
      </c>
      <c r="D143" s="75" t="s">
        <v>137</v>
      </c>
      <c r="E143" s="75" t="s">
        <v>4</v>
      </c>
      <c r="F143" s="75" t="s">
        <v>520</v>
      </c>
      <c r="G143" s="67">
        <v>1718931365</v>
      </c>
      <c r="H143" s="54" t="s">
        <v>229</v>
      </c>
      <c r="I143" s="54" t="s">
        <v>3514</v>
      </c>
      <c r="J143" s="34" t="s">
        <v>3421</v>
      </c>
      <c r="K143" s="43">
        <f>VLOOKUP(A143,'SSP_March''19'!$A$3:$L$1193,11,0)</f>
        <v>130000</v>
      </c>
      <c r="L143" s="43">
        <f>VLOOKUP(A143,'SSP_March''19'!$A$3:$L$1193,12,0)</f>
        <v>0</v>
      </c>
      <c r="M143" s="44">
        <f t="shared" si="12"/>
        <v>0</v>
      </c>
      <c r="N143" s="49">
        <f>ROUND(VLOOKUP(A143,'SSP_March''19'!$A$3:$N$1193,14,0),0)</f>
        <v>0</v>
      </c>
      <c r="O143" s="44">
        <f t="shared" si="13"/>
        <v>0</v>
      </c>
      <c r="P143" s="45">
        <f>VLOOKUP(A143,'SSP_March''19'!$A$3:$Q$1193,16,0)</f>
        <v>10</v>
      </c>
      <c r="Q143" s="34">
        <f>VLOOKUP(A143,'SSP_March''19'!$A$3:$Q$1193,17,0)</f>
        <v>0</v>
      </c>
      <c r="R143" s="35">
        <f t="shared" si="14"/>
        <v>0</v>
      </c>
      <c r="S143" s="49">
        <f>ROUND(VLOOKUP(A143,'SSP_March''19'!$A$3:$T$1193,19,0),0)</f>
        <v>0</v>
      </c>
      <c r="T143" s="44">
        <f>VLOOKUP(A143,'SSP_March''19'!$A$3:$T$1193,20,0)</f>
        <v>0</v>
      </c>
      <c r="U143" s="34">
        <f>VLOOKUP(A143,'SSP_March''19'!$A$3:$X$1193,21,0)</f>
        <v>0</v>
      </c>
      <c r="V143" s="34">
        <f>VLOOKUP(A143,'SSP_March''19'!$A$3:$X$1193,22,0)</f>
        <v>0</v>
      </c>
      <c r="W143" s="34">
        <f>VLOOKUP(A143,'SSP_March''19'!$A$3:$X$1193,23,0)</f>
        <v>0</v>
      </c>
      <c r="X143" s="34">
        <f>VLOOKUP(A143,'SSP_March''19'!$A$3:$X$1193,24,0)</f>
        <v>0</v>
      </c>
    </row>
    <row r="144" spans="1:24">
      <c r="A144" s="34" t="s">
        <v>3470</v>
      </c>
      <c r="B144" s="34" t="s">
        <v>3471</v>
      </c>
      <c r="C144" s="34" t="s">
        <v>136</v>
      </c>
      <c r="D144" s="34" t="s">
        <v>137</v>
      </c>
      <c r="E144" s="34" t="s">
        <v>4</v>
      </c>
      <c r="F144" s="34" t="s">
        <v>3472</v>
      </c>
      <c r="G144" s="54">
        <v>1918054340</v>
      </c>
      <c r="H144" s="54" t="s">
        <v>229</v>
      </c>
      <c r="I144" s="54" t="s">
        <v>3514</v>
      </c>
      <c r="J144" s="34" t="s">
        <v>3421</v>
      </c>
      <c r="K144" s="43">
        <f>VLOOKUP(A144,'SSP_March''19'!$A$3:$L$1193,11,0)</f>
        <v>130000</v>
      </c>
      <c r="L144" s="43">
        <f>VLOOKUP(A144,'SSP_March''19'!$A$3:$L$1193,12,0)</f>
        <v>29460</v>
      </c>
      <c r="M144" s="44">
        <f t="shared" si="12"/>
        <v>0.22661538461538461</v>
      </c>
      <c r="N144" s="49">
        <f>ROUND(VLOOKUP(A144,'SSP_March''19'!$A$3:$N$1193,14,0),0)</f>
        <v>91326</v>
      </c>
      <c r="O144" s="44">
        <f t="shared" si="13"/>
        <v>0.70250769230769228</v>
      </c>
      <c r="P144" s="45">
        <f>VLOOKUP(A144,'SSP_March''19'!$A$3:$Q$1193,16,0)</f>
        <v>10</v>
      </c>
      <c r="Q144" s="34">
        <f>VLOOKUP(A144,'SSP_March''19'!$A$3:$Q$1193,17,0)</f>
        <v>3</v>
      </c>
      <c r="R144" s="35">
        <f t="shared" si="14"/>
        <v>0.3</v>
      </c>
      <c r="S144" s="49">
        <f>ROUND(VLOOKUP(A144,'SSP_March''19'!$A$3:$T$1193,19,0),0)</f>
        <v>9</v>
      </c>
      <c r="T144" s="44">
        <f>VLOOKUP(A144,'SSP_March''19'!$A$3:$T$1193,20,0)</f>
        <v>0.9</v>
      </c>
      <c r="U144" s="34">
        <f>VLOOKUP(A144,'SSP_March''19'!$A$3:$X$1193,21,0)</f>
        <v>1</v>
      </c>
      <c r="V144" s="34">
        <f>VLOOKUP(A144,'SSP_March''19'!$A$3:$X$1193,22,0)</f>
        <v>1</v>
      </c>
      <c r="W144" s="34">
        <f>VLOOKUP(A144,'SSP_March''19'!$A$3:$X$1193,23,0)</f>
        <v>0</v>
      </c>
      <c r="X144" s="34">
        <f>VLOOKUP(A144,'SSP_March''19'!$A$3:$X$1193,24,0)</f>
        <v>0</v>
      </c>
    </row>
    <row r="145" spans="1:24">
      <c r="A145" s="34" t="s">
        <v>3264</v>
      </c>
      <c r="B145" s="34" t="s">
        <v>3265</v>
      </c>
      <c r="C145" s="34" t="s">
        <v>136</v>
      </c>
      <c r="D145" s="34" t="s">
        <v>137</v>
      </c>
      <c r="E145" s="34" t="s">
        <v>4</v>
      </c>
      <c r="F145" s="34" t="s">
        <v>3266</v>
      </c>
      <c r="G145" s="54">
        <v>1728855151</v>
      </c>
      <c r="H145" s="54" t="s">
        <v>229</v>
      </c>
      <c r="I145" s="54" t="s">
        <v>3514</v>
      </c>
      <c r="J145" s="34" t="s">
        <v>3421</v>
      </c>
      <c r="K145" s="43">
        <f>VLOOKUP(A145,'SSP_March''19'!$A$3:$L$1193,11,0)</f>
        <v>130000</v>
      </c>
      <c r="L145" s="43">
        <f>VLOOKUP(A145,'SSP_March''19'!$A$3:$L$1193,12,0)</f>
        <v>14680</v>
      </c>
      <c r="M145" s="44">
        <f t="shared" si="12"/>
        <v>0.11292307692307692</v>
      </c>
      <c r="N145" s="49">
        <f>ROUND(VLOOKUP(A145,'SSP_March''19'!$A$3:$N$1193,14,0),0)</f>
        <v>45508</v>
      </c>
      <c r="O145" s="44">
        <f t="shared" si="13"/>
        <v>0.35006153846153848</v>
      </c>
      <c r="P145" s="45">
        <f>VLOOKUP(A145,'SSP_March''19'!$A$3:$Q$1193,16,0)</f>
        <v>10</v>
      </c>
      <c r="Q145" s="34">
        <f>VLOOKUP(A145,'SSP_March''19'!$A$3:$Q$1193,17,0)</f>
        <v>2</v>
      </c>
      <c r="R145" s="35">
        <f t="shared" si="14"/>
        <v>0.2</v>
      </c>
      <c r="S145" s="49">
        <f>ROUND(VLOOKUP(A145,'SSP_March''19'!$A$3:$T$1193,19,0),0)</f>
        <v>6</v>
      </c>
      <c r="T145" s="44">
        <f>VLOOKUP(A145,'SSP_March''19'!$A$3:$T$1193,20,0)</f>
        <v>0.6</v>
      </c>
      <c r="U145" s="34">
        <f>VLOOKUP(A145,'SSP_March''19'!$A$3:$X$1193,21,0)</f>
        <v>0</v>
      </c>
      <c r="V145" s="34">
        <f>VLOOKUP(A145,'SSP_March''19'!$A$3:$X$1193,22,0)</f>
        <v>1</v>
      </c>
      <c r="W145" s="34">
        <f>VLOOKUP(A145,'SSP_March''19'!$A$3:$X$1193,23,0)</f>
        <v>0</v>
      </c>
      <c r="X145" s="34">
        <f>VLOOKUP(A145,'SSP_March''19'!$A$3:$X$1193,24,0)</f>
        <v>0</v>
      </c>
    </row>
    <row r="146" spans="1:24">
      <c r="A146" s="34" t="s">
        <v>2344</v>
      </c>
      <c r="B146" s="34" t="s">
        <v>57</v>
      </c>
      <c r="C146" s="34" t="s">
        <v>136</v>
      </c>
      <c r="D146" s="34" t="s">
        <v>137</v>
      </c>
      <c r="E146" s="34" t="s">
        <v>4</v>
      </c>
      <c r="F146" s="34" t="s">
        <v>2345</v>
      </c>
      <c r="G146" s="54">
        <v>1911735600</v>
      </c>
      <c r="H146" s="54" t="s">
        <v>229</v>
      </c>
      <c r="I146" s="54" t="s">
        <v>3514</v>
      </c>
      <c r="J146" s="34" t="s">
        <v>3419</v>
      </c>
      <c r="K146" s="43">
        <f>VLOOKUP(A146,'SSP_March''19'!$A$3:$L$1193,11,0)</f>
        <v>205329</v>
      </c>
      <c r="L146" s="43">
        <f>VLOOKUP(A146,'SSP_March''19'!$A$3:$L$1193,12,0)</f>
        <v>19070</v>
      </c>
      <c r="M146" s="44">
        <f t="shared" si="12"/>
        <v>9.2875336654831997E-2</v>
      </c>
      <c r="N146" s="49">
        <f>ROUND(VLOOKUP(A146,'SSP_March''19'!$A$3:$N$1193,14,0),0)</f>
        <v>59117</v>
      </c>
      <c r="O146" s="44">
        <f t="shared" si="13"/>
        <v>0.28791354362997923</v>
      </c>
      <c r="P146" s="45">
        <f>VLOOKUP(A146,'SSP_March''19'!$A$3:$Q$1193,16,0)</f>
        <v>13</v>
      </c>
      <c r="Q146" s="34">
        <f>VLOOKUP(A146,'SSP_March''19'!$A$3:$Q$1193,17,0)</f>
        <v>2</v>
      </c>
      <c r="R146" s="35">
        <f t="shared" si="14"/>
        <v>0.15384615384615385</v>
      </c>
      <c r="S146" s="49">
        <f>ROUND(VLOOKUP(A146,'SSP_March''19'!$A$3:$T$1193,19,0),0)</f>
        <v>6</v>
      </c>
      <c r="T146" s="44">
        <f>VLOOKUP(A146,'SSP_March''19'!$A$3:$T$1193,20,0)</f>
        <v>0.46153846153846156</v>
      </c>
      <c r="U146" s="34">
        <f>VLOOKUP(A146,'SSP_March''19'!$A$3:$X$1193,21,0)</f>
        <v>0</v>
      </c>
      <c r="V146" s="34">
        <f>VLOOKUP(A146,'SSP_March''19'!$A$3:$X$1193,22,0)</f>
        <v>0</v>
      </c>
      <c r="W146" s="34">
        <f>VLOOKUP(A146,'SSP_March''19'!$A$3:$X$1193,23,0)</f>
        <v>0</v>
      </c>
      <c r="X146" s="34">
        <f>VLOOKUP(A146,'SSP_March''19'!$A$3:$X$1193,24,0)</f>
        <v>0</v>
      </c>
    </row>
    <row r="147" spans="1:24">
      <c r="A147" s="34" t="s">
        <v>2335</v>
      </c>
      <c r="B147" s="34" t="s">
        <v>2336</v>
      </c>
      <c r="C147" s="34" t="s">
        <v>136</v>
      </c>
      <c r="D147" s="34" t="s">
        <v>137</v>
      </c>
      <c r="E147" s="34" t="s">
        <v>4</v>
      </c>
      <c r="F147" s="34" t="s">
        <v>2337</v>
      </c>
      <c r="G147" s="54">
        <v>1760544574</v>
      </c>
      <c r="H147" s="54" t="s">
        <v>229</v>
      </c>
      <c r="I147" s="54" t="s">
        <v>3514</v>
      </c>
      <c r="J147" s="34" t="s">
        <v>3419</v>
      </c>
      <c r="K147" s="43">
        <f>VLOOKUP(A147,'SSP_March''19'!$A$3:$L$1193,11,0)</f>
        <v>256878</v>
      </c>
      <c r="L147" s="43">
        <f>VLOOKUP(A147,'SSP_March''19'!$A$3:$L$1193,12,0)</f>
        <v>45520</v>
      </c>
      <c r="M147" s="44">
        <f t="shared" si="12"/>
        <v>0.17720474310762308</v>
      </c>
      <c r="N147" s="49">
        <f>ROUND(VLOOKUP(A147,'SSP_March''19'!$A$3:$N$1193,14,0),0)</f>
        <v>141112</v>
      </c>
      <c r="O147" s="44">
        <f t="shared" si="13"/>
        <v>0.54933470363363157</v>
      </c>
      <c r="P147" s="45">
        <f>VLOOKUP(A147,'SSP_March''19'!$A$3:$Q$1193,16,0)</f>
        <v>16</v>
      </c>
      <c r="Q147" s="34">
        <f>VLOOKUP(A147,'SSP_March''19'!$A$3:$Q$1193,17,0)</f>
        <v>2</v>
      </c>
      <c r="R147" s="35">
        <f t="shared" si="14"/>
        <v>0.125</v>
      </c>
      <c r="S147" s="49">
        <f>ROUND(VLOOKUP(A147,'SSP_March''19'!$A$3:$T$1193,19,0),0)</f>
        <v>6</v>
      </c>
      <c r="T147" s="44">
        <f>VLOOKUP(A147,'SSP_March''19'!$A$3:$T$1193,20,0)</f>
        <v>0.375</v>
      </c>
      <c r="U147" s="34">
        <f>VLOOKUP(A147,'SSP_March''19'!$A$3:$X$1193,21,0)</f>
        <v>0</v>
      </c>
      <c r="V147" s="34">
        <f>VLOOKUP(A147,'SSP_March''19'!$A$3:$X$1193,22,0)</f>
        <v>0</v>
      </c>
      <c r="W147" s="34">
        <f>VLOOKUP(A147,'SSP_March''19'!$A$3:$X$1193,23,0)</f>
        <v>1</v>
      </c>
      <c r="X147" s="34">
        <f>VLOOKUP(A147,'SSP_March''19'!$A$3:$X$1193,24,0)</f>
        <v>0</v>
      </c>
    </row>
    <row r="148" spans="1:24">
      <c r="A148" s="34" t="s">
        <v>3018</v>
      </c>
      <c r="B148" s="34" t="s">
        <v>1508</v>
      </c>
      <c r="C148" s="34" t="s">
        <v>136</v>
      </c>
      <c r="D148" s="34" t="s">
        <v>137</v>
      </c>
      <c r="E148" s="34" t="s">
        <v>4</v>
      </c>
      <c r="F148" s="34" t="s">
        <v>3019</v>
      </c>
      <c r="G148" s="54">
        <v>1761882129</v>
      </c>
      <c r="H148" s="54" t="s">
        <v>229</v>
      </c>
      <c r="I148" s="54" t="s">
        <v>3514</v>
      </c>
      <c r="J148" s="34" t="s">
        <v>3421</v>
      </c>
      <c r="K148" s="43">
        <f>VLOOKUP(A148,'SSP_March''19'!$A$3:$L$1193,11,0)</f>
        <v>130000</v>
      </c>
      <c r="L148" s="43">
        <f>VLOOKUP(A148,'SSP_March''19'!$A$3:$L$1193,12,0)</f>
        <v>15980</v>
      </c>
      <c r="M148" s="44">
        <f t="shared" si="12"/>
        <v>0.12292307692307693</v>
      </c>
      <c r="N148" s="49">
        <f>ROUND(VLOOKUP(A148,'SSP_March''19'!$A$3:$N$1193,14,0),0)</f>
        <v>49538</v>
      </c>
      <c r="O148" s="44">
        <f t="shared" si="13"/>
        <v>0.38106153846153845</v>
      </c>
      <c r="P148" s="45">
        <f>VLOOKUP(A148,'SSP_March''19'!$A$3:$Q$1193,16,0)</f>
        <v>10</v>
      </c>
      <c r="Q148" s="34">
        <f>VLOOKUP(A148,'SSP_March''19'!$A$3:$Q$1193,17,0)</f>
        <v>2</v>
      </c>
      <c r="R148" s="35">
        <f t="shared" si="14"/>
        <v>0.2</v>
      </c>
      <c r="S148" s="49">
        <f>ROUND(VLOOKUP(A148,'SSP_March''19'!$A$3:$T$1193,19,0),0)</f>
        <v>6</v>
      </c>
      <c r="T148" s="44">
        <f>VLOOKUP(A148,'SSP_March''19'!$A$3:$T$1193,20,0)</f>
        <v>0.6</v>
      </c>
      <c r="U148" s="34">
        <f>VLOOKUP(A148,'SSP_March''19'!$A$3:$X$1193,21,0)</f>
        <v>0</v>
      </c>
      <c r="V148" s="34">
        <f>VLOOKUP(A148,'SSP_March''19'!$A$3:$X$1193,22,0)</f>
        <v>0</v>
      </c>
      <c r="W148" s="34">
        <f>VLOOKUP(A148,'SSP_March''19'!$A$3:$X$1193,23,0)</f>
        <v>0</v>
      </c>
      <c r="X148" s="34">
        <f>VLOOKUP(A148,'SSP_March''19'!$A$3:$X$1193,24,0)</f>
        <v>0</v>
      </c>
    </row>
    <row r="149" spans="1:24">
      <c r="A149" s="34" t="s">
        <v>2328</v>
      </c>
      <c r="B149" s="34" t="s">
        <v>2329</v>
      </c>
      <c r="C149" s="34" t="s">
        <v>136</v>
      </c>
      <c r="D149" s="34" t="s">
        <v>137</v>
      </c>
      <c r="E149" s="34" t="s">
        <v>4</v>
      </c>
      <c r="F149" s="34" t="s">
        <v>2330</v>
      </c>
      <c r="G149" s="54">
        <v>1715418264</v>
      </c>
      <c r="H149" s="54" t="s">
        <v>229</v>
      </c>
      <c r="I149" s="54" t="s">
        <v>3514</v>
      </c>
      <c r="J149" s="34" t="s">
        <v>3421</v>
      </c>
      <c r="K149" s="43">
        <f>VLOOKUP(A149,'SSP_March''19'!$A$3:$L$1193,11,0)</f>
        <v>130000</v>
      </c>
      <c r="L149" s="43">
        <f>VLOOKUP(A149,'SSP_March''19'!$A$3:$L$1193,12,0)</f>
        <v>23370</v>
      </c>
      <c r="M149" s="44">
        <f t="shared" si="12"/>
        <v>0.17976923076923076</v>
      </c>
      <c r="N149" s="49">
        <f>ROUND(VLOOKUP(A149,'SSP_March''19'!$A$3:$N$1193,14,0),0)</f>
        <v>72447</v>
      </c>
      <c r="O149" s="44">
        <f t="shared" si="13"/>
        <v>0.55728461538461538</v>
      </c>
      <c r="P149" s="45">
        <f>VLOOKUP(A149,'SSP_March''19'!$A$3:$Q$1193,16,0)</f>
        <v>10</v>
      </c>
      <c r="Q149" s="34">
        <f>VLOOKUP(A149,'SSP_March''19'!$A$3:$Q$1193,17,0)</f>
        <v>2</v>
      </c>
      <c r="R149" s="35">
        <f t="shared" si="14"/>
        <v>0.2</v>
      </c>
      <c r="S149" s="49">
        <f>ROUND(VLOOKUP(A149,'SSP_March''19'!$A$3:$T$1193,19,0),0)</f>
        <v>6</v>
      </c>
      <c r="T149" s="44">
        <f>VLOOKUP(A149,'SSP_March''19'!$A$3:$T$1193,20,0)</f>
        <v>0.6</v>
      </c>
      <c r="U149" s="34">
        <f>VLOOKUP(A149,'SSP_March''19'!$A$3:$X$1193,21,0)</f>
        <v>0</v>
      </c>
      <c r="V149" s="34">
        <f>VLOOKUP(A149,'SSP_March''19'!$A$3:$X$1193,22,0)</f>
        <v>0</v>
      </c>
      <c r="W149" s="34">
        <f>VLOOKUP(A149,'SSP_March''19'!$A$3:$X$1193,23,0)</f>
        <v>0</v>
      </c>
      <c r="X149" s="34">
        <f>VLOOKUP(A149,'SSP_March''19'!$A$3:$X$1193,24,0)</f>
        <v>1</v>
      </c>
    </row>
    <row r="150" spans="1:24">
      <c r="A150" s="34" t="s">
        <v>3267</v>
      </c>
      <c r="B150" s="34" t="s">
        <v>557</v>
      </c>
      <c r="C150" s="34" t="s">
        <v>136</v>
      </c>
      <c r="D150" s="34" t="s">
        <v>137</v>
      </c>
      <c r="E150" s="34" t="s">
        <v>4</v>
      </c>
      <c r="F150" s="34" t="s">
        <v>3268</v>
      </c>
      <c r="G150" s="54">
        <v>1712331363</v>
      </c>
      <c r="H150" s="54" t="s">
        <v>229</v>
      </c>
      <c r="I150" s="54" t="s">
        <v>3514</v>
      </c>
      <c r="J150" s="34" t="s">
        <v>3421</v>
      </c>
      <c r="K150" s="43">
        <f>VLOOKUP(A150,'SSP_March''19'!$A$3:$L$1193,11,0)</f>
        <v>130000</v>
      </c>
      <c r="L150" s="43">
        <f>VLOOKUP(A150,'SSP_March''19'!$A$3:$L$1193,12,0)</f>
        <v>60310</v>
      </c>
      <c r="M150" s="44">
        <f t="shared" si="12"/>
        <v>0.46392307692307694</v>
      </c>
      <c r="N150" s="49">
        <f>ROUND(VLOOKUP(A150,'SSP_March''19'!$A$3:$N$1193,14,0),0)</f>
        <v>186961</v>
      </c>
      <c r="O150" s="44">
        <f t="shared" si="13"/>
        <v>1.4381615384615385</v>
      </c>
      <c r="P150" s="45">
        <f>VLOOKUP(A150,'SSP_March''19'!$A$3:$Q$1193,16,0)</f>
        <v>10</v>
      </c>
      <c r="Q150" s="34">
        <f>VLOOKUP(A150,'SSP_March''19'!$A$3:$Q$1193,17,0)</f>
        <v>6</v>
      </c>
      <c r="R150" s="35">
        <f t="shared" si="14"/>
        <v>0.6</v>
      </c>
      <c r="S150" s="49">
        <f>ROUND(VLOOKUP(A150,'SSP_March''19'!$A$3:$T$1193,19,0),0)</f>
        <v>19</v>
      </c>
      <c r="T150" s="44">
        <f>VLOOKUP(A150,'SSP_March''19'!$A$3:$T$1193,20,0)</f>
        <v>1.9</v>
      </c>
      <c r="U150" s="34">
        <f>VLOOKUP(A150,'SSP_March''19'!$A$3:$X$1193,21,0)</f>
        <v>1</v>
      </c>
      <c r="V150" s="34">
        <f>VLOOKUP(A150,'SSP_March''19'!$A$3:$X$1193,22,0)</f>
        <v>2</v>
      </c>
      <c r="W150" s="34">
        <f>VLOOKUP(A150,'SSP_March''19'!$A$3:$X$1193,23,0)</f>
        <v>0</v>
      </c>
      <c r="X150" s="34">
        <f>VLOOKUP(A150,'SSP_March''19'!$A$3:$X$1193,24,0)</f>
        <v>0</v>
      </c>
    </row>
    <row r="151" spans="1:24">
      <c r="A151" s="34" t="s">
        <v>2308</v>
      </c>
      <c r="B151" s="34" t="s">
        <v>2309</v>
      </c>
      <c r="C151" s="34" t="s">
        <v>136</v>
      </c>
      <c r="D151" s="34" t="s">
        <v>137</v>
      </c>
      <c r="E151" s="34" t="s">
        <v>4</v>
      </c>
      <c r="F151" s="34" t="s">
        <v>2310</v>
      </c>
      <c r="G151" s="54">
        <v>1730973737</v>
      </c>
      <c r="H151" s="54" t="s">
        <v>229</v>
      </c>
      <c r="I151" s="54" t="s">
        <v>3514</v>
      </c>
      <c r="J151" s="34" t="s">
        <v>3419</v>
      </c>
      <c r="K151" s="43">
        <f>VLOOKUP(A151,'SSP_March''19'!$A$3:$L$1193,11,0)</f>
        <v>130000</v>
      </c>
      <c r="L151" s="43">
        <f>VLOOKUP(A151,'SSP_March''19'!$A$3:$L$1193,12,0)</f>
        <v>37790</v>
      </c>
      <c r="M151" s="44">
        <f t="shared" si="12"/>
        <v>0.29069230769230769</v>
      </c>
      <c r="N151" s="49">
        <f>ROUND(VLOOKUP(A151,'SSP_March''19'!$A$3:$N$1193,14,0),0)</f>
        <v>117149</v>
      </c>
      <c r="O151" s="44">
        <f t="shared" si="13"/>
        <v>0.90114615384615382</v>
      </c>
      <c r="P151" s="45">
        <f>VLOOKUP(A151,'SSP_March''19'!$A$3:$Q$1193,16,0)</f>
        <v>10</v>
      </c>
      <c r="Q151" s="34">
        <f>VLOOKUP(A151,'SSP_March''19'!$A$3:$Q$1193,17,0)</f>
        <v>3</v>
      </c>
      <c r="R151" s="35">
        <f t="shared" si="14"/>
        <v>0.3</v>
      </c>
      <c r="S151" s="49">
        <f>ROUND(VLOOKUP(A151,'SSP_March''19'!$A$3:$T$1193,19,0),0)</f>
        <v>9</v>
      </c>
      <c r="T151" s="44">
        <f>VLOOKUP(A151,'SSP_March''19'!$A$3:$T$1193,20,0)</f>
        <v>0.9</v>
      </c>
      <c r="U151" s="34">
        <f>VLOOKUP(A151,'SSP_March''19'!$A$3:$X$1193,21,0)</f>
        <v>1</v>
      </c>
      <c r="V151" s="34">
        <f>VLOOKUP(A151,'SSP_March''19'!$A$3:$X$1193,22,0)</f>
        <v>2</v>
      </c>
      <c r="W151" s="34">
        <f>VLOOKUP(A151,'SSP_March''19'!$A$3:$X$1193,23,0)</f>
        <v>0</v>
      </c>
      <c r="X151" s="34">
        <f>VLOOKUP(A151,'SSP_March''19'!$A$3:$X$1193,24,0)</f>
        <v>1</v>
      </c>
    </row>
    <row r="152" spans="1:24">
      <c r="A152" s="34" t="s">
        <v>3377</v>
      </c>
      <c r="B152" s="34" t="s">
        <v>3378</v>
      </c>
      <c r="C152" s="34" t="s">
        <v>136</v>
      </c>
      <c r="D152" s="34" t="s">
        <v>137</v>
      </c>
      <c r="E152" s="34" t="s">
        <v>4</v>
      </c>
      <c r="F152" s="34" t="s">
        <v>3376</v>
      </c>
      <c r="G152" s="54">
        <v>1915635950</v>
      </c>
      <c r="H152" s="54" t="s">
        <v>229</v>
      </c>
      <c r="I152" s="54" t="s">
        <v>3514</v>
      </c>
      <c r="J152" s="34" t="s">
        <v>3421</v>
      </c>
      <c r="K152" s="43">
        <f>VLOOKUP(A152,'SSP_March''19'!$A$3:$L$1193,11,0)</f>
        <v>130000</v>
      </c>
      <c r="L152" s="43">
        <f>VLOOKUP(A152,'SSP_March''19'!$A$3:$L$1193,12,0)</f>
        <v>5390</v>
      </c>
      <c r="M152" s="44">
        <f t="shared" si="12"/>
        <v>4.1461538461538459E-2</v>
      </c>
      <c r="N152" s="49">
        <f>ROUND(VLOOKUP(A152,'SSP_March''19'!$A$3:$N$1193,14,0),0)</f>
        <v>16709</v>
      </c>
      <c r="O152" s="44">
        <f t="shared" si="13"/>
        <v>0.12853076923076923</v>
      </c>
      <c r="P152" s="45">
        <f>VLOOKUP(A152,'SSP_March''19'!$A$3:$Q$1193,16,0)</f>
        <v>10</v>
      </c>
      <c r="Q152" s="34">
        <f>VLOOKUP(A152,'SSP_March''19'!$A$3:$Q$1193,17,0)</f>
        <v>0</v>
      </c>
      <c r="R152" s="35">
        <f t="shared" si="14"/>
        <v>0</v>
      </c>
      <c r="S152" s="49">
        <f>ROUND(VLOOKUP(A152,'SSP_March''19'!$A$3:$T$1193,19,0),0)</f>
        <v>0</v>
      </c>
      <c r="T152" s="44">
        <f>VLOOKUP(A152,'SSP_March''19'!$A$3:$T$1193,20,0)</f>
        <v>0</v>
      </c>
      <c r="U152" s="34">
        <f>VLOOKUP(A152,'SSP_March''19'!$A$3:$X$1193,21,0)</f>
        <v>0</v>
      </c>
      <c r="V152" s="34">
        <f>VLOOKUP(A152,'SSP_March''19'!$A$3:$X$1193,22,0)</f>
        <v>0</v>
      </c>
      <c r="W152" s="34">
        <f>VLOOKUP(A152,'SSP_March''19'!$A$3:$X$1193,23,0)</f>
        <v>0</v>
      </c>
      <c r="X152" s="34">
        <f>VLOOKUP(A152,'SSP_March''19'!$A$3:$X$1193,24,0)</f>
        <v>0</v>
      </c>
    </row>
    <row r="153" spans="1:24">
      <c r="A153" s="34" t="s">
        <v>2317</v>
      </c>
      <c r="B153" s="34" t="s">
        <v>2318</v>
      </c>
      <c r="C153" s="34" t="s">
        <v>136</v>
      </c>
      <c r="D153" s="34" t="s">
        <v>137</v>
      </c>
      <c r="E153" s="34" t="s">
        <v>4</v>
      </c>
      <c r="F153" s="34" t="s">
        <v>2319</v>
      </c>
      <c r="G153" s="54">
        <v>1746435137</v>
      </c>
      <c r="H153" s="54" t="s">
        <v>229</v>
      </c>
      <c r="I153" s="54" t="s">
        <v>3514</v>
      </c>
      <c r="J153" s="34" t="s">
        <v>3421</v>
      </c>
      <c r="K153" s="43">
        <f>VLOOKUP(A153,'SSP_March''19'!$A$3:$L$1193,11,0)</f>
        <v>130000</v>
      </c>
      <c r="L153" s="43">
        <f>VLOOKUP(A153,'SSP_March''19'!$A$3:$L$1193,12,0)</f>
        <v>0</v>
      </c>
      <c r="M153" s="44">
        <f t="shared" si="12"/>
        <v>0</v>
      </c>
      <c r="N153" s="49">
        <f>ROUND(VLOOKUP(A153,'SSP_March''19'!$A$3:$N$1193,14,0),0)</f>
        <v>0</v>
      </c>
      <c r="O153" s="44">
        <f t="shared" si="13"/>
        <v>0</v>
      </c>
      <c r="P153" s="45">
        <f>VLOOKUP(A153,'SSP_March''19'!$A$3:$Q$1193,16,0)</f>
        <v>10</v>
      </c>
      <c r="Q153" s="34">
        <f>VLOOKUP(A153,'SSP_March''19'!$A$3:$Q$1193,17,0)</f>
        <v>0</v>
      </c>
      <c r="R153" s="35">
        <f t="shared" si="14"/>
        <v>0</v>
      </c>
      <c r="S153" s="49">
        <f>ROUND(VLOOKUP(A153,'SSP_March''19'!$A$3:$T$1193,19,0),0)</f>
        <v>0</v>
      </c>
      <c r="T153" s="44">
        <f>VLOOKUP(A153,'SSP_March''19'!$A$3:$T$1193,20,0)</f>
        <v>0</v>
      </c>
      <c r="U153" s="34">
        <f>VLOOKUP(A153,'SSP_March''19'!$A$3:$X$1193,21,0)</f>
        <v>0</v>
      </c>
      <c r="V153" s="34">
        <f>VLOOKUP(A153,'SSP_March''19'!$A$3:$X$1193,22,0)</f>
        <v>0</v>
      </c>
      <c r="W153" s="34">
        <f>VLOOKUP(A153,'SSP_March''19'!$A$3:$X$1193,23,0)</f>
        <v>0</v>
      </c>
      <c r="X153" s="34">
        <f>VLOOKUP(A153,'SSP_March''19'!$A$3:$X$1193,24,0)</f>
        <v>0</v>
      </c>
    </row>
    <row r="154" spans="1:24">
      <c r="A154" s="34" t="s">
        <v>3473</v>
      </c>
      <c r="B154" s="34" t="s">
        <v>3474</v>
      </c>
      <c r="C154" s="34" t="s">
        <v>136</v>
      </c>
      <c r="D154" s="34" t="s">
        <v>137</v>
      </c>
      <c r="E154" s="34" t="s">
        <v>4</v>
      </c>
      <c r="F154" s="34" t="s">
        <v>3475</v>
      </c>
      <c r="G154" s="54">
        <v>1715318484</v>
      </c>
      <c r="H154" s="54" t="s">
        <v>229</v>
      </c>
      <c r="I154" s="54" t="s">
        <v>3514</v>
      </c>
      <c r="J154" s="34" t="s">
        <v>3421</v>
      </c>
      <c r="K154" s="43">
        <f>VLOOKUP(A154,'SSP_March''19'!$A$3:$L$1193,11,0)</f>
        <v>130000</v>
      </c>
      <c r="L154" s="43">
        <f>VLOOKUP(A154,'SSP_March''19'!$A$3:$L$1193,12,0)</f>
        <v>36975</v>
      </c>
      <c r="M154" s="44">
        <f t="shared" si="12"/>
        <v>0.28442307692307695</v>
      </c>
      <c r="N154" s="49">
        <f>ROUND(VLOOKUP(A154,'SSP_March''19'!$A$3:$N$1193,14,0),0)</f>
        <v>114623</v>
      </c>
      <c r="O154" s="44">
        <f t="shared" si="13"/>
        <v>0.88171538461538457</v>
      </c>
      <c r="P154" s="45">
        <f>VLOOKUP(A154,'SSP_March''19'!$A$3:$Q$1193,16,0)</f>
        <v>10</v>
      </c>
      <c r="Q154" s="34">
        <f>VLOOKUP(A154,'SSP_March''19'!$A$3:$Q$1193,17,0)</f>
        <v>2</v>
      </c>
      <c r="R154" s="35">
        <f t="shared" si="14"/>
        <v>0.2</v>
      </c>
      <c r="S154" s="49">
        <f>ROUND(VLOOKUP(A154,'SSP_March''19'!$A$3:$T$1193,19,0),0)</f>
        <v>6</v>
      </c>
      <c r="T154" s="44">
        <f>VLOOKUP(A154,'SSP_March''19'!$A$3:$T$1193,20,0)</f>
        <v>0.6</v>
      </c>
      <c r="U154" s="34">
        <f>VLOOKUP(A154,'SSP_March''19'!$A$3:$X$1193,21,0)</f>
        <v>0</v>
      </c>
      <c r="V154" s="34">
        <f>VLOOKUP(A154,'SSP_March''19'!$A$3:$X$1193,22,0)</f>
        <v>0</v>
      </c>
      <c r="W154" s="34">
        <f>VLOOKUP(A154,'SSP_March''19'!$A$3:$X$1193,23,0)</f>
        <v>0</v>
      </c>
      <c r="X154" s="34">
        <f>VLOOKUP(A154,'SSP_March''19'!$A$3:$X$1193,24,0)</f>
        <v>0</v>
      </c>
    </row>
    <row r="155" spans="1:24">
      <c r="A155" s="34" t="s">
        <v>2314</v>
      </c>
      <c r="B155" s="34" t="s">
        <v>2315</v>
      </c>
      <c r="C155" s="34" t="s">
        <v>136</v>
      </c>
      <c r="D155" s="34" t="s">
        <v>137</v>
      </c>
      <c r="E155" s="34" t="s">
        <v>4</v>
      </c>
      <c r="F155" s="34" t="s">
        <v>2316</v>
      </c>
      <c r="G155" s="54">
        <v>1710552579</v>
      </c>
      <c r="H155" s="54" t="s">
        <v>229</v>
      </c>
      <c r="I155" s="54" t="s">
        <v>3514</v>
      </c>
      <c r="J155" s="34" t="s">
        <v>3515</v>
      </c>
      <c r="K155" s="43">
        <f>VLOOKUP(A155,'SSP_March''19'!$A$3:$L$1193,11,0)</f>
        <v>154958</v>
      </c>
      <c r="L155" s="43">
        <f>VLOOKUP(A155,'SSP_March''19'!$A$3:$L$1193,12,0)</f>
        <v>21070</v>
      </c>
      <c r="M155" s="44">
        <f t="shared" si="12"/>
        <v>0.13597232798564773</v>
      </c>
      <c r="N155" s="49">
        <f>ROUND(VLOOKUP(A155,'SSP_March''19'!$A$3:$N$1193,14,0),0)</f>
        <v>65317</v>
      </c>
      <c r="O155" s="44">
        <f t="shared" si="13"/>
        <v>0.42151421675550793</v>
      </c>
      <c r="P155" s="45">
        <f>VLOOKUP(A155,'SSP_March''19'!$A$3:$Q$1193,16,0)</f>
        <v>13</v>
      </c>
      <c r="Q155" s="34">
        <f>VLOOKUP(A155,'SSP_March''19'!$A$3:$Q$1193,17,0)</f>
        <v>2</v>
      </c>
      <c r="R155" s="35">
        <f t="shared" si="14"/>
        <v>0.15384615384615385</v>
      </c>
      <c r="S155" s="49">
        <f>ROUND(VLOOKUP(A155,'SSP_March''19'!$A$3:$T$1193,19,0),0)</f>
        <v>6</v>
      </c>
      <c r="T155" s="44">
        <f>VLOOKUP(A155,'SSP_March''19'!$A$3:$T$1193,20,0)</f>
        <v>0.46153846153846156</v>
      </c>
      <c r="U155" s="34">
        <f>VLOOKUP(A155,'SSP_March''19'!$A$3:$X$1193,21,0)</f>
        <v>0</v>
      </c>
      <c r="V155" s="34">
        <f>VLOOKUP(A155,'SSP_March''19'!$A$3:$X$1193,22,0)</f>
        <v>0</v>
      </c>
      <c r="W155" s="34">
        <f>VLOOKUP(A155,'SSP_March''19'!$A$3:$X$1193,23,0)</f>
        <v>0</v>
      </c>
      <c r="X155" s="34">
        <f>VLOOKUP(A155,'SSP_March''19'!$A$3:$X$1193,24,0)</f>
        <v>1</v>
      </c>
    </row>
    <row r="156" spans="1:24">
      <c r="A156" s="34" t="s">
        <v>2320</v>
      </c>
      <c r="B156" s="34" t="s">
        <v>2321</v>
      </c>
      <c r="C156" s="34" t="s">
        <v>136</v>
      </c>
      <c r="D156" s="34" t="s">
        <v>137</v>
      </c>
      <c r="E156" s="34" t="s">
        <v>4</v>
      </c>
      <c r="F156" s="34" t="s">
        <v>2322</v>
      </c>
      <c r="G156" s="54">
        <v>1713908220</v>
      </c>
      <c r="H156" s="54" t="s">
        <v>229</v>
      </c>
      <c r="I156" s="54" t="s">
        <v>3514</v>
      </c>
      <c r="J156" s="34" t="s">
        <v>3515</v>
      </c>
      <c r="K156" s="43">
        <f>VLOOKUP(A156,'SSP_March''19'!$A$3:$L$1193,11,0)</f>
        <v>130000</v>
      </c>
      <c r="L156" s="43">
        <f>VLOOKUP(A156,'SSP_March''19'!$A$3:$L$1193,12,0)</f>
        <v>54300</v>
      </c>
      <c r="M156" s="44">
        <f t="shared" si="12"/>
        <v>0.4176923076923077</v>
      </c>
      <c r="N156" s="49">
        <f>ROUND(VLOOKUP(A156,'SSP_March''19'!$A$3:$N$1193,14,0),0)</f>
        <v>168330</v>
      </c>
      <c r="O156" s="44">
        <f t="shared" si="13"/>
        <v>1.2948461538461538</v>
      </c>
      <c r="P156" s="45">
        <f>VLOOKUP(A156,'SSP_March''19'!$A$3:$Q$1193,16,0)</f>
        <v>10</v>
      </c>
      <c r="Q156" s="34">
        <f>VLOOKUP(A156,'SSP_March''19'!$A$3:$Q$1193,17,0)</f>
        <v>2</v>
      </c>
      <c r="R156" s="35">
        <f t="shared" si="14"/>
        <v>0.2</v>
      </c>
      <c r="S156" s="49">
        <f>ROUND(VLOOKUP(A156,'SSP_March''19'!$A$3:$T$1193,19,0),0)</f>
        <v>6</v>
      </c>
      <c r="T156" s="44">
        <f>VLOOKUP(A156,'SSP_March''19'!$A$3:$T$1193,20,0)</f>
        <v>0.6</v>
      </c>
      <c r="U156" s="34">
        <f>VLOOKUP(A156,'SSP_March''19'!$A$3:$X$1193,21,0)</f>
        <v>1</v>
      </c>
      <c r="V156" s="34">
        <f>VLOOKUP(A156,'SSP_March''19'!$A$3:$X$1193,22,0)</f>
        <v>1</v>
      </c>
      <c r="W156" s="34">
        <f>VLOOKUP(A156,'SSP_March''19'!$A$3:$X$1193,23,0)</f>
        <v>0</v>
      </c>
      <c r="X156" s="34">
        <f>VLOOKUP(A156,'SSP_March''19'!$A$3:$X$1193,24,0)</f>
        <v>0</v>
      </c>
    </row>
    <row r="157" spans="1:24">
      <c r="A157" s="34" t="s">
        <v>2346</v>
      </c>
      <c r="B157" s="34" t="s">
        <v>2347</v>
      </c>
      <c r="C157" s="34" t="s">
        <v>136</v>
      </c>
      <c r="D157" s="34" t="s">
        <v>137</v>
      </c>
      <c r="E157" s="34" t="s">
        <v>4</v>
      </c>
      <c r="F157" s="34" t="s">
        <v>2348</v>
      </c>
      <c r="G157" s="54">
        <v>1740933717</v>
      </c>
      <c r="H157" s="54" t="s">
        <v>229</v>
      </c>
      <c r="I157" s="54" t="s">
        <v>3514</v>
      </c>
      <c r="J157" s="34" t="s">
        <v>3421</v>
      </c>
      <c r="K157" s="43">
        <f>VLOOKUP(A157,'SSP_March''19'!$A$3:$L$1193,11,0)</f>
        <v>130000</v>
      </c>
      <c r="L157" s="43">
        <f>VLOOKUP(A157,'SSP_March''19'!$A$3:$L$1193,12,0)</f>
        <v>32009</v>
      </c>
      <c r="M157" s="44">
        <f t="shared" si="12"/>
        <v>0.24622307692307693</v>
      </c>
      <c r="N157" s="49">
        <f>ROUND(VLOOKUP(A157,'SSP_March''19'!$A$3:$N$1193,14,0),0)</f>
        <v>99228</v>
      </c>
      <c r="O157" s="44">
        <f t="shared" si="13"/>
        <v>0.76329230769230771</v>
      </c>
      <c r="P157" s="45">
        <f>VLOOKUP(A157,'SSP_March''19'!$A$3:$Q$1193,16,0)</f>
        <v>10</v>
      </c>
      <c r="Q157" s="34">
        <f>VLOOKUP(A157,'SSP_March''19'!$A$3:$Q$1193,17,0)</f>
        <v>1</v>
      </c>
      <c r="R157" s="35">
        <f t="shared" si="14"/>
        <v>0.1</v>
      </c>
      <c r="S157" s="49">
        <f>ROUND(VLOOKUP(A157,'SSP_March''19'!$A$3:$T$1193,19,0),0)</f>
        <v>3</v>
      </c>
      <c r="T157" s="44">
        <f>VLOOKUP(A157,'SSP_March''19'!$A$3:$T$1193,20,0)</f>
        <v>0.3</v>
      </c>
      <c r="U157" s="34">
        <f>VLOOKUP(A157,'SSP_March''19'!$A$3:$X$1193,21,0)</f>
        <v>0</v>
      </c>
      <c r="V157" s="34">
        <f>VLOOKUP(A157,'SSP_March''19'!$A$3:$X$1193,22,0)</f>
        <v>0</v>
      </c>
      <c r="W157" s="34">
        <f>VLOOKUP(A157,'SSP_March''19'!$A$3:$X$1193,23,0)</f>
        <v>0</v>
      </c>
      <c r="X157" s="34">
        <f>VLOOKUP(A157,'SSP_March''19'!$A$3:$X$1193,24,0)</f>
        <v>0</v>
      </c>
    </row>
    <row r="158" spans="1:24">
      <c r="A158" s="34" t="s">
        <v>2333</v>
      </c>
      <c r="B158" s="34" t="s">
        <v>954</v>
      </c>
      <c r="C158" s="34" t="s">
        <v>136</v>
      </c>
      <c r="D158" s="34" t="s">
        <v>137</v>
      </c>
      <c r="E158" s="34" t="s">
        <v>4</v>
      </c>
      <c r="F158" s="34" t="s">
        <v>2334</v>
      </c>
      <c r="G158" s="54">
        <v>1775594808</v>
      </c>
      <c r="H158" s="54" t="s">
        <v>229</v>
      </c>
      <c r="I158" s="54" t="s">
        <v>3514</v>
      </c>
      <c r="J158" s="34" t="s">
        <v>3421</v>
      </c>
      <c r="K158" s="43">
        <f>VLOOKUP(A158,'SSP_March''19'!$A$3:$L$1193,11,0)</f>
        <v>130000</v>
      </c>
      <c r="L158" s="43">
        <f>VLOOKUP(A158,'SSP_March''19'!$A$3:$L$1193,12,0)</f>
        <v>16920</v>
      </c>
      <c r="M158" s="44">
        <f t="shared" si="12"/>
        <v>0.13015384615384615</v>
      </c>
      <c r="N158" s="49">
        <f>ROUND(VLOOKUP(A158,'SSP_March''19'!$A$3:$N$1193,14,0),0)</f>
        <v>52452</v>
      </c>
      <c r="O158" s="44">
        <f t="shared" si="13"/>
        <v>0.40347692307692307</v>
      </c>
      <c r="P158" s="45">
        <f>VLOOKUP(A158,'SSP_March''19'!$A$3:$Q$1193,16,0)</f>
        <v>10</v>
      </c>
      <c r="Q158" s="34">
        <f>VLOOKUP(A158,'SSP_March''19'!$A$3:$Q$1193,17,0)</f>
        <v>0</v>
      </c>
      <c r="R158" s="35">
        <f t="shared" si="14"/>
        <v>0</v>
      </c>
      <c r="S158" s="49">
        <f>ROUND(VLOOKUP(A158,'SSP_March''19'!$A$3:$T$1193,19,0),0)</f>
        <v>0</v>
      </c>
      <c r="T158" s="44">
        <f>VLOOKUP(A158,'SSP_March''19'!$A$3:$T$1193,20,0)</f>
        <v>0</v>
      </c>
      <c r="U158" s="34">
        <f>VLOOKUP(A158,'SSP_March''19'!$A$3:$X$1193,21,0)</f>
        <v>0</v>
      </c>
      <c r="V158" s="34">
        <f>VLOOKUP(A158,'SSP_March''19'!$A$3:$X$1193,22,0)</f>
        <v>0</v>
      </c>
      <c r="W158" s="34">
        <f>VLOOKUP(A158,'SSP_March''19'!$A$3:$X$1193,23,0)</f>
        <v>0</v>
      </c>
      <c r="X158" s="34">
        <f>VLOOKUP(A158,'SSP_March''19'!$A$3:$X$1193,24,0)</f>
        <v>0</v>
      </c>
    </row>
    <row r="159" spans="1:24">
      <c r="A159" s="34" t="s">
        <v>2311</v>
      </c>
      <c r="B159" s="34" t="s">
        <v>2312</v>
      </c>
      <c r="C159" s="34" t="s">
        <v>136</v>
      </c>
      <c r="D159" s="34" t="s">
        <v>137</v>
      </c>
      <c r="E159" s="34" t="s">
        <v>4</v>
      </c>
      <c r="F159" s="34" t="s">
        <v>2313</v>
      </c>
      <c r="G159" s="54">
        <v>1711210214</v>
      </c>
      <c r="H159" s="54" t="s">
        <v>229</v>
      </c>
      <c r="I159" s="54" t="s">
        <v>3514</v>
      </c>
      <c r="J159" s="34" t="s">
        <v>3419</v>
      </c>
      <c r="K159" s="43">
        <f>VLOOKUP(A159,'SSP_March''19'!$A$3:$L$1193,11,0)</f>
        <v>185654</v>
      </c>
      <c r="L159" s="43">
        <f>VLOOKUP(A159,'SSP_March''19'!$A$3:$L$1193,12,0)</f>
        <v>89427</v>
      </c>
      <c r="M159" s="44">
        <f t="shared" si="12"/>
        <v>0.48168636280392557</v>
      </c>
      <c r="N159" s="49">
        <f>ROUND(VLOOKUP(A159,'SSP_March''19'!$A$3:$N$1193,14,0),0)</f>
        <v>277224</v>
      </c>
      <c r="O159" s="44">
        <f t="shared" si="13"/>
        <v>1.4932293406013337</v>
      </c>
      <c r="P159" s="45">
        <f>VLOOKUP(A159,'SSP_March''19'!$A$3:$Q$1193,16,0)</f>
        <v>13</v>
      </c>
      <c r="Q159" s="34">
        <f>VLOOKUP(A159,'SSP_March''19'!$A$3:$Q$1193,17,0)</f>
        <v>3</v>
      </c>
      <c r="R159" s="35">
        <f t="shared" si="14"/>
        <v>0.23076923076923078</v>
      </c>
      <c r="S159" s="49">
        <f>ROUND(VLOOKUP(A159,'SSP_March''19'!$A$3:$T$1193,19,0),0)</f>
        <v>9</v>
      </c>
      <c r="T159" s="44">
        <f>VLOOKUP(A159,'SSP_March''19'!$A$3:$T$1193,20,0)</f>
        <v>0.69230769230769229</v>
      </c>
      <c r="U159" s="34">
        <f>VLOOKUP(A159,'SSP_March''19'!$A$3:$X$1193,21,0)</f>
        <v>3</v>
      </c>
      <c r="V159" s="34">
        <f>VLOOKUP(A159,'SSP_March''19'!$A$3:$X$1193,22,0)</f>
        <v>0</v>
      </c>
      <c r="W159" s="34">
        <f>VLOOKUP(A159,'SSP_March''19'!$A$3:$X$1193,23,0)</f>
        <v>0</v>
      </c>
      <c r="X159" s="34">
        <f>VLOOKUP(A159,'SSP_March''19'!$A$3:$X$1193,24,0)</f>
        <v>0</v>
      </c>
    </row>
    <row r="160" spans="1:24">
      <c r="A160" s="34" t="s">
        <v>3352</v>
      </c>
      <c r="B160" s="34" t="s">
        <v>3170</v>
      </c>
      <c r="C160" s="34" t="s">
        <v>136</v>
      </c>
      <c r="D160" s="34" t="s">
        <v>137</v>
      </c>
      <c r="E160" s="34" t="s">
        <v>4</v>
      </c>
      <c r="F160" s="34" t="s">
        <v>3171</v>
      </c>
      <c r="G160" s="54">
        <v>1728015250</v>
      </c>
      <c r="H160" s="54" t="s">
        <v>229</v>
      </c>
      <c r="I160" s="54" t="s">
        <v>3514</v>
      </c>
      <c r="J160" s="34" t="s">
        <v>3421</v>
      </c>
      <c r="K160" s="43">
        <f>VLOOKUP(A160,'SSP_March''19'!$A$3:$L$1193,11,0)</f>
        <v>130000</v>
      </c>
      <c r="L160" s="43">
        <f>VLOOKUP(A160,'SSP_March''19'!$A$3:$L$1193,12,0)</f>
        <v>25310</v>
      </c>
      <c r="M160" s="44">
        <f t="shared" si="12"/>
        <v>0.19469230769230769</v>
      </c>
      <c r="N160" s="49">
        <f>ROUND(VLOOKUP(A160,'SSP_March''19'!$A$3:$N$1193,14,0),0)</f>
        <v>78461</v>
      </c>
      <c r="O160" s="44">
        <f t="shared" si="13"/>
        <v>0.60354615384615384</v>
      </c>
      <c r="P160" s="45">
        <f>VLOOKUP(A160,'SSP_March''19'!$A$3:$Q$1193,16,0)</f>
        <v>10</v>
      </c>
      <c r="Q160" s="34">
        <f>VLOOKUP(A160,'SSP_March''19'!$A$3:$Q$1193,17,0)</f>
        <v>2</v>
      </c>
      <c r="R160" s="35">
        <f t="shared" si="14"/>
        <v>0.2</v>
      </c>
      <c r="S160" s="49">
        <f>ROUND(VLOOKUP(A160,'SSP_March''19'!$A$3:$T$1193,19,0),0)</f>
        <v>6</v>
      </c>
      <c r="T160" s="44">
        <f>VLOOKUP(A160,'SSP_March''19'!$A$3:$T$1193,20,0)</f>
        <v>0.6</v>
      </c>
      <c r="U160" s="34">
        <f>VLOOKUP(A160,'SSP_March''19'!$A$3:$X$1193,21,0)</f>
        <v>0</v>
      </c>
      <c r="V160" s="34">
        <f>VLOOKUP(A160,'SSP_March''19'!$A$3:$X$1193,22,0)</f>
        <v>0</v>
      </c>
      <c r="W160" s="34">
        <f>VLOOKUP(A160,'SSP_March''19'!$A$3:$X$1193,23,0)</f>
        <v>0</v>
      </c>
      <c r="X160" s="34">
        <f>VLOOKUP(A160,'SSP_March''19'!$A$3:$X$1193,24,0)</f>
        <v>0</v>
      </c>
    </row>
    <row r="161" spans="1:24">
      <c r="A161" s="34" t="s">
        <v>2323</v>
      </c>
      <c r="B161" s="34" t="s">
        <v>2324</v>
      </c>
      <c r="C161" s="34" t="s">
        <v>136</v>
      </c>
      <c r="D161" s="34" t="s">
        <v>137</v>
      </c>
      <c r="E161" s="34" t="s">
        <v>4</v>
      </c>
      <c r="F161" s="34" t="s">
        <v>2325</v>
      </c>
      <c r="G161" s="54">
        <v>1718286519</v>
      </c>
      <c r="H161" s="54" t="s">
        <v>229</v>
      </c>
      <c r="I161" s="54" t="s">
        <v>3514</v>
      </c>
      <c r="J161" s="34" t="s">
        <v>3421</v>
      </c>
      <c r="K161" s="43">
        <f>VLOOKUP(A161,'SSP_March''19'!$A$3:$L$1193,11,0)</f>
        <v>130000</v>
      </c>
      <c r="L161" s="43">
        <f>VLOOKUP(A161,'SSP_March''19'!$A$3:$L$1193,12,0)</f>
        <v>48870</v>
      </c>
      <c r="M161" s="44">
        <f t="shared" si="12"/>
        <v>0.37592307692307692</v>
      </c>
      <c r="N161" s="49">
        <f>ROUND(VLOOKUP(A161,'SSP_March''19'!$A$3:$N$1193,14,0),0)</f>
        <v>151497</v>
      </c>
      <c r="O161" s="44">
        <f t="shared" si="13"/>
        <v>1.1653615384615386</v>
      </c>
      <c r="P161" s="45">
        <f>VLOOKUP(A161,'SSP_March''19'!$A$3:$Q$1193,16,0)</f>
        <v>10</v>
      </c>
      <c r="Q161" s="34">
        <f>VLOOKUP(A161,'SSP_March''19'!$A$3:$Q$1193,17,0)</f>
        <v>2</v>
      </c>
      <c r="R161" s="35">
        <f t="shared" si="14"/>
        <v>0.2</v>
      </c>
      <c r="S161" s="49">
        <f>ROUND(VLOOKUP(A161,'SSP_March''19'!$A$3:$T$1193,19,0),0)</f>
        <v>6</v>
      </c>
      <c r="T161" s="44">
        <f>VLOOKUP(A161,'SSP_March''19'!$A$3:$T$1193,20,0)</f>
        <v>0.6</v>
      </c>
      <c r="U161" s="34">
        <f>VLOOKUP(A161,'SSP_March''19'!$A$3:$X$1193,21,0)</f>
        <v>3</v>
      </c>
      <c r="V161" s="34">
        <f>VLOOKUP(A161,'SSP_March''19'!$A$3:$X$1193,22,0)</f>
        <v>0</v>
      </c>
      <c r="W161" s="34">
        <f>VLOOKUP(A161,'SSP_March''19'!$A$3:$X$1193,23,0)</f>
        <v>0</v>
      </c>
      <c r="X161" s="34">
        <f>VLOOKUP(A161,'SSP_March''19'!$A$3:$X$1193,24,0)</f>
        <v>1</v>
      </c>
    </row>
    <row r="162" spans="1:24">
      <c r="A162" s="34" t="s">
        <v>2331</v>
      </c>
      <c r="B162" s="34" t="s">
        <v>134</v>
      </c>
      <c r="C162" s="34" t="s">
        <v>136</v>
      </c>
      <c r="D162" s="34" t="s">
        <v>137</v>
      </c>
      <c r="E162" s="34" t="s">
        <v>4</v>
      </c>
      <c r="F162" s="34" t="s">
        <v>2332</v>
      </c>
      <c r="G162" s="54">
        <v>1752792599</v>
      </c>
      <c r="H162" s="54" t="s">
        <v>229</v>
      </c>
      <c r="I162" s="54" t="s">
        <v>3514</v>
      </c>
      <c r="J162" s="34" t="s">
        <v>3421</v>
      </c>
      <c r="K162" s="43">
        <f>VLOOKUP(A162,'SSP_March''19'!$A$3:$L$1193,11,0)</f>
        <v>130000</v>
      </c>
      <c r="L162" s="43">
        <f>VLOOKUP(A162,'SSP_March''19'!$A$3:$L$1193,12,0)</f>
        <v>10380</v>
      </c>
      <c r="M162" s="44">
        <f t="shared" si="12"/>
        <v>7.9846153846153844E-2</v>
      </c>
      <c r="N162" s="49">
        <f>ROUND(VLOOKUP(A162,'SSP_March''19'!$A$3:$N$1193,14,0),0)</f>
        <v>32178</v>
      </c>
      <c r="O162" s="44">
        <f t="shared" si="13"/>
        <v>0.24752307692307693</v>
      </c>
      <c r="P162" s="45">
        <f>VLOOKUP(A162,'SSP_March''19'!$A$3:$Q$1193,16,0)</f>
        <v>10</v>
      </c>
      <c r="Q162" s="34">
        <f>VLOOKUP(A162,'SSP_March''19'!$A$3:$Q$1193,17,0)</f>
        <v>0</v>
      </c>
      <c r="R162" s="35">
        <f t="shared" si="14"/>
        <v>0</v>
      </c>
      <c r="S162" s="49">
        <f>ROUND(VLOOKUP(A162,'SSP_March''19'!$A$3:$T$1193,19,0),0)</f>
        <v>0</v>
      </c>
      <c r="T162" s="44">
        <f>VLOOKUP(A162,'SSP_March''19'!$A$3:$T$1193,20,0)</f>
        <v>0</v>
      </c>
      <c r="U162" s="34">
        <f>VLOOKUP(A162,'SSP_March''19'!$A$3:$X$1193,21,0)</f>
        <v>1</v>
      </c>
      <c r="V162" s="34">
        <f>VLOOKUP(A162,'SSP_March''19'!$A$3:$X$1193,22,0)</f>
        <v>0</v>
      </c>
      <c r="W162" s="34">
        <f>VLOOKUP(A162,'SSP_March''19'!$A$3:$X$1193,23,0)</f>
        <v>0</v>
      </c>
      <c r="X162" s="34">
        <f>VLOOKUP(A162,'SSP_March''19'!$A$3:$X$1193,24,0)</f>
        <v>0</v>
      </c>
    </row>
    <row r="163" spans="1:24">
      <c r="A163" s="34" t="s">
        <v>3476</v>
      </c>
      <c r="B163" s="34" t="s">
        <v>3477</v>
      </c>
      <c r="C163" s="34" t="s">
        <v>136</v>
      </c>
      <c r="D163" s="34" t="s">
        <v>137</v>
      </c>
      <c r="E163" s="34" t="s">
        <v>4</v>
      </c>
      <c r="F163" s="34" t="s">
        <v>3478</v>
      </c>
      <c r="G163" s="54">
        <v>1944211049</v>
      </c>
      <c r="H163" s="54" t="s">
        <v>229</v>
      </c>
      <c r="I163" s="54" t="s">
        <v>3514</v>
      </c>
      <c r="J163" s="34" t="s">
        <v>3419</v>
      </c>
      <c r="K163" s="43">
        <f>VLOOKUP(A163,'SSP_March''19'!$A$3:$L$1193,11,0)</f>
        <v>164679</v>
      </c>
      <c r="L163" s="43">
        <f>VLOOKUP(A163,'SSP_March''19'!$A$3:$L$1193,12,0)</f>
        <v>16020</v>
      </c>
      <c r="M163" s="44">
        <f t="shared" ref="M163:M166" si="15">L163/K163</f>
        <v>9.7280163226640917E-2</v>
      </c>
      <c r="N163" s="49">
        <f>ROUND(VLOOKUP(A163,'SSP_March''19'!$A$3:$N$1193,14,0),0)</f>
        <v>49662</v>
      </c>
      <c r="O163" s="44">
        <f t="shared" ref="O163:O166" si="16">N163/K163</f>
        <v>0.30156850600258683</v>
      </c>
      <c r="P163" s="45">
        <f>VLOOKUP(A163,'SSP_March''19'!$A$3:$Q$1193,16,0)</f>
        <v>12</v>
      </c>
      <c r="Q163" s="34">
        <f>VLOOKUP(A163,'SSP_March''19'!$A$3:$Q$1193,17,0)</f>
        <v>0</v>
      </c>
      <c r="R163" s="35">
        <f t="shared" ref="R163:R166" si="17">Q163/P163</f>
        <v>0</v>
      </c>
      <c r="S163" s="49">
        <f>ROUND(VLOOKUP(A163,'SSP_March''19'!$A$3:$T$1193,19,0),0)</f>
        <v>0</v>
      </c>
      <c r="T163" s="44">
        <f>VLOOKUP(A163,'SSP_March''19'!$A$3:$T$1193,20,0)</f>
        <v>0</v>
      </c>
      <c r="U163" s="34">
        <f>VLOOKUP(A163,'SSP_March''19'!$A$3:$X$1193,21,0)</f>
        <v>0</v>
      </c>
      <c r="V163" s="34">
        <f>VLOOKUP(A163,'SSP_March''19'!$A$3:$X$1193,22,0)</f>
        <v>0</v>
      </c>
      <c r="W163" s="34">
        <f>VLOOKUP(A163,'SSP_March''19'!$A$3:$X$1193,23,0)</f>
        <v>0</v>
      </c>
      <c r="X163" s="34">
        <f>VLOOKUP(A163,'SSP_March''19'!$A$3:$X$1193,24,0)</f>
        <v>0</v>
      </c>
    </row>
    <row r="164" spans="1:24">
      <c r="A164" s="34" t="s">
        <v>2338</v>
      </c>
      <c r="B164" s="34" t="s">
        <v>2339</v>
      </c>
      <c r="C164" s="34" t="s">
        <v>136</v>
      </c>
      <c r="D164" s="34" t="s">
        <v>137</v>
      </c>
      <c r="E164" s="34" t="s">
        <v>4</v>
      </c>
      <c r="F164" s="34" t="s">
        <v>2340</v>
      </c>
      <c r="G164" s="54">
        <v>1721761666</v>
      </c>
      <c r="H164" s="54" t="s">
        <v>229</v>
      </c>
      <c r="I164" s="54" t="s">
        <v>3514</v>
      </c>
      <c r="J164" s="34" t="s">
        <v>3419</v>
      </c>
      <c r="K164" s="43">
        <f>VLOOKUP(A164,'SSP_March''19'!$A$3:$L$1193,11,0)</f>
        <v>130000</v>
      </c>
      <c r="L164" s="43">
        <f>VLOOKUP(A164,'SSP_March''19'!$A$3:$L$1193,12,0)</f>
        <v>10789</v>
      </c>
      <c r="M164" s="44">
        <f t="shared" si="15"/>
        <v>8.2992307692307699E-2</v>
      </c>
      <c r="N164" s="49">
        <f>ROUND(VLOOKUP(A164,'SSP_March''19'!$A$3:$N$1193,14,0),0)</f>
        <v>33446</v>
      </c>
      <c r="O164" s="44">
        <f t="shared" si="16"/>
        <v>0.25727692307692307</v>
      </c>
      <c r="P164" s="45">
        <f>VLOOKUP(A164,'SSP_March''19'!$A$3:$Q$1193,16,0)</f>
        <v>10</v>
      </c>
      <c r="Q164" s="34">
        <f>VLOOKUP(A164,'SSP_March''19'!$A$3:$Q$1193,17,0)</f>
        <v>0</v>
      </c>
      <c r="R164" s="35">
        <f t="shared" si="17"/>
        <v>0</v>
      </c>
      <c r="S164" s="49">
        <f>ROUND(VLOOKUP(A164,'SSP_March''19'!$A$3:$T$1193,19,0),0)</f>
        <v>0</v>
      </c>
      <c r="T164" s="44">
        <f>VLOOKUP(A164,'SSP_March''19'!$A$3:$T$1193,20,0)</f>
        <v>0</v>
      </c>
      <c r="U164" s="34">
        <f>VLOOKUP(A164,'SSP_March''19'!$A$3:$X$1193,21,0)</f>
        <v>1</v>
      </c>
      <c r="V164" s="34">
        <f>VLOOKUP(A164,'SSP_March''19'!$A$3:$X$1193,22,0)</f>
        <v>0</v>
      </c>
      <c r="W164" s="34">
        <f>VLOOKUP(A164,'SSP_March''19'!$A$3:$X$1193,23,0)</f>
        <v>0</v>
      </c>
      <c r="X164" s="34">
        <f>VLOOKUP(A164,'SSP_March''19'!$A$3:$X$1193,24,0)</f>
        <v>0</v>
      </c>
    </row>
    <row r="165" spans="1:24">
      <c r="A165" s="34" t="s">
        <v>3380</v>
      </c>
      <c r="B165" s="34" t="s">
        <v>2951</v>
      </c>
      <c r="C165" s="34" t="s">
        <v>136</v>
      </c>
      <c r="D165" s="34" t="s">
        <v>137</v>
      </c>
      <c r="E165" s="34" t="s">
        <v>4</v>
      </c>
      <c r="F165" s="34" t="s">
        <v>3379</v>
      </c>
      <c r="G165" s="54">
        <v>1931976125</v>
      </c>
      <c r="H165" s="54" t="s">
        <v>229</v>
      </c>
      <c r="I165" s="54" t="s">
        <v>3514</v>
      </c>
      <c r="J165" s="34" t="s">
        <v>3421</v>
      </c>
      <c r="K165" s="43">
        <f>VLOOKUP(A165,'SSP_March''19'!$A$3:$L$1193,11,0)</f>
        <v>130000</v>
      </c>
      <c r="L165" s="43">
        <f>VLOOKUP(A165,'SSP_March''19'!$A$3:$L$1193,12,0)</f>
        <v>7990</v>
      </c>
      <c r="M165" s="44">
        <f t="shared" si="15"/>
        <v>6.1461538461538463E-2</v>
      </c>
      <c r="N165" s="49">
        <f>ROUND(VLOOKUP(A165,'SSP_March''19'!$A$3:$N$1193,14,0),0)</f>
        <v>24769</v>
      </c>
      <c r="O165" s="44">
        <f t="shared" si="16"/>
        <v>0.19053076923076923</v>
      </c>
      <c r="P165" s="45">
        <f>VLOOKUP(A165,'SSP_March''19'!$A$3:$Q$1193,16,0)</f>
        <v>10</v>
      </c>
      <c r="Q165" s="34">
        <f>VLOOKUP(A165,'SSP_March''19'!$A$3:$Q$1193,17,0)</f>
        <v>1</v>
      </c>
      <c r="R165" s="35">
        <f t="shared" si="17"/>
        <v>0.1</v>
      </c>
      <c r="S165" s="49">
        <f>ROUND(VLOOKUP(A165,'SSP_March''19'!$A$3:$T$1193,19,0),0)</f>
        <v>3</v>
      </c>
      <c r="T165" s="44">
        <f>VLOOKUP(A165,'SSP_March''19'!$A$3:$T$1193,20,0)</f>
        <v>0.3</v>
      </c>
      <c r="U165" s="34">
        <f>VLOOKUP(A165,'SSP_March''19'!$A$3:$X$1193,21,0)</f>
        <v>0</v>
      </c>
      <c r="V165" s="34">
        <f>VLOOKUP(A165,'SSP_March''19'!$A$3:$X$1193,22,0)</f>
        <v>0</v>
      </c>
      <c r="W165" s="34">
        <f>VLOOKUP(A165,'SSP_March''19'!$A$3:$X$1193,23,0)</f>
        <v>0</v>
      </c>
      <c r="X165" s="34">
        <f>VLOOKUP(A165,'SSP_March''19'!$A$3:$X$1193,24,0)</f>
        <v>0</v>
      </c>
    </row>
    <row r="166" spans="1:24">
      <c r="A166" s="34" t="s">
        <v>2326</v>
      </c>
      <c r="B166" s="34" t="s">
        <v>2327</v>
      </c>
      <c r="C166" s="34" t="s">
        <v>136</v>
      </c>
      <c r="D166" s="34" t="s">
        <v>137</v>
      </c>
      <c r="E166" s="34" t="s">
        <v>4</v>
      </c>
      <c r="F166" s="34" t="s">
        <v>3479</v>
      </c>
      <c r="G166" s="54">
        <v>1716569884</v>
      </c>
      <c r="H166" s="54" t="s">
        <v>229</v>
      </c>
      <c r="I166" s="54" t="s">
        <v>3514</v>
      </c>
      <c r="J166" s="34" t="s">
        <v>3515</v>
      </c>
      <c r="K166" s="43">
        <f>VLOOKUP(A166,'SSP_March''19'!$A$3:$L$1193,11,0)</f>
        <v>130000</v>
      </c>
      <c r="L166" s="43">
        <f>VLOOKUP(A166,'SSP_March''19'!$A$3:$L$1193,12,0)</f>
        <v>21260</v>
      </c>
      <c r="M166" s="44">
        <f t="shared" si="15"/>
        <v>0.16353846153846155</v>
      </c>
      <c r="N166" s="49">
        <f>ROUND(VLOOKUP(A166,'SSP_March''19'!$A$3:$N$1193,14,0),0)</f>
        <v>65906</v>
      </c>
      <c r="O166" s="44">
        <f t="shared" si="16"/>
        <v>0.50696923076923073</v>
      </c>
      <c r="P166" s="45">
        <f>VLOOKUP(A166,'SSP_March''19'!$A$3:$Q$1193,16,0)</f>
        <v>10</v>
      </c>
      <c r="Q166" s="34">
        <f>VLOOKUP(A166,'SSP_March''19'!$A$3:$Q$1193,17,0)</f>
        <v>1</v>
      </c>
      <c r="R166" s="35">
        <f t="shared" si="17"/>
        <v>0.1</v>
      </c>
      <c r="S166" s="49">
        <f>ROUND(VLOOKUP(A166,'SSP_March''19'!$A$3:$T$1193,19,0),0)</f>
        <v>3</v>
      </c>
      <c r="T166" s="44">
        <f>VLOOKUP(A166,'SSP_March''19'!$A$3:$T$1193,20,0)</f>
        <v>0.3</v>
      </c>
      <c r="U166" s="34">
        <f>VLOOKUP(A166,'SSP_March''19'!$A$3:$X$1193,21,0)</f>
        <v>1</v>
      </c>
      <c r="V166" s="34">
        <f>VLOOKUP(A166,'SSP_March''19'!$A$3:$X$1193,22,0)</f>
        <v>1</v>
      </c>
      <c r="W166" s="34">
        <f>VLOOKUP(A166,'SSP_March''19'!$A$3:$X$1193,23,0)</f>
        <v>0</v>
      </c>
      <c r="X166" s="34">
        <f>VLOOKUP(A166,'SSP_March''19'!$A$3:$X$1193,24,0)</f>
        <v>0</v>
      </c>
    </row>
  </sheetData>
  <conditionalFormatting sqref="A338:A1048576">
    <cfRule type="duplicateValues" dxfId="27" priority="36"/>
  </conditionalFormatting>
  <conditionalFormatting sqref="A2">
    <cfRule type="duplicateValues" dxfId="26" priority="34"/>
  </conditionalFormatting>
  <conditionalFormatting sqref="A2">
    <cfRule type="duplicateValues" dxfId="25" priority="32"/>
    <cfRule type="duplicateValues" priority="33"/>
  </conditionalFormatting>
  <conditionalFormatting sqref="A2">
    <cfRule type="duplicateValues" dxfId="24" priority="31"/>
  </conditionalFormatting>
  <conditionalFormatting sqref="A2">
    <cfRule type="duplicateValues" dxfId="23" priority="35"/>
  </conditionalFormatting>
  <conditionalFormatting sqref="A2">
    <cfRule type="duplicateValues" dxfId="22" priority="30"/>
  </conditionalFormatting>
  <conditionalFormatting sqref="A3:A166">
    <cfRule type="duplicateValues" dxfId="21" priority="1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20"/>
  <sheetViews>
    <sheetView workbookViewId="0">
      <pane xSplit="2" ySplit="2" topLeftCell="I3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Q3" sqref="Q3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8" max="8" width="13.140625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SUBTOTAL(9,K3:K120)</f>
        <v>18618372</v>
      </c>
      <c r="L1" s="31">
        <f>SUBTOTAL(9,L3:L120)</f>
        <v>4400465</v>
      </c>
      <c r="M1" s="30">
        <f>L1/K1</f>
        <v>0.23635068630060674</v>
      </c>
      <c r="N1" s="30"/>
      <c r="O1" s="30"/>
      <c r="P1" s="31">
        <f>SUBTOTAL(9,P3:P120)</f>
        <v>1266</v>
      </c>
      <c r="Q1" s="31">
        <f>SUBTOTAL(9,Q3:Q120)</f>
        <v>186</v>
      </c>
      <c r="R1" s="30">
        <f>Q1/P1</f>
        <v>0.14691943127962084</v>
      </c>
      <c r="S1" s="30"/>
      <c r="T1" s="30"/>
      <c r="U1" s="31">
        <f>SUBTOTAL(9,U3:U120)</f>
        <v>47</v>
      </c>
      <c r="V1" s="31">
        <f>SUBTOTAL(9,V3:V120)</f>
        <v>35</v>
      </c>
      <c r="W1" s="31">
        <f>SUBTOTAL(9,W3:W120)</f>
        <v>7</v>
      </c>
      <c r="X1" s="31">
        <f>SUBTOTAL(9,X3:X120)</f>
        <v>12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34" t="s">
        <v>1793</v>
      </c>
      <c r="B3" s="34" t="s">
        <v>1794</v>
      </c>
      <c r="C3" s="34" t="s">
        <v>46</v>
      </c>
      <c r="D3" s="34" t="s">
        <v>6</v>
      </c>
      <c r="E3" s="34" t="s">
        <v>6</v>
      </c>
      <c r="F3" s="34" t="s">
        <v>1795</v>
      </c>
      <c r="G3" s="54">
        <v>1715951783</v>
      </c>
      <c r="H3" s="54" t="s">
        <v>229</v>
      </c>
      <c r="I3" s="54" t="s">
        <v>3514</v>
      </c>
      <c r="J3" s="34" t="s">
        <v>3421</v>
      </c>
      <c r="K3" s="43">
        <f>VLOOKUP(A3,'SSP_March''19'!$A$3:$L$1193,11,0)</f>
        <v>130000</v>
      </c>
      <c r="L3" s="43">
        <f>VLOOKUP(A3,'SSP_March''19'!$A$3:$L$1193,12,0)</f>
        <v>13489</v>
      </c>
      <c r="M3" s="44">
        <f t="shared" ref="M3:M34" si="0">L3/K3</f>
        <v>0.10376153846153846</v>
      </c>
      <c r="N3" s="49">
        <f>ROUND(VLOOKUP(A3,'SSP_March''19'!$A$3:$N$1193,14,0),0)</f>
        <v>41816</v>
      </c>
      <c r="O3" s="44">
        <f t="shared" ref="O3:O34" si="1">N3/K3</f>
        <v>0.32166153846153844</v>
      </c>
      <c r="P3" s="45">
        <f>VLOOKUP(A3,'SSP_March''19'!$A$3:$Q$1193,16,0)</f>
        <v>10</v>
      </c>
      <c r="Q3" s="34">
        <f>VLOOKUP(A3,'SSP_March''19'!$A$3:$Q$1193,17,0)</f>
        <v>1</v>
      </c>
      <c r="R3" s="35">
        <f t="shared" ref="R3:R34" si="2">Q3/P3</f>
        <v>0.1</v>
      </c>
      <c r="S3" s="49">
        <f>ROUND(VLOOKUP(A3,'SSP_March''19'!$A$3:$T$1193,19,0),0)</f>
        <v>3</v>
      </c>
      <c r="T3" s="44">
        <f>VLOOKUP(A3,'SSP_March''19'!$A$3:$T$1193,20,0)</f>
        <v>0.3</v>
      </c>
      <c r="U3" s="34">
        <f>VLOOKUP(A3,'SSP_March''19'!$A$3:$X$1193,21,0)</f>
        <v>0</v>
      </c>
      <c r="V3" s="34">
        <f>VLOOKUP(A3,'SSP_March''19'!$A$3:$X$1193,22,0)</f>
        <v>0</v>
      </c>
      <c r="W3" s="34">
        <f>VLOOKUP(A3,'SSP_March''19'!$A$3:$X$1193,23,0)</f>
        <v>0</v>
      </c>
      <c r="X3" s="34">
        <f>VLOOKUP(A3,'SSP_March''19'!$A$3:$X$1193,24,0)</f>
        <v>0</v>
      </c>
    </row>
    <row r="4" spans="1:24">
      <c r="A4" s="34" t="s">
        <v>1680</v>
      </c>
      <c r="B4" s="34" t="s">
        <v>1681</v>
      </c>
      <c r="C4" s="34" t="s">
        <v>46</v>
      </c>
      <c r="D4" s="34" t="s">
        <v>6</v>
      </c>
      <c r="E4" s="34" t="s">
        <v>6</v>
      </c>
      <c r="F4" s="34" t="s">
        <v>1682</v>
      </c>
      <c r="G4" s="54">
        <v>1726587497</v>
      </c>
      <c r="H4" s="54" t="s">
        <v>229</v>
      </c>
      <c r="I4" s="54" t="s">
        <v>3514</v>
      </c>
      <c r="J4" s="34" t="s">
        <v>3419</v>
      </c>
      <c r="K4" s="43">
        <f>VLOOKUP(A4,'SSP_March''19'!$A$3:$L$1193,11,0)</f>
        <v>130000</v>
      </c>
      <c r="L4" s="43">
        <f>VLOOKUP(A4,'SSP_March''19'!$A$3:$L$1193,12,0)</f>
        <v>0</v>
      </c>
      <c r="M4" s="44">
        <f t="shared" si="0"/>
        <v>0</v>
      </c>
      <c r="N4" s="49">
        <f>ROUND(VLOOKUP(A4,'SSP_March''19'!$A$3:$N$1193,14,0),0)</f>
        <v>0</v>
      </c>
      <c r="O4" s="44">
        <f t="shared" si="1"/>
        <v>0</v>
      </c>
      <c r="P4" s="45">
        <f>VLOOKUP(A4,'SSP_March''19'!$A$3:$Q$1193,16,0)</f>
        <v>10</v>
      </c>
      <c r="Q4" s="34">
        <f>VLOOKUP(A4,'SSP_March''19'!$A$3:$Q$1193,17,0)</f>
        <v>0</v>
      </c>
      <c r="R4" s="35">
        <f t="shared" si="2"/>
        <v>0</v>
      </c>
      <c r="S4" s="49">
        <f>ROUND(VLOOKUP(A4,'SSP_March''19'!$A$3:$T$1193,19,0),0)</f>
        <v>0</v>
      </c>
      <c r="T4" s="44">
        <f>VLOOKUP(A4,'SSP_March''19'!$A$3:$T$1193,20,0)</f>
        <v>0</v>
      </c>
      <c r="U4" s="34">
        <f>VLOOKUP(A4,'SSP_March''19'!$A$3:$X$1193,21,0)</f>
        <v>0</v>
      </c>
      <c r="V4" s="34">
        <f>VLOOKUP(A4,'SSP_March''19'!$A$3:$X$1193,22,0)</f>
        <v>0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34" t="s">
        <v>1674</v>
      </c>
      <c r="B5" s="34" t="s">
        <v>1675</v>
      </c>
      <c r="C5" s="34" t="s">
        <v>46</v>
      </c>
      <c r="D5" s="34" t="s">
        <v>6</v>
      </c>
      <c r="E5" s="34" t="s">
        <v>6</v>
      </c>
      <c r="F5" s="34" t="s">
        <v>1676</v>
      </c>
      <c r="G5" s="54">
        <v>1741409972</v>
      </c>
      <c r="H5" s="54" t="s">
        <v>229</v>
      </c>
      <c r="I5" s="54" t="s">
        <v>3514</v>
      </c>
      <c r="J5" s="34" t="s">
        <v>3515</v>
      </c>
      <c r="K5" s="43">
        <f>VLOOKUP(A5,'SSP_March''19'!$A$3:$L$1193,11,0)</f>
        <v>130000</v>
      </c>
      <c r="L5" s="43">
        <f>VLOOKUP(A5,'SSP_March''19'!$A$3:$L$1193,12,0)</f>
        <v>56300</v>
      </c>
      <c r="M5" s="44">
        <f t="shared" si="0"/>
        <v>0.43307692307692308</v>
      </c>
      <c r="N5" s="49">
        <f>ROUND(VLOOKUP(A5,'SSP_March''19'!$A$3:$N$1193,14,0),0)</f>
        <v>174530</v>
      </c>
      <c r="O5" s="44">
        <f t="shared" si="1"/>
        <v>1.3425384615384615</v>
      </c>
      <c r="P5" s="45">
        <f>VLOOKUP(A5,'SSP_March''19'!$A$3:$Q$1193,16,0)</f>
        <v>10</v>
      </c>
      <c r="Q5" s="34">
        <f>VLOOKUP(A5,'SSP_March''19'!$A$3:$Q$1193,17,0)</f>
        <v>2</v>
      </c>
      <c r="R5" s="35">
        <f t="shared" si="2"/>
        <v>0.2</v>
      </c>
      <c r="S5" s="49">
        <f>ROUND(VLOOKUP(A5,'SSP_March''19'!$A$3:$T$1193,19,0),0)</f>
        <v>6</v>
      </c>
      <c r="T5" s="44">
        <f>VLOOKUP(A5,'SSP_March''19'!$A$3:$T$1193,20,0)</f>
        <v>0.6</v>
      </c>
      <c r="U5" s="34">
        <f>VLOOKUP(A5,'SSP_March''19'!$A$3:$X$1193,21,0)</f>
        <v>0</v>
      </c>
      <c r="V5" s="34">
        <f>VLOOKUP(A5,'SSP_March''19'!$A$3:$X$1193,22,0)</f>
        <v>0</v>
      </c>
      <c r="W5" s="34">
        <f>VLOOKUP(A5,'SSP_March''19'!$A$3:$X$1193,23,0)</f>
        <v>0</v>
      </c>
      <c r="X5" s="34">
        <f>VLOOKUP(A5,'SSP_March''19'!$A$3:$X$1193,24,0)</f>
        <v>1</v>
      </c>
    </row>
    <row r="6" spans="1:24">
      <c r="A6" s="34" t="s">
        <v>1629</v>
      </c>
      <c r="B6" s="34" t="s">
        <v>133</v>
      </c>
      <c r="C6" s="34" t="s">
        <v>46</v>
      </c>
      <c r="D6" s="34" t="s">
        <v>6</v>
      </c>
      <c r="E6" s="34" t="s">
        <v>6</v>
      </c>
      <c r="F6" s="34" t="s">
        <v>1630</v>
      </c>
      <c r="G6" s="54">
        <v>1723709495</v>
      </c>
      <c r="H6" s="54" t="s">
        <v>229</v>
      </c>
      <c r="I6" s="54" t="s">
        <v>3514</v>
      </c>
      <c r="J6" s="34" t="s">
        <v>3419</v>
      </c>
      <c r="K6" s="43">
        <f>VLOOKUP(A6,'SSP_March''19'!$A$3:$L$1193,11,0)</f>
        <v>130000</v>
      </c>
      <c r="L6" s="43">
        <f>VLOOKUP(A6,'SSP_March''19'!$A$3:$L$1193,12,0)</f>
        <v>40248</v>
      </c>
      <c r="M6" s="44">
        <f t="shared" si="0"/>
        <v>0.30959999999999999</v>
      </c>
      <c r="N6" s="49">
        <f>ROUND(VLOOKUP(A6,'SSP_March''19'!$A$3:$N$1193,14,0),0)</f>
        <v>124769</v>
      </c>
      <c r="O6" s="44">
        <f t="shared" si="1"/>
        <v>0.95976153846153844</v>
      </c>
      <c r="P6" s="45">
        <f>VLOOKUP(A6,'SSP_March''19'!$A$3:$Q$1193,16,0)</f>
        <v>10</v>
      </c>
      <c r="Q6" s="34">
        <f>VLOOKUP(A6,'SSP_March''19'!$A$3:$Q$1193,17,0)</f>
        <v>1</v>
      </c>
      <c r="R6" s="35">
        <f t="shared" si="2"/>
        <v>0.1</v>
      </c>
      <c r="S6" s="49">
        <f>ROUND(VLOOKUP(A6,'SSP_March''19'!$A$3:$T$1193,19,0),0)</f>
        <v>3</v>
      </c>
      <c r="T6" s="44">
        <f>VLOOKUP(A6,'SSP_March''19'!$A$3:$T$1193,20,0)</f>
        <v>0.3</v>
      </c>
      <c r="U6" s="34">
        <f>VLOOKUP(A6,'SSP_March''19'!$A$3:$X$1193,21,0)</f>
        <v>1</v>
      </c>
      <c r="V6" s="34">
        <f>VLOOKUP(A6,'SSP_March''19'!$A$3:$X$1193,22,0)</f>
        <v>0</v>
      </c>
      <c r="W6" s="34">
        <f>VLOOKUP(A6,'SSP_March''19'!$A$3:$X$1193,23,0)</f>
        <v>0</v>
      </c>
      <c r="X6" s="34">
        <f>VLOOKUP(A6,'SSP_March''19'!$A$3:$X$1193,24,0)</f>
        <v>0</v>
      </c>
    </row>
    <row r="7" spans="1:24">
      <c r="A7" s="34" t="s">
        <v>1742</v>
      </c>
      <c r="B7" s="34" t="s">
        <v>1743</v>
      </c>
      <c r="C7" s="34" t="s">
        <v>46</v>
      </c>
      <c r="D7" s="34" t="s">
        <v>6</v>
      </c>
      <c r="E7" s="34" t="s">
        <v>6</v>
      </c>
      <c r="F7" s="34" t="s">
        <v>1744</v>
      </c>
      <c r="G7" s="54">
        <v>1812099599</v>
      </c>
      <c r="H7" s="54" t="s">
        <v>229</v>
      </c>
      <c r="I7" s="54" t="s">
        <v>3514</v>
      </c>
      <c r="J7" s="34" t="s">
        <v>3419</v>
      </c>
      <c r="K7" s="43">
        <f>VLOOKUP(A7,'SSP_March''19'!$A$3:$L$1193,11,0)</f>
        <v>130000</v>
      </c>
      <c r="L7" s="43">
        <f>VLOOKUP(A7,'SSP_March''19'!$A$3:$L$1193,12,0)</f>
        <v>17370</v>
      </c>
      <c r="M7" s="44">
        <f t="shared" si="0"/>
        <v>0.13361538461538461</v>
      </c>
      <c r="N7" s="49">
        <f>ROUND(VLOOKUP(A7,'SSP_March''19'!$A$3:$N$1193,14,0),0)</f>
        <v>53847</v>
      </c>
      <c r="O7" s="44">
        <f t="shared" si="1"/>
        <v>0.41420769230769233</v>
      </c>
      <c r="P7" s="45">
        <f>VLOOKUP(A7,'SSP_March''19'!$A$3:$Q$1193,16,0)</f>
        <v>10</v>
      </c>
      <c r="Q7" s="34">
        <f>VLOOKUP(A7,'SSP_March''19'!$A$3:$Q$1193,17,0)</f>
        <v>1</v>
      </c>
      <c r="R7" s="35">
        <f t="shared" si="2"/>
        <v>0.1</v>
      </c>
      <c r="S7" s="49">
        <f>ROUND(VLOOKUP(A7,'SSP_March''19'!$A$3:$T$1193,19,0),0)</f>
        <v>3</v>
      </c>
      <c r="T7" s="44">
        <f>VLOOKUP(A7,'SSP_March''19'!$A$3:$T$1193,20,0)</f>
        <v>0.3</v>
      </c>
      <c r="U7" s="34">
        <f>VLOOKUP(A7,'SSP_March''19'!$A$3:$X$1193,21,0)</f>
        <v>0</v>
      </c>
      <c r="V7" s="34">
        <f>VLOOKUP(A7,'SSP_March''19'!$A$3:$X$1193,22,0)</f>
        <v>0</v>
      </c>
      <c r="W7" s="34">
        <f>VLOOKUP(A7,'SSP_March''19'!$A$3:$X$1193,23,0)</f>
        <v>0</v>
      </c>
      <c r="X7" s="34">
        <f>VLOOKUP(A7,'SSP_March''19'!$A$3:$X$1193,24,0)</f>
        <v>0</v>
      </c>
    </row>
    <row r="8" spans="1:24">
      <c r="A8" s="34" t="s">
        <v>1668</v>
      </c>
      <c r="B8" s="34" t="s">
        <v>1669</v>
      </c>
      <c r="C8" s="34" t="s">
        <v>46</v>
      </c>
      <c r="D8" s="34" t="s">
        <v>6</v>
      </c>
      <c r="E8" s="34" t="s">
        <v>6</v>
      </c>
      <c r="F8" s="34" t="s">
        <v>1670</v>
      </c>
      <c r="G8" s="54">
        <v>1719936558</v>
      </c>
      <c r="H8" s="54" t="s">
        <v>229</v>
      </c>
      <c r="I8" s="54" t="s">
        <v>3514</v>
      </c>
      <c r="J8" s="34" t="s">
        <v>3419</v>
      </c>
      <c r="K8" s="43">
        <f>VLOOKUP(A8,'SSP_March''19'!$A$3:$L$1193,11,0)</f>
        <v>187333</v>
      </c>
      <c r="L8" s="43">
        <f>VLOOKUP(A8,'SSP_March''19'!$A$3:$L$1193,12,0)</f>
        <v>54344</v>
      </c>
      <c r="M8" s="44">
        <f t="shared" si="0"/>
        <v>0.29009304287018306</v>
      </c>
      <c r="N8" s="49">
        <f>ROUND(VLOOKUP(A8,'SSP_March''19'!$A$3:$N$1193,14,0),0)</f>
        <v>168466</v>
      </c>
      <c r="O8" s="44">
        <f t="shared" si="1"/>
        <v>0.89928629766245138</v>
      </c>
      <c r="P8" s="45">
        <f>VLOOKUP(A8,'SSP_March''19'!$A$3:$Q$1193,16,0)</f>
        <v>10</v>
      </c>
      <c r="Q8" s="34">
        <f>VLOOKUP(A8,'SSP_March''19'!$A$3:$Q$1193,17,0)</f>
        <v>3</v>
      </c>
      <c r="R8" s="35">
        <f t="shared" si="2"/>
        <v>0.3</v>
      </c>
      <c r="S8" s="49">
        <f>ROUND(VLOOKUP(A8,'SSP_March''19'!$A$3:$T$1193,19,0),0)</f>
        <v>9</v>
      </c>
      <c r="T8" s="44">
        <f>VLOOKUP(A8,'SSP_March''19'!$A$3:$T$1193,20,0)</f>
        <v>0.9</v>
      </c>
      <c r="U8" s="34">
        <f>VLOOKUP(A8,'SSP_March''19'!$A$3:$X$1193,21,0)</f>
        <v>0</v>
      </c>
      <c r="V8" s="34">
        <f>VLOOKUP(A8,'SSP_March''19'!$A$3:$X$1193,22,0)</f>
        <v>2</v>
      </c>
      <c r="W8" s="34">
        <f>VLOOKUP(A8,'SSP_March''19'!$A$3:$X$1193,23,0)</f>
        <v>0</v>
      </c>
      <c r="X8" s="34">
        <f>VLOOKUP(A8,'SSP_March''19'!$A$3:$X$1193,24,0)</f>
        <v>0</v>
      </c>
    </row>
    <row r="9" spans="1:24">
      <c r="A9" s="34" t="s">
        <v>1748</v>
      </c>
      <c r="B9" s="34" t="s">
        <v>1749</v>
      </c>
      <c r="C9" s="34" t="s">
        <v>46</v>
      </c>
      <c r="D9" s="34" t="s">
        <v>6</v>
      </c>
      <c r="E9" s="34" t="s">
        <v>6</v>
      </c>
      <c r="F9" s="34" t="s">
        <v>1750</v>
      </c>
      <c r="G9" s="54">
        <v>1712884910</v>
      </c>
      <c r="H9" s="54" t="s">
        <v>229</v>
      </c>
      <c r="I9" s="54" t="s">
        <v>3514</v>
      </c>
      <c r="J9" s="34" t="s">
        <v>3515</v>
      </c>
      <c r="K9" s="43">
        <f>VLOOKUP(A9,'SSP_March''19'!$A$3:$L$1193,11,0)</f>
        <v>130000</v>
      </c>
      <c r="L9" s="43">
        <f>VLOOKUP(A9,'SSP_March''19'!$A$3:$L$1193,12,0)</f>
        <v>14520</v>
      </c>
      <c r="M9" s="44">
        <f t="shared" si="0"/>
        <v>0.11169230769230769</v>
      </c>
      <c r="N9" s="49">
        <f>ROUND(VLOOKUP(A9,'SSP_March''19'!$A$3:$N$1193,14,0),0)</f>
        <v>45012</v>
      </c>
      <c r="O9" s="44">
        <f t="shared" si="1"/>
        <v>0.34624615384615387</v>
      </c>
      <c r="P9" s="45">
        <f>VLOOKUP(A9,'SSP_March''19'!$A$3:$Q$1193,16,0)</f>
        <v>10</v>
      </c>
      <c r="Q9" s="34">
        <f>VLOOKUP(A9,'SSP_March''19'!$A$3:$Q$1193,17,0)</f>
        <v>0</v>
      </c>
      <c r="R9" s="35">
        <f t="shared" si="2"/>
        <v>0</v>
      </c>
      <c r="S9" s="49">
        <f>ROUND(VLOOKUP(A9,'SSP_March''19'!$A$3:$T$1193,19,0),0)</f>
        <v>0</v>
      </c>
      <c r="T9" s="44">
        <f>VLOOKUP(A9,'SSP_March''19'!$A$3:$T$1193,20,0)</f>
        <v>0</v>
      </c>
      <c r="U9" s="34">
        <f>VLOOKUP(A9,'SSP_March''19'!$A$3:$X$1193,21,0)</f>
        <v>0</v>
      </c>
      <c r="V9" s="34">
        <f>VLOOKUP(A9,'SSP_March''19'!$A$3:$X$1193,22,0)</f>
        <v>0</v>
      </c>
      <c r="W9" s="34">
        <f>VLOOKUP(A9,'SSP_March''19'!$A$3:$X$1193,23,0)</f>
        <v>0</v>
      </c>
      <c r="X9" s="34">
        <f>VLOOKUP(A9,'SSP_March''19'!$A$3:$X$1193,24,0)</f>
        <v>0</v>
      </c>
    </row>
    <row r="10" spans="1:24">
      <c r="A10" s="34" t="s">
        <v>1739</v>
      </c>
      <c r="B10" s="34" t="s">
        <v>1740</v>
      </c>
      <c r="C10" s="34" t="s">
        <v>46</v>
      </c>
      <c r="D10" s="34" t="s">
        <v>6</v>
      </c>
      <c r="E10" s="34" t="s">
        <v>6</v>
      </c>
      <c r="F10" s="34" t="s">
        <v>1741</v>
      </c>
      <c r="G10" s="54">
        <v>1724700600</v>
      </c>
      <c r="H10" s="54" t="s">
        <v>229</v>
      </c>
      <c r="I10" s="54" t="s">
        <v>3514</v>
      </c>
      <c r="J10" s="34" t="s">
        <v>3419</v>
      </c>
      <c r="K10" s="43">
        <f>VLOOKUP(A10,'SSP_March''19'!$A$3:$L$1193,11,0)</f>
        <v>130000</v>
      </c>
      <c r="L10" s="43">
        <f>VLOOKUP(A10,'SSP_March''19'!$A$3:$L$1193,12,0)</f>
        <v>62590</v>
      </c>
      <c r="M10" s="44">
        <f t="shared" si="0"/>
        <v>0.48146153846153844</v>
      </c>
      <c r="N10" s="49">
        <f>ROUND(VLOOKUP(A10,'SSP_March''19'!$A$3:$N$1193,14,0),0)</f>
        <v>194029</v>
      </c>
      <c r="O10" s="44">
        <f t="shared" si="1"/>
        <v>1.4925307692307692</v>
      </c>
      <c r="P10" s="45">
        <f>VLOOKUP(A10,'SSP_March''19'!$A$3:$Q$1193,16,0)</f>
        <v>10</v>
      </c>
      <c r="Q10" s="34">
        <f>VLOOKUP(A10,'SSP_March''19'!$A$3:$Q$1193,17,0)</f>
        <v>3</v>
      </c>
      <c r="R10" s="35">
        <f t="shared" si="2"/>
        <v>0.3</v>
      </c>
      <c r="S10" s="49">
        <f>ROUND(VLOOKUP(A10,'SSP_March''19'!$A$3:$T$1193,19,0),0)</f>
        <v>9</v>
      </c>
      <c r="T10" s="44">
        <f>VLOOKUP(A10,'SSP_March''19'!$A$3:$T$1193,20,0)</f>
        <v>0.9</v>
      </c>
      <c r="U10" s="34">
        <f>VLOOKUP(A10,'SSP_March''19'!$A$3:$X$1193,21,0)</f>
        <v>1</v>
      </c>
      <c r="V10" s="34">
        <f>VLOOKUP(A10,'SSP_March''19'!$A$3:$X$1193,22,0)</f>
        <v>1</v>
      </c>
      <c r="W10" s="34">
        <f>VLOOKUP(A10,'SSP_March''19'!$A$3:$X$1193,23,0)</f>
        <v>0</v>
      </c>
      <c r="X10" s="34">
        <f>VLOOKUP(A10,'SSP_March''19'!$A$3:$X$1193,24,0)</f>
        <v>0</v>
      </c>
    </row>
    <row r="11" spans="1:24">
      <c r="A11" s="34" t="s">
        <v>1778</v>
      </c>
      <c r="B11" s="34" t="s">
        <v>1779</v>
      </c>
      <c r="C11" s="34" t="s">
        <v>46</v>
      </c>
      <c r="D11" s="34" t="s">
        <v>6</v>
      </c>
      <c r="E11" s="34" t="s">
        <v>6</v>
      </c>
      <c r="F11" s="34" t="s">
        <v>1780</v>
      </c>
      <c r="G11" s="54">
        <v>1749980194</v>
      </c>
      <c r="H11" s="54" t="s">
        <v>229</v>
      </c>
      <c r="I11" s="54" t="s">
        <v>3514</v>
      </c>
      <c r="J11" s="34" t="s">
        <v>3421</v>
      </c>
      <c r="K11" s="43">
        <f>VLOOKUP(A11,'SSP_March''19'!$A$3:$L$1193,11,0)</f>
        <v>130000</v>
      </c>
      <c r="L11" s="43">
        <f>VLOOKUP(A11,'SSP_March''19'!$A$3:$L$1193,12,0)</f>
        <v>4740</v>
      </c>
      <c r="M11" s="44">
        <f t="shared" si="0"/>
        <v>3.6461538461538462E-2</v>
      </c>
      <c r="N11" s="49">
        <f>ROUND(VLOOKUP(A11,'SSP_March''19'!$A$3:$N$1193,14,0),0)</f>
        <v>14694</v>
      </c>
      <c r="O11" s="44">
        <f t="shared" si="1"/>
        <v>0.11303076923076923</v>
      </c>
      <c r="P11" s="45">
        <f>VLOOKUP(A11,'SSP_March''19'!$A$3:$Q$1193,16,0)</f>
        <v>10</v>
      </c>
      <c r="Q11" s="34">
        <f>VLOOKUP(A11,'SSP_March''19'!$A$3:$Q$1193,17,0)</f>
        <v>0</v>
      </c>
      <c r="R11" s="35">
        <f t="shared" si="2"/>
        <v>0</v>
      </c>
      <c r="S11" s="49">
        <f>ROUND(VLOOKUP(A11,'SSP_March''19'!$A$3:$T$1193,19,0),0)</f>
        <v>0</v>
      </c>
      <c r="T11" s="44">
        <f>VLOOKUP(A11,'SSP_March''19'!$A$3:$T$1193,20,0)</f>
        <v>0</v>
      </c>
      <c r="U11" s="34">
        <f>VLOOKUP(A11,'SSP_March''19'!$A$3:$X$1193,21,0)</f>
        <v>0</v>
      </c>
      <c r="V11" s="34">
        <f>VLOOKUP(A11,'SSP_March''19'!$A$3:$X$1193,22,0)</f>
        <v>0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34" t="s">
        <v>1719</v>
      </c>
      <c r="B12" s="34" t="s">
        <v>1720</v>
      </c>
      <c r="C12" s="34" t="s">
        <v>46</v>
      </c>
      <c r="D12" s="34" t="s">
        <v>6</v>
      </c>
      <c r="E12" s="34" t="s">
        <v>6</v>
      </c>
      <c r="F12" s="34" t="s">
        <v>1721</v>
      </c>
      <c r="G12" s="54">
        <v>1717585139</v>
      </c>
      <c r="H12" s="54" t="s">
        <v>229</v>
      </c>
      <c r="I12" s="54" t="s">
        <v>3514</v>
      </c>
      <c r="J12" s="34" t="s">
        <v>3421</v>
      </c>
      <c r="K12" s="43">
        <f>VLOOKUP(A12,'SSP_March''19'!$A$3:$L$1193,11,0)</f>
        <v>130000</v>
      </c>
      <c r="L12" s="43">
        <f>VLOOKUP(A12,'SSP_March''19'!$A$3:$L$1193,12,0)</f>
        <v>21220</v>
      </c>
      <c r="M12" s="44">
        <f t="shared" si="0"/>
        <v>0.16323076923076923</v>
      </c>
      <c r="N12" s="49">
        <f>ROUND(VLOOKUP(A12,'SSP_March''19'!$A$3:$N$1193,14,0),0)</f>
        <v>65782</v>
      </c>
      <c r="O12" s="44">
        <f t="shared" si="1"/>
        <v>0.50601538461538464</v>
      </c>
      <c r="P12" s="45">
        <f>VLOOKUP(A12,'SSP_March''19'!$A$3:$Q$1193,16,0)</f>
        <v>10</v>
      </c>
      <c r="Q12" s="34">
        <f>VLOOKUP(A12,'SSP_March''19'!$A$3:$Q$1193,17,0)</f>
        <v>1</v>
      </c>
      <c r="R12" s="35">
        <f t="shared" si="2"/>
        <v>0.1</v>
      </c>
      <c r="S12" s="49">
        <f>ROUND(VLOOKUP(A12,'SSP_March''19'!$A$3:$T$1193,19,0),0)</f>
        <v>3</v>
      </c>
      <c r="T12" s="44">
        <f>VLOOKUP(A12,'SSP_March''19'!$A$3:$T$1193,20,0)</f>
        <v>0.3</v>
      </c>
      <c r="U12" s="34">
        <f>VLOOKUP(A12,'SSP_March''19'!$A$3:$X$1193,21,0)</f>
        <v>0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34" t="s">
        <v>1634</v>
      </c>
      <c r="B13" s="34" t="s">
        <v>52</v>
      </c>
      <c r="C13" s="34" t="s">
        <v>46</v>
      </c>
      <c r="D13" s="34" t="s">
        <v>6</v>
      </c>
      <c r="E13" s="34" t="s">
        <v>6</v>
      </c>
      <c r="F13" s="34" t="s">
        <v>1635</v>
      </c>
      <c r="G13" s="54">
        <v>1718686042</v>
      </c>
      <c r="H13" s="54" t="s">
        <v>229</v>
      </c>
      <c r="I13" s="54" t="s">
        <v>3514</v>
      </c>
      <c r="J13" s="34" t="s">
        <v>3419</v>
      </c>
      <c r="K13" s="43">
        <f>VLOOKUP(A13,'SSP_March''19'!$A$3:$L$1193,11,0)</f>
        <v>130000</v>
      </c>
      <c r="L13" s="43">
        <f>VLOOKUP(A13,'SSP_March''19'!$A$3:$L$1193,12,0)</f>
        <v>20860</v>
      </c>
      <c r="M13" s="44">
        <f t="shared" si="0"/>
        <v>0.16046153846153846</v>
      </c>
      <c r="N13" s="49">
        <f>ROUND(VLOOKUP(A13,'SSP_March''19'!$A$3:$N$1193,14,0),0)</f>
        <v>64666</v>
      </c>
      <c r="O13" s="44">
        <f t="shared" si="1"/>
        <v>0.49743076923076923</v>
      </c>
      <c r="P13" s="45">
        <f>VLOOKUP(A13,'SSP_March''19'!$A$3:$Q$1193,16,0)</f>
        <v>10</v>
      </c>
      <c r="Q13" s="34">
        <f>VLOOKUP(A13,'SSP_March''19'!$A$3:$Q$1193,17,0)</f>
        <v>0</v>
      </c>
      <c r="R13" s="35">
        <f t="shared" si="2"/>
        <v>0</v>
      </c>
      <c r="S13" s="49">
        <f>ROUND(VLOOKUP(A13,'SSP_March''19'!$A$3:$T$1193,19,0),0)</f>
        <v>0</v>
      </c>
      <c r="T13" s="44">
        <f>VLOOKUP(A13,'SSP_March''19'!$A$3:$T$1193,20,0)</f>
        <v>0</v>
      </c>
      <c r="U13" s="34">
        <f>VLOOKUP(A13,'SSP_March''19'!$A$3:$X$1193,21,0)</f>
        <v>0</v>
      </c>
      <c r="V13" s="34">
        <f>VLOOKUP(A13,'SSP_March''19'!$A$3:$X$1193,22,0)</f>
        <v>0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34" t="s">
        <v>1516</v>
      </c>
      <c r="B14" s="34" t="s">
        <v>1517</v>
      </c>
      <c r="C14" s="34" t="s">
        <v>141</v>
      </c>
      <c r="D14" s="34" t="s">
        <v>6</v>
      </c>
      <c r="E14" s="34" t="s">
        <v>6</v>
      </c>
      <c r="F14" s="34" t="s">
        <v>1518</v>
      </c>
      <c r="G14" s="54">
        <v>1726990696</v>
      </c>
      <c r="H14" s="54" t="s">
        <v>229</v>
      </c>
      <c r="I14" s="54" t="s">
        <v>3514</v>
      </c>
      <c r="J14" s="34" t="s">
        <v>3421</v>
      </c>
      <c r="K14" s="43">
        <f>VLOOKUP(A14,'SSP_March''19'!$A$3:$L$1193,11,0)</f>
        <v>130000</v>
      </c>
      <c r="L14" s="43">
        <f>VLOOKUP(A14,'SSP_March''19'!$A$3:$L$1193,12,0)</f>
        <v>79090</v>
      </c>
      <c r="M14" s="44">
        <f t="shared" si="0"/>
        <v>0.60838461538461541</v>
      </c>
      <c r="N14" s="49">
        <f>ROUND(VLOOKUP(A14,'SSP_March''19'!$A$3:$N$1193,14,0),0)</f>
        <v>245179</v>
      </c>
      <c r="O14" s="44">
        <f t="shared" si="1"/>
        <v>1.8859923076923077</v>
      </c>
      <c r="P14" s="45">
        <f>VLOOKUP(A14,'SSP_March''19'!$A$3:$Q$1193,16,0)</f>
        <v>10</v>
      </c>
      <c r="Q14" s="34">
        <f>VLOOKUP(A14,'SSP_March''19'!$A$3:$Q$1193,17,0)</f>
        <v>1</v>
      </c>
      <c r="R14" s="35">
        <f t="shared" si="2"/>
        <v>0.1</v>
      </c>
      <c r="S14" s="49">
        <f>ROUND(VLOOKUP(A14,'SSP_March''19'!$A$3:$T$1193,19,0),0)</f>
        <v>3</v>
      </c>
      <c r="T14" s="44">
        <f>VLOOKUP(A14,'SSP_March''19'!$A$3:$T$1193,20,0)</f>
        <v>0.3</v>
      </c>
      <c r="U14" s="34">
        <f>VLOOKUP(A14,'SSP_March''19'!$A$3:$X$1193,21,0)</f>
        <v>1</v>
      </c>
      <c r="V14" s="34">
        <f>VLOOKUP(A14,'SSP_March''19'!$A$3:$X$1193,22,0)</f>
        <v>0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34" t="s">
        <v>1591</v>
      </c>
      <c r="B15" s="34" t="s">
        <v>1592</v>
      </c>
      <c r="C15" s="34" t="s">
        <v>141</v>
      </c>
      <c r="D15" s="34" t="s">
        <v>6</v>
      </c>
      <c r="E15" s="34" t="s">
        <v>6</v>
      </c>
      <c r="F15" s="34" t="s">
        <v>1593</v>
      </c>
      <c r="G15" s="54">
        <v>1970456831</v>
      </c>
      <c r="H15" s="54" t="s">
        <v>229</v>
      </c>
      <c r="I15" s="54" t="s">
        <v>3514</v>
      </c>
      <c r="J15" s="34" t="s">
        <v>3419</v>
      </c>
      <c r="K15" s="43">
        <f>VLOOKUP(A15,'SSP_March''19'!$A$3:$L$1193,11,0)</f>
        <v>246758</v>
      </c>
      <c r="L15" s="43">
        <f>VLOOKUP(A15,'SSP_March''19'!$A$3:$L$1193,12,0)</f>
        <v>48080</v>
      </c>
      <c r="M15" s="44">
        <f t="shared" si="0"/>
        <v>0.19484677295163683</v>
      </c>
      <c r="N15" s="49">
        <f>ROUND(VLOOKUP(A15,'SSP_March''19'!$A$3:$N$1193,14,0),0)</f>
        <v>149048</v>
      </c>
      <c r="O15" s="44">
        <f t="shared" si="1"/>
        <v>0.60402499615007421</v>
      </c>
      <c r="P15" s="45">
        <f>VLOOKUP(A15,'SSP_March''19'!$A$3:$Q$1193,16,0)</f>
        <v>10</v>
      </c>
      <c r="Q15" s="34">
        <f>VLOOKUP(A15,'SSP_March''19'!$A$3:$Q$1193,17,0)</f>
        <v>4</v>
      </c>
      <c r="R15" s="35">
        <f t="shared" si="2"/>
        <v>0.4</v>
      </c>
      <c r="S15" s="49">
        <f>ROUND(VLOOKUP(A15,'SSP_March''19'!$A$3:$T$1193,19,0),0)</f>
        <v>12</v>
      </c>
      <c r="T15" s="44">
        <f>VLOOKUP(A15,'SSP_March''19'!$A$3:$T$1193,20,0)</f>
        <v>1.2</v>
      </c>
      <c r="U15" s="34">
        <f>VLOOKUP(A15,'SSP_March''19'!$A$3:$X$1193,21,0)</f>
        <v>0</v>
      </c>
      <c r="V15" s="34">
        <f>VLOOKUP(A15,'SSP_March''19'!$A$3:$X$1193,22,0)</f>
        <v>0</v>
      </c>
      <c r="W15" s="34">
        <f>VLOOKUP(A15,'SSP_March''19'!$A$3:$X$1193,23,0)</f>
        <v>0</v>
      </c>
      <c r="X15" s="34">
        <f>VLOOKUP(A15,'SSP_March''19'!$A$3:$X$1193,24,0)</f>
        <v>0</v>
      </c>
    </row>
    <row r="16" spans="1:24">
      <c r="A16" s="34" t="s">
        <v>1686</v>
      </c>
      <c r="B16" s="34" t="s">
        <v>1687</v>
      </c>
      <c r="C16" s="34" t="s">
        <v>141</v>
      </c>
      <c r="D16" s="34" t="s">
        <v>6</v>
      </c>
      <c r="E16" s="34" t="s">
        <v>6</v>
      </c>
      <c r="F16" s="34" t="s">
        <v>1688</v>
      </c>
      <c r="G16" s="54">
        <v>1723406685</v>
      </c>
      <c r="H16" s="54" t="s">
        <v>229</v>
      </c>
      <c r="I16" s="54" t="s">
        <v>3514</v>
      </c>
      <c r="J16" s="34" t="s">
        <v>3421</v>
      </c>
      <c r="K16" s="43">
        <f>VLOOKUP(A16,'SSP_March''19'!$A$3:$L$1193,11,0)</f>
        <v>130000</v>
      </c>
      <c r="L16" s="43">
        <f>VLOOKUP(A16,'SSP_March''19'!$A$3:$L$1193,12,0)</f>
        <v>0</v>
      </c>
      <c r="M16" s="44">
        <f t="shared" si="0"/>
        <v>0</v>
      </c>
      <c r="N16" s="49">
        <f>ROUND(VLOOKUP(A16,'SSP_March''19'!$A$3:$N$1193,14,0),0)</f>
        <v>0</v>
      </c>
      <c r="O16" s="44">
        <f t="shared" si="1"/>
        <v>0</v>
      </c>
      <c r="P16" s="45">
        <f>VLOOKUP(A16,'SSP_March''19'!$A$3:$Q$1193,16,0)</f>
        <v>10</v>
      </c>
      <c r="Q16" s="34">
        <f>VLOOKUP(A16,'SSP_March''19'!$A$3:$Q$1193,17,0)</f>
        <v>0</v>
      </c>
      <c r="R16" s="35">
        <f t="shared" si="2"/>
        <v>0</v>
      </c>
      <c r="S16" s="49">
        <f>ROUND(VLOOKUP(A16,'SSP_March''19'!$A$3:$T$1193,19,0),0)</f>
        <v>0</v>
      </c>
      <c r="T16" s="44">
        <f>VLOOKUP(A16,'SSP_March''19'!$A$3:$T$1193,20,0)</f>
        <v>0</v>
      </c>
      <c r="U16" s="34">
        <f>VLOOKUP(A16,'SSP_March''19'!$A$3:$X$1193,21,0)</f>
        <v>0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34" t="s">
        <v>1799</v>
      </c>
      <c r="B17" s="34" t="s">
        <v>1800</v>
      </c>
      <c r="C17" s="34" t="s">
        <v>141</v>
      </c>
      <c r="D17" s="34" t="s">
        <v>6</v>
      </c>
      <c r="E17" s="34" t="s">
        <v>6</v>
      </c>
      <c r="F17" s="34" t="s">
        <v>1801</v>
      </c>
      <c r="G17" s="54">
        <v>1719570688</v>
      </c>
      <c r="H17" s="54" t="s">
        <v>229</v>
      </c>
      <c r="I17" s="54" t="s">
        <v>3514</v>
      </c>
      <c r="J17" s="34" t="s">
        <v>3421</v>
      </c>
      <c r="K17" s="43">
        <f>VLOOKUP(A17,'SSP_March''19'!$A$3:$L$1193,11,0)</f>
        <v>130000</v>
      </c>
      <c r="L17" s="43">
        <f>VLOOKUP(A17,'SSP_March''19'!$A$3:$L$1193,12,0)</f>
        <v>20360</v>
      </c>
      <c r="M17" s="44">
        <f t="shared" si="0"/>
        <v>0.15661538461538463</v>
      </c>
      <c r="N17" s="49">
        <f>ROUND(VLOOKUP(A17,'SSP_March''19'!$A$3:$N$1193,14,0),0)</f>
        <v>63116</v>
      </c>
      <c r="O17" s="44">
        <f t="shared" si="1"/>
        <v>0.48550769230769231</v>
      </c>
      <c r="P17" s="45">
        <f>VLOOKUP(A17,'SSP_March''19'!$A$3:$Q$1193,16,0)</f>
        <v>10</v>
      </c>
      <c r="Q17" s="34">
        <f>VLOOKUP(A17,'SSP_March''19'!$A$3:$Q$1193,17,0)</f>
        <v>0</v>
      </c>
      <c r="R17" s="35">
        <f t="shared" si="2"/>
        <v>0</v>
      </c>
      <c r="S17" s="49">
        <f>ROUND(VLOOKUP(A17,'SSP_March''19'!$A$3:$T$1193,19,0),0)</f>
        <v>0</v>
      </c>
      <c r="T17" s="44">
        <f>VLOOKUP(A17,'SSP_March''19'!$A$3:$T$1193,20,0)</f>
        <v>0</v>
      </c>
      <c r="U17" s="34">
        <f>VLOOKUP(A17,'SSP_March''19'!$A$3:$X$1193,21,0)</f>
        <v>1</v>
      </c>
      <c r="V17" s="34">
        <f>VLOOKUP(A17,'SSP_March''19'!$A$3:$X$1193,22,0)</f>
        <v>0</v>
      </c>
      <c r="W17" s="34">
        <f>VLOOKUP(A17,'SSP_March''19'!$A$3:$X$1193,23,0)</f>
        <v>0</v>
      </c>
      <c r="X17" s="34">
        <f>VLOOKUP(A17,'SSP_March''19'!$A$3:$X$1193,24,0)</f>
        <v>0</v>
      </c>
    </row>
    <row r="18" spans="1:24">
      <c r="A18" s="34" t="s">
        <v>1784</v>
      </c>
      <c r="B18" s="34" t="s">
        <v>1785</v>
      </c>
      <c r="C18" s="34" t="s">
        <v>141</v>
      </c>
      <c r="D18" s="34" t="s">
        <v>6</v>
      </c>
      <c r="E18" s="34" t="s">
        <v>6</v>
      </c>
      <c r="F18" s="34" t="s">
        <v>1786</v>
      </c>
      <c r="G18" s="54">
        <v>1796379008</v>
      </c>
      <c r="H18" s="54" t="s">
        <v>229</v>
      </c>
      <c r="I18" s="54" t="s">
        <v>3514</v>
      </c>
      <c r="J18" s="34" t="s">
        <v>3421</v>
      </c>
      <c r="K18" s="43">
        <f>VLOOKUP(A18,'SSP_March''19'!$A$3:$L$1193,11,0)</f>
        <v>130000</v>
      </c>
      <c r="L18" s="43">
        <f>VLOOKUP(A18,'SSP_March''19'!$A$3:$L$1193,12,0)</f>
        <v>7990</v>
      </c>
      <c r="M18" s="44">
        <f t="shared" si="0"/>
        <v>6.1461538461538463E-2</v>
      </c>
      <c r="N18" s="49">
        <f>ROUND(VLOOKUP(A18,'SSP_March''19'!$A$3:$N$1193,14,0),0)</f>
        <v>24769</v>
      </c>
      <c r="O18" s="44">
        <f t="shared" si="1"/>
        <v>0.19053076923076923</v>
      </c>
      <c r="P18" s="45">
        <f>VLOOKUP(A18,'SSP_March''19'!$A$3:$Q$1193,16,0)</f>
        <v>10</v>
      </c>
      <c r="Q18" s="34">
        <f>VLOOKUP(A18,'SSP_March''19'!$A$3:$Q$1193,17,0)</f>
        <v>1</v>
      </c>
      <c r="R18" s="35">
        <f t="shared" si="2"/>
        <v>0.1</v>
      </c>
      <c r="S18" s="49">
        <f>ROUND(VLOOKUP(A18,'SSP_March''19'!$A$3:$T$1193,19,0),0)</f>
        <v>3</v>
      </c>
      <c r="T18" s="44">
        <f>VLOOKUP(A18,'SSP_March''19'!$A$3:$T$1193,20,0)</f>
        <v>0.3</v>
      </c>
      <c r="U18" s="34">
        <f>VLOOKUP(A18,'SSP_March''19'!$A$3:$X$1193,21,0)</f>
        <v>0</v>
      </c>
      <c r="V18" s="34">
        <f>VLOOKUP(A18,'SSP_March''19'!$A$3:$X$1193,22,0)</f>
        <v>0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34" t="s">
        <v>1641</v>
      </c>
      <c r="B19" s="34" t="s">
        <v>1642</v>
      </c>
      <c r="C19" s="34" t="s">
        <v>141</v>
      </c>
      <c r="D19" s="34" t="s">
        <v>6</v>
      </c>
      <c r="E19" s="34" t="s">
        <v>6</v>
      </c>
      <c r="F19" s="34" t="s">
        <v>1643</v>
      </c>
      <c r="G19" s="54">
        <v>1711014496</v>
      </c>
      <c r="H19" s="54" t="s">
        <v>229</v>
      </c>
      <c r="I19" s="54" t="s">
        <v>3514</v>
      </c>
      <c r="J19" s="34" t="s">
        <v>3419</v>
      </c>
      <c r="K19" s="43">
        <f>VLOOKUP(A19,'SSP_March''19'!$A$3:$L$1193,11,0)</f>
        <v>205827</v>
      </c>
      <c r="L19" s="43">
        <f>VLOOKUP(A19,'SSP_March''19'!$A$3:$L$1193,12,0)</f>
        <v>60230</v>
      </c>
      <c r="M19" s="44">
        <f t="shared" si="0"/>
        <v>0.29262438844272132</v>
      </c>
      <c r="N19" s="49">
        <f>ROUND(VLOOKUP(A19,'SSP_March''19'!$A$3:$N$1193,14,0),0)</f>
        <v>186713</v>
      </c>
      <c r="O19" s="44">
        <f t="shared" si="1"/>
        <v>0.90713560417243611</v>
      </c>
      <c r="P19" s="45">
        <f>VLOOKUP(A19,'SSP_March''19'!$A$3:$Q$1193,16,0)</f>
        <v>10</v>
      </c>
      <c r="Q19" s="34">
        <f>VLOOKUP(A19,'SSP_March''19'!$A$3:$Q$1193,17,0)</f>
        <v>1</v>
      </c>
      <c r="R19" s="35">
        <f t="shared" si="2"/>
        <v>0.1</v>
      </c>
      <c r="S19" s="49">
        <f>ROUND(VLOOKUP(A19,'SSP_March''19'!$A$3:$T$1193,19,0),0)</f>
        <v>3</v>
      </c>
      <c r="T19" s="44">
        <f>VLOOKUP(A19,'SSP_March''19'!$A$3:$T$1193,20,0)</f>
        <v>0.3</v>
      </c>
      <c r="U19" s="34">
        <f>VLOOKUP(A19,'SSP_March''19'!$A$3:$X$1193,21,0)</f>
        <v>2</v>
      </c>
      <c r="V19" s="34">
        <f>VLOOKUP(A19,'SSP_March''19'!$A$3:$X$1193,22,0)</f>
        <v>0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34" t="s">
        <v>1538</v>
      </c>
      <c r="B20" s="34" t="s">
        <v>1539</v>
      </c>
      <c r="C20" s="34" t="s">
        <v>141</v>
      </c>
      <c r="D20" s="34" t="s">
        <v>6</v>
      </c>
      <c r="E20" s="34" t="s">
        <v>6</v>
      </c>
      <c r="F20" s="34" t="s">
        <v>1540</v>
      </c>
      <c r="G20" s="54">
        <v>1712822293</v>
      </c>
      <c r="H20" s="54" t="s">
        <v>229</v>
      </c>
      <c r="I20" s="54" t="s">
        <v>3514</v>
      </c>
      <c r="J20" s="34" t="s">
        <v>3421</v>
      </c>
      <c r="K20" s="43">
        <f>VLOOKUP(A20,'SSP_March''19'!$A$3:$L$1193,11,0)</f>
        <v>130000</v>
      </c>
      <c r="L20" s="43">
        <f>VLOOKUP(A20,'SSP_March''19'!$A$3:$L$1193,12,0)</f>
        <v>37840</v>
      </c>
      <c r="M20" s="44">
        <f t="shared" si="0"/>
        <v>0.29107692307692307</v>
      </c>
      <c r="N20" s="49">
        <f>ROUND(VLOOKUP(A20,'SSP_March''19'!$A$3:$N$1193,14,0),0)</f>
        <v>117304</v>
      </c>
      <c r="O20" s="44">
        <f t="shared" si="1"/>
        <v>0.90233846153846153</v>
      </c>
      <c r="P20" s="45">
        <f>VLOOKUP(A20,'SSP_March''19'!$A$3:$Q$1193,16,0)</f>
        <v>10</v>
      </c>
      <c r="Q20" s="34">
        <f>VLOOKUP(A20,'SSP_March''19'!$A$3:$Q$1193,17,0)</f>
        <v>3</v>
      </c>
      <c r="R20" s="35">
        <f t="shared" si="2"/>
        <v>0.3</v>
      </c>
      <c r="S20" s="49">
        <f>ROUND(VLOOKUP(A20,'SSP_March''19'!$A$3:$T$1193,19,0),0)</f>
        <v>9</v>
      </c>
      <c r="T20" s="44">
        <f>VLOOKUP(A20,'SSP_March''19'!$A$3:$T$1193,20,0)</f>
        <v>0.9</v>
      </c>
      <c r="U20" s="34">
        <f>VLOOKUP(A20,'SSP_March''19'!$A$3:$X$1193,21,0)</f>
        <v>1</v>
      </c>
      <c r="V20" s="34">
        <f>VLOOKUP(A20,'SSP_March''19'!$A$3:$X$1193,22,0)</f>
        <v>2</v>
      </c>
      <c r="W20" s="34">
        <f>VLOOKUP(A20,'SSP_March''19'!$A$3:$X$1193,23,0)</f>
        <v>0</v>
      </c>
      <c r="X20" s="34">
        <f>VLOOKUP(A20,'SSP_March''19'!$A$3:$X$1193,24,0)</f>
        <v>0</v>
      </c>
    </row>
    <row r="21" spans="1:24">
      <c r="A21" s="34" t="s">
        <v>1523</v>
      </c>
      <c r="B21" s="34" t="s">
        <v>1524</v>
      </c>
      <c r="C21" s="34" t="s">
        <v>141</v>
      </c>
      <c r="D21" s="34" t="s">
        <v>6</v>
      </c>
      <c r="E21" s="34" t="s">
        <v>6</v>
      </c>
      <c r="F21" s="34" t="s">
        <v>1525</v>
      </c>
      <c r="G21" s="54">
        <v>1727247282</v>
      </c>
      <c r="H21" s="54" t="s">
        <v>229</v>
      </c>
      <c r="I21" s="54" t="s">
        <v>3514</v>
      </c>
      <c r="J21" s="34" t="s">
        <v>3421</v>
      </c>
      <c r="K21" s="43">
        <f>VLOOKUP(A21,'SSP_March''19'!$A$3:$L$1193,11,0)</f>
        <v>130000</v>
      </c>
      <c r="L21" s="43">
        <f>VLOOKUP(A21,'SSP_March''19'!$A$3:$L$1193,12,0)</f>
        <v>36740</v>
      </c>
      <c r="M21" s="44">
        <f t="shared" si="0"/>
        <v>0.2826153846153846</v>
      </c>
      <c r="N21" s="49">
        <f>ROUND(VLOOKUP(A21,'SSP_March''19'!$A$3:$N$1193,14,0),0)</f>
        <v>113894</v>
      </c>
      <c r="O21" s="44">
        <f t="shared" si="1"/>
        <v>0.87610769230769225</v>
      </c>
      <c r="P21" s="45">
        <f>VLOOKUP(A21,'SSP_March''19'!$A$3:$Q$1193,16,0)</f>
        <v>10</v>
      </c>
      <c r="Q21" s="34">
        <f>VLOOKUP(A21,'SSP_March''19'!$A$3:$Q$1193,17,0)</f>
        <v>2</v>
      </c>
      <c r="R21" s="35">
        <f t="shared" si="2"/>
        <v>0.2</v>
      </c>
      <c r="S21" s="49">
        <f>ROUND(VLOOKUP(A21,'SSP_March''19'!$A$3:$T$1193,19,0),0)</f>
        <v>6</v>
      </c>
      <c r="T21" s="44">
        <f>VLOOKUP(A21,'SSP_March''19'!$A$3:$T$1193,20,0)</f>
        <v>0.6</v>
      </c>
      <c r="U21" s="34">
        <f>VLOOKUP(A21,'SSP_March''19'!$A$3:$X$1193,21,0)</f>
        <v>0</v>
      </c>
      <c r="V21" s="34">
        <f>VLOOKUP(A21,'SSP_March''19'!$A$3:$X$1193,22,0)</f>
        <v>0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34" t="s">
        <v>1533</v>
      </c>
      <c r="B22" s="34" t="s">
        <v>1534</v>
      </c>
      <c r="C22" s="34" t="s">
        <v>1521</v>
      </c>
      <c r="D22" s="34" t="s">
        <v>6</v>
      </c>
      <c r="E22" s="34" t="s">
        <v>6</v>
      </c>
      <c r="F22" s="34" t="s">
        <v>520</v>
      </c>
      <c r="G22" s="54">
        <v>1711974945</v>
      </c>
      <c r="H22" s="54" t="s">
        <v>229</v>
      </c>
      <c r="I22" s="54" t="s">
        <v>3514</v>
      </c>
      <c r="J22" s="34" t="s">
        <v>3421</v>
      </c>
      <c r="K22" s="43">
        <f>VLOOKUP(A22,'SSP_March''19'!$A$3:$L$1193,11,0)</f>
        <v>130000</v>
      </c>
      <c r="L22" s="43">
        <f>VLOOKUP(A22,'SSP_March''19'!$A$3:$L$1193,12,0)</f>
        <v>0</v>
      </c>
      <c r="M22" s="44">
        <f t="shared" si="0"/>
        <v>0</v>
      </c>
      <c r="N22" s="49">
        <f>ROUND(VLOOKUP(A22,'SSP_March''19'!$A$3:$N$1193,14,0),0)</f>
        <v>0</v>
      </c>
      <c r="O22" s="44">
        <f t="shared" si="1"/>
        <v>0</v>
      </c>
      <c r="P22" s="45">
        <f>VLOOKUP(A22,'SSP_March''19'!$A$3:$Q$1193,16,0)</f>
        <v>10</v>
      </c>
      <c r="Q22" s="34">
        <f>VLOOKUP(A22,'SSP_March''19'!$A$3:$Q$1193,17,0)</f>
        <v>0</v>
      </c>
      <c r="R22" s="35">
        <f t="shared" si="2"/>
        <v>0</v>
      </c>
      <c r="S22" s="49">
        <f>ROUND(VLOOKUP(A22,'SSP_March''19'!$A$3:$T$1193,19,0),0)</f>
        <v>0</v>
      </c>
      <c r="T22" s="44">
        <f>VLOOKUP(A22,'SSP_March''19'!$A$3:$T$1193,20,0)</f>
        <v>0</v>
      </c>
      <c r="U22" s="34">
        <f>VLOOKUP(A22,'SSP_March''19'!$A$3:$X$1193,21,0)</f>
        <v>0</v>
      </c>
      <c r="V22" s="34">
        <f>VLOOKUP(A22,'SSP_March''19'!$A$3:$X$1193,22,0)</f>
        <v>0</v>
      </c>
      <c r="W22" s="34">
        <f>VLOOKUP(A22,'SSP_March''19'!$A$3:$X$1193,23,0)</f>
        <v>0</v>
      </c>
      <c r="X22" s="34">
        <f>VLOOKUP(A22,'SSP_March''19'!$A$3:$X$1193,24,0)</f>
        <v>0</v>
      </c>
    </row>
    <row r="23" spans="1:24">
      <c r="A23" s="34" t="s">
        <v>1586</v>
      </c>
      <c r="B23" s="34" t="s">
        <v>1587</v>
      </c>
      <c r="C23" s="34" t="s">
        <v>1521</v>
      </c>
      <c r="D23" s="34" t="s">
        <v>6</v>
      </c>
      <c r="E23" s="34" t="s">
        <v>6</v>
      </c>
      <c r="F23" s="34" t="s">
        <v>1113</v>
      </c>
      <c r="G23" s="54">
        <v>1712001077</v>
      </c>
      <c r="H23" s="54" t="s">
        <v>229</v>
      </c>
      <c r="I23" s="54" t="s">
        <v>3514</v>
      </c>
      <c r="J23" s="34" t="s">
        <v>3421</v>
      </c>
      <c r="K23" s="43">
        <f>VLOOKUP(A23,'SSP_March''19'!$A$3:$L$1193,11,0)</f>
        <v>130000</v>
      </c>
      <c r="L23" s="43">
        <f>VLOOKUP(A23,'SSP_March''19'!$A$3:$L$1193,12,0)</f>
        <v>27509</v>
      </c>
      <c r="M23" s="44">
        <f t="shared" si="0"/>
        <v>0.2116076923076923</v>
      </c>
      <c r="N23" s="49">
        <f>ROUND(VLOOKUP(A23,'SSP_March''19'!$A$3:$N$1193,14,0),0)</f>
        <v>85278</v>
      </c>
      <c r="O23" s="44">
        <f t="shared" si="1"/>
        <v>0.65598461538461539</v>
      </c>
      <c r="P23" s="45">
        <f>VLOOKUP(A23,'SSP_March''19'!$A$3:$Q$1193,16,0)</f>
        <v>10</v>
      </c>
      <c r="Q23" s="34">
        <f>VLOOKUP(A23,'SSP_March''19'!$A$3:$Q$1193,17,0)</f>
        <v>0</v>
      </c>
      <c r="R23" s="35">
        <f t="shared" si="2"/>
        <v>0</v>
      </c>
      <c r="S23" s="49">
        <f>ROUND(VLOOKUP(A23,'SSP_March''19'!$A$3:$T$1193,19,0),0)</f>
        <v>0</v>
      </c>
      <c r="T23" s="44">
        <f>VLOOKUP(A23,'SSP_March''19'!$A$3:$T$1193,20,0)</f>
        <v>0</v>
      </c>
      <c r="U23" s="34">
        <f>VLOOKUP(A23,'SSP_March''19'!$A$3:$X$1193,21,0)</f>
        <v>1</v>
      </c>
      <c r="V23" s="34">
        <f>VLOOKUP(A23,'SSP_March''19'!$A$3:$X$1193,22,0)</f>
        <v>0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34" t="s">
        <v>1519</v>
      </c>
      <c r="B24" s="34" t="s">
        <v>1520</v>
      </c>
      <c r="C24" s="34" t="s">
        <v>1521</v>
      </c>
      <c r="D24" s="34" t="s">
        <v>6</v>
      </c>
      <c r="E24" s="34" t="s">
        <v>6</v>
      </c>
      <c r="F24" s="34" t="s">
        <v>1522</v>
      </c>
      <c r="G24" s="54">
        <v>1710624625</v>
      </c>
      <c r="H24" s="54" t="s">
        <v>229</v>
      </c>
      <c r="I24" s="54" t="s">
        <v>3514</v>
      </c>
      <c r="J24" s="34" t="s">
        <v>3421</v>
      </c>
      <c r="K24" s="43">
        <f>VLOOKUP(A24,'SSP_March''19'!$A$3:$L$1193,11,0)</f>
        <v>223035</v>
      </c>
      <c r="L24" s="43">
        <f>VLOOKUP(A24,'SSP_March''19'!$A$3:$L$1193,12,0)</f>
        <v>13430</v>
      </c>
      <c r="M24" s="44">
        <f t="shared" si="0"/>
        <v>6.0214764498845476E-2</v>
      </c>
      <c r="N24" s="49">
        <f>ROUND(VLOOKUP(A24,'SSP_March''19'!$A$3:$N$1193,14,0),0)</f>
        <v>41633</v>
      </c>
      <c r="O24" s="44">
        <f t="shared" si="1"/>
        <v>0.18666576994642098</v>
      </c>
      <c r="P24" s="45">
        <f>VLOOKUP(A24,'SSP_March''19'!$A$3:$Q$1193,16,0)</f>
        <v>10</v>
      </c>
      <c r="Q24" s="34">
        <f>VLOOKUP(A24,'SSP_March''19'!$A$3:$Q$1193,17,0)</f>
        <v>1</v>
      </c>
      <c r="R24" s="35">
        <f t="shared" si="2"/>
        <v>0.1</v>
      </c>
      <c r="S24" s="49">
        <f>ROUND(VLOOKUP(A24,'SSP_March''19'!$A$3:$T$1193,19,0),0)</f>
        <v>3</v>
      </c>
      <c r="T24" s="44">
        <f>VLOOKUP(A24,'SSP_March''19'!$A$3:$T$1193,20,0)</f>
        <v>0.3</v>
      </c>
      <c r="U24" s="34">
        <f>VLOOKUP(A24,'SSP_March''19'!$A$3:$X$1193,21,0)</f>
        <v>0</v>
      </c>
      <c r="V24" s="34">
        <f>VLOOKUP(A24,'SSP_March''19'!$A$3:$X$1193,22,0)</f>
        <v>0</v>
      </c>
      <c r="W24" s="34">
        <f>VLOOKUP(A24,'SSP_March''19'!$A$3:$X$1193,23,0)</f>
        <v>1</v>
      </c>
      <c r="X24" s="34">
        <f>VLOOKUP(A24,'SSP_March''19'!$A$3:$X$1193,24,0)</f>
        <v>0</v>
      </c>
    </row>
    <row r="25" spans="1:24">
      <c r="A25" s="34" t="s">
        <v>1617</v>
      </c>
      <c r="B25" s="34" t="s">
        <v>1618</v>
      </c>
      <c r="C25" s="34" t="s">
        <v>1521</v>
      </c>
      <c r="D25" s="34" t="s">
        <v>6</v>
      </c>
      <c r="E25" s="34" t="s">
        <v>6</v>
      </c>
      <c r="F25" s="34" t="s">
        <v>1619</v>
      </c>
      <c r="G25" s="54">
        <v>1711200213</v>
      </c>
      <c r="H25" s="54" t="s">
        <v>229</v>
      </c>
      <c r="I25" s="54" t="s">
        <v>3514</v>
      </c>
      <c r="J25" s="34" t="s">
        <v>3419</v>
      </c>
      <c r="K25" s="43">
        <f>VLOOKUP(A25,'SSP_March''19'!$A$3:$L$1193,11,0)</f>
        <v>130000</v>
      </c>
      <c r="L25" s="43">
        <f>VLOOKUP(A25,'SSP_March''19'!$A$3:$L$1193,12,0)</f>
        <v>4990</v>
      </c>
      <c r="M25" s="44">
        <f t="shared" si="0"/>
        <v>3.8384615384615385E-2</v>
      </c>
      <c r="N25" s="49">
        <f>ROUND(VLOOKUP(A25,'SSP_March''19'!$A$3:$N$1193,14,0),0)</f>
        <v>15469</v>
      </c>
      <c r="O25" s="44">
        <f t="shared" si="1"/>
        <v>0.11899230769230769</v>
      </c>
      <c r="P25" s="45">
        <f>VLOOKUP(A25,'SSP_March''19'!$A$3:$Q$1193,16,0)</f>
        <v>10</v>
      </c>
      <c r="Q25" s="34">
        <f>VLOOKUP(A25,'SSP_March''19'!$A$3:$Q$1193,17,0)</f>
        <v>0</v>
      </c>
      <c r="R25" s="35">
        <f t="shared" si="2"/>
        <v>0</v>
      </c>
      <c r="S25" s="49">
        <f>ROUND(VLOOKUP(A25,'SSP_March''19'!$A$3:$T$1193,19,0),0)</f>
        <v>0</v>
      </c>
      <c r="T25" s="44">
        <f>VLOOKUP(A25,'SSP_March''19'!$A$3:$T$1193,20,0)</f>
        <v>0</v>
      </c>
      <c r="U25" s="34">
        <f>VLOOKUP(A25,'SSP_March''19'!$A$3:$X$1193,21,0)</f>
        <v>0</v>
      </c>
      <c r="V25" s="34">
        <f>VLOOKUP(A25,'SSP_March''19'!$A$3:$X$1193,22,0)</f>
        <v>0</v>
      </c>
      <c r="W25" s="34">
        <f>VLOOKUP(A25,'SSP_March''19'!$A$3:$X$1193,23,0)</f>
        <v>0</v>
      </c>
      <c r="X25" s="34">
        <f>VLOOKUP(A25,'SSP_March''19'!$A$3:$X$1193,24,0)</f>
        <v>0</v>
      </c>
    </row>
    <row r="26" spans="1:24">
      <c r="A26" s="34" t="s">
        <v>1659</v>
      </c>
      <c r="B26" s="34" t="s">
        <v>1660</v>
      </c>
      <c r="C26" s="34" t="s">
        <v>65</v>
      </c>
      <c r="D26" s="34" t="s">
        <v>66</v>
      </c>
      <c r="E26" s="34" t="s">
        <v>6</v>
      </c>
      <c r="F26" s="34" t="s">
        <v>1442</v>
      </c>
      <c r="G26" s="54">
        <v>1731419314</v>
      </c>
      <c r="H26" s="54" t="s">
        <v>229</v>
      </c>
      <c r="I26" s="54" t="s">
        <v>3514</v>
      </c>
      <c r="J26" s="34" t="s">
        <v>3421</v>
      </c>
      <c r="K26" s="43">
        <f>VLOOKUP(A26,'SSP_March''19'!$A$3:$L$1193,11,0)</f>
        <v>130000</v>
      </c>
      <c r="L26" s="43">
        <f>VLOOKUP(A26,'SSP_March''19'!$A$3:$L$1193,12,0)</f>
        <v>25510</v>
      </c>
      <c r="M26" s="44">
        <f t="shared" si="0"/>
        <v>0.19623076923076924</v>
      </c>
      <c r="N26" s="49">
        <f>ROUND(VLOOKUP(A26,'SSP_March''19'!$A$3:$N$1193,14,0),0)</f>
        <v>79081</v>
      </c>
      <c r="O26" s="44">
        <f t="shared" si="1"/>
        <v>0.60831538461538459</v>
      </c>
      <c r="P26" s="45">
        <f>VLOOKUP(A26,'SSP_March''19'!$A$3:$Q$1193,16,0)</f>
        <v>10</v>
      </c>
      <c r="Q26" s="34">
        <f>VLOOKUP(A26,'SSP_March''19'!$A$3:$Q$1193,17,0)</f>
        <v>1</v>
      </c>
      <c r="R26" s="35">
        <f t="shared" si="2"/>
        <v>0.1</v>
      </c>
      <c r="S26" s="49">
        <f>ROUND(VLOOKUP(A26,'SSP_March''19'!$A$3:$T$1193,19,0),0)</f>
        <v>3</v>
      </c>
      <c r="T26" s="44">
        <f>VLOOKUP(A26,'SSP_March''19'!$A$3:$T$1193,20,0)</f>
        <v>0.3</v>
      </c>
      <c r="U26" s="34">
        <f>VLOOKUP(A26,'SSP_March''19'!$A$3:$X$1193,21,0)</f>
        <v>0</v>
      </c>
      <c r="V26" s="34">
        <f>VLOOKUP(A26,'SSP_March''19'!$A$3:$X$1193,22,0)</f>
        <v>0</v>
      </c>
      <c r="W26" s="34">
        <f>VLOOKUP(A26,'SSP_March''19'!$A$3:$X$1193,23,0)</f>
        <v>0</v>
      </c>
      <c r="X26" s="34">
        <f>VLOOKUP(A26,'SSP_March''19'!$A$3:$X$1193,24,0)</f>
        <v>0</v>
      </c>
    </row>
    <row r="27" spans="1:24">
      <c r="A27" s="34" t="s">
        <v>1620</v>
      </c>
      <c r="B27" s="34" t="s">
        <v>1621</v>
      </c>
      <c r="C27" s="34" t="s">
        <v>65</v>
      </c>
      <c r="D27" s="34" t="s">
        <v>66</v>
      </c>
      <c r="E27" s="34" t="s">
        <v>6</v>
      </c>
      <c r="F27" s="34" t="s">
        <v>1622</v>
      </c>
      <c r="G27" s="54">
        <v>1770641897</v>
      </c>
      <c r="H27" s="54" t="s">
        <v>229</v>
      </c>
      <c r="I27" s="54" t="s">
        <v>3514</v>
      </c>
      <c r="J27" s="34" t="s">
        <v>3419</v>
      </c>
      <c r="K27" s="43">
        <f>VLOOKUP(A27,'SSP_March''19'!$A$3:$L$1193,11,0)</f>
        <v>130000</v>
      </c>
      <c r="L27" s="43">
        <f>VLOOKUP(A27,'SSP_March''19'!$A$3:$L$1193,12,0)</f>
        <v>59140</v>
      </c>
      <c r="M27" s="44">
        <f t="shared" si="0"/>
        <v>0.45492307692307693</v>
      </c>
      <c r="N27" s="49">
        <f>ROUND(VLOOKUP(A27,'SSP_March''19'!$A$3:$N$1193,14,0),0)</f>
        <v>183334</v>
      </c>
      <c r="O27" s="44">
        <f t="shared" si="1"/>
        <v>1.4102615384615385</v>
      </c>
      <c r="P27" s="45">
        <f>VLOOKUP(A27,'SSP_March''19'!$A$3:$Q$1193,16,0)</f>
        <v>10</v>
      </c>
      <c r="Q27" s="34">
        <f>VLOOKUP(A27,'SSP_March''19'!$A$3:$Q$1193,17,0)</f>
        <v>2</v>
      </c>
      <c r="R27" s="35">
        <f t="shared" si="2"/>
        <v>0.2</v>
      </c>
      <c r="S27" s="49">
        <f>ROUND(VLOOKUP(A27,'SSP_March''19'!$A$3:$T$1193,19,0),0)</f>
        <v>6</v>
      </c>
      <c r="T27" s="44">
        <f>VLOOKUP(A27,'SSP_March''19'!$A$3:$T$1193,20,0)</f>
        <v>0.6</v>
      </c>
      <c r="U27" s="34">
        <f>VLOOKUP(A27,'SSP_March''19'!$A$3:$X$1193,21,0)</f>
        <v>0</v>
      </c>
      <c r="V27" s="34">
        <f>VLOOKUP(A27,'SSP_March''19'!$A$3:$X$1193,22,0)</f>
        <v>0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34" t="s">
        <v>1764</v>
      </c>
      <c r="B28" s="34" t="s">
        <v>1765</v>
      </c>
      <c r="C28" s="34" t="s">
        <v>65</v>
      </c>
      <c r="D28" s="34" t="s">
        <v>66</v>
      </c>
      <c r="E28" s="34" t="s">
        <v>6</v>
      </c>
      <c r="F28" s="34" t="s">
        <v>1766</v>
      </c>
      <c r="G28" s="54">
        <v>1734329292</v>
      </c>
      <c r="H28" s="54" t="s">
        <v>229</v>
      </c>
      <c r="I28" s="54" t="s">
        <v>3514</v>
      </c>
      <c r="J28" s="34" t="s">
        <v>3419</v>
      </c>
      <c r="K28" s="43">
        <f>VLOOKUP(A28,'SSP_March''19'!$A$3:$L$1193,11,0)</f>
        <v>130000</v>
      </c>
      <c r="L28" s="43">
        <f>VLOOKUP(A28,'SSP_March''19'!$A$3:$L$1193,12,0)</f>
        <v>36580</v>
      </c>
      <c r="M28" s="44">
        <f t="shared" si="0"/>
        <v>0.2813846153846154</v>
      </c>
      <c r="N28" s="49">
        <f>ROUND(VLOOKUP(A28,'SSP_March''19'!$A$3:$N$1193,14,0),0)</f>
        <v>113398</v>
      </c>
      <c r="O28" s="44">
        <f t="shared" si="1"/>
        <v>0.8722923076923077</v>
      </c>
      <c r="P28" s="45">
        <f>VLOOKUP(A28,'SSP_March''19'!$A$3:$Q$1193,16,0)</f>
        <v>10</v>
      </c>
      <c r="Q28" s="34">
        <f>VLOOKUP(A28,'SSP_March''19'!$A$3:$Q$1193,17,0)</f>
        <v>1</v>
      </c>
      <c r="R28" s="35">
        <f t="shared" si="2"/>
        <v>0.1</v>
      </c>
      <c r="S28" s="49">
        <f>ROUND(VLOOKUP(A28,'SSP_March''19'!$A$3:$T$1193,19,0),0)</f>
        <v>3</v>
      </c>
      <c r="T28" s="44">
        <f>VLOOKUP(A28,'SSP_March''19'!$A$3:$T$1193,20,0)</f>
        <v>0.3</v>
      </c>
      <c r="U28" s="34">
        <f>VLOOKUP(A28,'SSP_March''19'!$A$3:$X$1193,21,0)</f>
        <v>1</v>
      </c>
      <c r="V28" s="34">
        <f>VLOOKUP(A28,'SSP_March''19'!$A$3:$X$1193,22,0)</f>
        <v>0</v>
      </c>
      <c r="W28" s="34">
        <f>VLOOKUP(A28,'SSP_March''19'!$A$3:$X$1193,23,0)</f>
        <v>0</v>
      </c>
      <c r="X28" s="34">
        <f>VLOOKUP(A28,'SSP_March''19'!$A$3:$X$1193,24,0)</f>
        <v>0</v>
      </c>
    </row>
    <row r="29" spans="1:24">
      <c r="A29" s="34" t="s">
        <v>1644</v>
      </c>
      <c r="B29" s="34" t="s">
        <v>1645</v>
      </c>
      <c r="C29" s="34" t="s">
        <v>65</v>
      </c>
      <c r="D29" s="34" t="s">
        <v>66</v>
      </c>
      <c r="E29" s="34" t="s">
        <v>6</v>
      </c>
      <c r="F29" s="34" t="s">
        <v>1646</v>
      </c>
      <c r="G29" s="54">
        <v>1756686113</v>
      </c>
      <c r="H29" s="54" t="s">
        <v>229</v>
      </c>
      <c r="I29" s="54" t="s">
        <v>3514</v>
      </c>
      <c r="J29" s="34" t="s">
        <v>3515</v>
      </c>
      <c r="K29" s="43">
        <f>VLOOKUP(A29,'SSP_March''19'!$A$3:$L$1193,11,0)</f>
        <v>130000</v>
      </c>
      <c r="L29" s="43">
        <f>VLOOKUP(A29,'SSP_March''19'!$A$3:$L$1193,12,0)</f>
        <v>19800</v>
      </c>
      <c r="M29" s="44">
        <f t="shared" si="0"/>
        <v>0.15230769230769231</v>
      </c>
      <c r="N29" s="49">
        <f>ROUND(VLOOKUP(A29,'SSP_March''19'!$A$3:$N$1193,14,0),0)</f>
        <v>61380</v>
      </c>
      <c r="O29" s="44">
        <f t="shared" si="1"/>
        <v>0.47215384615384615</v>
      </c>
      <c r="P29" s="45">
        <f>VLOOKUP(A29,'SSP_March''19'!$A$3:$Q$1193,16,0)</f>
        <v>10</v>
      </c>
      <c r="Q29" s="34">
        <f>VLOOKUP(A29,'SSP_March''19'!$A$3:$Q$1193,17,0)</f>
        <v>0</v>
      </c>
      <c r="R29" s="35">
        <f t="shared" si="2"/>
        <v>0</v>
      </c>
      <c r="S29" s="49">
        <f>ROUND(VLOOKUP(A29,'SSP_March''19'!$A$3:$T$1193,19,0),0)</f>
        <v>0</v>
      </c>
      <c r="T29" s="44">
        <f>VLOOKUP(A29,'SSP_March''19'!$A$3:$T$1193,20,0)</f>
        <v>0</v>
      </c>
      <c r="U29" s="34">
        <f>VLOOKUP(A29,'SSP_March''19'!$A$3:$X$1193,21,0)</f>
        <v>0</v>
      </c>
      <c r="V29" s="34">
        <f>VLOOKUP(A29,'SSP_March''19'!$A$3:$X$1193,22,0)</f>
        <v>0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34" t="s">
        <v>1507</v>
      </c>
      <c r="B30" s="34" t="s">
        <v>1508</v>
      </c>
      <c r="C30" s="34" t="s">
        <v>65</v>
      </c>
      <c r="D30" s="34" t="s">
        <v>66</v>
      </c>
      <c r="E30" s="34" t="s">
        <v>6</v>
      </c>
      <c r="F30" s="34" t="s">
        <v>770</v>
      </c>
      <c r="G30" s="54">
        <v>1712464674</v>
      </c>
      <c r="H30" s="54" t="s">
        <v>229</v>
      </c>
      <c r="I30" s="54" t="s">
        <v>3514</v>
      </c>
      <c r="J30" s="34" t="s">
        <v>3421</v>
      </c>
      <c r="K30" s="43">
        <f>VLOOKUP(A30,'SSP_March''19'!$A$3:$L$1193,11,0)</f>
        <v>130000</v>
      </c>
      <c r="L30" s="43">
        <f>VLOOKUP(A30,'SSP_March''19'!$A$3:$L$1193,12,0)</f>
        <v>15270</v>
      </c>
      <c r="M30" s="44">
        <f t="shared" si="0"/>
        <v>0.11746153846153846</v>
      </c>
      <c r="N30" s="49">
        <f>ROUND(VLOOKUP(A30,'SSP_March''19'!$A$3:$N$1193,14,0),0)</f>
        <v>47337</v>
      </c>
      <c r="O30" s="44">
        <f t="shared" si="1"/>
        <v>0.36413076923076926</v>
      </c>
      <c r="P30" s="45">
        <f>VLOOKUP(A30,'SSP_March''19'!$A$3:$Q$1193,16,0)</f>
        <v>10</v>
      </c>
      <c r="Q30" s="34">
        <f>VLOOKUP(A30,'SSP_March''19'!$A$3:$Q$1193,17,0)</f>
        <v>0</v>
      </c>
      <c r="R30" s="35">
        <f t="shared" si="2"/>
        <v>0</v>
      </c>
      <c r="S30" s="49">
        <f>ROUND(VLOOKUP(A30,'SSP_March''19'!$A$3:$T$1193,19,0),0)</f>
        <v>0</v>
      </c>
      <c r="T30" s="44">
        <f>VLOOKUP(A30,'SSP_March''19'!$A$3:$T$1193,20,0)</f>
        <v>0</v>
      </c>
      <c r="U30" s="34">
        <f>VLOOKUP(A30,'SSP_March''19'!$A$3:$X$1193,21,0)</f>
        <v>1</v>
      </c>
      <c r="V30" s="34">
        <f>VLOOKUP(A30,'SSP_March''19'!$A$3:$X$1193,22,0)</f>
        <v>0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34" t="s">
        <v>1698</v>
      </c>
      <c r="B31" s="34" t="s">
        <v>67</v>
      </c>
      <c r="C31" s="34" t="s">
        <v>65</v>
      </c>
      <c r="D31" s="34" t="s">
        <v>66</v>
      </c>
      <c r="E31" s="34" t="s">
        <v>6</v>
      </c>
      <c r="F31" s="34" t="s">
        <v>1699</v>
      </c>
      <c r="G31" s="54">
        <v>1717463736</v>
      </c>
      <c r="H31" s="54" t="s">
        <v>229</v>
      </c>
      <c r="I31" s="54" t="s">
        <v>3514</v>
      </c>
      <c r="J31" s="34" t="s">
        <v>3419</v>
      </c>
      <c r="K31" s="43">
        <f>VLOOKUP(A31,'SSP_March''19'!$A$3:$L$1193,11,0)</f>
        <v>130000</v>
      </c>
      <c r="L31" s="43">
        <f>VLOOKUP(A31,'SSP_March''19'!$A$3:$L$1193,12,0)</f>
        <v>61180</v>
      </c>
      <c r="M31" s="44">
        <f t="shared" si="0"/>
        <v>0.4706153846153846</v>
      </c>
      <c r="N31" s="49">
        <f>ROUND(VLOOKUP(A31,'SSP_March''19'!$A$3:$N$1193,14,0),0)</f>
        <v>189658</v>
      </c>
      <c r="O31" s="44">
        <f t="shared" si="1"/>
        <v>1.4589076923076922</v>
      </c>
      <c r="P31" s="45">
        <f>VLOOKUP(A31,'SSP_March''19'!$A$3:$Q$1193,16,0)</f>
        <v>10</v>
      </c>
      <c r="Q31" s="34">
        <f>VLOOKUP(A31,'SSP_March''19'!$A$3:$Q$1193,17,0)</f>
        <v>1</v>
      </c>
      <c r="R31" s="35">
        <f t="shared" si="2"/>
        <v>0.1</v>
      </c>
      <c r="S31" s="49">
        <f>ROUND(VLOOKUP(A31,'SSP_March''19'!$A$3:$T$1193,19,0),0)</f>
        <v>3</v>
      </c>
      <c r="T31" s="44">
        <f>VLOOKUP(A31,'SSP_March''19'!$A$3:$T$1193,20,0)</f>
        <v>0.3</v>
      </c>
      <c r="U31" s="34">
        <f>VLOOKUP(A31,'SSP_March''19'!$A$3:$X$1193,21,0)</f>
        <v>2</v>
      </c>
      <c r="V31" s="34">
        <f>VLOOKUP(A31,'SSP_March''19'!$A$3:$X$1193,22,0)</f>
        <v>0</v>
      </c>
      <c r="W31" s="34">
        <f>VLOOKUP(A31,'SSP_March''19'!$A$3:$X$1193,23,0)</f>
        <v>0</v>
      </c>
      <c r="X31" s="34">
        <f>VLOOKUP(A31,'SSP_March''19'!$A$3:$X$1193,24,0)</f>
        <v>0</v>
      </c>
    </row>
    <row r="32" spans="1:24">
      <c r="A32" s="34" t="s">
        <v>1606</v>
      </c>
      <c r="B32" s="34" t="s">
        <v>217</v>
      </c>
      <c r="C32" s="34" t="s">
        <v>65</v>
      </c>
      <c r="D32" s="34" t="s">
        <v>66</v>
      </c>
      <c r="E32" s="34" t="s">
        <v>6</v>
      </c>
      <c r="F32" s="34" t="s">
        <v>1607</v>
      </c>
      <c r="G32" s="54">
        <v>1718181705</v>
      </c>
      <c r="H32" s="54" t="s">
        <v>229</v>
      </c>
      <c r="I32" s="54" t="s">
        <v>3514</v>
      </c>
      <c r="J32" s="34" t="s">
        <v>3515</v>
      </c>
      <c r="K32" s="43">
        <f>VLOOKUP(A32,'SSP_March''19'!$A$3:$L$1193,11,0)</f>
        <v>130000</v>
      </c>
      <c r="L32" s="43">
        <f>VLOOKUP(A32,'SSP_March''19'!$A$3:$L$1193,12,0)</f>
        <v>14588</v>
      </c>
      <c r="M32" s="44">
        <f t="shared" si="0"/>
        <v>0.11221538461538462</v>
      </c>
      <c r="N32" s="49">
        <f>ROUND(VLOOKUP(A32,'SSP_March''19'!$A$3:$N$1193,14,0),0)</f>
        <v>45223</v>
      </c>
      <c r="O32" s="44">
        <f t="shared" si="1"/>
        <v>0.34786923076923076</v>
      </c>
      <c r="P32" s="45">
        <f>VLOOKUP(A32,'SSP_March''19'!$A$3:$Q$1193,16,0)</f>
        <v>10</v>
      </c>
      <c r="Q32" s="34">
        <f>VLOOKUP(A32,'SSP_March''19'!$A$3:$Q$1193,17,0)</f>
        <v>0</v>
      </c>
      <c r="R32" s="35">
        <f t="shared" si="2"/>
        <v>0</v>
      </c>
      <c r="S32" s="49">
        <f>ROUND(VLOOKUP(A32,'SSP_March''19'!$A$3:$T$1193,19,0),0)</f>
        <v>0</v>
      </c>
      <c r="T32" s="44">
        <f>VLOOKUP(A32,'SSP_March''19'!$A$3:$T$1193,20,0)</f>
        <v>0</v>
      </c>
      <c r="U32" s="34">
        <f>VLOOKUP(A32,'SSP_March''19'!$A$3:$X$1193,21,0)</f>
        <v>0</v>
      </c>
      <c r="V32" s="34">
        <f>VLOOKUP(A32,'SSP_March''19'!$A$3:$X$1193,22,0)</f>
        <v>0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34" t="s">
        <v>3516</v>
      </c>
      <c r="B33" s="34" t="s">
        <v>3517</v>
      </c>
      <c r="C33" s="34" t="s">
        <v>65</v>
      </c>
      <c r="D33" s="34" t="s">
        <v>66</v>
      </c>
      <c r="E33" s="34" t="s">
        <v>6</v>
      </c>
      <c r="F33" s="34" t="s">
        <v>3435</v>
      </c>
      <c r="G33" s="54">
        <v>1773388932</v>
      </c>
      <c r="H33" s="54" t="s">
        <v>229</v>
      </c>
      <c r="I33" s="54" t="s">
        <v>3514</v>
      </c>
      <c r="J33" s="34" t="s">
        <v>3419</v>
      </c>
      <c r="K33" s="43">
        <f>VLOOKUP(A33,'SSP_March''19'!$A$3:$L$1193,11,0)</f>
        <v>200000</v>
      </c>
      <c r="L33" s="43">
        <f>VLOOKUP(A33,'SSP_March''19'!$A$3:$L$1193,12,0)</f>
        <v>57220</v>
      </c>
      <c r="M33" s="44">
        <f t="shared" si="0"/>
        <v>0.28610000000000002</v>
      </c>
      <c r="N33" s="49">
        <f>ROUND(VLOOKUP(A33,'SSP_March''19'!$A$3:$N$1193,14,0),0)</f>
        <v>177382</v>
      </c>
      <c r="O33" s="44">
        <f t="shared" si="1"/>
        <v>0.88690999999999998</v>
      </c>
      <c r="P33" s="45">
        <f>VLOOKUP(A33,'SSP_March''19'!$A$3:$Q$1193,16,0)</f>
        <v>20</v>
      </c>
      <c r="Q33" s="34">
        <f>VLOOKUP(A33,'SSP_March''19'!$A$3:$Q$1193,17,0)</f>
        <v>5</v>
      </c>
      <c r="R33" s="35">
        <f t="shared" si="2"/>
        <v>0.25</v>
      </c>
      <c r="S33" s="49">
        <f>ROUND(VLOOKUP(A33,'SSP_March''19'!$A$3:$T$1193,19,0),0)</f>
        <v>16</v>
      </c>
      <c r="T33" s="44">
        <f>VLOOKUP(A33,'SSP_March''19'!$A$3:$T$1193,20,0)</f>
        <v>0.8</v>
      </c>
      <c r="U33" s="34">
        <f>VLOOKUP(A33,'SSP_March''19'!$A$3:$X$1193,21,0)</f>
        <v>1</v>
      </c>
      <c r="V33" s="34">
        <f>VLOOKUP(A33,'SSP_March''19'!$A$3:$X$1193,22,0)</f>
        <v>2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34" t="s">
        <v>1504</v>
      </c>
      <c r="B34" s="34" t="s">
        <v>1505</v>
      </c>
      <c r="C34" s="34" t="s">
        <v>65</v>
      </c>
      <c r="D34" s="34" t="s">
        <v>66</v>
      </c>
      <c r="E34" s="34" t="s">
        <v>6</v>
      </c>
      <c r="F34" s="34" t="s">
        <v>1506</v>
      </c>
      <c r="G34" s="54">
        <v>1795322333</v>
      </c>
      <c r="H34" s="54" t="s">
        <v>229</v>
      </c>
      <c r="I34" s="54" t="s">
        <v>3514</v>
      </c>
      <c r="J34" s="34" t="s">
        <v>3419</v>
      </c>
      <c r="K34" s="43">
        <f>VLOOKUP(A34,'SSP_March''19'!$A$3:$L$1193,11,0)</f>
        <v>130000</v>
      </c>
      <c r="L34" s="43">
        <f>VLOOKUP(A34,'SSP_March''19'!$A$3:$L$1193,12,0)</f>
        <v>40080</v>
      </c>
      <c r="M34" s="44">
        <f t="shared" si="0"/>
        <v>0.30830769230769228</v>
      </c>
      <c r="N34" s="49">
        <f>ROUND(VLOOKUP(A34,'SSP_March''19'!$A$3:$N$1193,14,0),0)</f>
        <v>124248</v>
      </c>
      <c r="O34" s="44">
        <f t="shared" si="1"/>
        <v>0.95575384615384618</v>
      </c>
      <c r="P34" s="45">
        <f>VLOOKUP(A34,'SSP_March''19'!$A$3:$Q$1193,16,0)</f>
        <v>10</v>
      </c>
      <c r="Q34" s="34">
        <f>VLOOKUP(A34,'SSP_March''19'!$A$3:$Q$1193,17,0)</f>
        <v>1</v>
      </c>
      <c r="R34" s="35">
        <f t="shared" si="2"/>
        <v>0.1</v>
      </c>
      <c r="S34" s="49">
        <f>ROUND(VLOOKUP(A34,'SSP_March''19'!$A$3:$T$1193,19,0),0)</f>
        <v>3</v>
      </c>
      <c r="T34" s="44">
        <f>VLOOKUP(A34,'SSP_March''19'!$A$3:$T$1193,20,0)</f>
        <v>0.3</v>
      </c>
      <c r="U34" s="34">
        <f>VLOOKUP(A34,'SSP_March''19'!$A$3:$X$1193,21,0)</f>
        <v>0</v>
      </c>
      <c r="V34" s="34">
        <f>VLOOKUP(A34,'SSP_March''19'!$A$3:$X$1193,22,0)</f>
        <v>0</v>
      </c>
      <c r="W34" s="34">
        <f>VLOOKUP(A34,'SSP_March''19'!$A$3:$X$1193,23,0)</f>
        <v>0</v>
      </c>
      <c r="X34" s="34">
        <f>VLOOKUP(A34,'SSP_March''19'!$A$3:$X$1193,24,0)</f>
        <v>1</v>
      </c>
    </row>
    <row r="35" spans="1:24">
      <c r="A35" s="34" t="s">
        <v>1638</v>
      </c>
      <c r="B35" s="34" t="s">
        <v>1639</v>
      </c>
      <c r="C35" s="34" t="s">
        <v>65</v>
      </c>
      <c r="D35" s="34" t="s">
        <v>66</v>
      </c>
      <c r="E35" s="34" t="s">
        <v>6</v>
      </c>
      <c r="F35" s="34" t="s">
        <v>1640</v>
      </c>
      <c r="G35" s="54">
        <v>1721403838</v>
      </c>
      <c r="H35" s="54" t="s">
        <v>229</v>
      </c>
      <c r="I35" s="54" t="s">
        <v>3514</v>
      </c>
      <c r="J35" s="34" t="s">
        <v>3419</v>
      </c>
      <c r="K35" s="43">
        <f>VLOOKUP(A35,'SSP_March''19'!$A$3:$L$1193,11,0)</f>
        <v>152529</v>
      </c>
      <c r="L35" s="43">
        <f>VLOOKUP(A35,'SSP_March''19'!$A$3:$L$1193,12,0)</f>
        <v>71389</v>
      </c>
      <c r="M35" s="44">
        <f t="shared" ref="M35:M66" si="3">L35/K35</f>
        <v>0.46803558667532075</v>
      </c>
      <c r="N35" s="49">
        <f>ROUND(VLOOKUP(A35,'SSP_March''19'!$A$3:$N$1193,14,0),0)</f>
        <v>221306</v>
      </c>
      <c r="O35" s="44">
        <f t="shared" ref="O35:O66" si="4">N35/K35</f>
        <v>1.4509109743065254</v>
      </c>
      <c r="P35" s="45">
        <f>VLOOKUP(A35,'SSP_March''19'!$A$3:$Q$1193,16,0)</f>
        <v>10</v>
      </c>
      <c r="Q35" s="34">
        <f>VLOOKUP(A35,'SSP_March''19'!$A$3:$Q$1193,17,0)</f>
        <v>3</v>
      </c>
      <c r="R35" s="35">
        <f t="shared" ref="R35:R66" si="5">Q35/P35</f>
        <v>0.3</v>
      </c>
      <c r="S35" s="49">
        <f>ROUND(VLOOKUP(A35,'SSP_March''19'!$A$3:$T$1193,19,0),0)</f>
        <v>9</v>
      </c>
      <c r="T35" s="44">
        <f>VLOOKUP(A35,'SSP_March''19'!$A$3:$T$1193,20,0)</f>
        <v>0.9</v>
      </c>
      <c r="U35" s="34">
        <f>VLOOKUP(A35,'SSP_March''19'!$A$3:$X$1193,21,0)</f>
        <v>0</v>
      </c>
      <c r="V35" s="34">
        <f>VLOOKUP(A35,'SSP_March''19'!$A$3:$X$1193,22,0)</f>
        <v>0</v>
      </c>
      <c r="W35" s="34">
        <f>VLOOKUP(A35,'SSP_March''19'!$A$3:$X$1193,23,0)</f>
        <v>0</v>
      </c>
      <c r="X35" s="34">
        <f>VLOOKUP(A35,'SSP_March''19'!$A$3:$X$1193,24,0)</f>
        <v>1</v>
      </c>
    </row>
    <row r="36" spans="1:24">
      <c r="A36" s="34" t="s">
        <v>1761</v>
      </c>
      <c r="B36" s="34" t="s">
        <v>1762</v>
      </c>
      <c r="C36" s="34" t="s">
        <v>65</v>
      </c>
      <c r="D36" s="34" t="s">
        <v>66</v>
      </c>
      <c r="E36" s="34" t="s">
        <v>6</v>
      </c>
      <c r="F36" s="34" t="s">
        <v>1763</v>
      </c>
      <c r="G36" s="54">
        <v>1718115328</v>
      </c>
      <c r="H36" s="54" t="s">
        <v>229</v>
      </c>
      <c r="I36" s="54" t="s">
        <v>3514</v>
      </c>
      <c r="J36" s="34" t="s">
        <v>3419</v>
      </c>
      <c r="K36" s="43">
        <f>VLOOKUP(A36,'SSP_March''19'!$A$3:$L$1193,11,0)</f>
        <v>130000</v>
      </c>
      <c r="L36" s="43">
        <f>VLOOKUP(A36,'SSP_March''19'!$A$3:$L$1193,12,0)</f>
        <v>5290</v>
      </c>
      <c r="M36" s="44">
        <f t="shared" si="3"/>
        <v>4.0692307692307694E-2</v>
      </c>
      <c r="N36" s="49">
        <f>ROUND(VLOOKUP(A36,'SSP_March''19'!$A$3:$N$1193,14,0),0)</f>
        <v>16399</v>
      </c>
      <c r="O36" s="44">
        <f t="shared" si="4"/>
        <v>0.12614615384615385</v>
      </c>
      <c r="P36" s="45">
        <f>VLOOKUP(A36,'SSP_March''19'!$A$3:$Q$1193,16,0)</f>
        <v>10</v>
      </c>
      <c r="Q36" s="34">
        <f>VLOOKUP(A36,'SSP_March''19'!$A$3:$Q$1193,17,0)</f>
        <v>0</v>
      </c>
      <c r="R36" s="35">
        <f t="shared" si="5"/>
        <v>0</v>
      </c>
      <c r="S36" s="49">
        <f>ROUND(VLOOKUP(A36,'SSP_March''19'!$A$3:$T$1193,19,0),0)</f>
        <v>0</v>
      </c>
      <c r="T36" s="44">
        <f>VLOOKUP(A36,'SSP_March''19'!$A$3:$T$1193,20,0)</f>
        <v>0</v>
      </c>
      <c r="U36" s="34">
        <f>VLOOKUP(A36,'SSP_March''19'!$A$3:$X$1193,21,0)</f>
        <v>0</v>
      </c>
      <c r="V36" s="34">
        <f>VLOOKUP(A36,'SSP_March''19'!$A$3:$X$1193,22,0)</f>
        <v>0</v>
      </c>
      <c r="W36" s="34">
        <f>VLOOKUP(A36,'SSP_March''19'!$A$3:$X$1193,23,0)</f>
        <v>0</v>
      </c>
      <c r="X36" s="34">
        <f>VLOOKUP(A36,'SSP_March''19'!$A$3:$X$1193,24,0)</f>
        <v>0</v>
      </c>
    </row>
    <row r="37" spans="1:24">
      <c r="A37" s="34" t="s">
        <v>1728</v>
      </c>
      <c r="B37" s="34" t="s">
        <v>1729</v>
      </c>
      <c r="C37" s="34" t="s">
        <v>65</v>
      </c>
      <c r="D37" s="34" t="s">
        <v>66</v>
      </c>
      <c r="E37" s="34" t="s">
        <v>6</v>
      </c>
      <c r="F37" s="34" t="s">
        <v>1730</v>
      </c>
      <c r="G37" s="54">
        <v>1733433339</v>
      </c>
      <c r="H37" s="54" t="s">
        <v>229</v>
      </c>
      <c r="I37" s="54" t="s">
        <v>3514</v>
      </c>
      <c r="J37" s="34" t="s">
        <v>3421</v>
      </c>
      <c r="K37" s="43">
        <f>VLOOKUP(A37,'SSP_March''19'!$A$3:$L$1193,11,0)</f>
        <v>290691</v>
      </c>
      <c r="L37" s="43">
        <f>VLOOKUP(A37,'SSP_March''19'!$A$3:$L$1193,12,0)</f>
        <v>67579</v>
      </c>
      <c r="M37" s="44">
        <f t="shared" si="3"/>
        <v>0.23247709767416261</v>
      </c>
      <c r="N37" s="49">
        <f>ROUND(VLOOKUP(A37,'SSP_March''19'!$A$3:$N$1193,14,0),0)</f>
        <v>209495</v>
      </c>
      <c r="O37" s="44">
        <f t="shared" si="4"/>
        <v>0.72067934679780243</v>
      </c>
      <c r="P37" s="45">
        <f>VLOOKUP(A37,'SSP_March''19'!$A$3:$Q$1193,16,0)</f>
        <v>10</v>
      </c>
      <c r="Q37" s="34">
        <f>VLOOKUP(A37,'SSP_March''19'!$A$3:$Q$1193,17,0)</f>
        <v>1</v>
      </c>
      <c r="R37" s="35">
        <f t="shared" si="5"/>
        <v>0.1</v>
      </c>
      <c r="S37" s="49">
        <f>ROUND(VLOOKUP(A37,'SSP_March''19'!$A$3:$T$1193,19,0),0)</f>
        <v>3</v>
      </c>
      <c r="T37" s="44">
        <f>VLOOKUP(A37,'SSP_March''19'!$A$3:$T$1193,20,0)</f>
        <v>0.3</v>
      </c>
      <c r="U37" s="34">
        <f>VLOOKUP(A37,'SSP_March''19'!$A$3:$X$1193,21,0)</f>
        <v>0</v>
      </c>
      <c r="V37" s="34">
        <f>VLOOKUP(A37,'SSP_March''19'!$A$3:$X$1193,22,0)</f>
        <v>0</v>
      </c>
      <c r="W37" s="34">
        <f>VLOOKUP(A37,'SSP_March''19'!$A$3:$X$1193,23,0)</f>
        <v>0</v>
      </c>
      <c r="X37" s="34">
        <f>VLOOKUP(A37,'SSP_March''19'!$A$3:$X$1193,24,0)</f>
        <v>0</v>
      </c>
    </row>
    <row r="38" spans="1:24">
      <c r="A38" s="34" t="s">
        <v>1526</v>
      </c>
      <c r="B38" s="34" t="s">
        <v>1527</v>
      </c>
      <c r="C38" s="34" t="s">
        <v>1528</v>
      </c>
      <c r="D38" s="34" t="s">
        <v>66</v>
      </c>
      <c r="E38" s="34" t="s">
        <v>6</v>
      </c>
      <c r="F38" s="34" t="s">
        <v>1529</v>
      </c>
      <c r="G38" s="54">
        <v>1711512506</v>
      </c>
      <c r="H38" s="54" t="s">
        <v>229</v>
      </c>
      <c r="I38" s="54" t="s">
        <v>3514</v>
      </c>
      <c r="J38" s="34" t="s">
        <v>3419</v>
      </c>
      <c r="K38" s="43">
        <f>VLOOKUP(A38,'SSP_March''19'!$A$3:$L$1193,11,0)</f>
        <v>158646</v>
      </c>
      <c r="L38" s="43">
        <f>VLOOKUP(A38,'SSP_March''19'!$A$3:$L$1193,12,0)</f>
        <v>67198</v>
      </c>
      <c r="M38" s="44">
        <f t="shared" si="3"/>
        <v>0.42357197786266276</v>
      </c>
      <c r="N38" s="49">
        <f>ROUND(VLOOKUP(A38,'SSP_March''19'!$A$3:$N$1193,14,0),0)</f>
        <v>208314</v>
      </c>
      <c r="O38" s="44">
        <f t="shared" si="4"/>
        <v>1.3130743920426611</v>
      </c>
      <c r="P38" s="45">
        <f>VLOOKUP(A38,'SSP_March''19'!$A$3:$Q$1193,16,0)</f>
        <v>10</v>
      </c>
      <c r="Q38" s="34">
        <f>VLOOKUP(A38,'SSP_March''19'!$A$3:$Q$1193,17,0)</f>
        <v>3</v>
      </c>
      <c r="R38" s="35">
        <f t="shared" si="5"/>
        <v>0.3</v>
      </c>
      <c r="S38" s="49">
        <f>ROUND(VLOOKUP(A38,'SSP_March''19'!$A$3:$T$1193,19,0),0)</f>
        <v>9</v>
      </c>
      <c r="T38" s="44">
        <f>VLOOKUP(A38,'SSP_March''19'!$A$3:$T$1193,20,0)</f>
        <v>0.9</v>
      </c>
      <c r="U38" s="34">
        <f>VLOOKUP(A38,'SSP_March''19'!$A$3:$X$1193,21,0)</f>
        <v>0</v>
      </c>
      <c r="V38" s="34">
        <f>VLOOKUP(A38,'SSP_March''19'!$A$3:$X$1193,22,0)</f>
        <v>0</v>
      </c>
      <c r="W38" s="34">
        <f>VLOOKUP(A38,'SSP_March''19'!$A$3:$X$1193,23,0)</f>
        <v>0</v>
      </c>
      <c r="X38" s="34">
        <f>VLOOKUP(A38,'SSP_March''19'!$A$3:$X$1193,24,0)</f>
        <v>0</v>
      </c>
    </row>
    <row r="39" spans="1:24">
      <c r="A39" s="34" t="s">
        <v>1787</v>
      </c>
      <c r="B39" s="34" t="s">
        <v>1788</v>
      </c>
      <c r="C39" s="34" t="s">
        <v>1528</v>
      </c>
      <c r="D39" s="34" t="s">
        <v>66</v>
      </c>
      <c r="E39" s="34" t="s">
        <v>6</v>
      </c>
      <c r="F39" s="34" t="s">
        <v>1789</v>
      </c>
      <c r="G39" s="54">
        <v>1758292919</v>
      </c>
      <c r="H39" s="54" t="s">
        <v>229</v>
      </c>
      <c r="I39" s="54" t="s">
        <v>3514</v>
      </c>
      <c r="J39" s="34" t="s">
        <v>3419</v>
      </c>
      <c r="K39" s="43">
        <f>VLOOKUP(A39,'SSP_March''19'!$A$3:$L$1193,11,0)</f>
        <v>130000</v>
      </c>
      <c r="L39" s="43">
        <f>VLOOKUP(A39,'SSP_March''19'!$A$3:$L$1193,12,0)</f>
        <v>22310</v>
      </c>
      <c r="M39" s="44">
        <f t="shared" si="3"/>
        <v>0.17161538461538461</v>
      </c>
      <c r="N39" s="49">
        <f>ROUND(VLOOKUP(A39,'SSP_March''19'!$A$3:$N$1193,14,0),0)</f>
        <v>69161</v>
      </c>
      <c r="O39" s="44">
        <f t="shared" si="4"/>
        <v>0.53200769230769229</v>
      </c>
      <c r="P39" s="45">
        <f>VLOOKUP(A39,'SSP_March''19'!$A$3:$Q$1193,16,0)</f>
        <v>10</v>
      </c>
      <c r="Q39" s="34">
        <f>VLOOKUP(A39,'SSP_March''19'!$A$3:$Q$1193,17,0)</f>
        <v>0</v>
      </c>
      <c r="R39" s="35">
        <f t="shared" si="5"/>
        <v>0</v>
      </c>
      <c r="S39" s="49">
        <f>ROUND(VLOOKUP(A39,'SSP_March''19'!$A$3:$T$1193,19,0),0)</f>
        <v>0</v>
      </c>
      <c r="T39" s="44">
        <f>VLOOKUP(A39,'SSP_March''19'!$A$3:$T$1193,20,0)</f>
        <v>0</v>
      </c>
      <c r="U39" s="34">
        <f>VLOOKUP(A39,'SSP_March''19'!$A$3:$X$1193,21,0)</f>
        <v>1</v>
      </c>
      <c r="V39" s="34">
        <f>VLOOKUP(A39,'SSP_March''19'!$A$3:$X$1193,22,0)</f>
        <v>0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34" t="s">
        <v>3148</v>
      </c>
      <c r="B40" s="34" t="s">
        <v>3149</v>
      </c>
      <c r="C40" s="34" t="s">
        <v>1528</v>
      </c>
      <c r="D40" s="34" t="s">
        <v>66</v>
      </c>
      <c r="E40" s="34" t="s">
        <v>6</v>
      </c>
      <c r="F40" s="34" t="s">
        <v>3150</v>
      </c>
      <c r="G40" s="54">
        <v>1732563236</v>
      </c>
      <c r="H40" s="54" t="s">
        <v>229</v>
      </c>
      <c r="I40" s="54" t="s">
        <v>3514</v>
      </c>
      <c r="J40" s="34" t="s">
        <v>3421</v>
      </c>
      <c r="K40" s="43">
        <f>VLOOKUP(A40,'SSP_March''19'!$A$3:$L$1193,11,0)</f>
        <v>227373</v>
      </c>
      <c r="L40" s="43">
        <f>VLOOKUP(A40,'SSP_March''19'!$A$3:$L$1193,12,0)</f>
        <v>66580</v>
      </c>
      <c r="M40" s="44">
        <f t="shared" si="3"/>
        <v>0.2928228065777379</v>
      </c>
      <c r="N40" s="49">
        <f>ROUND(VLOOKUP(A40,'SSP_March''19'!$A$3:$N$1193,14,0),0)</f>
        <v>206398</v>
      </c>
      <c r="O40" s="44">
        <f t="shared" si="4"/>
        <v>0.90775070039098749</v>
      </c>
      <c r="P40" s="45">
        <f>VLOOKUP(A40,'SSP_March''19'!$A$3:$Q$1193,16,0)</f>
        <v>10</v>
      </c>
      <c r="Q40" s="34">
        <f>VLOOKUP(A40,'SSP_March''19'!$A$3:$Q$1193,17,0)</f>
        <v>2</v>
      </c>
      <c r="R40" s="35">
        <f t="shared" si="5"/>
        <v>0.2</v>
      </c>
      <c r="S40" s="49">
        <f>ROUND(VLOOKUP(A40,'SSP_March''19'!$A$3:$T$1193,19,0),0)</f>
        <v>6</v>
      </c>
      <c r="T40" s="44">
        <f>VLOOKUP(A40,'SSP_March''19'!$A$3:$T$1193,20,0)</f>
        <v>0.6</v>
      </c>
      <c r="U40" s="34">
        <f>VLOOKUP(A40,'SSP_March''19'!$A$3:$X$1193,21,0)</f>
        <v>0</v>
      </c>
      <c r="V40" s="34">
        <f>VLOOKUP(A40,'SSP_March''19'!$A$3:$X$1193,22,0)</f>
        <v>0</v>
      </c>
      <c r="W40" s="34">
        <f>VLOOKUP(A40,'SSP_March''19'!$A$3:$X$1193,23,0)</f>
        <v>0</v>
      </c>
      <c r="X40" s="34">
        <f>VLOOKUP(A40,'SSP_March''19'!$A$3:$X$1193,24,0)</f>
        <v>0</v>
      </c>
    </row>
    <row r="41" spans="1:24">
      <c r="A41" s="34" t="s">
        <v>1775</v>
      </c>
      <c r="B41" s="34" t="s">
        <v>1776</v>
      </c>
      <c r="C41" s="34" t="s">
        <v>1528</v>
      </c>
      <c r="D41" s="34" t="s">
        <v>66</v>
      </c>
      <c r="E41" s="34" t="s">
        <v>6</v>
      </c>
      <c r="F41" s="34" t="s">
        <v>1777</v>
      </c>
      <c r="G41" s="54">
        <v>1722872502</v>
      </c>
      <c r="H41" s="54" t="s">
        <v>229</v>
      </c>
      <c r="I41" s="54" t="s">
        <v>3514</v>
      </c>
      <c r="J41" s="34" t="s">
        <v>3421</v>
      </c>
      <c r="K41" s="43">
        <f>VLOOKUP(A41,'SSP_March''19'!$A$3:$L$1193,11,0)</f>
        <v>130000</v>
      </c>
      <c r="L41" s="43">
        <f>VLOOKUP(A41,'SSP_March''19'!$A$3:$L$1193,12,0)</f>
        <v>5290</v>
      </c>
      <c r="M41" s="44">
        <f t="shared" si="3"/>
        <v>4.0692307692307694E-2</v>
      </c>
      <c r="N41" s="49">
        <f>ROUND(VLOOKUP(A41,'SSP_March''19'!$A$3:$N$1193,14,0),0)</f>
        <v>16399</v>
      </c>
      <c r="O41" s="44">
        <f t="shared" si="4"/>
        <v>0.12614615384615385</v>
      </c>
      <c r="P41" s="45">
        <f>VLOOKUP(A41,'SSP_March''19'!$A$3:$Q$1193,16,0)</f>
        <v>10</v>
      </c>
      <c r="Q41" s="34">
        <f>VLOOKUP(A41,'SSP_March''19'!$A$3:$Q$1193,17,0)</f>
        <v>0</v>
      </c>
      <c r="R41" s="35">
        <f t="shared" si="5"/>
        <v>0</v>
      </c>
      <c r="S41" s="49">
        <f>ROUND(VLOOKUP(A41,'SSP_March''19'!$A$3:$T$1193,19,0),0)</f>
        <v>0</v>
      </c>
      <c r="T41" s="44">
        <f>VLOOKUP(A41,'SSP_March''19'!$A$3:$T$1193,20,0)</f>
        <v>0</v>
      </c>
      <c r="U41" s="34">
        <f>VLOOKUP(A41,'SSP_March''19'!$A$3:$X$1193,21,0)</f>
        <v>0</v>
      </c>
      <c r="V41" s="34">
        <f>VLOOKUP(A41,'SSP_March''19'!$A$3:$X$1193,22,0)</f>
        <v>0</v>
      </c>
      <c r="W41" s="34">
        <f>VLOOKUP(A41,'SSP_March''19'!$A$3:$X$1193,23,0)</f>
        <v>0</v>
      </c>
      <c r="X41" s="34">
        <f>VLOOKUP(A41,'SSP_March''19'!$A$3:$X$1193,24,0)</f>
        <v>0</v>
      </c>
    </row>
    <row r="42" spans="1:24">
      <c r="A42" s="34" t="s">
        <v>1555</v>
      </c>
      <c r="B42" s="34" t="s">
        <v>1556</v>
      </c>
      <c r="C42" s="34" t="s">
        <v>1528</v>
      </c>
      <c r="D42" s="34" t="s">
        <v>66</v>
      </c>
      <c r="E42" s="34" t="s">
        <v>6</v>
      </c>
      <c r="F42" s="34" t="s">
        <v>1557</v>
      </c>
      <c r="G42" s="54">
        <v>1960640576</v>
      </c>
      <c r="H42" s="54" t="s">
        <v>229</v>
      </c>
      <c r="I42" s="54" t="s">
        <v>3514</v>
      </c>
      <c r="J42" s="34" t="s">
        <v>3421</v>
      </c>
      <c r="K42" s="43">
        <f>VLOOKUP(A42,'SSP_March''19'!$A$3:$L$1193,11,0)</f>
        <v>130000</v>
      </c>
      <c r="L42" s="43">
        <f>VLOOKUP(A42,'SSP_March''19'!$A$3:$L$1193,12,0)</f>
        <v>15270</v>
      </c>
      <c r="M42" s="44">
        <f t="shared" si="3"/>
        <v>0.11746153846153846</v>
      </c>
      <c r="N42" s="49">
        <f>ROUND(VLOOKUP(A42,'SSP_March''19'!$A$3:$N$1193,14,0),0)</f>
        <v>47337</v>
      </c>
      <c r="O42" s="44">
        <f t="shared" si="4"/>
        <v>0.36413076923076926</v>
      </c>
      <c r="P42" s="45">
        <f>VLOOKUP(A42,'SSP_March''19'!$A$3:$Q$1193,16,0)</f>
        <v>10</v>
      </c>
      <c r="Q42" s="34">
        <f>VLOOKUP(A42,'SSP_March''19'!$A$3:$Q$1193,17,0)</f>
        <v>0</v>
      </c>
      <c r="R42" s="35">
        <f t="shared" si="5"/>
        <v>0</v>
      </c>
      <c r="S42" s="49">
        <f>ROUND(VLOOKUP(A42,'SSP_March''19'!$A$3:$T$1193,19,0),0)</f>
        <v>0</v>
      </c>
      <c r="T42" s="44">
        <f>VLOOKUP(A42,'SSP_March''19'!$A$3:$T$1193,20,0)</f>
        <v>0</v>
      </c>
      <c r="U42" s="34">
        <f>VLOOKUP(A42,'SSP_March''19'!$A$3:$X$1193,21,0)</f>
        <v>1</v>
      </c>
      <c r="V42" s="34">
        <f>VLOOKUP(A42,'SSP_March''19'!$A$3:$X$1193,22,0)</f>
        <v>0</v>
      </c>
      <c r="W42" s="34">
        <f>VLOOKUP(A42,'SSP_March''19'!$A$3:$X$1193,23,0)</f>
        <v>0</v>
      </c>
      <c r="X42" s="34">
        <f>VLOOKUP(A42,'SSP_March''19'!$A$3:$X$1193,24,0)</f>
        <v>0</v>
      </c>
    </row>
    <row r="43" spans="1:24">
      <c r="A43" s="34" t="s">
        <v>1552</v>
      </c>
      <c r="B43" s="34" t="s">
        <v>1553</v>
      </c>
      <c r="C43" s="34" t="s">
        <v>1528</v>
      </c>
      <c r="D43" s="34" t="s">
        <v>66</v>
      </c>
      <c r="E43" s="34" t="s">
        <v>6</v>
      </c>
      <c r="F43" s="34" t="s">
        <v>1554</v>
      </c>
      <c r="G43" s="54">
        <v>1711947605</v>
      </c>
      <c r="H43" s="54" t="s">
        <v>229</v>
      </c>
      <c r="I43" s="54" t="s">
        <v>3514</v>
      </c>
      <c r="J43" s="34" t="s">
        <v>3419</v>
      </c>
      <c r="K43" s="43">
        <f>VLOOKUP(A43,'SSP_March''19'!$A$3:$L$1193,11,0)</f>
        <v>130000</v>
      </c>
      <c r="L43" s="43">
        <f>VLOOKUP(A43,'SSP_March''19'!$A$3:$L$1193,12,0)</f>
        <v>41730</v>
      </c>
      <c r="M43" s="44">
        <f t="shared" si="3"/>
        <v>0.32100000000000001</v>
      </c>
      <c r="N43" s="49">
        <f>ROUND(VLOOKUP(A43,'SSP_March''19'!$A$3:$N$1193,14,0),0)</f>
        <v>129363</v>
      </c>
      <c r="O43" s="44">
        <f t="shared" si="4"/>
        <v>0.99509999999999998</v>
      </c>
      <c r="P43" s="45">
        <f>VLOOKUP(A43,'SSP_March''19'!$A$3:$Q$1193,16,0)</f>
        <v>10</v>
      </c>
      <c r="Q43" s="34">
        <f>VLOOKUP(A43,'SSP_March''19'!$A$3:$Q$1193,17,0)</f>
        <v>2</v>
      </c>
      <c r="R43" s="35">
        <f t="shared" si="5"/>
        <v>0.2</v>
      </c>
      <c r="S43" s="49">
        <f>ROUND(VLOOKUP(A43,'SSP_March''19'!$A$3:$T$1193,19,0),0)</f>
        <v>6</v>
      </c>
      <c r="T43" s="44">
        <f>VLOOKUP(A43,'SSP_March''19'!$A$3:$T$1193,20,0)</f>
        <v>0.6</v>
      </c>
      <c r="U43" s="34">
        <f>VLOOKUP(A43,'SSP_March''19'!$A$3:$X$1193,21,0)</f>
        <v>1</v>
      </c>
      <c r="V43" s="34">
        <f>VLOOKUP(A43,'SSP_March''19'!$A$3:$X$1193,22,0)</f>
        <v>0</v>
      </c>
      <c r="W43" s="34">
        <f>VLOOKUP(A43,'SSP_March''19'!$A$3:$X$1193,23,0)</f>
        <v>0</v>
      </c>
      <c r="X43" s="34">
        <f>VLOOKUP(A43,'SSP_March''19'!$A$3:$X$1193,24,0)</f>
        <v>1</v>
      </c>
    </row>
    <row r="44" spans="1:24">
      <c r="A44" s="34" t="s">
        <v>1636</v>
      </c>
      <c r="B44" s="34" t="s">
        <v>118</v>
      </c>
      <c r="C44" s="34" t="s">
        <v>1528</v>
      </c>
      <c r="D44" s="34" t="s">
        <v>66</v>
      </c>
      <c r="E44" s="34" t="s">
        <v>6</v>
      </c>
      <c r="F44" s="34" t="s">
        <v>1637</v>
      </c>
      <c r="G44" s="54">
        <v>1735911564</v>
      </c>
      <c r="H44" s="54" t="s">
        <v>229</v>
      </c>
      <c r="I44" s="54" t="s">
        <v>3518</v>
      </c>
      <c r="J44" s="34" t="s">
        <v>3419</v>
      </c>
      <c r="K44" s="43">
        <f>VLOOKUP(A44,'SSP_March''19'!$A$3:$L$1193,11,0)</f>
        <v>395375</v>
      </c>
      <c r="L44" s="43">
        <f>VLOOKUP(A44,'SSP_March''19'!$A$3:$L$1193,12,0)</f>
        <v>110710</v>
      </c>
      <c r="M44" s="44">
        <f t="shared" si="3"/>
        <v>0.28001264622194122</v>
      </c>
      <c r="N44" s="49">
        <f>ROUND(VLOOKUP(A44,'SSP_March''19'!$A$3:$N$1193,14,0),0)</f>
        <v>343201</v>
      </c>
      <c r="O44" s="44">
        <f t="shared" si="4"/>
        <v>0.86803920328801776</v>
      </c>
      <c r="P44" s="45">
        <f>VLOOKUP(A44,'SSP_March''19'!$A$3:$Q$1193,16,0)</f>
        <v>18</v>
      </c>
      <c r="Q44" s="34">
        <f>VLOOKUP(A44,'SSP_March''19'!$A$3:$Q$1193,17,0)</f>
        <v>5</v>
      </c>
      <c r="R44" s="35">
        <f t="shared" si="5"/>
        <v>0.27777777777777779</v>
      </c>
      <c r="S44" s="49">
        <f>ROUND(VLOOKUP(A44,'SSP_March''19'!$A$3:$T$1193,19,0),0)</f>
        <v>16</v>
      </c>
      <c r="T44" s="44">
        <f>VLOOKUP(A44,'SSP_March''19'!$A$3:$T$1193,20,0)</f>
        <v>0.88888888888888884</v>
      </c>
      <c r="U44" s="34">
        <f>VLOOKUP(A44,'SSP_March''19'!$A$3:$X$1193,21,0)</f>
        <v>0</v>
      </c>
      <c r="V44" s="34">
        <f>VLOOKUP(A44,'SSP_March''19'!$A$3:$X$1193,22,0)</f>
        <v>0</v>
      </c>
      <c r="W44" s="34">
        <f>VLOOKUP(A44,'SSP_March''19'!$A$3:$X$1193,23,0)</f>
        <v>0</v>
      </c>
      <c r="X44" s="34">
        <f>VLOOKUP(A44,'SSP_March''19'!$A$3:$X$1193,24,0)</f>
        <v>1</v>
      </c>
    </row>
    <row r="45" spans="1:24">
      <c r="A45" s="34" t="s">
        <v>3220</v>
      </c>
      <c r="B45" s="34" t="s">
        <v>3221</v>
      </c>
      <c r="C45" s="34" t="s">
        <v>1528</v>
      </c>
      <c r="D45" s="34" t="s">
        <v>66</v>
      </c>
      <c r="E45" s="34" t="s">
        <v>6</v>
      </c>
      <c r="F45" s="34" t="s">
        <v>276</v>
      </c>
      <c r="G45" s="54">
        <v>1946835666</v>
      </c>
      <c r="H45" s="54" t="s">
        <v>229</v>
      </c>
      <c r="I45" s="54" t="s">
        <v>3514</v>
      </c>
      <c r="J45" s="34" t="s">
        <v>3421</v>
      </c>
      <c r="K45" s="43">
        <f>VLOOKUP(A45,'SSP_March''19'!$A$3:$L$1193,11,0)</f>
        <v>130000</v>
      </c>
      <c r="L45" s="43">
        <f>VLOOKUP(A45,'SSP_March''19'!$A$3:$L$1193,12,0)</f>
        <v>17605</v>
      </c>
      <c r="M45" s="44">
        <f t="shared" si="3"/>
        <v>0.13542307692307692</v>
      </c>
      <c r="N45" s="49">
        <f>ROUND(VLOOKUP(A45,'SSP_March''19'!$A$3:$N$1193,14,0),0)</f>
        <v>54576</v>
      </c>
      <c r="O45" s="44">
        <f t="shared" si="4"/>
        <v>0.41981538461538459</v>
      </c>
      <c r="P45" s="45">
        <f>VLOOKUP(A45,'SSP_March''19'!$A$3:$Q$1193,16,0)</f>
        <v>10</v>
      </c>
      <c r="Q45" s="34">
        <f>VLOOKUP(A45,'SSP_March''19'!$A$3:$Q$1193,17,0)</f>
        <v>1</v>
      </c>
      <c r="R45" s="35">
        <f t="shared" si="5"/>
        <v>0.1</v>
      </c>
      <c r="S45" s="49">
        <f>ROUND(VLOOKUP(A45,'SSP_March''19'!$A$3:$T$1193,19,0),0)</f>
        <v>3</v>
      </c>
      <c r="T45" s="44">
        <f>VLOOKUP(A45,'SSP_March''19'!$A$3:$T$1193,20,0)</f>
        <v>0.3</v>
      </c>
      <c r="U45" s="34">
        <f>VLOOKUP(A45,'SSP_March''19'!$A$3:$X$1193,21,0)</f>
        <v>0</v>
      </c>
      <c r="V45" s="34">
        <f>VLOOKUP(A45,'SSP_March''19'!$A$3:$X$1193,22,0)</f>
        <v>0</v>
      </c>
      <c r="W45" s="34">
        <f>VLOOKUP(A45,'SSP_March''19'!$A$3:$X$1193,23,0)</f>
        <v>0</v>
      </c>
      <c r="X45" s="34">
        <f>VLOOKUP(A45,'SSP_March''19'!$A$3:$X$1193,24,0)</f>
        <v>0</v>
      </c>
    </row>
    <row r="46" spans="1:24">
      <c r="A46" s="34" t="s">
        <v>1709</v>
      </c>
      <c r="B46" s="34" t="s">
        <v>1710</v>
      </c>
      <c r="C46" s="34" t="s">
        <v>1528</v>
      </c>
      <c r="D46" s="34" t="s">
        <v>66</v>
      </c>
      <c r="E46" s="34" t="s">
        <v>6</v>
      </c>
      <c r="F46" s="34" t="s">
        <v>1711</v>
      </c>
      <c r="G46" s="54">
        <v>1770235349</v>
      </c>
      <c r="H46" s="54" t="s">
        <v>229</v>
      </c>
      <c r="I46" s="54" t="s">
        <v>3514</v>
      </c>
      <c r="J46" s="34" t="s">
        <v>3419</v>
      </c>
      <c r="K46" s="43">
        <f>VLOOKUP(A46,'SSP_March''19'!$A$3:$L$1193,11,0)</f>
        <v>130000</v>
      </c>
      <c r="L46" s="43">
        <f>VLOOKUP(A46,'SSP_March''19'!$A$3:$L$1193,12,0)</f>
        <v>24750</v>
      </c>
      <c r="M46" s="44">
        <f t="shared" si="3"/>
        <v>0.19038461538461537</v>
      </c>
      <c r="N46" s="49">
        <f>ROUND(VLOOKUP(A46,'SSP_March''19'!$A$3:$N$1193,14,0),0)</f>
        <v>76725</v>
      </c>
      <c r="O46" s="44">
        <f t="shared" si="4"/>
        <v>0.59019230769230768</v>
      </c>
      <c r="P46" s="45">
        <f>VLOOKUP(A46,'SSP_March''19'!$A$3:$Q$1193,16,0)</f>
        <v>10</v>
      </c>
      <c r="Q46" s="34">
        <f>VLOOKUP(A46,'SSP_March''19'!$A$3:$Q$1193,17,0)</f>
        <v>1</v>
      </c>
      <c r="R46" s="35">
        <f t="shared" si="5"/>
        <v>0.1</v>
      </c>
      <c r="S46" s="49">
        <f>ROUND(VLOOKUP(A46,'SSP_March''19'!$A$3:$T$1193,19,0),0)</f>
        <v>3</v>
      </c>
      <c r="T46" s="44">
        <f>VLOOKUP(A46,'SSP_March''19'!$A$3:$T$1193,20,0)</f>
        <v>0.3</v>
      </c>
      <c r="U46" s="34">
        <f>VLOOKUP(A46,'SSP_March''19'!$A$3:$X$1193,21,0)</f>
        <v>1</v>
      </c>
      <c r="V46" s="34">
        <f>VLOOKUP(A46,'SSP_March''19'!$A$3:$X$1193,22,0)</f>
        <v>0</v>
      </c>
      <c r="W46" s="34">
        <f>VLOOKUP(A46,'SSP_March''19'!$A$3:$X$1193,23,0)</f>
        <v>0</v>
      </c>
      <c r="X46" s="34">
        <f>VLOOKUP(A46,'SSP_March''19'!$A$3:$X$1193,24,0)</f>
        <v>0</v>
      </c>
    </row>
    <row r="47" spans="1:24">
      <c r="A47" s="34" t="s">
        <v>1703</v>
      </c>
      <c r="B47" s="34" t="s">
        <v>1704</v>
      </c>
      <c r="C47" s="34" t="s">
        <v>1528</v>
      </c>
      <c r="D47" s="34" t="s">
        <v>66</v>
      </c>
      <c r="E47" s="34" t="s">
        <v>6</v>
      </c>
      <c r="F47" s="34" t="s">
        <v>1705</v>
      </c>
      <c r="G47" s="54">
        <v>1716212776</v>
      </c>
      <c r="H47" s="54" t="s">
        <v>229</v>
      </c>
      <c r="I47" s="54" t="s">
        <v>3514</v>
      </c>
      <c r="J47" s="34" t="s">
        <v>3515</v>
      </c>
      <c r="K47" s="43">
        <f>VLOOKUP(A47,'SSP_March''19'!$A$3:$L$1193,11,0)</f>
        <v>130000</v>
      </c>
      <c r="L47" s="43">
        <f>VLOOKUP(A47,'SSP_March''19'!$A$3:$L$1193,12,0)</f>
        <v>12780</v>
      </c>
      <c r="M47" s="44">
        <f t="shared" si="3"/>
        <v>9.8307692307692304E-2</v>
      </c>
      <c r="N47" s="49">
        <f>ROUND(VLOOKUP(A47,'SSP_March''19'!$A$3:$N$1193,14,0),0)</f>
        <v>39618</v>
      </c>
      <c r="O47" s="44">
        <f t="shared" si="4"/>
        <v>0.30475384615384615</v>
      </c>
      <c r="P47" s="45">
        <f>VLOOKUP(A47,'SSP_March''19'!$A$3:$Q$1193,16,0)</f>
        <v>10</v>
      </c>
      <c r="Q47" s="34">
        <f>VLOOKUP(A47,'SSP_March''19'!$A$3:$Q$1193,17,0)</f>
        <v>1</v>
      </c>
      <c r="R47" s="35">
        <f t="shared" si="5"/>
        <v>0.1</v>
      </c>
      <c r="S47" s="49">
        <f>ROUND(VLOOKUP(A47,'SSP_March''19'!$A$3:$T$1193,19,0),0)</f>
        <v>3</v>
      </c>
      <c r="T47" s="44">
        <f>VLOOKUP(A47,'SSP_March''19'!$A$3:$T$1193,20,0)</f>
        <v>0.3</v>
      </c>
      <c r="U47" s="34">
        <f>VLOOKUP(A47,'SSP_March''19'!$A$3:$X$1193,21,0)</f>
        <v>1</v>
      </c>
      <c r="V47" s="34">
        <f>VLOOKUP(A47,'SSP_March''19'!$A$3:$X$1193,22,0)</f>
        <v>0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34" t="s">
        <v>1756</v>
      </c>
      <c r="B48" s="34" t="s">
        <v>1757</v>
      </c>
      <c r="C48" s="34" t="s">
        <v>1528</v>
      </c>
      <c r="D48" s="34" t="s">
        <v>66</v>
      </c>
      <c r="E48" s="34" t="s">
        <v>6</v>
      </c>
      <c r="F48" s="34" t="s">
        <v>1758</v>
      </c>
      <c r="G48" s="54">
        <v>1776585858</v>
      </c>
      <c r="H48" s="54" t="s">
        <v>229</v>
      </c>
      <c r="I48" s="54" t="s">
        <v>3514</v>
      </c>
      <c r="J48" s="34" t="s">
        <v>3421</v>
      </c>
      <c r="K48" s="43">
        <f>VLOOKUP(A48,'SSP_March''19'!$A$3:$L$1193,11,0)</f>
        <v>130000</v>
      </c>
      <c r="L48" s="43">
        <f>VLOOKUP(A48,'SSP_March''19'!$A$3:$L$1193,12,0)</f>
        <v>55090</v>
      </c>
      <c r="M48" s="44">
        <f t="shared" si="3"/>
        <v>0.42376923076923079</v>
      </c>
      <c r="N48" s="49">
        <f>ROUND(VLOOKUP(A48,'SSP_March''19'!$A$3:$N$1193,14,0),0)</f>
        <v>170779</v>
      </c>
      <c r="O48" s="44">
        <f t="shared" si="4"/>
        <v>1.3136846153846153</v>
      </c>
      <c r="P48" s="45">
        <f>VLOOKUP(A48,'SSP_March''19'!$A$3:$Q$1193,16,0)</f>
        <v>10</v>
      </c>
      <c r="Q48" s="34">
        <f>VLOOKUP(A48,'SSP_March''19'!$A$3:$Q$1193,17,0)</f>
        <v>1</v>
      </c>
      <c r="R48" s="35">
        <f t="shared" si="5"/>
        <v>0.1</v>
      </c>
      <c r="S48" s="49">
        <f>ROUND(VLOOKUP(A48,'SSP_March''19'!$A$3:$T$1193,19,0),0)</f>
        <v>3</v>
      </c>
      <c r="T48" s="44">
        <f>VLOOKUP(A48,'SSP_March''19'!$A$3:$T$1193,20,0)</f>
        <v>0.3</v>
      </c>
      <c r="U48" s="34">
        <f>VLOOKUP(A48,'SSP_March''19'!$A$3:$X$1193,21,0)</f>
        <v>0</v>
      </c>
      <c r="V48" s="34">
        <f>VLOOKUP(A48,'SSP_March''19'!$A$3:$X$1193,22,0)</f>
        <v>0</v>
      </c>
      <c r="W48" s="34">
        <f>VLOOKUP(A48,'SSP_March''19'!$A$3:$X$1193,23,0)</f>
        <v>0</v>
      </c>
      <c r="X48" s="34">
        <f>VLOOKUP(A48,'SSP_March''19'!$A$3:$X$1193,24,0)</f>
        <v>0</v>
      </c>
    </row>
    <row r="49" spans="1:24">
      <c r="A49" s="34" t="s">
        <v>1716</v>
      </c>
      <c r="B49" s="34" t="s">
        <v>1717</v>
      </c>
      <c r="C49" s="34" t="s">
        <v>1528</v>
      </c>
      <c r="D49" s="34" t="s">
        <v>66</v>
      </c>
      <c r="E49" s="34" t="s">
        <v>6</v>
      </c>
      <c r="F49" s="34" t="s">
        <v>1718</v>
      </c>
      <c r="G49" s="54">
        <v>1738347690</v>
      </c>
      <c r="H49" s="54" t="s">
        <v>229</v>
      </c>
      <c r="I49" s="54" t="s">
        <v>3514</v>
      </c>
      <c r="J49" s="34" t="s">
        <v>3419</v>
      </c>
      <c r="K49" s="43">
        <f>VLOOKUP(A49,'SSP_March''19'!$A$3:$L$1193,11,0)</f>
        <v>130000</v>
      </c>
      <c r="L49" s="43">
        <f>VLOOKUP(A49,'SSP_March''19'!$A$3:$L$1193,12,0)</f>
        <v>25750</v>
      </c>
      <c r="M49" s="44">
        <f t="shared" si="3"/>
        <v>0.19807692307692307</v>
      </c>
      <c r="N49" s="49">
        <f>ROUND(VLOOKUP(A49,'SSP_March''19'!$A$3:$N$1193,14,0),0)</f>
        <v>79825</v>
      </c>
      <c r="O49" s="44">
        <f t="shared" si="4"/>
        <v>0.61403846153846153</v>
      </c>
      <c r="P49" s="45">
        <f>VLOOKUP(A49,'SSP_March''19'!$A$3:$Q$1193,16,0)</f>
        <v>10</v>
      </c>
      <c r="Q49" s="34">
        <f>VLOOKUP(A49,'SSP_March''19'!$A$3:$Q$1193,17,0)</f>
        <v>0</v>
      </c>
      <c r="R49" s="35">
        <f t="shared" si="5"/>
        <v>0</v>
      </c>
      <c r="S49" s="49">
        <f>ROUND(VLOOKUP(A49,'SSP_March''19'!$A$3:$T$1193,19,0),0)</f>
        <v>0</v>
      </c>
      <c r="T49" s="44">
        <f>VLOOKUP(A49,'SSP_March''19'!$A$3:$T$1193,20,0)</f>
        <v>0</v>
      </c>
      <c r="U49" s="34">
        <f>VLOOKUP(A49,'SSP_March''19'!$A$3:$X$1193,21,0)</f>
        <v>0</v>
      </c>
      <c r="V49" s="34">
        <f>VLOOKUP(A49,'SSP_March''19'!$A$3:$X$1193,22,0)</f>
        <v>0</v>
      </c>
      <c r="W49" s="34">
        <f>VLOOKUP(A49,'SSP_March''19'!$A$3:$X$1193,23,0)</f>
        <v>0</v>
      </c>
      <c r="X49" s="34">
        <f>VLOOKUP(A49,'SSP_March''19'!$A$3:$X$1193,24,0)</f>
        <v>0</v>
      </c>
    </row>
    <row r="50" spans="1:24">
      <c r="A50" s="34" t="s">
        <v>1661</v>
      </c>
      <c r="B50" s="34" t="s">
        <v>1662</v>
      </c>
      <c r="C50" s="34" t="s">
        <v>201</v>
      </c>
      <c r="D50" s="34" t="s">
        <v>66</v>
      </c>
      <c r="E50" s="34" t="s">
        <v>6</v>
      </c>
      <c r="F50" s="34" t="s">
        <v>1663</v>
      </c>
      <c r="G50" s="54">
        <v>1687844192</v>
      </c>
      <c r="H50" s="54" t="s">
        <v>229</v>
      </c>
      <c r="I50" s="54" t="s">
        <v>3514</v>
      </c>
      <c r="J50" s="34" t="s">
        <v>3421</v>
      </c>
      <c r="K50" s="43">
        <f>VLOOKUP(A50,'SSP_March''19'!$A$3:$L$1193,11,0)</f>
        <v>130000</v>
      </c>
      <c r="L50" s="43">
        <f>VLOOKUP(A50,'SSP_March''19'!$A$3:$L$1193,12,0)</f>
        <v>32949</v>
      </c>
      <c r="M50" s="44">
        <f t="shared" si="3"/>
        <v>0.25345384615384614</v>
      </c>
      <c r="N50" s="49">
        <f>ROUND(VLOOKUP(A50,'SSP_March''19'!$A$3:$N$1193,14,0),0)</f>
        <v>102142</v>
      </c>
      <c r="O50" s="44">
        <f t="shared" si="4"/>
        <v>0.78570769230769233</v>
      </c>
      <c r="P50" s="45">
        <f>VLOOKUP(A50,'SSP_March''19'!$A$3:$Q$1193,16,0)</f>
        <v>10</v>
      </c>
      <c r="Q50" s="34">
        <f>VLOOKUP(A50,'SSP_March''19'!$A$3:$Q$1193,17,0)</f>
        <v>1</v>
      </c>
      <c r="R50" s="35">
        <f t="shared" si="5"/>
        <v>0.1</v>
      </c>
      <c r="S50" s="49">
        <f>ROUND(VLOOKUP(A50,'SSP_March''19'!$A$3:$T$1193,19,0),0)</f>
        <v>3</v>
      </c>
      <c r="T50" s="44">
        <f>VLOOKUP(A50,'SSP_March''19'!$A$3:$T$1193,20,0)</f>
        <v>0.3</v>
      </c>
      <c r="U50" s="34">
        <f>VLOOKUP(A50,'SSP_March''19'!$A$3:$X$1193,21,0)</f>
        <v>1</v>
      </c>
      <c r="V50" s="34">
        <f>VLOOKUP(A50,'SSP_March''19'!$A$3:$X$1193,22,0)</f>
        <v>0</v>
      </c>
      <c r="W50" s="34">
        <f>VLOOKUP(A50,'SSP_March''19'!$A$3:$X$1193,23,0)</f>
        <v>0</v>
      </c>
      <c r="X50" s="34">
        <f>VLOOKUP(A50,'SSP_March''19'!$A$3:$X$1193,24,0)</f>
        <v>0</v>
      </c>
    </row>
    <row r="51" spans="1:24">
      <c r="A51" s="34" t="s">
        <v>1547</v>
      </c>
      <c r="B51" s="34" t="s">
        <v>1548</v>
      </c>
      <c r="C51" s="34" t="s">
        <v>201</v>
      </c>
      <c r="D51" s="34" t="s">
        <v>66</v>
      </c>
      <c r="E51" s="34" t="s">
        <v>6</v>
      </c>
      <c r="F51" s="34" t="s">
        <v>1549</v>
      </c>
      <c r="G51" s="54">
        <v>1711051221</v>
      </c>
      <c r="H51" s="54" t="s">
        <v>229</v>
      </c>
      <c r="I51" s="54" t="s">
        <v>3514</v>
      </c>
      <c r="J51" s="34" t="s">
        <v>3515</v>
      </c>
      <c r="K51" s="43">
        <f>VLOOKUP(A51,'SSP_March''19'!$A$3:$L$1193,11,0)</f>
        <v>209522</v>
      </c>
      <c r="L51" s="43">
        <f>VLOOKUP(A51,'SSP_March''19'!$A$3:$L$1193,12,0)</f>
        <v>25520</v>
      </c>
      <c r="M51" s="44">
        <f t="shared" si="3"/>
        <v>0.12180105191817565</v>
      </c>
      <c r="N51" s="49">
        <f>ROUND(VLOOKUP(A51,'SSP_March''19'!$A$3:$N$1193,14,0),0)</f>
        <v>79112</v>
      </c>
      <c r="O51" s="44">
        <f t="shared" si="4"/>
        <v>0.37758326094634453</v>
      </c>
      <c r="P51" s="45">
        <f>VLOOKUP(A51,'SSP_March''19'!$A$3:$Q$1193,16,0)</f>
        <v>12</v>
      </c>
      <c r="Q51" s="34">
        <f>VLOOKUP(A51,'SSP_March''19'!$A$3:$Q$1193,17,0)</f>
        <v>1</v>
      </c>
      <c r="R51" s="35">
        <f t="shared" si="5"/>
        <v>8.3333333333333329E-2</v>
      </c>
      <c r="S51" s="49">
        <f>ROUND(VLOOKUP(A51,'SSP_March''19'!$A$3:$T$1193,19,0),0)</f>
        <v>3</v>
      </c>
      <c r="T51" s="44">
        <f>VLOOKUP(A51,'SSP_March''19'!$A$3:$T$1193,20,0)</f>
        <v>0.25</v>
      </c>
      <c r="U51" s="34">
        <f>VLOOKUP(A51,'SSP_March''19'!$A$3:$X$1193,21,0)</f>
        <v>0</v>
      </c>
      <c r="V51" s="34">
        <f>VLOOKUP(A51,'SSP_March''19'!$A$3:$X$1193,22,0)</f>
        <v>0</v>
      </c>
      <c r="W51" s="34">
        <f>VLOOKUP(A51,'SSP_March''19'!$A$3:$X$1193,23,0)</f>
        <v>0</v>
      </c>
      <c r="X51" s="34">
        <f>VLOOKUP(A51,'SSP_March''19'!$A$3:$X$1193,24,0)</f>
        <v>0</v>
      </c>
    </row>
    <row r="52" spans="1:24">
      <c r="A52" s="34" t="s">
        <v>1790</v>
      </c>
      <c r="B52" s="34" t="s">
        <v>1791</v>
      </c>
      <c r="C52" s="34" t="s">
        <v>54</v>
      </c>
      <c r="D52" s="34" t="s">
        <v>102</v>
      </c>
      <c r="E52" s="34" t="s">
        <v>6</v>
      </c>
      <c r="F52" s="34" t="s">
        <v>1792</v>
      </c>
      <c r="G52" s="54">
        <v>1718175525</v>
      </c>
      <c r="H52" s="54" t="s">
        <v>229</v>
      </c>
      <c r="I52" s="54" t="s">
        <v>3514</v>
      </c>
      <c r="J52" s="34" t="s">
        <v>3419</v>
      </c>
      <c r="K52" s="43">
        <f>VLOOKUP(A52,'SSP_March''19'!$A$3:$L$1193,11,0)</f>
        <v>130000</v>
      </c>
      <c r="L52" s="43">
        <f>VLOOKUP(A52,'SSP_March''19'!$A$3:$L$1193,12,0)</f>
        <v>21370</v>
      </c>
      <c r="M52" s="44">
        <f t="shared" si="3"/>
        <v>0.16438461538461538</v>
      </c>
      <c r="N52" s="49">
        <f>ROUND(VLOOKUP(A52,'SSP_March''19'!$A$3:$N$1193,14,0),0)</f>
        <v>66247</v>
      </c>
      <c r="O52" s="44">
        <f t="shared" si="4"/>
        <v>0.50959230769230768</v>
      </c>
      <c r="P52" s="45">
        <f>VLOOKUP(A52,'SSP_March''19'!$A$3:$Q$1193,16,0)</f>
        <v>10</v>
      </c>
      <c r="Q52" s="34">
        <f>VLOOKUP(A52,'SSP_March''19'!$A$3:$Q$1193,17,0)</f>
        <v>1</v>
      </c>
      <c r="R52" s="35">
        <f t="shared" si="5"/>
        <v>0.1</v>
      </c>
      <c r="S52" s="49">
        <f>ROUND(VLOOKUP(A52,'SSP_March''19'!$A$3:$T$1193,19,0),0)</f>
        <v>3</v>
      </c>
      <c r="T52" s="44">
        <f>VLOOKUP(A52,'SSP_March''19'!$A$3:$T$1193,20,0)</f>
        <v>0.3</v>
      </c>
      <c r="U52" s="34">
        <f>VLOOKUP(A52,'SSP_March''19'!$A$3:$X$1193,21,0)</f>
        <v>0</v>
      </c>
      <c r="V52" s="34">
        <f>VLOOKUP(A52,'SSP_March''19'!$A$3:$X$1193,22,0)</f>
        <v>0</v>
      </c>
      <c r="W52" s="34">
        <f>VLOOKUP(A52,'SSP_March''19'!$A$3:$X$1193,23,0)</f>
        <v>0</v>
      </c>
      <c r="X52" s="34">
        <f>VLOOKUP(A52,'SSP_March''19'!$A$3:$X$1193,24,0)</f>
        <v>1</v>
      </c>
    </row>
    <row r="53" spans="1:24">
      <c r="A53" s="34" t="s">
        <v>1796</v>
      </c>
      <c r="B53" s="34" t="s">
        <v>1797</v>
      </c>
      <c r="C53" s="34" t="s">
        <v>54</v>
      </c>
      <c r="D53" s="34" t="s">
        <v>102</v>
      </c>
      <c r="E53" s="34" t="s">
        <v>6</v>
      </c>
      <c r="F53" s="34" t="s">
        <v>1798</v>
      </c>
      <c r="G53" s="54">
        <v>1717859787</v>
      </c>
      <c r="H53" s="54" t="s">
        <v>229</v>
      </c>
      <c r="I53" s="54" t="s">
        <v>3514</v>
      </c>
      <c r="J53" s="34" t="s">
        <v>3421</v>
      </c>
      <c r="K53" s="43">
        <f>VLOOKUP(A53,'SSP_March''19'!$A$3:$L$1193,11,0)</f>
        <v>130000</v>
      </c>
      <c r="L53" s="43">
        <f>VLOOKUP(A53,'SSP_March''19'!$A$3:$L$1193,12,0)</f>
        <v>3090</v>
      </c>
      <c r="M53" s="44">
        <f t="shared" si="3"/>
        <v>2.3769230769230768E-2</v>
      </c>
      <c r="N53" s="49">
        <f>ROUND(VLOOKUP(A53,'SSP_March''19'!$A$3:$N$1193,14,0),0)</f>
        <v>9579</v>
      </c>
      <c r="O53" s="44">
        <f t="shared" si="4"/>
        <v>7.368461538461539E-2</v>
      </c>
      <c r="P53" s="45">
        <f>VLOOKUP(A53,'SSP_March''19'!$A$3:$Q$1193,16,0)</f>
        <v>10</v>
      </c>
      <c r="Q53" s="34">
        <f>VLOOKUP(A53,'SSP_March''19'!$A$3:$Q$1193,17,0)</f>
        <v>0</v>
      </c>
      <c r="R53" s="35">
        <f t="shared" si="5"/>
        <v>0</v>
      </c>
      <c r="S53" s="49">
        <f>ROUND(VLOOKUP(A53,'SSP_March''19'!$A$3:$T$1193,19,0),0)</f>
        <v>0</v>
      </c>
      <c r="T53" s="44">
        <f>VLOOKUP(A53,'SSP_March''19'!$A$3:$T$1193,20,0)</f>
        <v>0</v>
      </c>
      <c r="U53" s="34">
        <f>VLOOKUP(A53,'SSP_March''19'!$A$3:$X$1193,21,0)</f>
        <v>0</v>
      </c>
      <c r="V53" s="34">
        <f>VLOOKUP(A53,'SSP_March''19'!$A$3:$X$1193,22,0)</f>
        <v>0</v>
      </c>
      <c r="W53" s="34">
        <f>VLOOKUP(A53,'SSP_March''19'!$A$3:$X$1193,23,0)</f>
        <v>0</v>
      </c>
      <c r="X53" s="34">
        <f>VLOOKUP(A53,'SSP_March''19'!$A$3:$X$1193,24,0)</f>
        <v>0</v>
      </c>
    </row>
    <row r="54" spans="1:24">
      <c r="A54" s="34" t="s">
        <v>1677</v>
      </c>
      <c r="B54" s="34" t="s">
        <v>1678</v>
      </c>
      <c r="C54" s="34" t="s">
        <v>54</v>
      </c>
      <c r="D54" s="34" t="s">
        <v>102</v>
      </c>
      <c r="E54" s="34" t="s">
        <v>6</v>
      </c>
      <c r="F54" s="34" t="s">
        <v>1679</v>
      </c>
      <c r="G54" s="54">
        <v>1761429999</v>
      </c>
      <c r="H54" s="54" t="s">
        <v>229</v>
      </c>
      <c r="I54" s="54" t="s">
        <v>3514</v>
      </c>
      <c r="J54" s="34" t="s">
        <v>3419</v>
      </c>
      <c r="K54" s="43">
        <f>VLOOKUP(A54,'SSP_March''19'!$A$3:$L$1193,11,0)</f>
        <v>130000</v>
      </c>
      <c r="L54" s="43">
        <f>VLOOKUP(A54,'SSP_March''19'!$A$3:$L$1193,12,0)</f>
        <v>37430</v>
      </c>
      <c r="M54" s="44">
        <f t="shared" si="3"/>
        <v>0.28792307692307695</v>
      </c>
      <c r="N54" s="49">
        <f>ROUND(VLOOKUP(A54,'SSP_March''19'!$A$3:$N$1193,14,0),0)</f>
        <v>116033</v>
      </c>
      <c r="O54" s="44">
        <f t="shared" si="4"/>
        <v>0.89256153846153841</v>
      </c>
      <c r="P54" s="45">
        <f>VLOOKUP(A54,'SSP_March''19'!$A$3:$Q$1193,16,0)</f>
        <v>10</v>
      </c>
      <c r="Q54" s="34">
        <f>VLOOKUP(A54,'SSP_March''19'!$A$3:$Q$1193,17,0)</f>
        <v>1</v>
      </c>
      <c r="R54" s="35">
        <f t="shared" si="5"/>
        <v>0.1</v>
      </c>
      <c r="S54" s="49">
        <f>ROUND(VLOOKUP(A54,'SSP_March''19'!$A$3:$T$1193,19,0),0)</f>
        <v>3</v>
      </c>
      <c r="T54" s="44">
        <f>VLOOKUP(A54,'SSP_March''19'!$A$3:$T$1193,20,0)</f>
        <v>0.3</v>
      </c>
      <c r="U54" s="34">
        <f>VLOOKUP(A54,'SSP_March''19'!$A$3:$X$1193,21,0)</f>
        <v>2</v>
      </c>
      <c r="V54" s="34">
        <f>VLOOKUP(A54,'SSP_March''19'!$A$3:$X$1193,22,0)</f>
        <v>1</v>
      </c>
      <c r="W54" s="34">
        <f>VLOOKUP(A54,'SSP_March''19'!$A$3:$X$1193,23,0)</f>
        <v>0</v>
      </c>
      <c r="X54" s="34">
        <f>VLOOKUP(A54,'SSP_March''19'!$A$3:$X$1193,24,0)</f>
        <v>0</v>
      </c>
    </row>
    <row r="55" spans="1:24">
      <c r="A55" s="34" t="s">
        <v>1745</v>
      </c>
      <c r="B55" s="34" t="s">
        <v>1746</v>
      </c>
      <c r="C55" s="34" t="s">
        <v>54</v>
      </c>
      <c r="D55" s="34" t="s">
        <v>102</v>
      </c>
      <c r="E55" s="34" t="s">
        <v>6</v>
      </c>
      <c r="F55" s="34" t="s">
        <v>1747</v>
      </c>
      <c r="G55" s="54">
        <v>1865560404</v>
      </c>
      <c r="H55" s="54" t="s">
        <v>229</v>
      </c>
      <c r="I55" s="54" t="s">
        <v>3514</v>
      </c>
      <c r="J55" s="34" t="s">
        <v>3421</v>
      </c>
      <c r="K55" s="43">
        <f>VLOOKUP(A55,'SSP_March''19'!$A$3:$L$1193,11,0)</f>
        <v>130000</v>
      </c>
      <c r="L55" s="43">
        <f>VLOOKUP(A55,'SSP_March''19'!$A$3:$L$1193,12,0)</f>
        <v>22410</v>
      </c>
      <c r="M55" s="44">
        <f t="shared" si="3"/>
        <v>0.17238461538461539</v>
      </c>
      <c r="N55" s="49">
        <f>ROUND(VLOOKUP(A55,'SSP_March''19'!$A$3:$N$1193,14,0),0)</f>
        <v>69471</v>
      </c>
      <c r="O55" s="44">
        <f t="shared" si="4"/>
        <v>0.53439230769230772</v>
      </c>
      <c r="P55" s="45">
        <f>VLOOKUP(A55,'SSP_March''19'!$A$3:$Q$1193,16,0)</f>
        <v>10</v>
      </c>
      <c r="Q55" s="34">
        <f>VLOOKUP(A55,'SSP_March''19'!$A$3:$Q$1193,17,0)</f>
        <v>1</v>
      </c>
      <c r="R55" s="35">
        <f t="shared" si="5"/>
        <v>0.1</v>
      </c>
      <c r="S55" s="49">
        <f>ROUND(VLOOKUP(A55,'SSP_March''19'!$A$3:$T$1193,19,0),0)</f>
        <v>3</v>
      </c>
      <c r="T55" s="44">
        <f>VLOOKUP(A55,'SSP_March''19'!$A$3:$T$1193,20,0)</f>
        <v>0.3</v>
      </c>
      <c r="U55" s="34">
        <f>VLOOKUP(A55,'SSP_March''19'!$A$3:$X$1193,21,0)</f>
        <v>0</v>
      </c>
      <c r="V55" s="34">
        <f>VLOOKUP(A55,'SSP_March''19'!$A$3:$X$1193,22,0)</f>
        <v>0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34" t="s">
        <v>1550</v>
      </c>
      <c r="B56" s="34" t="s">
        <v>1551</v>
      </c>
      <c r="C56" s="34" t="s">
        <v>54</v>
      </c>
      <c r="D56" s="34" t="s">
        <v>102</v>
      </c>
      <c r="E56" s="34" t="s">
        <v>6</v>
      </c>
      <c r="F56" s="34" t="s">
        <v>228</v>
      </c>
      <c r="G56" s="54">
        <v>1726525175</v>
      </c>
      <c r="H56" s="54" t="s">
        <v>229</v>
      </c>
      <c r="I56" s="54" t="s">
        <v>3514</v>
      </c>
      <c r="J56" s="34" t="s">
        <v>3419</v>
      </c>
      <c r="K56" s="43">
        <f>VLOOKUP(A56,'SSP_March''19'!$A$3:$L$1193,11,0)</f>
        <v>186467</v>
      </c>
      <c r="L56" s="43">
        <f>VLOOKUP(A56,'SSP_March''19'!$A$3:$L$1193,12,0)</f>
        <v>26210</v>
      </c>
      <c r="M56" s="44">
        <f t="shared" si="3"/>
        <v>0.14056106442426811</v>
      </c>
      <c r="N56" s="49">
        <f>ROUND(VLOOKUP(A56,'SSP_March''19'!$A$3:$N$1193,14,0),0)</f>
        <v>81251</v>
      </c>
      <c r="O56" s="44">
        <f t="shared" si="4"/>
        <v>0.43573929971523112</v>
      </c>
      <c r="P56" s="45">
        <f>VLOOKUP(A56,'SSP_March''19'!$A$3:$Q$1193,16,0)</f>
        <v>10</v>
      </c>
      <c r="Q56" s="34">
        <f>VLOOKUP(A56,'SSP_March''19'!$A$3:$Q$1193,17,0)</f>
        <v>0</v>
      </c>
      <c r="R56" s="35">
        <f t="shared" si="5"/>
        <v>0</v>
      </c>
      <c r="S56" s="49">
        <f>ROUND(VLOOKUP(A56,'SSP_March''19'!$A$3:$T$1193,19,0),0)</f>
        <v>0</v>
      </c>
      <c r="T56" s="44">
        <f>VLOOKUP(A56,'SSP_March''19'!$A$3:$T$1193,20,0)</f>
        <v>0</v>
      </c>
      <c r="U56" s="34">
        <f>VLOOKUP(A56,'SSP_March''19'!$A$3:$X$1193,21,0)</f>
        <v>0</v>
      </c>
      <c r="V56" s="34">
        <f>VLOOKUP(A56,'SSP_March''19'!$A$3:$X$1193,22,0)</f>
        <v>0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34" t="s">
        <v>1700</v>
      </c>
      <c r="B57" s="34" t="s">
        <v>1701</v>
      </c>
      <c r="C57" s="34" t="s">
        <v>101</v>
      </c>
      <c r="D57" s="34" t="s">
        <v>102</v>
      </c>
      <c r="E57" s="34" t="s">
        <v>6</v>
      </c>
      <c r="F57" s="34" t="s">
        <v>1702</v>
      </c>
      <c r="G57" s="54">
        <v>1689319239</v>
      </c>
      <c r="H57" s="54" t="s">
        <v>229</v>
      </c>
      <c r="I57" s="54" t="s">
        <v>3514</v>
      </c>
      <c r="J57" s="34" t="s">
        <v>3419</v>
      </c>
      <c r="K57" s="43">
        <f>VLOOKUP(A57,'SSP_March''19'!$A$3:$L$1193,11,0)</f>
        <v>130000</v>
      </c>
      <c r="L57" s="43">
        <f>VLOOKUP(A57,'SSP_March''19'!$A$3:$L$1193,12,0)</f>
        <v>29090</v>
      </c>
      <c r="M57" s="44">
        <f t="shared" si="3"/>
        <v>0.22376923076923078</v>
      </c>
      <c r="N57" s="49">
        <f>ROUND(VLOOKUP(A57,'SSP_March''19'!$A$3:$N$1193,14,0),0)</f>
        <v>90179</v>
      </c>
      <c r="O57" s="44">
        <f t="shared" si="4"/>
        <v>0.69368461538461534</v>
      </c>
      <c r="P57" s="45">
        <f>VLOOKUP(A57,'SSP_March''19'!$A$3:$Q$1193,16,0)</f>
        <v>10</v>
      </c>
      <c r="Q57" s="34">
        <f>VLOOKUP(A57,'SSP_March''19'!$A$3:$Q$1193,17,0)</f>
        <v>0</v>
      </c>
      <c r="R57" s="35">
        <f t="shared" si="5"/>
        <v>0</v>
      </c>
      <c r="S57" s="49">
        <f>ROUND(VLOOKUP(A57,'SSP_March''19'!$A$3:$T$1193,19,0),0)</f>
        <v>0</v>
      </c>
      <c r="T57" s="44">
        <f>VLOOKUP(A57,'SSP_March''19'!$A$3:$T$1193,20,0)</f>
        <v>0</v>
      </c>
      <c r="U57" s="34">
        <f>VLOOKUP(A57,'SSP_March''19'!$A$3:$X$1193,21,0)</f>
        <v>2</v>
      </c>
      <c r="V57" s="34">
        <f>VLOOKUP(A57,'SSP_March''19'!$A$3:$X$1193,22,0)</f>
        <v>0</v>
      </c>
      <c r="W57" s="34">
        <f>VLOOKUP(A57,'SSP_March''19'!$A$3:$X$1193,23,0)</f>
        <v>0</v>
      </c>
      <c r="X57" s="34">
        <f>VLOOKUP(A57,'SSP_March''19'!$A$3:$X$1193,24,0)</f>
        <v>0</v>
      </c>
    </row>
    <row r="58" spans="1:24">
      <c r="A58" s="34" t="s">
        <v>1603</v>
      </c>
      <c r="B58" s="34" t="s">
        <v>1604</v>
      </c>
      <c r="C58" s="34" t="s">
        <v>101</v>
      </c>
      <c r="D58" s="34" t="s">
        <v>102</v>
      </c>
      <c r="E58" s="34" t="s">
        <v>6</v>
      </c>
      <c r="F58" s="34" t="s">
        <v>1605</v>
      </c>
      <c r="G58" s="54">
        <v>1976961636</v>
      </c>
      <c r="H58" s="54" t="s">
        <v>229</v>
      </c>
      <c r="I58" s="54" t="s">
        <v>3514</v>
      </c>
      <c r="J58" s="34" t="s">
        <v>3419</v>
      </c>
      <c r="K58" s="43">
        <f>VLOOKUP(A58,'SSP_March''19'!$A$3:$L$1193,11,0)</f>
        <v>173077</v>
      </c>
      <c r="L58" s="43">
        <f>VLOOKUP(A58,'SSP_March''19'!$A$3:$L$1193,12,0)</f>
        <v>39620</v>
      </c>
      <c r="M58" s="44">
        <f t="shared" si="3"/>
        <v>0.22891545381535386</v>
      </c>
      <c r="N58" s="49">
        <f>ROUND(VLOOKUP(A58,'SSP_March''19'!$A$3:$N$1193,14,0),0)</f>
        <v>122822</v>
      </c>
      <c r="O58" s="44">
        <f t="shared" si="4"/>
        <v>0.70963790682759698</v>
      </c>
      <c r="P58" s="45">
        <f>VLOOKUP(A58,'SSP_March''19'!$A$3:$Q$1193,16,0)</f>
        <v>10</v>
      </c>
      <c r="Q58" s="34">
        <f>VLOOKUP(A58,'SSP_March''19'!$A$3:$Q$1193,17,0)</f>
        <v>1</v>
      </c>
      <c r="R58" s="35">
        <f t="shared" si="5"/>
        <v>0.1</v>
      </c>
      <c r="S58" s="49">
        <f>ROUND(VLOOKUP(A58,'SSP_March''19'!$A$3:$T$1193,19,0),0)</f>
        <v>3</v>
      </c>
      <c r="T58" s="44">
        <f>VLOOKUP(A58,'SSP_March''19'!$A$3:$T$1193,20,0)</f>
        <v>0.3</v>
      </c>
      <c r="U58" s="34">
        <f>VLOOKUP(A58,'SSP_March''19'!$A$3:$X$1193,21,0)</f>
        <v>0</v>
      </c>
      <c r="V58" s="34">
        <f>VLOOKUP(A58,'SSP_March''19'!$A$3:$X$1193,22,0)</f>
        <v>0</v>
      </c>
      <c r="W58" s="34">
        <f>VLOOKUP(A58,'SSP_March''19'!$A$3:$X$1193,23,0)</f>
        <v>0</v>
      </c>
      <c r="X58" s="34">
        <f>VLOOKUP(A58,'SSP_March''19'!$A$3:$X$1193,24,0)</f>
        <v>0</v>
      </c>
    </row>
    <row r="59" spans="1:24">
      <c r="A59" s="34" t="s">
        <v>1541</v>
      </c>
      <c r="B59" s="34" t="s">
        <v>1542</v>
      </c>
      <c r="C59" s="34" t="s">
        <v>101</v>
      </c>
      <c r="D59" s="34" t="s">
        <v>102</v>
      </c>
      <c r="E59" s="34" t="s">
        <v>6</v>
      </c>
      <c r="F59" s="34" t="s">
        <v>1543</v>
      </c>
      <c r="G59" s="54">
        <v>1743908091</v>
      </c>
      <c r="H59" s="54" t="s">
        <v>229</v>
      </c>
      <c r="I59" s="54" t="s">
        <v>3514</v>
      </c>
      <c r="J59" s="34" t="s">
        <v>3419</v>
      </c>
      <c r="K59" s="43">
        <f>VLOOKUP(A59,'SSP_March''19'!$A$3:$L$1193,11,0)</f>
        <v>130000</v>
      </c>
      <c r="L59" s="43">
        <f>VLOOKUP(A59,'SSP_March''19'!$A$3:$L$1193,12,0)</f>
        <v>49570</v>
      </c>
      <c r="M59" s="44">
        <f t="shared" si="3"/>
        <v>0.38130769230769229</v>
      </c>
      <c r="N59" s="49">
        <f>ROUND(VLOOKUP(A59,'SSP_March''19'!$A$3:$N$1193,14,0),0)</f>
        <v>153667</v>
      </c>
      <c r="O59" s="44">
        <f t="shared" si="4"/>
        <v>1.1820538461538461</v>
      </c>
      <c r="P59" s="45">
        <f>VLOOKUP(A59,'SSP_March''19'!$A$3:$Q$1193,16,0)</f>
        <v>10</v>
      </c>
      <c r="Q59" s="34">
        <f>VLOOKUP(A59,'SSP_March''19'!$A$3:$Q$1193,17,0)</f>
        <v>4</v>
      </c>
      <c r="R59" s="35">
        <f t="shared" si="5"/>
        <v>0.4</v>
      </c>
      <c r="S59" s="49">
        <f>ROUND(VLOOKUP(A59,'SSP_March''19'!$A$3:$T$1193,19,0),0)</f>
        <v>12</v>
      </c>
      <c r="T59" s="44">
        <f>VLOOKUP(A59,'SSP_March''19'!$A$3:$T$1193,20,0)</f>
        <v>1.2</v>
      </c>
      <c r="U59" s="34">
        <f>VLOOKUP(A59,'SSP_March''19'!$A$3:$X$1193,21,0)</f>
        <v>0</v>
      </c>
      <c r="V59" s="34">
        <f>VLOOKUP(A59,'SSP_March''19'!$A$3:$X$1193,22,0)</f>
        <v>1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34" t="s">
        <v>1631</v>
      </c>
      <c r="B60" s="34" t="s">
        <v>1632</v>
      </c>
      <c r="C60" s="34" t="s">
        <v>101</v>
      </c>
      <c r="D60" s="34" t="s">
        <v>102</v>
      </c>
      <c r="E60" s="34" t="s">
        <v>6</v>
      </c>
      <c r="F60" s="34" t="s">
        <v>1633</v>
      </c>
      <c r="G60" s="54">
        <v>1743929192</v>
      </c>
      <c r="H60" s="54" t="s">
        <v>229</v>
      </c>
      <c r="I60" s="54" t="s">
        <v>3514</v>
      </c>
      <c r="J60" s="34" t="s">
        <v>3419</v>
      </c>
      <c r="K60" s="43">
        <f>VLOOKUP(A60,'SSP_March''19'!$A$3:$L$1193,11,0)</f>
        <v>130000</v>
      </c>
      <c r="L60" s="43">
        <f>VLOOKUP(A60,'SSP_March''19'!$A$3:$L$1193,12,0)</f>
        <v>17520</v>
      </c>
      <c r="M60" s="44">
        <f t="shared" si="3"/>
        <v>0.13476923076923078</v>
      </c>
      <c r="N60" s="49">
        <f>ROUND(VLOOKUP(A60,'SSP_March''19'!$A$3:$N$1193,14,0),0)</f>
        <v>54312</v>
      </c>
      <c r="O60" s="44">
        <f t="shared" si="4"/>
        <v>0.41778461538461537</v>
      </c>
      <c r="P60" s="45">
        <f>VLOOKUP(A60,'SSP_March''19'!$A$3:$Q$1193,16,0)</f>
        <v>10</v>
      </c>
      <c r="Q60" s="34">
        <f>VLOOKUP(A60,'SSP_March''19'!$A$3:$Q$1193,17,0)</f>
        <v>1</v>
      </c>
      <c r="R60" s="35">
        <f t="shared" si="5"/>
        <v>0.1</v>
      </c>
      <c r="S60" s="49">
        <f>ROUND(VLOOKUP(A60,'SSP_March''19'!$A$3:$T$1193,19,0),0)</f>
        <v>3</v>
      </c>
      <c r="T60" s="44">
        <f>VLOOKUP(A60,'SSP_March''19'!$A$3:$T$1193,20,0)</f>
        <v>0.3</v>
      </c>
      <c r="U60" s="34">
        <f>VLOOKUP(A60,'SSP_March''19'!$A$3:$X$1193,21,0)</f>
        <v>0</v>
      </c>
      <c r="V60" s="34">
        <f>VLOOKUP(A60,'SSP_March''19'!$A$3:$X$1193,22,0)</f>
        <v>0</v>
      </c>
      <c r="W60" s="34">
        <f>VLOOKUP(A60,'SSP_March''19'!$A$3:$X$1193,23,0)</f>
        <v>0</v>
      </c>
      <c r="X60" s="34">
        <f>VLOOKUP(A60,'SSP_March''19'!$A$3:$X$1193,24,0)</f>
        <v>0</v>
      </c>
    </row>
    <row r="61" spans="1:24">
      <c r="A61" s="34" t="s">
        <v>3222</v>
      </c>
      <c r="B61" s="34" t="s">
        <v>103</v>
      </c>
      <c r="C61" s="34" t="s">
        <v>101</v>
      </c>
      <c r="D61" s="34" t="s">
        <v>102</v>
      </c>
      <c r="E61" s="34" t="s">
        <v>6</v>
      </c>
      <c r="F61" s="34" t="s">
        <v>3223</v>
      </c>
      <c r="G61" s="54">
        <v>1677989494</v>
      </c>
      <c r="H61" s="54" t="s">
        <v>229</v>
      </c>
      <c r="I61" s="54" t="s">
        <v>3514</v>
      </c>
      <c r="J61" s="34" t="s">
        <v>3515</v>
      </c>
      <c r="K61" s="43">
        <f>VLOOKUP(A61,'SSP_March''19'!$A$3:$L$1193,11,0)</f>
        <v>163455</v>
      </c>
      <c r="L61" s="43">
        <f>VLOOKUP(A61,'SSP_March''19'!$A$3:$L$1193,12,0)</f>
        <v>71345</v>
      </c>
      <c r="M61" s="44">
        <f t="shared" si="3"/>
        <v>0.43648098865131074</v>
      </c>
      <c r="N61" s="49">
        <f>ROUND(VLOOKUP(A61,'SSP_March''19'!$A$3:$N$1193,14,0),0)</f>
        <v>221170</v>
      </c>
      <c r="O61" s="44">
        <f t="shared" si="4"/>
        <v>1.3530941237649505</v>
      </c>
      <c r="P61" s="45">
        <f>VLOOKUP(A61,'SSP_March''19'!$A$3:$Q$1193,16,0)</f>
        <v>10</v>
      </c>
      <c r="Q61" s="34">
        <f>VLOOKUP(A61,'SSP_March''19'!$A$3:$Q$1193,17,0)</f>
        <v>6</v>
      </c>
      <c r="R61" s="35">
        <f t="shared" si="5"/>
        <v>0.6</v>
      </c>
      <c r="S61" s="49">
        <f>ROUND(VLOOKUP(A61,'SSP_March''19'!$A$3:$T$1193,19,0),0)</f>
        <v>19</v>
      </c>
      <c r="T61" s="44">
        <f>VLOOKUP(A61,'SSP_March''19'!$A$3:$T$1193,20,0)</f>
        <v>1.9</v>
      </c>
      <c r="U61" s="34">
        <f>VLOOKUP(A61,'SSP_March''19'!$A$3:$X$1193,21,0)</f>
        <v>1</v>
      </c>
      <c r="V61" s="34">
        <f>VLOOKUP(A61,'SSP_March''19'!$A$3:$X$1193,22,0)</f>
        <v>2</v>
      </c>
      <c r="W61" s="34">
        <f>VLOOKUP(A61,'SSP_March''19'!$A$3:$X$1193,23,0)</f>
        <v>0</v>
      </c>
      <c r="X61" s="34">
        <f>VLOOKUP(A61,'SSP_March''19'!$A$3:$X$1193,24,0)</f>
        <v>0</v>
      </c>
    </row>
    <row r="62" spans="1:24">
      <c r="A62" s="34" t="s">
        <v>1544</v>
      </c>
      <c r="B62" s="34" t="s">
        <v>1545</v>
      </c>
      <c r="C62" s="34" t="s">
        <v>101</v>
      </c>
      <c r="D62" s="34" t="s">
        <v>102</v>
      </c>
      <c r="E62" s="34" t="s">
        <v>6</v>
      </c>
      <c r="F62" s="34" t="s">
        <v>1546</v>
      </c>
      <c r="G62" s="54">
        <v>1739915151</v>
      </c>
      <c r="H62" s="54" t="s">
        <v>229</v>
      </c>
      <c r="I62" s="54" t="s">
        <v>3514</v>
      </c>
      <c r="J62" s="34" t="s">
        <v>3515</v>
      </c>
      <c r="K62" s="43">
        <f>VLOOKUP(A62,'SSP_March''19'!$A$3:$L$1193,11,0)</f>
        <v>130000</v>
      </c>
      <c r="L62" s="43">
        <f>VLOOKUP(A62,'SSP_March''19'!$A$3:$L$1193,12,0)</f>
        <v>39930</v>
      </c>
      <c r="M62" s="44">
        <f t="shared" si="3"/>
        <v>0.30715384615384617</v>
      </c>
      <c r="N62" s="49">
        <f>ROUND(VLOOKUP(A62,'SSP_March''19'!$A$3:$N$1193,14,0),0)</f>
        <v>123783</v>
      </c>
      <c r="O62" s="44">
        <f t="shared" si="4"/>
        <v>0.95217692307692303</v>
      </c>
      <c r="P62" s="45">
        <f>VLOOKUP(A62,'SSP_March''19'!$A$3:$Q$1193,16,0)</f>
        <v>10</v>
      </c>
      <c r="Q62" s="34">
        <f>VLOOKUP(A62,'SSP_March''19'!$A$3:$Q$1193,17,0)</f>
        <v>1</v>
      </c>
      <c r="R62" s="35">
        <f t="shared" si="5"/>
        <v>0.1</v>
      </c>
      <c r="S62" s="49">
        <f>ROUND(VLOOKUP(A62,'SSP_March''19'!$A$3:$T$1193,19,0),0)</f>
        <v>3</v>
      </c>
      <c r="T62" s="44">
        <f>VLOOKUP(A62,'SSP_March''19'!$A$3:$T$1193,20,0)</f>
        <v>0.3</v>
      </c>
      <c r="U62" s="34">
        <f>VLOOKUP(A62,'SSP_March''19'!$A$3:$X$1193,21,0)</f>
        <v>1</v>
      </c>
      <c r="V62" s="34">
        <f>VLOOKUP(A62,'SSP_March''19'!$A$3:$X$1193,22,0)</f>
        <v>0</v>
      </c>
      <c r="W62" s="34">
        <f>VLOOKUP(A62,'SSP_March''19'!$A$3:$X$1193,23,0)</f>
        <v>0</v>
      </c>
      <c r="X62" s="34">
        <f>VLOOKUP(A62,'SSP_March''19'!$A$3:$X$1193,24,0)</f>
        <v>0</v>
      </c>
    </row>
    <row r="63" spans="1:24">
      <c r="A63" s="34" t="s">
        <v>1600</v>
      </c>
      <c r="B63" s="34" t="s">
        <v>1601</v>
      </c>
      <c r="C63" s="34" t="s">
        <v>101</v>
      </c>
      <c r="D63" s="34" t="s">
        <v>102</v>
      </c>
      <c r="E63" s="34" t="s">
        <v>6</v>
      </c>
      <c r="F63" s="34" t="s">
        <v>1602</v>
      </c>
      <c r="G63" s="54">
        <v>1799821800</v>
      </c>
      <c r="H63" s="54" t="s">
        <v>229</v>
      </c>
      <c r="I63" s="54" t="s">
        <v>3514</v>
      </c>
      <c r="J63" s="34" t="s">
        <v>3515</v>
      </c>
      <c r="K63" s="43">
        <f>VLOOKUP(A63,'SSP_March''19'!$A$3:$L$1193,11,0)</f>
        <v>130000</v>
      </c>
      <c r="L63" s="43">
        <f>VLOOKUP(A63,'SSP_March''19'!$A$3:$L$1193,12,0)</f>
        <v>19570</v>
      </c>
      <c r="M63" s="44">
        <f t="shared" si="3"/>
        <v>0.15053846153846154</v>
      </c>
      <c r="N63" s="49">
        <f>ROUND(VLOOKUP(A63,'SSP_March''19'!$A$3:$N$1193,14,0),0)</f>
        <v>60667</v>
      </c>
      <c r="O63" s="44">
        <f t="shared" si="4"/>
        <v>0.46666923076923078</v>
      </c>
      <c r="P63" s="45">
        <f>VLOOKUP(A63,'SSP_March''19'!$A$3:$Q$1193,16,0)</f>
        <v>10</v>
      </c>
      <c r="Q63" s="34">
        <f>VLOOKUP(A63,'SSP_March''19'!$A$3:$Q$1193,17,0)</f>
        <v>1</v>
      </c>
      <c r="R63" s="35">
        <f t="shared" si="5"/>
        <v>0.1</v>
      </c>
      <c r="S63" s="49">
        <f>ROUND(VLOOKUP(A63,'SSP_March''19'!$A$3:$T$1193,19,0),0)</f>
        <v>3</v>
      </c>
      <c r="T63" s="44">
        <f>VLOOKUP(A63,'SSP_March''19'!$A$3:$T$1193,20,0)</f>
        <v>0.3</v>
      </c>
      <c r="U63" s="34">
        <f>VLOOKUP(A63,'SSP_March''19'!$A$3:$X$1193,21,0)</f>
        <v>2</v>
      </c>
      <c r="V63" s="34">
        <f>VLOOKUP(A63,'SSP_March''19'!$A$3:$X$1193,22,0)</f>
        <v>0</v>
      </c>
      <c r="W63" s="34">
        <f>VLOOKUP(A63,'SSP_March''19'!$A$3:$X$1193,23,0)</f>
        <v>0</v>
      </c>
      <c r="X63" s="34">
        <f>VLOOKUP(A63,'SSP_March''19'!$A$3:$X$1193,24,0)</f>
        <v>0</v>
      </c>
    </row>
    <row r="64" spans="1:24">
      <c r="A64" s="75" t="s">
        <v>3519</v>
      </c>
      <c r="B64" s="75" t="s">
        <v>3520</v>
      </c>
      <c r="C64" s="75" t="s">
        <v>101</v>
      </c>
      <c r="D64" s="75" t="s">
        <v>102</v>
      </c>
      <c r="E64" s="75" t="s">
        <v>6</v>
      </c>
      <c r="F64" s="75" t="s">
        <v>3521</v>
      </c>
      <c r="G64" s="67">
        <v>1712106045</v>
      </c>
      <c r="H64" s="54" t="s">
        <v>229</v>
      </c>
      <c r="I64" s="54" t="s">
        <v>3522</v>
      </c>
      <c r="J64" s="34" t="s">
        <v>3419</v>
      </c>
      <c r="K64" s="43">
        <f>VLOOKUP(A64,'SSP_March''19'!$A$3:$L$1193,11,0)</f>
        <v>500000</v>
      </c>
      <c r="L64" s="43">
        <f>VLOOKUP(A64,'SSP_March''19'!$A$3:$L$1193,12,0)</f>
        <v>92370</v>
      </c>
      <c r="M64" s="44">
        <f t="shared" si="3"/>
        <v>0.18473999999999999</v>
      </c>
      <c r="N64" s="49">
        <f>ROUND(VLOOKUP(A64,'SSP_March''19'!$A$3:$N$1193,14,0),0)</f>
        <v>286347</v>
      </c>
      <c r="O64" s="44">
        <f t="shared" si="4"/>
        <v>0.57269400000000004</v>
      </c>
      <c r="P64" s="45">
        <f>VLOOKUP(A64,'SSP_March''19'!$A$3:$Q$1193,16,0)</f>
        <v>30</v>
      </c>
      <c r="Q64" s="34">
        <f>VLOOKUP(A64,'SSP_March''19'!$A$3:$Q$1193,17,0)</f>
        <v>8</v>
      </c>
      <c r="R64" s="35">
        <f t="shared" si="5"/>
        <v>0.26666666666666666</v>
      </c>
      <c r="S64" s="49">
        <f>ROUND(VLOOKUP(A64,'SSP_March''19'!$A$3:$T$1193,19,0),0)</f>
        <v>25</v>
      </c>
      <c r="T64" s="44">
        <f>VLOOKUP(A64,'SSP_March''19'!$A$3:$T$1193,20,0)</f>
        <v>0.83333333333333337</v>
      </c>
      <c r="U64" s="34">
        <f>VLOOKUP(A64,'SSP_March''19'!$A$3:$X$1193,21,0)</f>
        <v>0</v>
      </c>
      <c r="V64" s="34">
        <f>VLOOKUP(A64,'SSP_March''19'!$A$3:$X$1193,22,0)</f>
        <v>3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34" t="s">
        <v>1671</v>
      </c>
      <c r="B65" s="34" t="s">
        <v>1672</v>
      </c>
      <c r="C65" s="34" t="s">
        <v>101</v>
      </c>
      <c r="D65" s="34" t="s">
        <v>102</v>
      </c>
      <c r="E65" s="34" t="s">
        <v>6</v>
      </c>
      <c r="F65" s="34" t="s">
        <v>1673</v>
      </c>
      <c r="G65" s="54">
        <v>1746206124</v>
      </c>
      <c r="H65" s="54" t="s">
        <v>229</v>
      </c>
      <c r="I65" s="54" t="s">
        <v>3514</v>
      </c>
      <c r="J65" s="34" t="s">
        <v>3419</v>
      </c>
      <c r="K65" s="43">
        <f>VLOOKUP(A65,'SSP_March''19'!$A$3:$L$1193,11,0)</f>
        <v>130000</v>
      </c>
      <c r="L65" s="43">
        <f>VLOOKUP(A65,'SSP_March''19'!$A$3:$L$1193,12,0)</f>
        <v>28660</v>
      </c>
      <c r="M65" s="44">
        <f t="shared" si="3"/>
        <v>0.22046153846153846</v>
      </c>
      <c r="N65" s="49">
        <f>ROUND(VLOOKUP(A65,'SSP_March''19'!$A$3:$N$1193,14,0),0)</f>
        <v>88846</v>
      </c>
      <c r="O65" s="44">
        <f t="shared" si="4"/>
        <v>0.68343076923076929</v>
      </c>
      <c r="P65" s="45">
        <f>VLOOKUP(A65,'SSP_March''19'!$A$3:$Q$1193,16,0)</f>
        <v>10</v>
      </c>
      <c r="Q65" s="34">
        <f>VLOOKUP(A65,'SSP_March''19'!$A$3:$Q$1193,17,0)</f>
        <v>3</v>
      </c>
      <c r="R65" s="35">
        <f t="shared" si="5"/>
        <v>0.3</v>
      </c>
      <c r="S65" s="49">
        <f>ROUND(VLOOKUP(A65,'SSP_March''19'!$A$3:$T$1193,19,0),0)</f>
        <v>9</v>
      </c>
      <c r="T65" s="44">
        <f>VLOOKUP(A65,'SSP_March''19'!$A$3:$T$1193,20,0)</f>
        <v>0.9</v>
      </c>
      <c r="U65" s="34">
        <f>VLOOKUP(A65,'SSP_March''19'!$A$3:$X$1193,21,0)</f>
        <v>0</v>
      </c>
      <c r="V65" s="34">
        <f>VLOOKUP(A65,'SSP_March''19'!$A$3:$X$1193,22,0)</f>
        <v>0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75" t="s">
        <v>3523</v>
      </c>
      <c r="B66" s="75" t="s">
        <v>3524</v>
      </c>
      <c r="C66" s="75" t="s">
        <v>101</v>
      </c>
      <c r="D66" s="75" t="s">
        <v>102</v>
      </c>
      <c r="E66" s="75" t="s">
        <v>6</v>
      </c>
      <c r="F66" s="75" t="s">
        <v>3525</v>
      </c>
      <c r="G66" s="67">
        <v>1745823210</v>
      </c>
      <c r="H66" s="54" t="s">
        <v>229</v>
      </c>
      <c r="I66" s="54" t="s">
        <v>3522</v>
      </c>
      <c r="J66" s="34" t="s">
        <v>3419</v>
      </c>
      <c r="K66" s="43">
        <f>VLOOKUP(A66,'SSP_March''19'!$A$3:$L$1193,11,0)</f>
        <v>500000</v>
      </c>
      <c r="L66" s="43">
        <f>VLOOKUP(A66,'SSP_March''19'!$A$3:$L$1193,12,0)</f>
        <v>120255</v>
      </c>
      <c r="M66" s="44">
        <f t="shared" si="3"/>
        <v>0.24051</v>
      </c>
      <c r="N66" s="49">
        <f>ROUND(VLOOKUP(A66,'SSP_March''19'!$A$3:$N$1193,14,0),0)</f>
        <v>372791</v>
      </c>
      <c r="O66" s="44">
        <f t="shared" si="4"/>
        <v>0.74558199999999997</v>
      </c>
      <c r="P66" s="45">
        <f>VLOOKUP(A66,'SSP_March''19'!$A$3:$Q$1193,16,0)</f>
        <v>30</v>
      </c>
      <c r="Q66" s="34">
        <f>VLOOKUP(A66,'SSP_March''19'!$A$3:$Q$1193,17,0)</f>
        <v>10</v>
      </c>
      <c r="R66" s="35">
        <f t="shared" si="5"/>
        <v>0.33333333333333331</v>
      </c>
      <c r="S66" s="49">
        <f>ROUND(VLOOKUP(A66,'SSP_March''19'!$A$3:$T$1193,19,0),0)</f>
        <v>31</v>
      </c>
      <c r="T66" s="44">
        <f>VLOOKUP(A66,'SSP_March''19'!$A$3:$T$1193,20,0)</f>
        <v>1.0333333333333334</v>
      </c>
      <c r="U66" s="34">
        <f>VLOOKUP(A66,'SSP_March''19'!$A$3:$X$1193,21,0)</f>
        <v>2</v>
      </c>
      <c r="V66" s="34">
        <f>VLOOKUP(A66,'SSP_March''19'!$A$3:$X$1193,22,0)</f>
        <v>3</v>
      </c>
      <c r="W66" s="34">
        <f>VLOOKUP(A66,'SSP_March''19'!$A$3:$X$1193,23,0)</f>
        <v>2</v>
      </c>
      <c r="X66" s="34">
        <f>VLOOKUP(A66,'SSP_March''19'!$A$3:$X$1193,24,0)</f>
        <v>2</v>
      </c>
    </row>
    <row r="67" spans="1:24">
      <c r="A67" s="34" t="s">
        <v>1653</v>
      </c>
      <c r="B67" s="34" t="s">
        <v>1654</v>
      </c>
      <c r="C67" s="34" t="s">
        <v>101</v>
      </c>
      <c r="D67" s="34" t="s">
        <v>102</v>
      </c>
      <c r="E67" s="34" t="s">
        <v>6</v>
      </c>
      <c r="F67" s="34" t="s">
        <v>1655</v>
      </c>
      <c r="G67" s="54">
        <v>1712087579</v>
      </c>
      <c r="H67" s="54" t="s">
        <v>229</v>
      </c>
      <c r="I67" s="54" t="s">
        <v>3514</v>
      </c>
      <c r="J67" s="34" t="s">
        <v>3419</v>
      </c>
      <c r="K67" s="43">
        <f>VLOOKUP(A67,'SSP_March''19'!$A$3:$L$1193,11,0)</f>
        <v>184005</v>
      </c>
      <c r="L67" s="43">
        <f>VLOOKUP(A67,'SSP_March''19'!$A$3:$L$1193,12,0)</f>
        <v>77520</v>
      </c>
      <c r="M67" s="44">
        <f t="shared" ref="M67:M98" si="6">L67/K67</f>
        <v>0.42129289964946603</v>
      </c>
      <c r="N67" s="49">
        <f>ROUND(VLOOKUP(A67,'SSP_March''19'!$A$3:$N$1193,14,0),0)</f>
        <v>240312</v>
      </c>
      <c r="O67" s="44">
        <f t="shared" ref="O67:O98" si="7">N67/K67</f>
        <v>1.3060079889133447</v>
      </c>
      <c r="P67" s="45">
        <f>VLOOKUP(A67,'SSP_March''19'!$A$3:$Q$1193,16,0)</f>
        <v>12</v>
      </c>
      <c r="Q67" s="34">
        <f>VLOOKUP(A67,'SSP_March''19'!$A$3:$Q$1193,17,0)</f>
        <v>3</v>
      </c>
      <c r="R67" s="35">
        <f t="shared" ref="R67:R98" si="8">Q67/P67</f>
        <v>0.25</v>
      </c>
      <c r="S67" s="49">
        <f>ROUND(VLOOKUP(A67,'SSP_March''19'!$A$3:$T$1193,19,0),0)</f>
        <v>9</v>
      </c>
      <c r="T67" s="44">
        <f>VLOOKUP(A67,'SSP_March''19'!$A$3:$T$1193,20,0)</f>
        <v>0.75</v>
      </c>
      <c r="U67" s="34">
        <f>VLOOKUP(A67,'SSP_March''19'!$A$3:$X$1193,21,0)</f>
        <v>1</v>
      </c>
      <c r="V67" s="34">
        <f>VLOOKUP(A67,'SSP_March''19'!$A$3:$X$1193,22,0)</f>
        <v>0</v>
      </c>
      <c r="W67" s="34">
        <f>VLOOKUP(A67,'SSP_March''19'!$A$3:$X$1193,23,0)</f>
        <v>0</v>
      </c>
      <c r="X67" s="34">
        <f>VLOOKUP(A67,'SSP_March''19'!$A$3:$X$1193,24,0)</f>
        <v>0</v>
      </c>
    </row>
    <row r="68" spans="1:24">
      <c r="A68" s="34" t="s">
        <v>1767</v>
      </c>
      <c r="B68" s="34" t="s">
        <v>1768</v>
      </c>
      <c r="C68" s="34" t="s">
        <v>101</v>
      </c>
      <c r="D68" s="34" t="s">
        <v>102</v>
      </c>
      <c r="E68" s="34" t="s">
        <v>6</v>
      </c>
      <c r="F68" s="34" t="s">
        <v>1769</v>
      </c>
      <c r="G68" s="54">
        <v>1711355386</v>
      </c>
      <c r="H68" s="54" t="s">
        <v>229</v>
      </c>
      <c r="I68" s="54" t="s">
        <v>3514</v>
      </c>
      <c r="J68" s="34" t="s">
        <v>3515</v>
      </c>
      <c r="K68" s="43">
        <f>VLOOKUP(A68,'SSP_March''19'!$A$3:$L$1193,11,0)</f>
        <v>130000</v>
      </c>
      <c r="L68" s="43">
        <f>VLOOKUP(A68,'SSP_March''19'!$A$3:$L$1193,12,0)</f>
        <v>7590</v>
      </c>
      <c r="M68" s="44">
        <f t="shared" si="6"/>
        <v>5.8384615384615382E-2</v>
      </c>
      <c r="N68" s="49">
        <f>ROUND(VLOOKUP(A68,'SSP_March''19'!$A$3:$N$1193,14,0),0)</f>
        <v>23529</v>
      </c>
      <c r="O68" s="44">
        <f t="shared" si="7"/>
        <v>0.1809923076923077</v>
      </c>
      <c r="P68" s="45">
        <f>VLOOKUP(A68,'SSP_March''19'!$A$3:$Q$1193,16,0)</f>
        <v>10</v>
      </c>
      <c r="Q68" s="34">
        <f>VLOOKUP(A68,'SSP_March''19'!$A$3:$Q$1193,17,0)</f>
        <v>1</v>
      </c>
      <c r="R68" s="35">
        <f t="shared" si="8"/>
        <v>0.1</v>
      </c>
      <c r="S68" s="49">
        <f>ROUND(VLOOKUP(A68,'SSP_March''19'!$A$3:$T$1193,19,0),0)</f>
        <v>3</v>
      </c>
      <c r="T68" s="44">
        <f>VLOOKUP(A68,'SSP_March''19'!$A$3:$T$1193,20,0)</f>
        <v>0.3</v>
      </c>
      <c r="U68" s="34">
        <f>VLOOKUP(A68,'SSP_March''19'!$A$3:$X$1193,21,0)</f>
        <v>0</v>
      </c>
      <c r="V68" s="34">
        <f>VLOOKUP(A68,'SSP_March''19'!$A$3:$X$1193,22,0)</f>
        <v>0</v>
      </c>
      <c r="W68" s="34">
        <f>VLOOKUP(A68,'SSP_March''19'!$A$3:$X$1193,23,0)</f>
        <v>1</v>
      </c>
      <c r="X68" s="34">
        <f>VLOOKUP(A68,'SSP_March''19'!$A$3:$X$1193,24,0)</f>
        <v>0</v>
      </c>
    </row>
    <row r="69" spans="1:24">
      <c r="A69" s="34" t="s">
        <v>1689</v>
      </c>
      <c r="B69" s="34" t="s">
        <v>1690</v>
      </c>
      <c r="C69" s="34" t="s">
        <v>113</v>
      </c>
      <c r="D69" s="34" t="s">
        <v>102</v>
      </c>
      <c r="E69" s="34" t="s">
        <v>6</v>
      </c>
      <c r="F69" s="34" t="s">
        <v>1691</v>
      </c>
      <c r="G69" s="54">
        <v>1713663331</v>
      </c>
      <c r="H69" s="54" t="s">
        <v>229</v>
      </c>
      <c r="I69" s="54" t="s">
        <v>3514</v>
      </c>
      <c r="J69" s="34" t="s">
        <v>3421</v>
      </c>
      <c r="K69" s="43">
        <f>VLOOKUP(A69,'SSP_March''19'!$A$3:$L$1193,11,0)</f>
        <v>130000</v>
      </c>
      <c r="L69" s="43">
        <f>VLOOKUP(A69,'SSP_March''19'!$A$3:$L$1193,12,0)</f>
        <v>6990</v>
      </c>
      <c r="M69" s="44">
        <f t="shared" si="6"/>
        <v>5.3769230769230771E-2</v>
      </c>
      <c r="N69" s="49">
        <f>ROUND(VLOOKUP(A69,'SSP_March''19'!$A$3:$N$1193,14,0),0)</f>
        <v>21669</v>
      </c>
      <c r="O69" s="44">
        <f t="shared" si="7"/>
        <v>0.16668461538461538</v>
      </c>
      <c r="P69" s="45">
        <f>VLOOKUP(A69,'SSP_March''19'!$A$3:$Q$1193,16,0)</f>
        <v>10</v>
      </c>
      <c r="Q69" s="34">
        <f>VLOOKUP(A69,'SSP_March''19'!$A$3:$Q$1193,17,0)</f>
        <v>1</v>
      </c>
      <c r="R69" s="35">
        <f t="shared" si="8"/>
        <v>0.1</v>
      </c>
      <c r="S69" s="49">
        <f>ROUND(VLOOKUP(A69,'SSP_March''19'!$A$3:$T$1193,19,0),0)</f>
        <v>3</v>
      </c>
      <c r="T69" s="44">
        <f>VLOOKUP(A69,'SSP_March''19'!$A$3:$T$1193,20,0)</f>
        <v>0.3</v>
      </c>
      <c r="U69" s="34">
        <f>VLOOKUP(A69,'SSP_March''19'!$A$3:$X$1193,21,0)</f>
        <v>0</v>
      </c>
      <c r="V69" s="34">
        <f>VLOOKUP(A69,'SSP_March''19'!$A$3:$X$1193,22,0)</f>
        <v>0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34" t="s">
        <v>1578</v>
      </c>
      <c r="B70" s="34" t="s">
        <v>818</v>
      </c>
      <c r="C70" s="34" t="s">
        <v>113</v>
      </c>
      <c r="D70" s="34" t="s">
        <v>102</v>
      </c>
      <c r="E70" s="34" t="s">
        <v>6</v>
      </c>
      <c r="F70" s="34" t="s">
        <v>1579</v>
      </c>
      <c r="G70" s="54">
        <v>1722274560</v>
      </c>
      <c r="H70" s="54" t="s">
        <v>229</v>
      </c>
      <c r="I70" s="54" t="s">
        <v>3514</v>
      </c>
      <c r="J70" s="34" t="s">
        <v>3419</v>
      </c>
      <c r="K70" s="43">
        <f>VLOOKUP(A70,'SSP_March''19'!$A$3:$L$1193,11,0)</f>
        <v>130000</v>
      </c>
      <c r="L70" s="43">
        <f>VLOOKUP(A70,'SSP_March''19'!$A$3:$L$1193,12,0)</f>
        <v>58345</v>
      </c>
      <c r="M70" s="44">
        <f t="shared" si="6"/>
        <v>0.4488076923076923</v>
      </c>
      <c r="N70" s="49">
        <f>ROUND(VLOOKUP(A70,'SSP_March''19'!$A$3:$N$1193,14,0),0)</f>
        <v>180870</v>
      </c>
      <c r="O70" s="44">
        <f t="shared" si="7"/>
        <v>1.3913076923076924</v>
      </c>
      <c r="P70" s="45">
        <f>VLOOKUP(A70,'SSP_March''19'!$A$3:$Q$1193,16,0)</f>
        <v>10</v>
      </c>
      <c r="Q70" s="34">
        <f>VLOOKUP(A70,'SSP_March''19'!$A$3:$Q$1193,17,0)</f>
        <v>5</v>
      </c>
      <c r="R70" s="35">
        <f t="shared" si="8"/>
        <v>0.5</v>
      </c>
      <c r="S70" s="49">
        <f>ROUND(VLOOKUP(A70,'SSP_March''19'!$A$3:$T$1193,19,0),0)</f>
        <v>16</v>
      </c>
      <c r="T70" s="44">
        <f>VLOOKUP(A70,'SSP_March''19'!$A$3:$T$1193,20,0)</f>
        <v>1.6</v>
      </c>
      <c r="U70" s="34">
        <f>VLOOKUP(A70,'SSP_March''19'!$A$3:$X$1193,21,0)</f>
        <v>0</v>
      </c>
      <c r="V70" s="34">
        <f>VLOOKUP(A70,'SSP_March''19'!$A$3:$X$1193,22,0)</f>
        <v>1</v>
      </c>
      <c r="W70" s="34">
        <f>VLOOKUP(A70,'SSP_March''19'!$A$3:$X$1193,23,0)</f>
        <v>0</v>
      </c>
      <c r="X70" s="34">
        <f>VLOOKUP(A70,'SSP_March''19'!$A$3:$X$1193,24,0)</f>
        <v>0</v>
      </c>
    </row>
    <row r="71" spans="1:24">
      <c r="A71" s="34" t="s">
        <v>1580</v>
      </c>
      <c r="B71" s="34" t="s">
        <v>1581</v>
      </c>
      <c r="C71" s="34" t="s">
        <v>113</v>
      </c>
      <c r="D71" s="34" t="s">
        <v>102</v>
      </c>
      <c r="E71" s="34" t="s">
        <v>6</v>
      </c>
      <c r="F71" s="34" t="s">
        <v>1582</v>
      </c>
      <c r="G71" s="54">
        <v>1718901703</v>
      </c>
      <c r="H71" s="54" t="s">
        <v>229</v>
      </c>
      <c r="I71" s="54" t="s">
        <v>3514</v>
      </c>
      <c r="J71" s="34" t="s">
        <v>3421</v>
      </c>
      <c r="K71" s="43">
        <f>VLOOKUP(A71,'SSP_March''19'!$A$3:$L$1193,11,0)</f>
        <v>130000</v>
      </c>
      <c r="L71" s="43">
        <f>VLOOKUP(A71,'SSP_March''19'!$A$3:$L$1193,12,0)</f>
        <v>37080</v>
      </c>
      <c r="M71" s="44">
        <f t="shared" si="6"/>
        <v>0.28523076923076923</v>
      </c>
      <c r="N71" s="49">
        <f>ROUND(VLOOKUP(A71,'SSP_March''19'!$A$3:$N$1193,14,0),0)</f>
        <v>114948</v>
      </c>
      <c r="O71" s="44">
        <f t="shared" si="7"/>
        <v>0.88421538461538463</v>
      </c>
      <c r="P71" s="45">
        <f>VLOOKUP(A71,'SSP_March''19'!$A$3:$Q$1193,16,0)</f>
        <v>10</v>
      </c>
      <c r="Q71" s="34">
        <f>VLOOKUP(A71,'SSP_March''19'!$A$3:$Q$1193,17,0)</f>
        <v>2</v>
      </c>
      <c r="R71" s="35">
        <f t="shared" si="8"/>
        <v>0.2</v>
      </c>
      <c r="S71" s="49">
        <f>ROUND(VLOOKUP(A71,'SSP_March''19'!$A$3:$T$1193,19,0),0)</f>
        <v>6</v>
      </c>
      <c r="T71" s="44">
        <f>VLOOKUP(A71,'SSP_March''19'!$A$3:$T$1193,20,0)</f>
        <v>0.6</v>
      </c>
      <c r="U71" s="34">
        <f>VLOOKUP(A71,'SSP_March''19'!$A$3:$X$1193,21,0)</f>
        <v>0</v>
      </c>
      <c r="V71" s="34">
        <f>VLOOKUP(A71,'SSP_March''19'!$A$3:$X$1193,22,0)</f>
        <v>0</v>
      </c>
      <c r="W71" s="34">
        <f>VLOOKUP(A71,'SSP_March''19'!$A$3:$X$1193,23,0)</f>
        <v>0</v>
      </c>
      <c r="X71" s="34">
        <f>VLOOKUP(A71,'SSP_March''19'!$A$3:$X$1193,24,0)</f>
        <v>0</v>
      </c>
    </row>
    <row r="72" spans="1:24">
      <c r="A72" s="34" t="s">
        <v>1564</v>
      </c>
      <c r="B72" s="34" t="s">
        <v>1565</v>
      </c>
      <c r="C72" s="34" t="s">
        <v>113</v>
      </c>
      <c r="D72" s="34" t="s">
        <v>102</v>
      </c>
      <c r="E72" s="34" t="s">
        <v>6</v>
      </c>
      <c r="F72" s="34" t="s">
        <v>1566</v>
      </c>
      <c r="G72" s="54">
        <v>1788400004</v>
      </c>
      <c r="H72" s="54" t="s">
        <v>229</v>
      </c>
      <c r="I72" s="54" t="s">
        <v>3514</v>
      </c>
      <c r="J72" s="34" t="s">
        <v>3421</v>
      </c>
      <c r="K72" s="43">
        <f>VLOOKUP(A72,'SSP_March''19'!$A$3:$L$1193,11,0)</f>
        <v>130000</v>
      </c>
      <c r="L72" s="43">
        <f>VLOOKUP(A72,'SSP_March''19'!$A$3:$L$1193,12,0)</f>
        <v>11430</v>
      </c>
      <c r="M72" s="44">
        <f t="shared" si="6"/>
        <v>8.7923076923076923E-2</v>
      </c>
      <c r="N72" s="49">
        <f>ROUND(VLOOKUP(A72,'SSP_March''19'!$A$3:$N$1193,14,0),0)</f>
        <v>35433</v>
      </c>
      <c r="O72" s="44">
        <f t="shared" si="7"/>
        <v>0.27256153846153847</v>
      </c>
      <c r="P72" s="45">
        <f>VLOOKUP(A72,'SSP_March''19'!$A$3:$Q$1193,16,0)</f>
        <v>10</v>
      </c>
      <c r="Q72" s="34">
        <f>VLOOKUP(A72,'SSP_March''19'!$A$3:$Q$1193,17,0)</f>
        <v>1</v>
      </c>
      <c r="R72" s="35">
        <f t="shared" si="8"/>
        <v>0.1</v>
      </c>
      <c r="S72" s="49">
        <f>ROUND(VLOOKUP(A72,'SSP_March''19'!$A$3:$T$1193,19,0),0)</f>
        <v>3</v>
      </c>
      <c r="T72" s="44">
        <f>VLOOKUP(A72,'SSP_March''19'!$A$3:$T$1193,20,0)</f>
        <v>0.3</v>
      </c>
      <c r="U72" s="34">
        <f>VLOOKUP(A72,'SSP_March''19'!$A$3:$X$1193,21,0)</f>
        <v>0</v>
      </c>
      <c r="V72" s="34">
        <f>VLOOKUP(A72,'SSP_March''19'!$A$3:$X$1193,22,0)</f>
        <v>1</v>
      </c>
      <c r="W72" s="34">
        <f>VLOOKUP(A72,'SSP_March''19'!$A$3:$X$1193,23,0)</f>
        <v>0</v>
      </c>
      <c r="X72" s="34">
        <f>VLOOKUP(A72,'SSP_March''19'!$A$3:$X$1193,24,0)</f>
        <v>0</v>
      </c>
    </row>
    <row r="73" spans="1:24">
      <c r="A73" s="34" t="s">
        <v>1512</v>
      </c>
      <c r="B73" s="34" t="s">
        <v>1513</v>
      </c>
      <c r="C73" s="34" t="s">
        <v>113</v>
      </c>
      <c r="D73" s="34" t="s">
        <v>102</v>
      </c>
      <c r="E73" s="34" t="s">
        <v>6</v>
      </c>
      <c r="F73" s="34" t="s">
        <v>1514</v>
      </c>
      <c r="G73" s="54">
        <v>1712342228</v>
      </c>
      <c r="H73" s="54" t="s">
        <v>229</v>
      </c>
      <c r="I73" s="54" t="s">
        <v>3514</v>
      </c>
      <c r="J73" s="34" t="s">
        <v>3421</v>
      </c>
      <c r="K73" s="43">
        <f>VLOOKUP(A73,'SSP_March''19'!$A$3:$L$1193,11,0)</f>
        <v>130000</v>
      </c>
      <c r="L73" s="43">
        <f>VLOOKUP(A73,'SSP_March''19'!$A$3:$L$1193,12,0)</f>
        <v>17070</v>
      </c>
      <c r="M73" s="44">
        <f t="shared" si="6"/>
        <v>0.13130769230769232</v>
      </c>
      <c r="N73" s="49">
        <f>ROUND(VLOOKUP(A73,'SSP_March''19'!$A$3:$N$1193,14,0),0)</f>
        <v>52917</v>
      </c>
      <c r="O73" s="44">
        <f t="shared" si="7"/>
        <v>0.40705384615384615</v>
      </c>
      <c r="P73" s="45">
        <f>VLOOKUP(A73,'SSP_March''19'!$A$3:$Q$1193,16,0)</f>
        <v>10</v>
      </c>
      <c r="Q73" s="34">
        <f>VLOOKUP(A73,'SSP_March''19'!$A$3:$Q$1193,17,0)</f>
        <v>0</v>
      </c>
      <c r="R73" s="35">
        <f t="shared" si="8"/>
        <v>0</v>
      </c>
      <c r="S73" s="49">
        <f>ROUND(VLOOKUP(A73,'SSP_March''19'!$A$3:$T$1193,19,0),0)</f>
        <v>0</v>
      </c>
      <c r="T73" s="44">
        <f>VLOOKUP(A73,'SSP_March''19'!$A$3:$T$1193,20,0)</f>
        <v>0</v>
      </c>
      <c r="U73" s="34">
        <f>VLOOKUP(A73,'SSP_March''19'!$A$3:$X$1193,21,0)</f>
        <v>0</v>
      </c>
      <c r="V73" s="34">
        <f>VLOOKUP(A73,'SSP_March''19'!$A$3:$X$1193,22,0)</f>
        <v>0</v>
      </c>
      <c r="W73" s="34">
        <f>VLOOKUP(A73,'SSP_March''19'!$A$3:$X$1193,23,0)</f>
        <v>0</v>
      </c>
      <c r="X73" s="34">
        <f>VLOOKUP(A73,'SSP_March''19'!$A$3:$X$1193,24,0)</f>
        <v>0</v>
      </c>
    </row>
    <row r="74" spans="1:24">
      <c r="A74" s="34" t="s">
        <v>2901</v>
      </c>
      <c r="B74" s="34" t="s">
        <v>2902</v>
      </c>
      <c r="C74" s="34" t="s">
        <v>113</v>
      </c>
      <c r="D74" s="34" t="s">
        <v>102</v>
      </c>
      <c r="E74" s="34" t="s">
        <v>6</v>
      </c>
      <c r="F74" s="34" t="s">
        <v>2903</v>
      </c>
      <c r="G74" s="54">
        <v>1717041199</v>
      </c>
      <c r="H74" s="54" t="s">
        <v>229</v>
      </c>
      <c r="I74" s="54" t="s">
        <v>3514</v>
      </c>
      <c r="J74" s="34" t="s">
        <v>3421</v>
      </c>
      <c r="K74" s="43">
        <f>VLOOKUP(A74,'SSP_March''19'!$A$3:$L$1193,11,0)</f>
        <v>130000</v>
      </c>
      <c r="L74" s="43">
        <f>VLOOKUP(A74,'SSP_March''19'!$A$3:$L$1193,12,0)</f>
        <v>66790</v>
      </c>
      <c r="M74" s="44">
        <f t="shared" si="6"/>
        <v>0.51376923076923076</v>
      </c>
      <c r="N74" s="49">
        <f>ROUND(VLOOKUP(A74,'SSP_March''19'!$A$3:$N$1193,14,0),0)</f>
        <v>207049</v>
      </c>
      <c r="O74" s="44">
        <f t="shared" si="7"/>
        <v>1.5926846153846155</v>
      </c>
      <c r="P74" s="45">
        <f>VLOOKUP(A74,'SSP_March''19'!$A$3:$Q$1193,16,0)</f>
        <v>10</v>
      </c>
      <c r="Q74" s="34">
        <f>VLOOKUP(A74,'SSP_March''19'!$A$3:$Q$1193,17,0)</f>
        <v>4</v>
      </c>
      <c r="R74" s="35">
        <f t="shared" si="8"/>
        <v>0.4</v>
      </c>
      <c r="S74" s="49">
        <f>ROUND(VLOOKUP(A74,'SSP_March''19'!$A$3:$T$1193,19,0),0)</f>
        <v>12</v>
      </c>
      <c r="T74" s="44">
        <f>VLOOKUP(A74,'SSP_March''19'!$A$3:$T$1193,20,0)</f>
        <v>1.2</v>
      </c>
      <c r="U74" s="34">
        <f>VLOOKUP(A74,'SSP_March''19'!$A$3:$X$1193,21,0)</f>
        <v>2</v>
      </c>
      <c r="V74" s="34">
        <f>VLOOKUP(A74,'SSP_March''19'!$A$3:$X$1193,22,0)</f>
        <v>1</v>
      </c>
      <c r="W74" s="34">
        <f>VLOOKUP(A74,'SSP_March''19'!$A$3:$X$1193,23,0)</f>
        <v>0</v>
      </c>
      <c r="X74" s="34">
        <f>VLOOKUP(A74,'SSP_March''19'!$A$3:$X$1193,24,0)</f>
        <v>0</v>
      </c>
    </row>
    <row r="75" spans="1:24">
      <c r="A75" s="34" t="s">
        <v>1647</v>
      </c>
      <c r="B75" s="34" t="s">
        <v>1648</v>
      </c>
      <c r="C75" s="34" t="s">
        <v>113</v>
      </c>
      <c r="D75" s="34" t="s">
        <v>102</v>
      </c>
      <c r="E75" s="34" t="s">
        <v>6</v>
      </c>
      <c r="F75" s="34" t="s">
        <v>1649</v>
      </c>
      <c r="G75" s="54">
        <v>1753131503</v>
      </c>
      <c r="H75" s="54" t="s">
        <v>229</v>
      </c>
      <c r="I75" s="54" t="s">
        <v>3514</v>
      </c>
      <c r="J75" s="34" t="s">
        <v>3419</v>
      </c>
      <c r="K75" s="43">
        <f>VLOOKUP(A75,'SSP_March''19'!$A$3:$L$1193,11,0)</f>
        <v>130000</v>
      </c>
      <c r="L75" s="43">
        <f>VLOOKUP(A75,'SSP_March''19'!$A$3:$L$1193,12,0)</f>
        <v>17380</v>
      </c>
      <c r="M75" s="44">
        <f t="shared" si="6"/>
        <v>0.13369230769230769</v>
      </c>
      <c r="N75" s="49">
        <f>ROUND(VLOOKUP(A75,'SSP_March''19'!$A$3:$N$1193,14,0),0)</f>
        <v>53878</v>
      </c>
      <c r="O75" s="44">
        <f t="shared" si="7"/>
        <v>0.41444615384615385</v>
      </c>
      <c r="P75" s="45">
        <f>VLOOKUP(A75,'SSP_March''19'!$A$3:$Q$1193,16,0)</f>
        <v>10</v>
      </c>
      <c r="Q75" s="34">
        <f>VLOOKUP(A75,'SSP_March''19'!$A$3:$Q$1193,17,0)</f>
        <v>1</v>
      </c>
      <c r="R75" s="35">
        <f t="shared" si="8"/>
        <v>0.1</v>
      </c>
      <c r="S75" s="49">
        <f>ROUND(VLOOKUP(A75,'SSP_March''19'!$A$3:$T$1193,19,0),0)</f>
        <v>3</v>
      </c>
      <c r="T75" s="44">
        <f>VLOOKUP(A75,'SSP_March''19'!$A$3:$T$1193,20,0)</f>
        <v>0.3</v>
      </c>
      <c r="U75" s="34">
        <f>VLOOKUP(A75,'SSP_March''19'!$A$3:$X$1193,21,0)</f>
        <v>0</v>
      </c>
      <c r="V75" s="34">
        <f>VLOOKUP(A75,'SSP_March''19'!$A$3:$X$1193,22,0)</f>
        <v>0</v>
      </c>
      <c r="W75" s="34">
        <f>VLOOKUP(A75,'SSP_March''19'!$A$3:$X$1193,23,0)</f>
        <v>0</v>
      </c>
      <c r="X75" s="34">
        <f>VLOOKUP(A75,'SSP_March''19'!$A$3:$X$1193,24,0)</f>
        <v>0</v>
      </c>
    </row>
    <row r="76" spans="1:24">
      <c r="A76" s="34" t="s">
        <v>1770</v>
      </c>
      <c r="B76" s="34" t="s">
        <v>77</v>
      </c>
      <c r="C76" s="34" t="s">
        <v>113</v>
      </c>
      <c r="D76" s="34" t="s">
        <v>102</v>
      </c>
      <c r="E76" s="34" t="s">
        <v>6</v>
      </c>
      <c r="F76" s="34" t="s">
        <v>1771</v>
      </c>
      <c r="G76" s="54">
        <v>1763334952</v>
      </c>
      <c r="H76" s="54" t="s">
        <v>229</v>
      </c>
      <c r="I76" s="54" t="s">
        <v>3514</v>
      </c>
      <c r="J76" s="34" t="s">
        <v>3419</v>
      </c>
      <c r="K76" s="43">
        <f>VLOOKUP(A76,'SSP_March''19'!$A$3:$L$1193,11,0)</f>
        <v>130000</v>
      </c>
      <c r="L76" s="43">
        <f>VLOOKUP(A76,'SSP_March''19'!$A$3:$L$1193,12,0)</f>
        <v>19710</v>
      </c>
      <c r="M76" s="44">
        <f t="shared" si="6"/>
        <v>0.15161538461538462</v>
      </c>
      <c r="N76" s="49">
        <f>ROUND(VLOOKUP(A76,'SSP_March''19'!$A$3:$N$1193,14,0),0)</f>
        <v>61101</v>
      </c>
      <c r="O76" s="44">
        <f t="shared" si="7"/>
        <v>0.47000769230769229</v>
      </c>
      <c r="P76" s="45">
        <f>VLOOKUP(A76,'SSP_March''19'!$A$3:$Q$1193,16,0)</f>
        <v>10</v>
      </c>
      <c r="Q76" s="34">
        <f>VLOOKUP(A76,'SSP_March''19'!$A$3:$Q$1193,17,0)</f>
        <v>0</v>
      </c>
      <c r="R76" s="35">
        <f t="shared" si="8"/>
        <v>0</v>
      </c>
      <c r="S76" s="49">
        <f>ROUND(VLOOKUP(A76,'SSP_March''19'!$A$3:$T$1193,19,0),0)</f>
        <v>0</v>
      </c>
      <c r="T76" s="44">
        <f>VLOOKUP(A76,'SSP_March''19'!$A$3:$T$1193,20,0)</f>
        <v>0</v>
      </c>
      <c r="U76" s="34">
        <f>VLOOKUP(A76,'SSP_March''19'!$A$3:$X$1193,21,0)</f>
        <v>0</v>
      </c>
      <c r="V76" s="34">
        <f>VLOOKUP(A76,'SSP_March''19'!$A$3:$X$1193,22,0)</f>
        <v>0</v>
      </c>
      <c r="W76" s="34">
        <f>VLOOKUP(A76,'SSP_March''19'!$A$3:$X$1193,23,0)</f>
        <v>0</v>
      </c>
      <c r="X76" s="34">
        <f>VLOOKUP(A76,'SSP_March''19'!$A$3:$X$1193,24,0)</f>
        <v>0</v>
      </c>
    </row>
    <row r="77" spans="1:24">
      <c r="A77" s="34" t="s">
        <v>1751</v>
      </c>
      <c r="B77" s="34" t="s">
        <v>1124</v>
      </c>
      <c r="C77" s="34" t="s">
        <v>113</v>
      </c>
      <c r="D77" s="34" t="s">
        <v>102</v>
      </c>
      <c r="E77" s="34" t="s">
        <v>6</v>
      </c>
      <c r="F77" s="34" t="s">
        <v>1752</v>
      </c>
      <c r="G77" s="54">
        <v>1715963154</v>
      </c>
      <c r="H77" s="54" t="s">
        <v>229</v>
      </c>
      <c r="I77" s="54" t="s">
        <v>3514</v>
      </c>
      <c r="J77" s="34" t="s">
        <v>3421</v>
      </c>
      <c r="K77" s="43">
        <f>VLOOKUP(A77,'SSP_March''19'!$A$3:$L$1193,11,0)</f>
        <v>130000</v>
      </c>
      <c r="L77" s="43">
        <f>VLOOKUP(A77,'SSP_March''19'!$A$3:$L$1193,12,0)</f>
        <v>45015</v>
      </c>
      <c r="M77" s="44">
        <f t="shared" si="6"/>
        <v>0.34626923076923077</v>
      </c>
      <c r="N77" s="49">
        <f>ROUND(VLOOKUP(A77,'SSP_March''19'!$A$3:$N$1193,14,0),0)</f>
        <v>139547</v>
      </c>
      <c r="O77" s="44">
        <f t="shared" si="7"/>
        <v>1.0734384615384616</v>
      </c>
      <c r="P77" s="45">
        <f>VLOOKUP(A77,'SSP_March''19'!$A$3:$Q$1193,16,0)</f>
        <v>10</v>
      </c>
      <c r="Q77" s="34">
        <f>VLOOKUP(A77,'SSP_March''19'!$A$3:$Q$1193,17,0)</f>
        <v>3</v>
      </c>
      <c r="R77" s="35">
        <f t="shared" si="8"/>
        <v>0.3</v>
      </c>
      <c r="S77" s="49">
        <f>ROUND(VLOOKUP(A77,'SSP_March''19'!$A$3:$T$1193,19,0),0)</f>
        <v>9</v>
      </c>
      <c r="T77" s="44">
        <f>VLOOKUP(A77,'SSP_March''19'!$A$3:$T$1193,20,0)</f>
        <v>0.9</v>
      </c>
      <c r="U77" s="34">
        <f>VLOOKUP(A77,'SSP_March''19'!$A$3:$X$1193,21,0)</f>
        <v>0</v>
      </c>
      <c r="V77" s="34">
        <f>VLOOKUP(A77,'SSP_March''19'!$A$3:$X$1193,22,0)</f>
        <v>1</v>
      </c>
      <c r="W77" s="34">
        <f>VLOOKUP(A77,'SSP_March''19'!$A$3:$X$1193,23,0)</f>
        <v>0</v>
      </c>
      <c r="X77" s="34">
        <f>VLOOKUP(A77,'SSP_March''19'!$A$3:$X$1193,24,0)</f>
        <v>0</v>
      </c>
    </row>
    <row r="78" spans="1:24">
      <c r="A78" s="34" t="s">
        <v>1683</v>
      </c>
      <c r="B78" s="34" t="s">
        <v>1684</v>
      </c>
      <c r="C78" s="34" t="s">
        <v>113</v>
      </c>
      <c r="D78" s="34" t="s">
        <v>102</v>
      </c>
      <c r="E78" s="34" t="s">
        <v>6</v>
      </c>
      <c r="F78" s="34" t="s">
        <v>1685</v>
      </c>
      <c r="G78" s="54">
        <v>1753307066</v>
      </c>
      <c r="H78" s="54" t="s">
        <v>229</v>
      </c>
      <c r="I78" s="54" t="s">
        <v>3514</v>
      </c>
      <c r="J78" s="34" t="s">
        <v>3419</v>
      </c>
      <c r="K78" s="43">
        <f>VLOOKUP(A78,'SSP_March''19'!$A$3:$L$1193,11,0)</f>
        <v>130000</v>
      </c>
      <c r="L78" s="43">
        <f>VLOOKUP(A78,'SSP_March''19'!$A$3:$L$1193,12,0)</f>
        <v>35589</v>
      </c>
      <c r="M78" s="44">
        <f t="shared" si="6"/>
        <v>0.27376153846153845</v>
      </c>
      <c r="N78" s="49">
        <f>ROUND(VLOOKUP(A78,'SSP_March''19'!$A$3:$N$1193,14,0),0)</f>
        <v>110326</v>
      </c>
      <c r="O78" s="44">
        <f t="shared" si="7"/>
        <v>0.84866153846153847</v>
      </c>
      <c r="P78" s="45">
        <f>VLOOKUP(A78,'SSP_March''19'!$A$3:$Q$1193,16,0)</f>
        <v>10</v>
      </c>
      <c r="Q78" s="34">
        <f>VLOOKUP(A78,'SSP_March''19'!$A$3:$Q$1193,17,0)</f>
        <v>1</v>
      </c>
      <c r="R78" s="35">
        <f t="shared" si="8"/>
        <v>0.1</v>
      </c>
      <c r="S78" s="49">
        <f>ROUND(VLOOKUP(A78,'SSP_March''19'!$A$3:$T$1193,19,0),0)</f>
        <v>3</v>
      </c>
      <c r="T78" s="44">
        <f>VLOOKUP(A78,'SSP_March''19'!$A$3:$T$1193,20,0)</f>
        <v>0.3</v>
      </c>
      <c r="U78" s="34">
        <f>VLOOKUP(A78,'SSP_March''19'!$A$3:$X$1193,21,0)</f>
        <v>0</v>
      </c>
      <c r="V78" s="34">
        <f>VLOOKUP(A78,'SSP_March''19'!$A$3:$X$1193,22,0)</f>
        <v>0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34" t="s">
        <v>3526</v>
      </c>
      <c r="B79" s="34" t="s">
        <v>3527</v>
      </c>
      <c r="C79" s="34" t="s">
        <v>113</v>
      </c>
      <c r="D79" s="34" t="s">
        <v>102</v>
      </c>
      <c r="E79" s="34" t="s">
        <v>6</v>
      </c>
      <c r="F79" s="34" t="s">
        <v>1866</v>
      </c>
      <c r="G79" s="54">
        <v>1711053320</v>
      </c>
      <c r="H79" s="54" t="s">
        <v>229</v>
      </c>
      <c r="I79" s="54" t="s">
        <v>3514</v>
      </c>
      <c r="J79" s="34" t="s">
        <v>3419</v>
      </c>
      <c r="K79" s="43">
        <f>VLOOKUP(A79,'SSP_March''19'!$A$3:$L$1193,11,0)</f>
        <v>200000</v>
      </c>
      <c r="L79" s="43">
        <f>VLOOKUP(A79,'SSP_March''19'!$A$3:$L$1193,12,0)</f>
        <v>89540</v>
      </c>
      <c r="M79" s="44">
        <f t="shared" si="6"/>
        <v>0.44769999999999999</v>
      </c>
      <c r="N79" s="49">
        <f>ROUND(VLOOKUP(A79,'SSP_March''19'!$A$3:$N$1193,14,0),0)</f>
        <v>277574</v>
      </c>
      <c r="O79" s="44">
        <f t="shared" si="7"/>
        <v>1.3878699999999999</v>
      </c>
      <c r="P79" s="45">
        <f>VLOOKUP(A79,'SSP_March''19'!$A$3:$Q$1193,16,0)</f>
        <v>15</v>
      </c>
      <c r="Q79" s="34">
        <f>VLOOKUP(A79,'SSP_March''19'!$A$3:$Q$1193,17,0)</f>
        <v>4</v>
      </c>
      <c r="R79" s="35">
        <f t="shared" si="8"/>
        <v>0.26666666666666666</v>
      </c>
      <c r="S79" s="49">
        <f>ROUND(VLOOKUP(A79,'SSP_March''19'!$A$3:$T$1193,19,0),0)</f>
        <v>12</v>
      </c>
      <c r="T79" s="44">
        <f>VLOOKUP(A79,'SSP_March''19'!$A$3:$T$1193,20,0)</f>
        <v>0.8</v>
      </c>
      <c r="U79" s="34">
        <f>VLOOKUP(A79,'SSP_March''19'!$A$3:$X$1193,21,0)</f>
        <v>3</v>
      </c>
      <c r="V79" s="34">
        <f>VLOOKUP(A79,'SSP_March''19'!$A$3:$X$1193,22,0)</f>
        <v>4</v>
      </c>
      <c r="W79" s="34">
        <f>VLOOKUP(A79,'SSP_March''19'!$A$3:$X$1193,23,0)</f>
        <v>0</v>
      </c>
      <c r="X79" s="34">
        <f>VLOOKUP(A79,'SSP_March''19'!$A$3:$X$1193,24,0)</f>
        <v>0</v>
      </c>
    </row>
    <row r="80" spans="1:24">
      <c r="A80" s="34" t="s">
        <v>1583</v>
      </c>
      <c r="B80" s="34" t="s">
        <v>1584</v>
      </c>
      <c r="C80" s="34" t="s">
        <v>113</v>
      </c>
      <c r="D80" s="34" t="s">
        <v>102</v>
      </c>
      <c r="E80" s="34" t="s">
        <v>6</v>
      </c>
      <c r="F80" s="34" t="s">
        <v>1585</v>
      </c>
      <c r="G80" s="54">
        <v>1715281041</v>
      </c>
      <c r="H80" s="54" t="s">
        <v>229</v>
      </c>
      <c r="I80" s="54" t="s">
        <v>3514</v>
      </c>
      <c r="J80" s="34" t="s">
        <v>3421</v>
      </c>
      <c r="K80" s="43">
        <f>VLOOKUP(A80,'SSP_March''19'!$A$3:$L$1193,11,0)</f>
        <v>130000</v>
      </c>
      <c r="L80" s="43">
        <f>VLOOKUP(A80,'SSP_March''19'!$A$3:$L$1193,12,0)</f>
        <v>21419</v>
      </c>
      <c r="M80" s="44">
        <f t="shared" si="6"/>
        <v>0.16476153846153846</v>
      </c>
      <c r="N80" s="49">
        <f>ROUND(VLOOKUP(A80,'SSP_March''19'!$A$3:$N$1193,14,0),0)</f>
        <v>66399</v>
      </c>
      <c r="O80" s="44">
        <f t="shared" si="7"/>
        <v>0.51076153846153849</v>
      </c>
      <c r="P80" s="45">
        <f>VLOOKUP(A80,'SSP_March''19'!$A$3:$Q$1193,16,0)</f>
        <v>10</v>
      </c>
      <c r="Q80" s="34">
        <f>VLOOKUP(A80,'SSP_March''19'!$A$3:$Q$1193,17,0)</f>
        <v>1</v>
      </c>
      <c r="R80" s="35">
        <f t="shared" si="8"/>
        <v>0.1</v>
      </c>
      <c r="S80" s="49">
        <f>ROUND(VLOOKUP(A80,'SSP_March''19'!$A$3:$T$1193,19,0),0)</f>
        <v>3</v>
      </c>
      <c r="T80" s="44">
        <f>VLOOKUP(A80,'SSP_March''19'!$A$3:$T$1193,20,0)</f>
        <v>0.3</v>
      </c>
      <c r="U80" s="34">
        <f>VLOOKUP(A80,'SSP_March''19'!$A$3:$X$1193,21,0)</f>
        <v>0</v>
      </c>
      <c r="V80" s="34">
        <f>VLOOKUP(A80,'SSP_March''19'!$A$3:$X$1193,22,0)</f>
        <v>1</v>
      </c>
      <c r="W80" s="34">
        <f>VLOOKUP(A80,'SSP_March''19'!$A$3:$X$1193,23,0)</f>
        <v>0</v>
      </c>
      <c r="X80" s="34">
        <f>VLOOKUP(A80,'SSP_March''19'!$A$3:$X$1193,24,0)</f>
        <v>0</v>
      </c>
    </row>
    <row r="81" spans="1:24">
      <c r="A81" s="34" t="s">
        <v>1567</v>
      </c>
      <c r="B81" s="34" t="s">
        <v>1568</v>
      </c>
      <c r="C81" s="34" t="s">
        <v>113</v>
      </c>
      <c r="D81" s="34" t="s">
        <v>102</v>
      </c>
      <c r="E81" s="34" t="s">
        <v>6</v>
      </c>
      <c r="F81" s="34" t="s">
        <v>1569</v>
      </c>
      <c r="G81" s="54">
        <v>1920622160</v>
      </c>
      <c r="H81" s="54" t="s">
        <v>229</v>
      </c>
      <c r="I81" s="54" t="s">
        <v>3522</v>
      </c>
      <c r="J81" s="34" t="s">
        <v>3419</v>
      </c>
      <c r="K81" s="43">
        <f>VLOOKUP(A81,'SSP_March''19'!$A$3:$L$1193,11,0)</f>
        <v>520926</v>
      </c>
      <c r="L81" s="43">
        <f>VLOOKUP(A81,'SSP_March''19'!$A$3:$L$1193,12,0)</f>
        <v>202029</v>
      </c>
      <c r="M81" s="44">
        <f t="shared" si="6"/>
        <v>0.38782667787747205</v>
      </c>
      <c r="N81" s="49">
        <f>ROUND(VLOOKUP(A81,'SSP_March''19'!$A$3:$N$1193,14,0),0)</f>
        <v>626290</v>
      </c>
      <c r="O81" s="44">
        <f t="shared" si="7"/>
        <v>1.2022628933860087</v>
      </c>
      <c r="P81" s="45">
        <f>VLOOKUP(A81,'SSP_March''19'!$A$3:$Q$1193,16,0)</f>
        <v>24</v>
      </c>
      <c r="Q81" s="34">
        <f>VLOOKUP(A81,'SSP_March''19'!$A$3:$Q$1193,17,0)</f>
        <v>10</v>
      </c>
      <c r="R81" s="35">
        <f t="shared" si="8"/>
        <v>0.41666666666666669</v>
      </c>
      <c r="S81" s="49">
        <f>ROUND(VLOOKUP(A81,'SSP_March''19'!$A$3:$T$1193,19,0),0)</f>
        <v>31</v>
      </c>
      <c r="T81" s="44">
        <f>VLOOKUP(A81,'SSP_March''19'!$A$3:$T$1193,20,0)</f>
        <v>1.2916666666666667</v>
      </c>
      <c r="U81" s="34">
        <f>VLOOKUP(A81,'SSP_March''19'!$A$3:$X$1193,21,0)</f>
        <v>1</v>
      </c>
      <c r="V81" s="34">
        <f>VLOOKUP(A81,'SSP_March''19'!$A$3:$X$1193,22,0)</f>
        <v>1</v>
      </c>
      <c r="W81" s="34">
        <f>VLOOKUP(A81,'SSP_March''19'!$A$3:$X$1193,23,0)</f>
        <v>0</v>
      </c>
      <c r="X81" s="34">
        <f>VLOOKUP(A81,'SSP_March''19'!$A$3:$X$1193,24,0)</f>
        <v>1</v>
      </c>
    </row>
    <row r="82" spans="1:24">
      <c r="A82" s="34" t="s">
        <v>3224</v>
      </c>
      <c r="B82" s="34" t="s">
        <v>3225</v>
      </c>
      <c r="C82" s="34" t="s">
        <v>113</v>
      </c>
      <c r="D82" s="34" t="s">
        <v>102</v>
      </c>
      <c r="E82" s="34" t="s">
        <v>6</v>
      </c>
      <c r="F82" s="34" t="s">
        <v>254</v>
      </c>
      <c r="G82" s="54">
        <v>1724126789</v>
      </c>
      <c r="H82" s="54" t="s">
        <v>229</v>
      </c>
      <c r="I82" s="54" t="s">
        <v>3514</v>
      </c>
      <c r="J82" s="34" t="s">
        <v>3421</v>
      </c>
      <c r="K82" s="43">
        <f>VLOOKUP(A82,'SSP_March''19'!$A$3:$L$1193,11,0)</f>
        <v>130000</v>
      </c>
      <c r="L82" s="43">
        <f>VLOOKUP(A82,'SSP_March''19'!$A$3:$L$1193,12,0)</f>
        <v>9080</v>
      </c>
      <c r="M82" s="44">
        <f t="shared" si="6"/>
        <v>6.9846153846153849E-2</v>
      </c>
      <c r="N82" s="49">
        <f>ROUND(VLOOKUP(A82,'SSP_March''19'!$A$3:$N$1193,14,0),0)</f>
        <v>28148</v>
      </c>
      <c r="O82" s="44">
        <f t="shared" si="7"/>
        <v>0.21652307692307693</v>
      </c>
      <c r="P82" s="45">
        <f>VLOOKUP(A82,'SSP_March''19'!$A$3:$Q$1193,16,0)</f>
        <v>10</v>
      </c>
      <c r="Q82" s="34">
        <f>VLOOKUP(A82,'SSP_March''19'!$A$3:$Q$1193,17,0)</f>
        <v>0</v>
      </c>
      <c r="R82" s="35">
        <f t="shared" si="8"/>
        <v>0</v>
      </c>
      <c r="S82" s="49">
        <f>ROUND(VLOOKUP(A82,'SSP_March''19'!$A$3:$T$1193,19,0),0)</f>
        <v>0</v>
      </c>
      <c r="T82" s="44">
        <f>VLOOKUP(A82,'SSP_March''19'!$A$3:$T$1193,20,0)</f>
        <v>0</v>
      </c>
      <c r="U82" s="34">
        <f>VLOOKUP(A82,'SSP_March''19'!$A$3:$X$1193,21,0)</f>
        <v>0</v>
      </c>
      <c r="V82" s="34">
        <f>VLOOKUP(A82,'SSP_March''19'!$A$3:$X$1193,22,0)</f>
        <v>0</v>
      </c>
      <c r="W82" s="34">
        <f>VLOOKUP(A82,'SSP_March''19'!$A$3:$X$1193,23,0)</f>
        <v>0</v>
      </c>
      <c r="X82" s="34">
        <f>VLOOKUP(A82,'SSP_March''19'!$A$3:$X$1193,24,0)</f>
        <v>0</v>
      </c>
    </row>
    <row r="83" spans="1:24">
      <c r="A83" s="34" t="s">
        <v>1731</v>
      </c>
      <c r="B83" s="34" t="s">
        <v>1732</v>
      </c>
      <c r="C83" s="34" t="s">
        <v>113</v>
      </c>
      <c r="D83" s="34" t="s">
        <v>102</v>
      </c>
      <c r="E83" s="34" t="s">
        <v>6</v>
      </c>
      <c r="F83" s="34" t="s">
        <v>1733</v>
      </c>
      <c r="G83" s="54">
        <v>1712383829</v>
      </c>
      <c r="H83" s="54" t="s">
        <v>229</v>
      </c>
      <c r="I83" s="54" t="s">
        <v>3514</v>
      </c>
      <c r="J83" s="34" t="s">
        <v>3421</v>
      </c>
      <c r="K83" s="43">
        <f>VLOOKUP(A83,'SSP_March''19'!$A$3:$L$1193,11,0)</f>
        <v>130000</v>
      </c>
      <c r="L83" s="43">
        <f>VLOOKUP(A83,'SSP_March''19'!$A$3:$L$1193,12,0)</f>
        <v>47720</v>
      </c>
      <c r="M83" s="44">
        <f t="shared" si="6"/>
        <v>0.36707692307692308</v>
      </c>
      <c r="N83" s="49">
        <f>ROUND(VLOOKUP(A83,'SSP_March''19'!$A$3:$N$1193,14,0),0)</f>
        <v>147932</v>
      </c>
      <c r="O83" s="44">
        <f t="shared" si="7"/>
        <v>1.1379384615384616</v>
      </c>
      <c r="P83" s="45">
        <f>VLOOKUP(A83,'SSP_March''19'!$A$3:$Q$1193,16,0)</f>
        <v>10</v>
      </c>
      <c r="Q83" s="34">
        <f>VLOOKUP(A83,'SSP_March''19'!$A$3:$Q$1193,17,0)</f>
        <v>4</v>
      </c>
      <c r="R83" s="35">
        <f t="shared" si="8"/>
        <v>0.4</v>
      </c>
      <c r="S83" s="49">
        <f>ROUND(VLOOKUP(A83,'SSP_March''19'!$A$3:$T$1193,19,0),0)</f>
        <v>12</v>
      </c>
      <c r="T83" s="44">
        <f>VLOOKUP(A83,'SSP_March''19'!$A$3:$T$1193,20,0)</f>
        <v>1.2</v>
      </c>
      <c r="U83" s="34">
        <f>VLOOKUP(A83,'SSP_March''19'!$A$3:$X$1193,21,0)</f>
        <v>1</v>
      </c>
      <c r="V83" s="34">
        <f>VLOOKUP(A83,'SSP_March''19'!$A$3:$X$1193,22,0)</f>
        <v>0</v>
      </c>
      <c r="W83" s="34">
        <f>VLOOKUP(A83,'SSP_March''19'!$A$3:$X$1193,23,0)</f>
        <v>1</v>
      </c>
      <c r="X83" s="34">
        <f>VLOOKUP(A83,'SSP_March''19'!$A$3:$X$1193,24,0)</f>
        <v>0</v>
      </c>
    </row>
    <row r="84" spans="1:24">
      <c r="A84" s="34" t="s">
        <v>1594</v>
      </c>
      <c r="B84" s="34" t="s">
        <v>1595</v>
      </c>
      <c r="C84" s="34" t="s">
        <v>113</v>
      </c>
      <c r="D84" s="34" t="s">
        <v>102</v>
      </c>
      <c r="E84" s="34" t="s">
        <v>6</v>
      </c>
      <c r="F84" s="34" t="s">
        <v>1596</v>
      </c>
      <c r="G84" s="54">
        <v>1719285048</v>
      </c>
      <c r="H84" s="54" t="s">
        <v>229</v>
      </c>
      <c r="I84" s="54" t="s">
        <v>3514</v>
      </c>
      <c r="J84" s="34" t="s">
        <v>3419</v>
      </c>
      <c r="K84" s="43">
        <f>VLOOKUP(A84,'SSP_March''19'!$A$3:$L$1193,11,0)</f>
        <v>130000</v>
      </c>
      <c r="L84" s="43">
        <f>VLOOKUP(A84,'SSP_March''19'!$A$3:$L$1193,12,0)</f>
        <v>23410</v>
      </c>
      <c r="M84" s="44">
        <f t="shared" si="6"/>
        <v>0.18007692307692308</v>
      </c>
      <c r="N84" s="49">
        <f>ROUND(VLOOKUP(A84,'SSP_March''19'!$A$3:$N$1193,14,0),0)</f>
        <v>72571</v>
      </c>
      <c r="O84" s="44">
        <f t="shared" si="7"/>
        <v>0.55823846153846157</v>
      </c>
      <c r="P84" s="45">
        <f>VLOOKUP(A84,'SSP_March''19'!$A$3:$Q$1193,16,0)</f>
        <v>10</v>
      </c>
      <c r="Q84" s="34">
        <f>VLOOKUP(A84,'SSP_March''19'!$A$3:$Q$1193,17,0)</f>
        <v>1</v>
      </c>
      <c r="R84" s="35">
        <f t="shared" si="8"/>
        <v>0.1</v>
      </c>
      <c r="S84" s="49">
        <f>ROUND(VLOOKUP(A84,'SSP_March''19'!$A$3:$T$1193,19,0),0)</f>
        <v>3</v>
      </c>
      <c r="T84" s="44">
        <f>VLOOKUP(A84,'SSP_March''19'!$A$3:$T$1193,20,0)</f>
        <v>0.3</v>
      </c>
      <c r="U84" s="34">
        <f>VLOOKUP(A84,'SSP_March''19'!$A$3:$X$1193,21,0)</f>
        <v>0</v>
      </c>
      <c r="V84" s="34">
        <f>VLOOKUP(A84,'SSP_March''19'!$A$3:$X$1193,22,0)</f>
        <v>0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34" t="s">
        <v>1623</v>
      </c>
      <c r="B85" s="34" t="s">
        <v>1624</v>
      </c>
      <c r="C85" s="34" t="s">
        <v>113</v>
      </c>
      <c r="D85" s="34" t="s">
        <v>102</v>
      </c>
      <c r="E85" s="34" t="s">
        <v>6</v>
      </c>
      <c r="F85" s="34" t="s">
        <v>1625</v>
      </c>
      <c r="G85" s="54">
        <v>1945605382</v>
      </c>
      <c r="H85" s="54" t="s">
        <v>229</v>
      </c>
      <c r="I85" s="54" t="s">
        <v>3514</v>
      </c>
      <c r="J85" s="34" t="s">
        <v>3421</v>
      </c>
      <c r="K85" s="43">
        <f>VLOOKUP(A85,'SSP_March''19'!$A$3:$L$1193,11,0)</f>
        <v>130000</v>
      </c>
      <c r="L85" s="43">
        <f>VLOOKUP(A85,'SSP_March''19'!$A$3:$L$1193,12,0)</f>
        <v>17829</v>
      </c>
      <c r="M85" s="44">
        <f t="shared" si="6"/>
        <v>0.13714615384615383</v>
      </c>
      <c r="N85" s="49">
        <f>ROUND(VLOOKUP(A85,'SSP_March''19'!$A$3:$N$1193,14,0),0)</f>
        <v>55270</v>
      </c>
      <c r="O85" s="44">
        <f t="shared" si="7"/>
        <v>0.42515384615384616</v>
      </c>
      <c r="P85" s="45">
        <f>VLOOKUP(A85,'SSP_March''19'!$A$3:$Q$1193,16,0)</f>
        <v>10</v>
      </c>
      <c r="Q85" s="34">
        <f>VLOOKUP(A85,'SSP_March''19'!$A$3:$Q$1193,17,0)</f>
        <v>1</v>
      </c>
      <c r="R85" s="35">
        <f t="shared" si="8"/>
        <v>0.1</v>
      </c>
      <c r="S85" s="49">
        <f>ROUND(VLOOKUP(A85,'SSP_March''19'!$A$3:$T$1193,19,0),0)</f>
        <v>3</v>
      </c>
      <c r="T85" s="44">
        <f>VLOOKUP(A85,'SSP_March''19'!$A$3:$T$1193,20,0)</f>
        <v>0.3</v>
      </c>
      <c r="U85" s="34">
        <f>VLOOKUP(A85,'SSP_March''19'!$A$3:$X$1193,21,0)</f>
        <v>0</v>
      </c>
      <c r="V85" s="34">
        <f>VLOOKUP(A85,'SSP_March''19'!$A$3:$X$1193,22,0)</f>
        <v>0</v>
      </c>
      <c r="W85" s="34">
        <f>VLOOKUP(A85,'SSP_March''19'!$A$3:$X$1193,23,0)</f>
        <v>0</v>
      </c>
      <c r="X85" s="34">
        <f>VLOOKUP(A85,'SSP_March''19'!$A$3:$X$1193,24,0)</f>
        <v>0</v>
      </c>
    </row>
    <row r="86" spans="1:24">
      <c r="A86" s="34" t="s">
        <v>1570</v>
      </c>
      <c r="B86" s="34" t="s">
        <v>1571</v>
      </c>
      <c r="C86" s="34" t="s">
        <v>113</v>
      </c>
      <c r="D86" s="34" t="s">
        <v>102</v>
      </c>
      <c r="E86" s="34" t="s">
        <v>6</v>
      </c>
      <c r="F86" s="34" t="s">
        <v>1572</v>
      </c>
      <c r="G86" s="54">
        <v>1711398333</v>
      </c>
      <c r="H86" s="54" t="s">
        <v>229</v>
      </c>
      <c r="I86" s="54" t="s">
        <v>3514</v>
      </c>
      <c r="J86" s="34" t="s">
        <v>3419</v>
      </c>
      <c r="K86" s="43">
        <f>VLOOKUP(A86,'SSP_March''19'!$A$3:$L$1193,11,0)</f>
        <v>182716</v>
      </c>
      <c r="L86" s="43">
        <f>VLOOKUP(A86,'SSP_March''19'!$A$3:$L$1193,12,0)</f>
        <v>96530</v>
      </c>
      <c r="M86" s="44">
        <f t="shared" si="6"/>
        <v>0.52830622386654702</v>
      </c>
      <c r="N86" s="49">
        <f>ROUND(VLOOKUP(A86,'SSP_March''19'!$A$3:$N$1193,14,0),0)</f>
        <v>299243</v>
      </c>
      <c r="O86" s="44">
        <f t="shared" si="7"/>
        <v>1.6377492939862957</v>
      </c>
      <c r="P86" s="45">
        <f>VLOOKUP(A86,'SSP_March''19'!$A$3:$Q$1193,16,0)</f>
        <v>10</v>
      </c>
      <c r="Q86" s="34">
        <f>VLOOKUP(A86,'SSP_March''19'!$A$3:$Q$1193,17,0)</f>
        <v>2</v>
      </c>
      <c r="R86" s="35">
        <f t="shared" si="8"/>
        <v>0.2</v>
      </c>
      <c r="S86" s="49">
        <f>ROUND(VLOOKUP(A86,'SSP_March''19'!$A$3:$T$1193,19,0),0)</f>
        <v>6</v>
      </c>
      <c r="T86" s="44">
        <f>VLOOKUP(A86,'SSP_March''19'!$A$3:$T$1193,20,0)</f>
        <v>0.6</v>
      </c>
      <c r="U86" s="34">
        <f>VLOOKUP(A86,'SSP_March''19'!$A$3:$X$1193,21,0)</f>
        <v>1</v>
      </c>
      <c r="V86" s="34">
        <f>VLOOKUP(A86,'SSP_March''19'!$A$3:$X$1193,22,0)</f>
        <v>1</v>
      </c>
      <c r="W86" s="34">
        <f>VLOOKUP(A86,'SSP_March''19'!$A$3:$X$1193,23,0)</f>
        <v>0</v>
      </c>
      <c r="X86" s="34">
        <f>VLOOKUP(A86,'SSP_March''19'!$A$3:$X$1193,24,0)</f>
        <v>0</v>
      </c>
    </row>
    <row r="87" spans="1:24">
      <c r="A87" s="34" t="s">
        <v>1781</v>
      </c>
      <c r="B87" s="34" t="s">
        <v>1782</v>
      </c>
      <c r="C87" s="34" t="s">
        <v>113</v>
      </c>
      <c r="D87" s="34" t="s">
        <v>102</v>
      </c>
      <c r="E87" s="34" t="s">
        <v>6</v>
      </c>
      <c r="F87" s="34" t="s">
        <v>1783</v>
      </c>
      <c r="G87" s="54">
        <v>1718886464</v>
      </c>
      <c r="H87" s="54" t="s">
        <v>229</v>
      </c>
      <c r="I87" s="54" t="s">
        <v>3514</v>
      </c>
      <c r="J87" s="34" t="s">
        <v>3515</v>
      </c>
      <c r="K87" s="43">
        <f>VLOOKUP(A87,'SSP_March''19'!$A$3:$L$1193,11,0)</f>
        <v>130000</v>
      </c>
      <c r="L87" s="43">
        <f>VLOOKUP(A87,'SSP_March''19'!$A$3:$L$1193,12,0)</f>
        <v>4190</v>
      </c>
      <c r="M87" s="44">
        <f t="shared" si="6"/>
        <v>3.223076923076923E-2</v>
      </c>
      <c r="N87" s="49">
        <f>ROUND(VLOOKUP(A87,'SSP_March''19'!$A$3:$N$1193,14,0),0)</f>
        <v>12989</v>
      </c>
      <c r="O87" s="44">
        <f t="shared" si="7"/>
        <v>9.9915384615384614E-2</v>
      </c>
      <c r="P87" s="45">
        <f>VLOOKUP(A87,'SSP_March''19'!$A$3:$Q$1193,16,0)</f>
        <v>10</v>
      </c>
      <c r="Q87" s="34">
        <f>VLOOKUP(A87,'SSP_March''19'!$A$3:$Q$1193,17,0)</f>
        <v>0</v>
      </c>
      <c r="R87" s="35">
        <f t="shared" si="8"/>
        <v>0</v>
      </c>
      <c r="S87" s="49">
        <f>ROUND(VLOOKUP(A87,'SSP_March''19'!$A$3:$T$1193,19,0),0)</f>
        <v>0</v>
      </c>
      <c r="T87" s="44">
        <f>VLOOKUP(A87,'SSP_March''19'!$A$3:$T$1193,20,0)</f>
        <v>0</v>
      </c>
      <c r="U87" s="34">
        <f>VLOOKUP(A87,'SSP_March''19'!$A$3:$X$1193,21,0)</f>
        <v>0</v>
      </c>
      <c r="V87" s="34">
        <f>VLOOKUP(A87,'SSP_March''19'!$A$3:$X$1193,22,0)</f>
        <v>0</v>
      </c>
      <c r="W87" s="34">
        <f>VLOOKUP(A87,'SSP_March''19'!$A$3:$X$1193,23,0)</f>
        <v>0</v>
      </c>
      <c r="X87" s="34">
        <f>VLOOKUP(A87,'SSP_March''19'!$A$3:$X$1193,24,0)</f>
        <v>0</v>
      </c>
    </row>
    <row r="88" spans="1:24">
      <c r="A88" s="34" t="s">
        <v>1573</v>
      </c>
      <c r="B88" s="34" t="s">
        <v>1574</v>
      </c>
      <c r="C88" s="34" t="s">
        <v>113</v>
      </c>
      <c r="D88" s="34" t="s">
        <v>102</v>
      </c>
      <c r="E88" s="34" t="s">
        <v>6</v>
      </c>
      <c r="F88" s="34" t="s">
        <v>1575</v>
      </c>
      <c r="G88" s="54">
        <v>1734131415</v>
      </c>
      <c r="H88" s="54" t="s">
        <v>229</v>
      </c>
      <c r="I88" s="54" t="s">
        <v>3514</v>
      </c>
      <c r="J88" s="34" t="s">
        <v>3419</v>
      </c>
      <c r="K88" s="43">
        <f>VLOOKUP(A88,'SSP_March''19'!$A$3:$L$1193,11,0)</f>
        <v>130000</v>
      </c>
      <c r="L88" s="43">
        <f>VLOOKUP(A88,'SSP_March''19'!$A$3:$L$1193,12,0)</f>
        <v>30500</v>
      </c>
      <c r="M88" s="44">
        <f t="shared" si="6"/>
        <v>0.23461538461538461</v>
      </c>
      <c r="N88" s="49">
        <f>ROUND(VLOOKUP(A88,'SSP_March''19'!$A$3:$N$1193,14,0),0)</f>
        <v>94550</v>
      </c>
      <c r="O88" s="44">
        <f t="shared" si="7"/>
        <v>0.72730769230769232</v>
      </c>
      <c r="P88" s="45">
        <f>VLOOKUP(A88,'SSP_March''19'!$A$3:$Q$1193,16,0)</f>
        <v>10</v>
      </c>
      <c r="Q88" s="34">
        <f>VLOOKUP(A88,'SSP_March''19'!$A$3:$Q$1193,17,0)</f>
        <v>1</v>
      </c>
      <c r="R88" s="35">
        <f t="shared" si="8"/>
        <v>0.1</v>
      </c>
      <c r="S88" s="49">
        <f>ROUND(VLOOKUP(A88,'SSP_March''19'!$A$3:$T$1193,19,0),0)</f>
        <v>3</v>
      </c>
      <c r="T88" s="44">
        <f>VLOOKUP(A88,'SSP_March''19'!$A$3:$T$1193,20,0)</f>
        <v>0.3</v>
      </c>
      <c r="U88" s="34">
        <f>VLOOKUP(A88,'SSP_March''19'!$A$3:$X$1193,21,0)</f>
        <v>1</v>
      </c>
      <c r="V88" s="34">
        <f>VLOOKUP(A88,'SSP_March''19'!$A$3:$X$1193,22,0)</f>
        <v>0</v>
      </c>
      <c r="W88" s="34">
        <f>VLOOKUP(A88,'SSP_March''19'!$A$3:$X$1193,23,0)</f>
        <v>0</v>
      </c>
      <c r="X88" s="34">
        <f>VLOOKUP(A88,'SSP_March''19'!$A$3:$X$1193,24,0)</f>
        <v>1</v>
      </c>
    </row>
    <row r="89" spans="1:24">
      <c r="A89" s="34" t="s">
        <v>1608</v>
      </c>
      <c r="B89" s="34" t="s">
        <v>1609</v>
      </c>
      <c r="C89" s="34" t="s">
        <v>113</v>
      </c>
      <c r="D89" s="34" t="s">
        <v>102</v>
      </c>
      <c r="E89" s="34" t="s">
        <v>6</v>
      </c>
      <c r="F89" s="34" t="s">
        <v>1610</v>
      </c>
      <c r="G89" s="54">
        <v>1744553559</v>
      </c>
      <c r="H89" s="54" t="s">
        <v>229</v>
      </c>
      <c r="I89" s="54" t="s">
        <v>3514</v>
      </c>
      <c r="J89" s="34" t="s">
        <v>3421</v>
      </c>
      <c r="K89" s="43">
        <f>VLOOKUP(A89,'SSP_March''19'!$A$3:$L$1193,11,0)</f>
        <v>130000</v>
      </c>
      <c r="L89" s="43">
        <f>VLOOKUP(A89,'SSP_March''19'!$A$3:$L$1193,12,0)</f>
        <v>17930</v>
      </c>
      <c r="M89" s="44">
        <f t="shared" si="6"/>
        <v>0.13792307692307693</v>
      </c>
      <c r="N89" s="49">
        <f>ROUND(VLOOKUP(A89,'SSP_March''19'!$A$3:$N$1193,14,0),0)</f>
        <v>55583</v>
      </c>
      <c r="O89" s="44">
        <f t="shared" si="7"/>
        <v>0.42756153846153844</v>
      </c>
      <c r="P89" s="45">
        <f>VLOOKUP(A89,'SSP_March''19'!$A$3:$Q$1193,16,0)</f>
        <v>10</v>
      </c>
      <c r="Q89" s="34">
        <f>VLOOKUP(A89,'SSP_March''19'!$A$3:$Q$1193,17,0)</f>
        <v>1</v>
      </c>
      <c r="R89" s="35">
        <f t="shared" si="8"/>
        <v>0.1</v>
      </c>
      <c r="S89" s="49">
        <f>ROUND(VLOOKUP(A89,'SSP_March''19'!$A$3:$T$1193,19,0),0)</f>
        <v>3</v>
      </c>
      <c r="T89" s="44">
        <f>VLOOKUP(A89,'SSP_March''19'!$A$3:$T$1193,20,0)</f>
        <v>0.3</v>
      </c>
      <c r="U89" s="34">
        <f>VLOOKUP(A89,'SSP_March''19'!$A$3:$X$1193,21,0)</f>
        <v>1</v>
      </c>
      <c r="V89" s="34">
        <f>VLOOKUP(A89,'SSP_March''19'!$A$3:$X$1193,22,0)</f>
        <v>0</v>
      </c>
      <c r="W89" s="34">
        <f>VLOOKUP(A89,'SSP_March''19'!$A$3:$X$1193,23,0)</f>
        <v>0</v>
      </c>
      <c r="X89" s="34">
        <f>VLOOKUP(A89,'SSP_March''19'!$A$3:$X$1193,24,0)</f>
        <v>0</v>
      </c>
    </row>
    <row r="90" spans="1:24">
      <c r="A90" s="34" t="s">
        <v>1561</v>
      </c>
      <c r="B90" s="34" t="s">
        <v>1562</v>
      </c>
      <c r="C90" s="34" t="s">
        <v>113</v>
      </c>
      <c r="D90" s="34" t="s">
        <v>102</v>
      </c>
      <c r="E90" s="34" t="s">
        <v>6</v>
      </c>
      <c r="F90" s="34" t="s">
        <v>1563</v>
      </c>
      <c r="G90" s="54">
        <v>1721662698</v>
      </c>
      <c r="H90" s="54" t="s">
        <v>229</v>
      </c>
      <c r="I90" s="54" t="s">
        <v>3514</v>
      </c>
      <c r="J90" s="34" t="s">
        <v>3515</v>
      </c>
      <c r="K90" s="43">
        <f>VLOOKUP(A90,'SSP_March''19'!$A$3:$L$1193,11,0)</f>
        <v>130000</v>
      </c>
      <c r="L90" s="43">
        <f>VLOOKUP(A90,'SSP_March''19'!$A$3:$L$1193,12,0)</f>
        <v>25800</v>
      </c>
      <c r="M90" s="44">
        <f t="shared" si="6"/>
        <v>0.19846153846153847</v>
      </c>
      <c r="N90" s="49">
        <f>ROUND(VLOOKUP(A90,'SSP_March''19'!$A$3:$N$1193,14,0),0)</f>
        <v>79980</v>
      </c>
      <c r="O90" s="44">
        <f t="shared" si="7"/>
        <v>0.61523076923076925</v>
      </c>
      <c r="P90" s="45">
        <f>VLOOKUP(A90,'SSP_March''19'!$A$3:$Q$1193,16,0)</f>
        <v>10</v>
      </c>
      <c r="Q90" s="34">
        <f>VLOOKUP(A90,'SSP_March''19'!$A$3:$Q$1193,17,0)</f>
        <v>1</v>
      </c>
      <c r="R90" s="35">
        <f t="shared" si="8"/>
        <v>0.1</v>
      </c>
      <c r="S90" s="49">
        <f>ROUND(VLOOKUP(A90,'SSP_March''19'!$A$3:$T$1193,19,0),0)</f>
        <v>3</v>
      </c>
      <c r="T90" s="44">
        <f>VLOOKUP(A90,'SSP_March''19'!$A$3:$T$1193,20,0)</f>
        <v>0.3</v>
      </c>
      <c r="U90" s="34">
        <f>VLOOKUP(A90,'SSP_March''19'!$A$3:$X$1193,21,0)</f>
        <v>0</v>
      </c>
      <c r="V90" s="34">
        <f>VLOOKUP(A90,'SSP_March''19'!$A$3:$X$1193,22,0)</f>
        <v>0</v>
      </c>
      <c r="W90" s="34">
        <f>VLOOKUP(A90,'SSP_March''19'!$A$3:$X$1193,23,0)</f>
        <v>0</v>
      </c>
      <c r="X90" s="34">
        <f>VLOOKUP(A90,'SSP_March''19'!$A$3:$X$1193,24,0)</f>
        <v>0</v>
      </c>
    </row>
    <row r="91" spans="1:24">
      <c r="A91" s="34" t="s">
        <v>1656</v>
      </c>
      <c r="B91" s="34" t="s">
        <v>1657</v>
      </c>
      <c r="C91" s="34" t="s">
        <v>99</v>
      </c>
      <c r="D91" s="34" t="s">
        <v>100</v>
      </c>
      <c r="E91" s="34" t="s">
        <v>6</v>
      </c>
      <c r="F91" s="34" t="s">
        <v>1658</v>
      </c>
      <c r="G91" s="54">
        <v>1956895525</v>
      </c>
      <c r="H91" s="54" t="s">
        <v>229</v>
      </c>
      <c r="I91" s="54" t="s">
        <v>3514</v>
      </c>
      <c r="J91" s="34" t="s">
        <v>3421</v>
      </c>
      <c r="K91" s="43">
        <f>VLOOKUP(A91,'SSP_March''19'!$A$3:$L$1193,11,0)</f>
        <v>130000</v>
      </c>
      <c r="L91" s="43">
        <f>VLOOKUP(A91,'SSP_March''19'!$A$3:$L$1193,12,0)</f>
        <v>13180</v>
      </c>
      <c r="M91" s="44">
        <f t="shared" si="6"/>
        <v>0.10138461538461538</v>
      </c>
      <c r="N91" s="49">
        <f>ROUND(VLOOKUP(A91,'SSP_March''19'!$A$3:$N$1193,14,0),0)</f>
        <v>40858</v>
      </c>
      <c r="O91" s="44">
        <f t="shared" si="7"/>
        <v>0.3142923076923077</v>
      </c>
      <c r="P91" s="45">
        <f>VLOOKUP(A91,'SSP_March''19'!$A$3:$Q$1193,16,0)</f>
        <v>10</v>
      </c>
      <c r="Q91" s="34">
        <f>VLOOKUP(A91,'SSP_March''19'!$A$3:$Q$1193,17,0)</f>
        <v>1</v>
      </c>
      <c r="R91" s="35">
        <f t="shared" si="8"/>
        <v>0.1</v>
      </c>
      <c r="S91" s="49">
        <f>ROUND(VLOOKUP(A91,'SSP_March''19'!$A$3:$T$1193,19,0),0)</f>
        <v>3</v>
      </c>
      <c r="T91" s="44">
        <f>VLOOKUP(A91,'SSP_March''19'!$A$3:$T$1193,20,0)</f>
        <v>0.3</v>
      </c>
      <c r="U91" s="34">
        <f>VLOOKUP(A91,'SSP_March''19'!$A$3:$X$1193,21,0)</f>
        <v>0</v>
      </c>
      <c r="V91" s="34">
        <f>VLOOKUP(A91,'SSP_March''19'!$A$3:$X$1193,22,0)</f>
        <v>0</v>
      </c>
      <c r="W91" s="34">
        <f>VLOOKUP(A91,'SSP_March''19'!$A$3:$X$1193,23,0)</f>
        <v>0</v>
      </c>
      <c r="X91" s="34">
        <f>VLOOKUP(A91,'SSP_March''19'!$A$3:$X$1193,24,0)</f>
        <v>0</v>
      </c>
    </row>
    <row r="92" spans="1:24">
      <c r="A92" s="34" t="s">
        <v>1535</v>
      </c>
      <c r="B92" s="34" t="s">
        <v>1536</v>
      </c>
      <c r="C92" s="34" t="s">
        <v>99</v>
      </c>
      <c r="D92" s="34" t="s">
        <v>100</v>
      </c>
      <c r="E92" s="34" t="s">
        <v>6</v>
      </c>
      <c r="F92" s="34" t="s">
        <v>1537</v>
      </c>
      <c r="G92" s="54">
        <v>1944326251</v>
      </c>
      <c r="H92" s="54" t="s">
        <v>229</v>
      </c>
      <c r="I92" s="54" t="s">
        <v>3514</v>
      </c>
      <c r="J92" s="34" t="s">
        <v>3419</v>
      </c>
      <c r="K92" s="43">
        <f>VLOOKUP(A92,'SSP_March''19'!$A$3:$L$1193,11,0)</f>
        <v>218388</v>
      </c>
      <c r="L92" s="43">
        <f>VLOOKUP(A92,'SSP_March''19'!$A$3:$L$1193,12,0)</f>
        <v>83960</v>
      </c>
      <c r="M92" s="44">
        <f t="shared" si="6"/>
        <v>0.38445335824312693</v>
      </c>
      <c r="N92" s="49">
        <f>ROUND(VLOOKUP(A92,'SSP_March''19'!$A$3:$N$1193,14,0),0)</f>
        <v>260276</v>
      </c>
      <c r="O92" s="44">
        <f t="shared" si="7"/>
        <v>1.1918054105536935</v>
      </c>
      <c r="P92" s="45">
        <f>VLOOKUP(A92,'SSP_March''19'!$A$3:$Q$1193,16,0)</f>
        <v>10</v>
      </c>
      <c r="Q92" s="34">
        <f>VLOOKUP(A92,'SSP_March''19'!$A$3:$Q$1193,17,0)</f>
        <v>4</v>
      </c>
      <c r="R92" s="35">
        <f t="shared" si="8"/>
        <v>0.4</v>
      </c>
      <c r="S92" s="49">
        <f>ROUND(VLOOKUP(A92,'SSP_March''19'!$A$3:$T$1193,19,0),0)</f>
        <v>12</v>
      </c>
      <c r="T92" s="44">
        <f>VLOOKUP(A92,'SSP_March''19'!$A$3:$T$1193,20,0)</f>
        <v>1.2</v>
      </c>
      <c r="U92" s="34">
        <f>VLOOKUP(A92,'SSP_March''19'!$A$3:$X$1193,21,0)</f>
        <v>0</v>
      </c>
      <c r="V92" s="34">
        <f>VLOOKUP(A92,'SSP_March''19'!$A$3:$X$1193,22,0)</f>
        <v>1</v>
      </c>
      <c r="W92" s="34">
        <f>VLOOKUP(A92,'SSP_March''19'!$A$3:$X$1193,23,0)</f>
        <v>1</v>
      </c>
      <c r="X92" s="34">
        <f>VLOOKUP(A92,'SSP_March''19'!$A$3:$X$1193,24,0)</f>
        <v>1</v>
      </c>
    </row>
    <row r="93" spans="1:24">
      <c r="A93" s="34" t="s">
        <v>2904</v>
      </c>
      <c r="B93" s="34" t="s">
        <v>2905</v>
      </c>
      <c r="C93" s="34" t="s">
        <v>99</v>
      </c>
      <c r="D93" s="34" t="s">
        <v>100</v>
      </c>
      <c r="E93" s="34" t="s">
        <v>6</v>
      </c>
      <c r="F93" s="34" t="s">
        <v>276</v>
      </c>
      <c r="G93" s="54">
        <v>1930893786</v>
      </c>
      <c r="H93" s="54" t="s">
        <v>229</v>
      </c>
      <c r="I93" s="54" t="s">
        <v>3514</v>
      </c>
      <c r="J93" s="34" t="s">
        <v>3419</v>
      </c>
      <c r="K93" s="43">
        <f>VLOOKUP(A93,'SSP_March''19'!$A$3:$L$1193,11,0)</f>
        <v>130000</v>
      </c>
      <c r="L93" s="43">
        <f>VLOOKUP(A93,'SSP_March''19'!$A$3:$L$1193,12,0)</f>
        <v>39470</v>
      </c>
      <c r="M93" s="44">
        <f t="shared" si="6"/>
        <v>0.30361538461538462</v>
      </c>
      <c r="N93" s="49">
        <f>ROUND(VLOOKUP(A93,'SSP_March''19'!$A$3:$N$1193,14,0),0)</f>
        <v>122357</v>
      </c>
      <c r="O93" s="44">
        <f t="shared" si="7"/>
        <v>0.9412076923076923</v>
      </c>
      <c r="P93" s="45">
        <f>VLOOKUP(A93,'SSP_March''19'!$A$3:$Q$1193,16,0)</f>
        <v>10</v>
      </c>
      <c r="Q93" s="34">
        <f>VLOOKUP(A93,'SSP_March''19'!$A$3:$Q$1193,17,0)</f>
        <v>0</v>
      </c>
      <c r="R93" s="35">
        <f t="shared" si="8"/>
        <v>0</v>
      </c>
      <c r="S93" s="49">
        <f>ROUND(VLOOKUP(A93,'SSP_March''19'!$A$3:$T$1193,19,0),0)</f>
        <v>0</v>
      </c>
      <c r="T93" s="44">
        <f>VLOOKUP(A93,'SSP_March''19'!$A$3:$T$1193,20,0)</f>
        <v>0</v>
      </c>
      <c r="U93" s="34">
        <f>VLOOKUP(A93,'SSP_March''19'!$A$3:$X$1193,21,0)</f>
        <v>0</v>
      </c>
      <c r="V93" s="34">
        <f>VLOOKUP(A93,'SSP_March''19'!$A$3:$X$1193,22,0)</f>
        <v>0</v>
      </c>
      <c r="W93" s="34">
        <f>VLOOKUP(A93,'SSP_March''19'!$A$3:$X$1193,23,0)</f>
        <v>0</v>
      </c>
      <c r="X93" s="34">
        <f>VLOOKUP(A93,'SSP_March''19'!$A$3:$X$1193,24,0)</f>
        <v>0</v>
      </c>
    </row>
    <row r="94" spans="1:24">
      <c r="A94" s="34" t="s">
        <v>3009</v>
      </c>
      <c r="B94" s="34" t="s">
        <v>3010</v>
      </c>
      <c r="C94" s="34" t="s">
        <v>99</v>
      </c>
      <c r="D94" s="34" t="s">
        <v>100</v>
      </c>
      <c r="E94" s="34" t="s">
        <v>6</v>
      </c>
      <c r="F94" s="34" t="s">
        <v>3011</v>
      </c>
      <c r="G94" s="54">
        <v>1716837770</v>
      </c>
      <c r="H94" s="54" t="s">
        <v>229</v>
      </c>
      <c r="I94" s="54" t="s">
        <v>3514</v>
      </c>
      <c r="J94" s="34" t="s">
        <v>3419</v>
      </c>
      <c r="K94" s="43">
        <f>VLOOKUP(A94,'SSP_March''19'!$A$3:$L$1193,11,0)</f>
        <v>130000</v>
      </c>
      <c r="L94" s="43">
        <f>VLOOKUP(A94,'SSP_March''19'!$A$3:$L$1193,12,0)</f>
        <v>0</v>
      </c>
      <c r="M94" s="44">
        <f t="shared" si="6"/>
        <v>0</v>
      </c>
      <c r="N94" s="49">
        <f>ROUND(VLOOKUP(A94,'SSP_March''19'!$A$3:$N$1193,14,0),0)</f>
        <v>0</v>
      </c>
      <c r="O94" s="44">
        <f t="shared" si="7"/>
        <v>0</v>
      </c>
      <c r="P94" s="45">
        <f>VLOOKUP(A94,'SSP_March''19'!$A$3:$Q$1193,16,0)</f>
        <v>10</v>
      </c>
      <c r="Q94" s="34">
        <f>VLOOKUP(A94,'SSP_March''19'!$A$3:$Q$1193,17,0)</f>
        <v>0</v>
      </c>
      <c r="R94" s="35">
        <f t="shared" si="8"/>
        <v>0</v>
      </c>
      <c r="S94" s="49">
        <f>ROUND(VLOOKUP(A94,'SSP_March''19'!$A$3:$T$1193,19,0),0)</f>
        <v>0</v>
      </c>
      <c r="T94" s="44">
        <f>VLOOKUP(A94,'SSP_March''19'!$A$3:$T$1193,20,0)</f>
        <v>0</v>
      </c>
      <c r="U94" s="34">
        <f>VLOOKUP(A94,'SSP_March''19'!$A$3:$X$1193,21,0)</f>
        <v>0</v>
      </c>
      <c r="V94" s="34">
        <f>VLOOKUP(A94,'SSP_March''19'!$A$3:$X$1193,22,0)</f>
        <v>0</v>
      </c>
      <c r="W94" s="34">
        <f>VLOOKUP(A94,'SSP_March''19'!$A$3:$X$1193,23,0)</f>
        <v>0</v>
      </c>
      <c r="X94" s="34">
        <f>VLOOKUP(A94,'SSP_March''19'!$A$3:$X$1193,24,0)</f>
        <v>0</v>
      </c>
    </row>
    <row r="95" spans="1:24">
      <c r="A95" s="34" t="s">
        <v>3012</v>
      </c>
      <c r="B95" s="34" t="s">
        <v>3013</v>
      </c>
      <c r="C95" s="34" t="s">
        <v>99</v>
      </c>
      <c r="D95" s="34" t="s">
        <v>100</v>
      </c>
      <c r="E95" s="34" t="s">
        <v>6</v>
      </c>
      <c r="F95" s="34" t="s">
        <v>3014</v>
      </c>
      <c r="G95" s="54">
        <v>1912222991</v>
      </c>
      <c r="H95" s="54" t="s">
        <v>229</v>
      </c>
      <c r="I95" s="54" t="s">
        <v>3514</v>
      </c>
      <c r="J95" s="34" t="s">
        <v>3515</v>
      </c>
      <c r="K95" s="43">
        <f>VLOOKUP(A95,'SSP_March''19'!$A$3:$L$1193,11,0)</f>
        <v>130000</v>
      </c>
      <c r="L95" s="43">
        <f>VLOOKUP(A95,'SSP_March''19'!$A$3:$L$1193,12,0)</f>
        <v>36030</v>
      </c>
      <c r="M95" s="44">
        <f t="shared" si="6"/>
        <v>0.27715384615384614</v>
      </c>
      <c r="N95" s="49">
        <f>ROUND(VLOOKUP(A95,'SSP_March''19'!$A$3:$N$1193,14,0),0)</f>
        <v>111693</v>
      </c>
      <c r="O95" s="44">
        <f t="shared" si="7"/>
        <v>0.85917692307692306</v>
      </c>
      <c r="P95" s="45">
        <f>VLOOKUP(A95,'SSP_March''19'!$A$3:$Q$1193,16,0)</f>
        <v>10</v>
      </c>
      <c r="Q95" s="34">
        <f>VLOOKUP(A95,'SSP_March''19'!$A$3:$Q$1193,17,0)</f>
        <v>1</v>
      </c>
      <c r="R95" s="35">
        <f t="shared" si="8"/>
        <v>0.1</v>
      </c>
      <c r="S95" s="49">
        <f>ROUND(VLOOKUP(A95,'SSP_March''19'!$A$3:$T$1193,19,0),0)</f>
        <v>3</v>
      </c>
      <c r="T95" s="44">
        <f>VLOOKUP(A95,'SSP_March''19'!$A$3:$T$1193,20,0)</f>
        <v>0.3</v>
      </c>
      <c r="U95" s="34">
        <f>VLOOKUP(A95,'SSP_March''19'!$A$3:$X$1193,21,0)</f>
        <v>2</v>
      </c>
      <c r="V95" s="34">
        <f>VLOOKUP(A95,'SSP_March''19'!$A$3:$X$1193,22,0)</f>
        <v>0</v>
      </c>
      <c r="W95" s="34">
        <f>VLOOKUP(A95,'SSP_March''19'!$A$3:$X$1193,23,0)</f>
        <v>0</v>
      </c>
      <c r="X95" s="34">
        <f>VLOOKUP(A95,'SSP_March''19'!$A$3:$X$1193,24,0)</f>
        <v>0</v>
      </c>
    </row>
    <row r="96" spans="1:24">
      <c r="A96" s="34" t="s">
        <v>3086</v>
      </c>
      <c r="B96" s="34" t="s">
        <v>3087</v>
      </c>
      <c r="C96" s="34" t="s">
        <v>99</v>
      </c>
      <c r="D96" s="34" t="s">
        <v>100</v>
      </c>
      <c r="E96" s="34" t="s">
        <v>6</v>
      </c>
      <c r="F96" s="34" t="s">
        <v>3088</v>
      </c>
      <c r="G96" s="54">
        <v>1716062081</v>
      </c>
      <c r="H96" s="54" t="s">
        <v>229</v>
      </c>
      <c r="I96" s="54" t="s">
        <v>3514</v>
      </c>
      <c r="J96" s="34" t="s">
        <v>3421</v>
      </c>
      <c r="K96" s="43">
        <f>VLOOKUP(A96,'SSP_March''19'!$A$3:$L$1193,11,0)</f>
        <v>130000</v>
      </c>
      <c r="L96" s="43">
        <f>VLOOKUP(A96,'SSP_March''19'!$A$3:$L$1193,12,0)</f>
        <v>10080</v>
      </c>
      <c r="M96" s="44">
        <f t="shared" si="6"/>
        <v>7.7538461538461542E-2</v>
      </c>
      <c r="N96" s="49">
        <f>ROUND(VLOOKUP(A96,'SSP_March''19'!$A$3:$N$1193,14,0),0)</f>
        <v>31248</v>
      </c>
      <c r="O96" s="44">
        <f t="shared" si="7"/>
        <v>0.24036923076923078</v>
      </c>
      <c r="P96" s="45">
        <f>VLOOKUP(A96,'SSP_March''19'!$A$3:$Q$1193,16,0)</f>
        <v>10</v>
      </c>
      <c r="Q96" s="34">
        <f>VLOOKUP(A96,'SSP_March''19'!$A$3:$Q$1193,17,0)</f>
        <v>1</v>
      </c>
      <c r="R96" s="35">
        <f t="shared" si="8"/>
        <v>0.1</v>
      </c>
      <c r="S96" s="49">
        <f>ROUND(VLOOKUP(A96,'SSP_March''19'!$A$3:$T$1193,19,0),0)</f>
        <v>3</v>
      </c>
      <c r="T96" s="44">
        <f>VLOOKUP(A96,'SSP_March''19'!$A$3:$T$1193,20,0)</f>
        <v>0.3</v>
      </c>
      <c r="U96" s="34">
        <f>VLOOKUP(A96,'SSP_March''19'!$A$3:$X$1193,21,0)</f>
        <v>0</v>
      </c>
      <c r="V96" s="34">
        <f>VLOOKUP(A96,'SSP_March''19'!$A$3:$X$1193,22,0)</f>
        <v>0</v>
      </c>
      <c r="W96" s="34">
        <f>VLOOKUP(A96,'SSP_March''19'!$A$3:$X$1193,23,0)</f>
        <v>0</v>
      </c>
      <c r="X96" s="34">
        <f>VLOOKUP(A96,'SSP_March''19'!$A$3:$X$1193,24,0)</f>
        <v>0</v>
      </c>
    </row>
    <row r="97" spans="1:24">
      <c r="A97" s="34" t="s">
        <v>1706</v>
      </c>
      <c r="B97" s="34" t="s">
        <v>1707</v>
      </c>
      <c r="C97" s="34" t="s">
        <v>140</v>
      </c>
      <c r="D97" s="34" t="s">
        <v>100</v>
      </c>
      <c r="E97" s="34" t="s">
        <v>6</v>
      </c>
      <c r="F97" s="34" t="s">
        <v>1708</v>
      </c>
      <c r="G97" s="54">
        <v>1962552442</v>
      </c>
      <c r="H97" s="54" t="s">
        <v>229</v>
      </c>
      <c r="I97" s="54" t="s">
        <v>3514</v>
      </c>
      <c r="J97" s="34" t="s">
        <v>3419</v>
      </c>
      <c r="K97" s="43">
        <f>VLOOKUP(A97,'SSP_March''19'!$A$3:$L$1193,11,0)</f>
        <v>130000</v>
      </c>
      <c r="L97" s="43">
        <f>VLOOKUP(A97,'SSP_March''19'!$A$3:$L$1193,12,0)</f>
        <v>19960</v>
      </c>
      <c r="M97" s="44">
        <f t="shared" si="6"/>
        <v>0.15353846153846154</v>
      </c>
      <c r="N97" s="49">
        <f>ROUND(VLOOKUP(A97,'SSP_March''19'!$A$3:$N$1193,14,0),0)</f>
        <v>61876</v>
      </c>
      <c r="O97" s="44">
        <f t="shared" si="7"/>
        <v>0.47596923076923076</v>
      </c>
      <c r="P97" s="45">
        <f>VLOOKUP(A97,'SSP_March''19'!$A$3:$Q$1193,16,0)</f>
        <v>10</v>
      </c>
      <c r="Q97" s="34">
        <f>VLOOKUP(A97,'SSP_March''19'!$A$3:$Q$1193,17,0)</f>
        <v>1</v>
      </c>
      <c r="R97" s="35">
        <f t="shared" si="8"/>
        <v>0.1</v>
      </c>
      <c r="S97" s="49">
        <f>ROUND(VLOOKUP(A97,'SSP_March''19'!$A$3:$T$1193,19,0),0)</f>
        <v>3</v>
      </c>
      <c r="T97" s="44">
        <f>VLOOKUP(A97,'SSP_March''19'!$A$3:$T$1193,20,0)</f>
        <v>0.3</v>
      </c>
      <c r="U97" s="34">
        <f>VLOOKUP(A97,'SSP_March''19'!$A$3:$X$1193,21,0)</f>
        <v>0</v>
      </c>
      <c r="V97" s="34">
        <f>VLOOKUP(A97,'SSP_March''19'!$A$3:$X$1193,22,0)</f>
        <v>0</v>
      </c>
      <c r="W97" s="34">
        <f>VLOOKUP(A97,'SSP_March''19'!$A$3:$X$1193,23,0)</f>
        <v>0</v>
      </c>
      <c r="X97" s="34">
        <f>VLOOKUP(A97,'SSP_March''19'!$A$3:$X$1193,24,0)</f>
        <v>0</v>
      </c>
    </row>
    <row r="98" spans="1:24">
      <c r="A98" s="34" t="s">
        <v>1509</v>
      </c>
      <c r="B98" s="34" t="s">
        <v>1510</v>
      </c>
      <c r="C98" s="34" t="s">
        <v>140</v>
      </c>
      <c r="D98" s="34" t="s">
        <v>100</v>
      </c>
      <c r="E98" s="34" t="s">
        <v>6</v>
      </c>
      <c r="F98" s="34" t="s">
        <v>1511</v>
      </c>
      <c r="G98" s="54">
        <v>1937802525</v>
      </c>
      <c r="H98" s="54" t="s">
        <v>229</v>
      </c>
      <c r="I98" s="54" t="s">
        <v>3514</v>
      </c>
      <c r="J98" s="34" t="s">
        <v>3419</v>
      </c>
      <c r="K98" s="43">
        <f>VLOOKUP(A98,'SSP_March''19'!$A$3:$L$1193,11,0)</f>
        <v>130000</v>
      </c>
      <c r="L98" s="43">
        <f>VLOOKUP(A98,'SSP_March''19'!$A$3:$L$1193,12,0)</f>
        <v>30390</v>
      </c>
      <c r="M98" s="44">
        <f t="shared" si="6"/>
        <v>0.23376923076923076</v>
      </c>
      <c r="N98" s="49">
        <f>ROUND(VLOOKUP(A98,'SSP_March''19'!$A$3:$N$1193,14,0),0)</f>
        <v>94209</v>
      </c>
      <c r="O98" s="44">
        <f t="shared" si="7"/>
        <v>0.72468461538461537</v>
      </c>
      <c r="P98" s="45">
        <f>VLOOKUP(A98,'SSP_March''19'!$A$3:$Q$1193,16,0)</f>
        <v>10</v>
      </c>
      <c r="Q98" s="34">
        <f>VLOOKUP(A98,'SSP_March''19'!$A$3:$Q$1193,17,0)</f>
        <v>1</v>
      </c>
      <c r="R98" s="35">
        <f t="shared" si="8"/>
        <v>0.1</v>
      </c>
      <c r="S98" s="49">
        <f>ROUND(VLOOKUP(A98,'SSP_March''19'!$A$3:$T$1193,19,0),0)</f>
        <v>3</v>
      </c>
      <c r="T98" s="44">
        <f>VLOOKUP(A98,'SSP_March''19'!$A$3:$T$1193,20,0)</f>
        <v>0.3</v>
      </c>
      <c r="U98" s="34">
        <f>VLOOKUP(A98,'SSP_March''19'!$A$3:$X$1193,21,0)</f>
        <v>0</v>
      </c>
      <c r="V98" s="34">
        <f>VLOOKUP(A98,'SSP_March''19'!$A$3:$X$1193,22,0)</f>
        <v>0</v>
      </c>
      <c r="W98" s="34">
        <f>VLOOKUP(A98,'SSP_March''19'!$A$3:$X$1193,23,0)</f>
        <v>0</v>
      </c>
      <c r="X98" s="34">
        <f>VLOOKUP(A98,'SSP_March''19'!$A$3:$X$1193,24,0)</f>
        <v>0</v>
      </c>
    </row>
    <row r="99" spans="1:24">
      <c r="A99" s="34" t="s">
        <v>1576</v>
      </c>
      <c r="B99" s="34" t="s">
        <v>1577</v>
      </c>
      <c r="C99" s="34" t="s">
        <v>140</v>
      </c>
      <c r="D99" s="34" t="s">
        <v>100</v>
      </c>
      <c r="E99" s="34" t="s">
        <v>6</v>
      </c>
      <c r="F99" s="34" t="s">
        <v>338</v>
      </c>
      <c r="G99" s="54">
        <v>1710881674</v>
      </c>
      <c r="H99" s="54" t="s">
        <v>229</v>
      </c>
      <c r="I99" s="54" t="s">
        <v>3514</v>
      </c>
      <c r="J99" s="34" t="s">
        <v>3421</v>
      </c>
      <c r="K99" s="43">
        <f>VLOOKUP(A99,'SSP_March''19'!$A$3:$L$1193,11,0)</f>
        <v>130000</v>
      </c>
      <c r="L99" s="43">
        <f>VLOOKUP(A99,'SSP_March''19'!$A$3:$L$1193,12,0)</f>
        <v>0</v>
      </c>
      <c r="M99" s="44">
        <f t="shared" ref="M99:M120" si="9">L99/K99</f>
        <v>0</v>
      </c>
      <c r="N99" s="49">
        <f>ROUND(VLOOKUP(A99,'SSP_March''19'!$A$3:$N$1193,14,0),0)</f>
        <v>0</v>
      </c>
      <c r="O99" s="44">
        <f t="shared" ref="O99:O120" si="10">N99/K99</f>
        <v>0</v>
      </c>
      <c r="P99" s="45">
        <f>VLOOKUP(A99,'SSP_March''19'!$A$3:$Q$1193,16,0)</f>
        <v>10</v>
      </c>
      <c r="Q99" s="34">
        <f>VLOOKUP(A99,'SSP_March''19'!$A$3:$Q$1193,17,0)</f>
        <v>0</v>
      </c>
      <c r="R99" s="35">
        <f t="shared" ref="R99:R120" si="11">Q99/P99</f>
        <v>0</v>
      </c>
      <c r="S99" s="49">
        <f>ROUND(VLOOKUP(A99,'SSP_March''19'!$A$3:$T$1193,19,0),0)</f>
        <v>0</v>
      </c>
      <c r="T99" s="44">
        <f>VLOOKUP(A99,'SSP_March''19'!$A$3:$T$1193,20,0)</f>
        <v>0</v>
      </c>
      <c r="U99" s="34">
        <f>VLOOKUP(A99,'SSP_March''19'!$A$3:$X$1193,21,0)</f>
        <v>0</v>
      </c>
      <c r="V99" s="34">
        <f>VLOOKUP(A99,'SSP_March''19'!$A$3:$X$1193,22,0)</f>
        <v>0</v>
      </c>
      <c r="W99" s="34">
        <f>VLOOKUP(A99,'SSP_March''19'!$A$3:$X$1193,23,0)</f>
        <v>0</v>
      </c>
      <c r="X99" s="34">
        <f>VLOOKUP(A99,'SSP_March''19'!$A$3:$X$1193,24,0)</f>
        <v>0</v>
      </c>
    </row>
    <row r="100" spans="1:24">
      <c r="A100" s="34" t="s">
        <v>1611</v>
      </c>
      <c r="B100" s="34" t="s">
        <v>1612</v>
      </c>
      <c r="C100" s="34" t="s">
        <v>140</v>
      </c>
      <c r="D100" s="34" t="s">
        <v>100</v>
      </c>
      <c r="E100" s="34" t="s">
        <v>6</v>
      </c>
      <c r="F100" s="34" t="s">
        <v>1613</v>
      </c>
      <c r="G100" s="54">
        <v>1725131305</v>
      </c>
      <c r="H100" s="54" t="s">
        <v>229</v>
      </c>
      <c r="I100" s="54" t="s">
        <v>3514</v>
      </c>
      <c r="J100" s="34" t="s">
        <v>3515</v>
      </c>
      <c r="K100" s="43">
        <f>VLOOKUP(A100,'SSP_March''19'!$A$3:$L$1193,11,0)</f>
        <v>175285</v>
      </c>
      <c r="L100" s="43">
        <f>VLOOKUP(A100,'SSP_March''19'!$A$3:$L$1193,12,0)</f>
        <v>45210</v>
      </c>
      <c r="M100" s="44">
        <f t="shared" si="9"/>
        <v>0.25792281142139944</v>
      </c>
      <c r="N100" s="49">
        <f>ROUND(VLOOKUP(A100,'SSP_March''19'!$A$3:$N$1193,14,0),0)</f>
        <v>140151</v>
      </c>
      <c r="O100" s="44">
        <f t="shared" si="10"/>
        <v>0.79956071540633822</v>
      </c>
      <c r="P100" s="45">
        <f>VLOOKUP(A100,'SSP_March''19'!$A$3:$Q$1193,16,0)</f>
        <v>10</v>
      </c>
      <c r="Q100" s="34">
        <f>VLOOKUP(A100,'SSP_March''19'!$A$3:$Q$1193,17,0)</f>
        <v>1</v>
      </c>
      <c r="R100" s="35">
        <f t="shared" si="11"/>
        <v>0.1</v>
      </c>
      <c r="S100" s="49">
        <f>ROUND(VLOOKUP(A100,'SSP_March''19'!$A$3:$T$1193,19,0),0)</f>
        <v>3</v>
      </c>
      <c r="T100" s="44">
        <f>VLOOKUP(A100,'SSP_March''19'!$A$3:$T$1193,20,0)</f>
        <v>0.3</v>
      </c>
      <c r="U100" s="34">
        <f>VLOOKUP(A100,'SSP_March''19'!$A$3:$X$1193,21,0)</f>
        <v>0</v>
      </c>
      <c r="V100" s="34">
        <f>VLOOKUP(A100,'SSP_March''19'!$A$3:$X$1193,22,0)</f>
        <v>0</v>
      </c>
      <c r="W100" s="34">
        <f>VLOOKUP(A100,'SSP_March''19'!$A$3:$X$1193,23,0)</f>
        <v>0</v>
      </c>
      <c r="X100" s="34">
        <f>VLOOKUP(A100,'SSP_March''19'!$A$3:$X$1193,24,0)</f>
        <v>0</v>
      </c>
    </row>
    <row r="101" spans="1:24">
      <c r="A101" s="34" t="s">
        <v>1558</v>
      </c>
      <c r="B101" s="34" t="s">
        <v>1559</v>
      </c>
      <c r="C101" s="34" t="s">
        <v>140</v>
      </c>
      <c r="D101" s="34" t="s">
        <v>100</v>
      </c>
      <c r="E101" s="34" t="s">
        <v>6</v>
      </c>
      <c r="F101" s="34" t="s">
        <v>1560</v>
      </c>
      <c r="G101" s="54">
        <v>1757632390</v>
      </c>
      <c r="H101" s="54" t="s">
        <v>229</v>
      </c>
      <c r="I101" s="54" t="s">
        <v>3514</v>
      </c>
      <c r="J101" s="34" t="s">
        <v>3419</v>
      </c>
      <c r="K101" s="43">
        <f>VLOOKUP(A101,'SSP_March''19'!$A$3:$L$1193,11,0)</f>
        <v>294138</v>
      </c>
      <c r="L101" s="43">
        <f>VLOOKUP(A101,'SSP_March''19'!$A$3:$L$1193,12,0)</f>
        <v>80949</v>
      </c>
      <c r="M101" s="44">
        <f t="shared" si="9"/>
        <v>0.27520755563714994</v>
      </c>
      <c r="N101" s="49">
        <f>ROUND(VLOOKUP(A101,'SSP_March''19'!$A$3:$N$1193,14,0),0)</f>
        <v>250942</v>
      </c>
      <c r="O101" s="44">
        <f t="shared" si="10"/>
        <v>0.85314376245163837</v>
      </c>
      <c r="P101" s="45">
        <f>VLOOKUP(A101,'SSP_March''19'!$A$3:$Q$1193,16,0)</f>
        <v>10</v>
      </c>
      <c r="Q101" s="34">
        <f>VLOOKUP(A101,'SSP_March''19'!$A$3:$Q$1193,17,0)</f>
        <v>1</v>
      </c>
      <c r="R101" s="35">
        <f t="shared" si="11"/>
        <v>0.1</v>
      </c>
      <c r="S101" s="49">
        <f>ROUND(VLOOKUP(A101,'SSP_March''19'!$A$3:$T$1193,19,0),0)</f>
        <v>3</v>
      </c>
      <c r="T101" s="44">
        <f>VLOOKUP(A101,'SSP_March''19'!$A$3:$T$1193,20,0)</f>
        <v>0.3</v>
      </c>
      <c r="U101" s="34">
        <f>VLOOKUP(A101,'SSP_March''19'!$A$3:$X$1193,21,0)</f>
        <v>0</v>
      </c>
      <c r="V101" s="34">
        <f>VLOOKUP(A101,'SSP_March''19'!$A$3:$X$1193,22,0)</f>
        <v>0</v>
      </c>
      <c r="W101" s="34">
        <f>VLOOKUP(A101,'SSP_March''19'!$A$3:$X$1193,23,0)</f>
        <v>0</v>
      </c>
      <c r="X101" s="34">
        <f>VLOOKUP(A101,'SSP_March''19'!$A$3:$X$1193,24,0)</f>
        <v>0</v>
      </c>
    </row>
    <row r="102" spans="1:24">
      <c r="A102" s="34" t="s">
        <v>1695</v>
      </c>
      <c r="B102" s="34" t="s">
        <v>1696</v>
      </c>
      <c r="C102" s="34" t="s">
        <v>140</v>
      </c>
      <c r="D102" s="34" t="s">
        <v>100</v>
      </c>
      <c r="E102" s="34" t="s">
        <v>6</v>
      </c>
      <c r="F102" s="34" t="s">
        <v>1697</v>
      </c>
      <c r="G102" s="54">
        <v>1725944676</v>
      </c>
      <c r="H102" s="54" t="s">
        <v>229</v>
      </c>
      <c r="I102" s="54" t="s">
        <v>3514</v>
      </c>
      <c r="J102" s="34" t="s">
        <v>3419</v>
      </c>
      <c r="K102" s="43">
        <f>VLOOKUP(A102,'SSP_March''19'!$A$3:$L$1193,11,0)</f>
        <v>153770</v>
      </c>
      <c r="L102" s="43">
        <f>VLOOKUP(A102,'SSP_March''19'!$A$3:$L$1193,12,0)</f>
        <v>30290</v>
      </c>
      <c r="M102" s="44">
        <f t="shared" si="9"/>
        <v>0.1969825063406386</v>
      </c>
      <c r="N102" s="49">
        <f>ROUND(VLOOKUP(A102,'SSP_March''19'!$A$3:$N$1193,14,0),0)</f>
        <v>93899</v>
      </c>
      <c r="O102" s="44">
        <f t="shared" si="10"/>
        <v>0.61064576965597972</v>
      </c>
      <c r="P102" s="45">
        <f>VLOOKUP(A102,'SSP_March''19'!$A$3:$Q$1193,16,0)</f>
        <v>10</v>
      </c>
      <c r="Q102" s="34">
        <f>VLOOKUP(A102,'SSP_March''19'!$A$3:$Q$1193,17,0)</f>
        <v>0</v>
      </c>
      <c r="R102" s="35">
        <f t="shared" si="11"/>
        <v>0</v>
      </c>
      <c r="S102" s="49">
        <f>ROUND(VLOOKUP(A102,'SSP_March''19'!$A$3:$T$1193,19,0),0)</f>
        <v>0</v>
      </c>
      <c r="T102" s="44">
        <f>VLOOKUP(A102,'SSP_March''19'!$A$3:$T$1193,20,0)</f>
        <v>0</v>
      </c>
      <c r="U102" s="34">
        <f>VLOOKUP(A102,'SSP_March''19'!$A$3:$X$1193,21,0)</f>
        <v>1</v>
      </c>
      <c r="V102" s="34">
        <f>VLOOKUP(A102,'SSP_March''19'!$A$3:$X$1193,22,0)</f>
        <v>0</v>
      </c>
      <c r="W102" s="34">
        <f>VLOOKUP(A102,'SSP_March''19'!$A$3:$X$1193,23,0)</f>
        <v>0</v>
      </c>
      <c r="X102" s="34">
        <f>VLOOKUP(A102,'SSP_March''19'!$A$3:$X$1193,24,0)</f>
        <v>0</v>
      </c>
    </row>
    <row r="103" spans="1:24">
      <c r="A103" s="34" t="s">
        <v>1597</v>
      </c>
      <c r="B103" s="34" t="s">
        <v>1598</v>
      </c>
      <c r="C103" s="34" t="s">
        <v>205</v>
      </c>
      <c r="D103" s="34" t="s">
        <v>100</v>
      </c>
      <c r="E103" s="34" t="s">
        <v>6</v>
      </c>
      <c r="F103" s="34" t="s">
        <v>1599</v>
      </c>
      <c r="G103" s="54">
        <v>1766160441</v>
      </c>
      <c r="H103" s="54" t="s">
        <v>229</v>
      </c>
      <c r="I103" s="54" t="s">
        <v>3514</v>
      </c>
      <c r="J103" s="34" t="s">
        <v>3515</v>
      </c>
      <c r="K103" s="43">
        <f>VLOOKUP(A103,'SSP_March''19'!$A$3:$L$1193,11,0)</f>
        <v>169069</v>
      </c>
      <c r="L103" s="43">
        <f>VLOOKUP(A103,'SSP_March''19'!$A$3:$L$1193,12,0)</f>
        <v>36430</v>
      </c>
      <c r="M103" s="44">
        <f t="shared" si="9"/>
        <v>0.21547415552230154</v>
      </c>
      <c r="N103" s="49">
        <f>ROUND(VLOOKUP(A103,'SSP_March''19'!$A$3:$N$1193,14,0),0)</f>
        <v>112933</v>
      </c>
      <c r="O103" s="44">
        <f t="shared" si="10"/>
        <v>0.66796988211913477</v>
      </c>
      <c r="P103" s="45">
        <f>VLOOKUP(A103,'SSP_March''19'!$A$3:$Q$1193,16,0)</f>
        <v>10</v>
      </c>
      <c r="Q103" s="34">
        <f>VLOOKUP(A103,'SSP_March''19'!$A$3:$Q$1193,17,0)</f>
        <v>1</v>
      </c>
      <c r="R103" s="35">
        <f t="shared" si="11"/>
        <v>0.1</v>
      </c>
      <c r="S103" s="49">
        <f>ROUND(VLOOKUP(A103,'SSP_March''19'!$A$3:$T$1193,19,0),0)</f>
        <v>3</v>
      </c>
      <c r="T103" s="44">
        <f>VLOOKUP(A103,'SSP_March''19'!$A$3:$T$1193,20,0)</f>
        <v>0.3</v>
      </c>
      <c r="U103" s="34">
        <f>VLOOKUP(A103,'SSP_March''19'!$A$3:$X$1193,21,0)</f>
        <v>0</v>
      </c>
      <c r="V103" s="34">
        <f>VLOOKUP(A103,'SSP_March''19'!$A$3:$X$1193,22,0)</f>
        <v>0</v>
      </c>
      <c r="W103" s="34">
        <f>VLOOKUP(A103,'SSP_March''19'!$A$3:$X$1193,23,0)</f>
        <v>0</v>
      </c>
      <c r="X103" s="34">
        <f>VLOOKUP(A103,'SSP_March''19'!$A$3:$X$1193,24,0)</f>
        <v>0</v>
      </c>
    </row>
    <row r="104" spans="1:24">
      <c r="A104" s="34" t="s">
        <v>1737</v>
      </c>
      <c r="B104" s="34" t="s">
        <v>1738</v>
      </c>
      <c r="C104" s="34" t="s">
        <v>205</v>
      </c>
      <c r="D104" s="34" t="s">
        <v>100</v>
      </c>
      <c r="E104" s="34" t="s">
        <v>6</v>
      </c>
      <c r="F104" s="34" t="s">
        <v>228</v>
      </c>
      <c r="G104" s="54">
        <v>1781485192</v>
      </c>
      <c r="H104" s="54" t="s">
        <v>229</v>
      </c>
      <c r="I104" s="54" t="s">
        <v>3514</v>
      </c>
      <c r="J104" s="34" t="s">
        <v>3419</v>
      </c>
      <c r="K104" s="43">
        <f>VLOOKUP(A104,'SSP_March''19'!$A$3:$L$1193,11,0)</f>
        <v>230690</v>
      </c>
      <c r="L104" s="43">
        <f>VLOOKUP(A104,'SSP_March''19'!$A$3:$L$1193,12,0)</f>
        <v>79340</v>
      </c>
      <c r="M104" s="44">
        <f t="shared" si="9"/>
        <v>0.34392474749664054</v>
      </c>
      <c r="N104" s="49">
        <f>ROUND(VLOOKUP(A104,'SSP_March''19'!$A$3:$N$1193,14,0),0)</f>
        <v>245954</v>
      </c>
      <c r="O104" s="44">
        <f t="shared" si="10"/>
        <v>1.0661667172395857</v>
      </c>
      <c r="P104" s="45">
        <f>VLOOKUP(A104,'SSP_March''19'!$A$3:$Q$1193,16,0)</f>
        <v>10</v>
      </c>
      <c r="Q104" s="34">
        <f>VLOOKUP(A104,'SSP_March''19'!$A$3:$Q$1193,17,0)</f>
        <v>0</v>
      </c>
      <c r="R104" s="35">
        <f t="shared" si="11"/>
        <v>0</v>
      </c>
      <c r="S104" s="49">
        <f>ROUND(VLOOKUP(A104,'SSP_March''19'!$A$3:$T$1193,19,0),0)</f>
        <v>0</v>
      </c>
      <c r="T104" s="44">
        <f>VLOOKUP(A104,'SSP_March''19'!$A$3:$T$1193,20,0)</f>
        <v>0</v>
      </c>
      <c r="U104" s="34">
        <f>VLOOKUP(A104,'SSP_March''19'!$A$3:$X$1193,21,0)</f>
        <v>0</v>
      </c>
      <c r="V104" s="34">
        <f>VLOOKUP(A104,'SSP_March''19'!$A$3:$X$1193,22,0)</f>
        <v>0</v>
      </c>
      <c r="W104" s="34">
        <f>VLOOKUP(A104,'SSP_March''19'!$A$3:$X$1193,23,0)</f>
        <v>0</v>
      </c>
      <c r="X104" s="34">
        <f>VLOOKUP(A104,'SSP_March''19'!$A$3:$X$1193,24,0)</f>
        <v>0</v>
      </c>
    </row>
    <row r="105" spans="1:24">
      <c r="A105" s="34" t="s">
        <v>1530</v>
      </c>
      <c r="B105" s="34" t="s">
        <v>1531</v>
      </c>
      <c r="C105" s="34" t="s">
        <v>205</v>
      </c>
      <c r="D105" s="34" t="s">
        <v>100</v>
      </c>
      <c r="E105" s="34" t="s">
        <v>6</v>
      </c>
      <c r="F105" s="34" t="s">
        <v>1532</v>
      </c>
      <c r="G105" s="54">
        <v>1913343525</v>
      </c>
      <c r="H105" s="54" t="s">
        <v>229</v>
      </c>
      <c r="I105" s="54" t="s">
        <v>3514</v>
      </c>
      <c r="J105" s="34" t="s">
        <v>3421</v>
      </c>
      <c r="K105" s="43">
        <f>VLOOKUP(A105,'SSP_March''19'!$A$3:$L$1193,11,0)</f>
        <v>130000</v>
      </c>
      <c r="L105" s="43">
        <f>VLOOKUP(A105,'SSP_March''19'!$A$3:$L$1193,12,0)</f>
        <v>40040</v>
      </c>
      <c r="M105" s="44">
        <f t="shared" si="9"/>
        <v>0.308</v>
      </c>
      <c r="N105" s="49">
        <f>ROUND(VLOOKUP(A105,'SSP_March''19'!$A$3:$N$1193,14,0),0)</f>
        <v>124124</v>
      </c>
      <c r="O105" s="44">
        <f t="shared" si="10"/>
        <v>0.95479999999999998</v>
      </c>
      <c r="P105" s="45">
        <f>VLOOKUP(A105,'SSP_March''19'!$A$3:$Q$1193,16,0)</f>
        <v>10</v>
      </c>
      <c r="Q105" s="34">
        <f>VLOOKUP(A105,'SSP_March''19'!$A$3:$Q$1193,17,0)</f>
        <v>3</v>
      </c>
      <c r="R105" s="35">
        <f t="shared" si="11"/>
        <v>0.3</v>
      </c>
      <c r="S105" s="49">
        <f>ROUND(VLOOKUP(A105,'SSP_March''19'!$A$3:$T$1193,19,0),0)</f>
        <v>9</v>
      </c>
      <c r="T105" s="44">
        <f>VLOOKUP(A105,'SSP_March''19'!$A$3:$T$1193,20,0)</f>
        <v>0.9</v>
      </c>
      <c r="U105" s="34">
        <f>VLOOKUP(A105,'SSP_March''19'!$A$3:$X$1193,21,0)</f>
        <v>1</v>
      </c>
      <c r="V105" s="34">
        <f>VLOOKUP(A105,'SSP_March''19'!$A$3:$X$1193,22,0)</f>
        <v>0</v>
      </c>
      <c r="W105" s="34">
        <f>VLOOKUP(A105,'SSP_March''19'!$A$3:$X$1193,23,0)</f>
        <v>0</v>
      </c>
      <c r="X105" s="34">
        <f>VLOOKUP(A105,'SSP_March''19'!$A$3:$X$1193,24,0)</f>
        <v>1</v>
      </c>
    </row>
    <row r="106" spans="1:24">
      <c r="A106" s="34" t="s">
        <v>1725</v>
      </c>
      <c r="B106" s="34" t="s">
        <v>1726</v>
      </c>
      <c r="C106" s="34" t="s">
        <v>205</v>
      </c>
      <c r="D106" s="34" t="s">
        <v>100</v>
      </c>
      <c r="E106" s="34" t="s">
        <v>6</v>
      </c>
      <c r="F106" s="34" t="s">
        <v>1727</v>
      </c>
      <c r="G106" s="54">
        <v>1715328035</v>
      </c>
      <c r="H106" s="54" t="s">
        <v>229</v>
      </c>
      <c r="I106" s="54" t="s">
        <v>3514</v>
      </c>
      <c r="J106" s="34" t="s">
        <v>3421</v>
      </c>
      <c r="K106" s="43">
        <f>VLOOKUP(A106,'SSP_March''19'!$A$3:$L$1193,11,0)</f>
        <v>130000</v>
      </c>
      <c r="L106" s="43">
        <f>VLOOKUP(A106,'SSP_March''19'!$A$3:$L$1193,12,0)</f>
        <v>10980</v>
      </c>
      <c r="M106" s="44">
        <f t="shared" si="9"/>
        <v>8.4461538461538463E-2</v>
      </c>
      <c r="N106" s="49">
        <f>ROUND(VLOOKUP(A106,'SSP_March''19'!$A$3:$N$1193,14,0),0)</f>
        <v>34038</v>
      </c>
      <c r="O106" s="44">
        <f t="shared" si="10"/>
        <v>0.26183076923076926</v>
      </c>
      <c r="P106" s="45">
        <f>VLOOKUP(A106,'SSP_March''19'!$A$3:$Q$1193,16,0)</f>
        <v>10</v>
      </c>
      <c r="Q106" s="34">
        <f>VLOOKUP(A106,'SSP_March''19'!$A$3:$Q$1193,17,0)</f>
        <v>1</v>
      </c>
      <c r="R106" s="35">
        <f t="shared" si="11"/>
        <v>0.1</v>
      </c>
      <c r="S106" s="49">
        <f>ROUND(VLOOKUP(A106,'SSP_March''19'!$A$3:$T$1193,19,0),0)</f>
        <v>3</v>
      </c>
      <c r="T106" s="44">
        <f>VLOOKUP(A106,'SSP_March''19'!$A$3:$T$1193,20,0)</f>
        <v>0.3</v>
      </c>
      <c r="U106" s="34">
        <f>VLOOKUP(A106,'SSP_March''19'!$A$3:$X$1193,21,0)</f>
        <v>0</v>
      </c>
      <c r="V106" s="34">
        <f>VLOOKUP(A106,'SSP_March''19'!$A$3:$X$1193,22,0)</f>
        <v>1</v>
      </c>
      <c r="W106" s="34">
        <f>VLOOKUP(A106,'SSP_March''19'!$A$3:$X$1193,23,0)</f>
        <v>0</v>
      </c>
      <c r="X106" s="34">
        <f>VLOOKUP(A106,'SSP_March''19'!$A$3:$X$1193,24,0)</f>
        <v>0</v>
      </c>
    </row>
    <row r="107" spans="1:24">
      <c r="A107" s="34" t="s">
        <v>1664</v>
      </c>
      <c r="B107" s="34" t="s">
        <v>53</v>
      </c>
      <c r="C107" s="34" t="s">
        <v>205</v>
      </c>
      <c r="D107" s="34" t="s">
        <v>100</v>
      </c>
      <c r="E107" s="34" t="s">
        <v>6</v>
      </c>
      <c r="F107" s="34" t="s">
        <v>1409</v>
      </c>
      <c r="G107" s="54">
        <v>1717366960</v>
      </c>
      <c r="H107" s="54" t="s">
        <v>229</v>
      </c>
      <c r="I107" s="54" t="s">
        <v>3514</v>
      </c>
      <c r="J107" s="34" t="s">
        <v>3419</v>
      </c>
      <c r="K107" s="43">
        <f>VLOOKUP(A107,'SSP_March''19'!$A$3:$L$1193,11,0)</f>
        <v>197896</v>
      </c>
      <c r="L107" s="43">
        <f>VLOOKUP(A107,'SSP_March''19'!$A$3:$L$1193,12,0)</f>
        <v>74780</v>
      </c>
      <c r="M107" s="44">
        <f t="shared" si="9"/>
        <v>0.37787524760480251</v>
      </c>
      <c r="N107" s="49">
        <f>ROUND(VLOOKUP(A107,'SSP_March''19'!$A$3:$N$1193,14,0),0)</f>
        <v>231818</v>
      </c>
      <c r="O107" s="44">
        <f t="shared" si="10"/>
        <v>1.1714132675748878</v>
      </c>
      <c r="P107" s="45">
        <f>VLOOKUP(A107,'SSP_March''19'!$A$3:$Q$1193,16,0)</f>
        <v>10</v>
      </c>
      <c r="Q107" s="34">
        <f>VLOOKUP(A107,'SSP_March''19'!$A$3:$Q$1193,17,0)</f>
        <v>4</v>
      </c>
      <c r="R107" s="35">
        <f t="shared" si="11"/>
        <v>0.4</v>
      </c>
      <c r="S107" s="49">
        <f>ROUND(VLOOKUP(A107,'SSP_March''19'!$A$3:$T$1193,19,0),0)</f>
        <v>12</v>
      </c>
      <c r="T107" s="44">
        <f>VLOOKUP(A107,'SSP_March''19'!$A$3:$T$1193,20,0)</f>
        <v>1.2</v>
      </c>
      <c r="U107" s="34">
        <f>VLOOKUP(A107,'SSP_March''19'!$A$3:$X$1193,21,0)</f>
        <v>0</v>
      </c>
      <c r="V107" s="34">
        <f>VLOOKUP(A107,'SSP_March''19'!$A$3:$X$1193,22,0)</f>
        <v>0</v>
      </c>
      <c r="W107" s="34">
        <f>VLOOKUP(A107,'SSP_March''19'!$A$3:$X$1193,23,0)</f>
        <v>0</v>
      </c>
      <c r="X107" s="34">
        <f>VLOOKUP(A107,'SSP_March''19'!$A$3:$X$1193,24,0)</f>
        <v>0</v>
      </c>
    </row>
    <row r="108" spans="1:24">
      <c r="A108" s="34" t="s">
        <v>1692</v>
      </c>
      <c r="B108" s="34" t="s">
        <v>1693</v>
      </c>
      <c r="C108" s="34" t="s">
        <v>205</v>
      </c>
      <c r="D108" s="34" t="s">
        <v>100</v>
      </c>
      <c r="E108" s="34" t="s">
        <v>6</v>
      </c>
      <c r="F108" s="34" t="s">
        <v>1694</v>
      </c>
      <c r="G108" s="54">
        <v>1713502444</v>
      </c>
      <c r="H108" s="54" t="s">
        <v>229</v>
      </c>
      <c r="I108" s="54" t="s">
        <v>3514</v>
      </c>
      <c r="J108" s="34" t="s">
        <v>3421</v>
      </c>
      <c r="K108" s="43">
        <f>VLOOKUP(A108,'SSP_March''19'!$A$3:$L$1193,11,0)</f>
        <v>130000</v>
      </c>
      <c r="L108" s="43">
        <f>VLOOKUP(A108,'SSP_March''19'!$A$3:$L$1193,12,0)</f>
        <v>9330</v>
      </c>
      <c r="M108" s="44">
        <f t="shared" si="9"/>
        <v>7.1769230769230766E-2</v>
      </c>
      <c r="N108" s="49">
        <f>ROUND(VLOOKUP(A108,'SSP_March''19'!$A$3:$N$1193,14,0),0)</f>
        <v>28923</v>
      </c>
      <c r="O108" s="44">
        <f t="shared" si="10"/>
        <v>0.22248461538461539</v>
      </c>
      <c r="P108" s="45">
        <f>VLOOKUP(A108,'SSP_March''19'!$A$3:$Q$1193,16,0)</f>
        <v>10</v>
      </c>
      <c r="Q108" s="34">
        <f>VLOOKUP(A108,'SSP_March''19'!$A$3:$Q$1193,17,0)</f>
        <v>0</v>
      </c>
      <c r="R108" s="35">
        <f t="shared" si="11"/>
        <v>0</v>
      </c>
      <c r="S108" s="49">
        <f>ROUND(VLOOKUP(A108,'SSP_March''19'!$A$3:$T$1193,19,0),0)</f>
        <v>0</v>
      </c>
      <c r="T108" s="44">
        <f>VLOOKUP(A108,'SSP_March''19'!$A$3:$T$1193,20,0)</f>
        <v>0</v>
      </c>
      <c r="U108" s="34">
        <f>VLOOKUP(A108,'SSP_March''19'!$A$3:$X$1193,21,0)</f>
        <v>0</v>
      </c>
      <c r="V108" s="34">
        <f>VLOOKUP(A108,'SSP_March''19'!$A$3:$X$1193,22,0)</f>
        <v>0</v>
      </c>
      <c r="W108" s="34">
        <f>VLOOKUP(A108,'SSP_March''19'!$A$3:$X$1193,23,0)</f>
        <v>0</v>
      </c>
      <c r="X108" s="34">
        <f>VLOOKUP(A108,'SSP_March''19'!$A$3:$X$1193,24,0)</f>
        <v>0</v>
      </c>
    </row>
    <row r="109" spans="1:24">
      <c r="A109" s="34" t="s">
        <v>1650</v>
      </c>
      <c r="B109" s="34" t="s">
        <v>1651</v>
      </c>
      <c r="C109" s="34" t="s">
        <v>205</v>
      </c>
      <c r="D109" s="34" t="s">
        <v>100</v>
      </c>
      <c r="E109" s="34" t="s">
        <v>6</v>
      </c>
      <c r="F109" s="34" t="s">
        <v>1652</v>
      </c>
      <c r="G109" s="54">
        <v>1792022244</v>
      </c>
      <c r="H109" s="54" t="s">
        <v>229</v>
      </c>
      <c r="I109" s="54" t="s">
        <v>3514</v>
      </c>
      <c r="J109" s="34" t="s">
        <v>3421</v>
      </c>
      <c r="K109" s="43">
        <f>VLOOKUP(A109,'SSP_March''19'!$A$3:$L$1193,11,0)</f>
        <v>130000</v>
      </c>
      <c r="L109" s="43">
        <f>VLOOKUP(A109,'SSP_March''19'!$A$3:$L$1193,12,0)</f>
        <v>22950</v>
      </c>
      <c r="M109" s="44">
        <f t="shared" si="9"/>
        <v>0.17653846153846153</v>
      </c>
      <c r="N109" s="49">
        <f>ROUND(VLOOKUP(A109,'SSP_March''19'!$A$3:$N$1193,14,0),0)</f>
        <v>71145</v>
      </c>
      <c r="O109" s="44">
        <f t="shared" si="10"/>
        <v>0.54726923076923073</v>
      </c>
      <c r="P109" s="45">
        <f>VLOOKUP(A109,'SSP_March''19'!$A$3:$Q$1193,16,0)</f>
        <v>10</v>
      </c>
      <c r="Q109" s="34">
        <f>VLOOKUP(A109,'SSP_March''19'!$A$3:$Q$1193,17,0)</f>
        <v>0</v>
      </c>
      <c r="R109" s="35">
        <f t="shared" si="11"/>
        <v>0</v>
      </c>
      <c r="S109" s="49">
        <f>ROUND(VLOOKUP(A109,'SSP_March''19'!$A$3:$T$1193,19,0),0)</f>
        <v>0</v>
      </c>
      <c r="T109" s="44">
        <f>VLOOKUP(A109,'SSP_March''19'!$A$3:$T$1193,20,0)</f>
        <v>0</v>
      </c>
      <c r="U109" s="34">
        <f>VLOOKUP(A109,'SSP_March''19'!$A$3:$X$1193,21,0)</f>
        <v>0</v>
      </c>
      <c r="V109" s="34">
        <f>VLOOKUP(A109,'SSP_March''19'!$A$3:$X$1193,22,0)</f>
        <v>0</v>
      </c>
      <c r="W109" s="34">
        <f>VLOOKUP(A109,'SSP_March''19'!$A$3:$X$1193,23,0)</f>
        <v>0</v>
      </c>
      <c r="X109" s="34">
        <f>VLOOKUP(A109,'SSP_March''19'!$A$3:$X$1193,24,0)</f>
        <v>0</v>
      </c>
    </row>
    <row r="110" spans="1:24">
      <c r="A110" s="34" t="s">
        <v>3015</v>
      </c>
      <c r="B110" s="34" t="s">
        <v>3016</v>
      </c>
      <c r="C110" s="34" t="s">
        <v>205</v>
      </c>
      <c r="D110" s="34" t="s">
        <v>100</v>
      </c>
      <c r="E110" s="34" t="s">
        <v>6</v>
      </c>
      <c r="F110" s="34" t="s">
        <v>3017</v>
      </c>
      <c r="G110" s="54">
        <v>1715224545</v>
      </c>
      <c r="H110" s="54" t="s">
        <v>229</v>
      </c>
      <c r="I110" s="54" t="s">
        <v>3514</v>
      </c>
      <c r="J110" s="34" t="s">
        <v>3421</v>
      </c>
      <c r="K110" s="43">
        <f>VLOOKUP(A110,'SSP_March''19'!$A$3:$L$1193,11,0)</f>
        <v>130000</v>
      </c>
      <c r="L110" s="43">
        <f>VLOOKUP(A110,'SSP_March''19'!$A$3:$L$1193,12,0)</f>
        <v>15170</v>
      </c>
      <c r="M110" s="44">
        <f t="shared" si="9"/>
        <v>0.11669230769230769</v>
      </c>
      <c r="N110" s="49">
        <f>ROUND(VLOOKUP(A110,'SSP_March''19'!$A$3:$N$1193,14,0),0)</f>
        <v>47027</v>
      </c>
      <c r="O110" s="44">
        <f t="shared" si="10"/>
        <v>0.36174615384615383</v>
      </c>
      <c r="P110" s="45">
        <f>VLOOKUP(A110,'SSP_March''19'!$A$3:$Q$1193,16,0)</f>
        <v>10</v>
      </c>
      <c r="Q110" s="34">
        <f>VLOOKUP(A110,'SSP_March''19'!$A$3:$Q$1193,17,0)</f>
        <v>1</v>
      </c>
      <c r="R110" s="35">
        <f t="shared" si="11"/>
        <v>0.1</v>
      </c>
      <c r="S110" s="49">
        <f>ROUND(VLOOKUP(A110,'SSP_March''19'!$A$3:$T$1193,19,0),0)</f>
        <v>3</v>
      </c>
      <c r="T110" s="44">
        <f>VLOOKUP(A110,'SSP_March''19'!$A$3:$T$1193,20,0)</f>
        <v>0.3</v>
      </c>
      <c r="U110" s="34">
        <f>VLOOKUP(A110,'SSP_March''19'!$A$3:$X$1193,21,0)</f>
        <v>0</v>
      </c>
      <c r="V110" s="34">
        <f>VLOOKUP(A110,'SSP_March''19'!$A$3:$X$1193,22,0)</f>
        <v>1</v>
      </c>
      <c r="W110" s="34">
        <f>VLOOKUP(A110,'SSP_March''19'!$A$3:$X$1193,23,0)</f>
        <v>0</v>
      </c>
      <c r="X110" s="34">
        <f>VLOOKUP(A110,'SSP_March''19'!$A$3:$X$1193,24,0)</f>
        <v>0</v>
      </c>
    </row>
    <row r="111" spans="1:24">
      <c r="A111" s="34" t="s">
        <v>1772</v>
      </c>
      <c r="B111" s="34" t="s">
        <v>1773</v>
      </c>
      <c r="C111" s="34" t="s">
        <v>205</v>
      </c>
      <c r="D111" s="34" t="s">
        <v>100</v>
      </c>
      <c r="E111" s="34" t="s">
        <v>6</v>
      </c>
      <c r="F111" s="34" t="s">
        <v>1774</v>
      </c>
      <c r="G111" s="54">
        <v>1724009413</v>
      </c>
      <c r="H111" s="54" t="s">
        <v>229</v>
      </c>
      <c r="I111" s="54" t="s">
        <v>3514</v>
      </c>
      <c r="J111" s="34" t="s">
        <v>3421</v>
      </c>
      <c r="K111" s="43">
        <f>VLOOKUP(A111,'SSP_March''19'!$A$3:$L$1193,11,0)</f>
        <v>130000</v>
      </c>
      <c r="L111" s="43">
        <f>VLOOKUP(A111,'SSP_March''19'!$A$3:$L$1193,12,0)</f>
        <v>12980</v>
      </c>
      <c r="M111" s="44">
        <f t="shared" si="9"/>
        <v>9.9846153846153848E-2</v>
      </c>
      <c r="N111" s="49">
        <f>ROUND(VLOOKUP(A111,'SSP_March''19'!$A$3:$N$1193,14,0),0)</f>
        <v>40238</v>
      </c>
      <c r="O111" s="44">
        <f t="shared" si="10"/>
        <v>0.3095230769230769</v>
      </c>
      <c r="P111" s="45">
        <f>VLOOKUP(A111,'SSP_March''19'!$A$3:$Q$1193,16,0)</f>
        <v>10</v>
      </c>
      <c r="Q111" s="34">
        <f>VLOOKUP(A111,'SSP_March''19'!$A$3:$Q$1193,17,0)</f>
        <v>1</v>
      </c>
      <c r="R111" s="35">
        <f t="shared" si="11"/>
        <v>0.1</v>
      </c>
      <c r="S111" s="49">
        <f>ROUND(VLOOKUP(A111,'SSP_March''19'!$A$3:$T$1193,19,0),0)</f>
        <v>3</v>
      </c>
      <c r="T111" s="44">
        <f>VLOOKUP(A111,'SSP_March''19'!$A$3:$T$1193,20,0)</f>
        <v>0.3</v>
      </c>
      <c r="U111" s="34">
        <f>VLOOKUP(A111,'SSP_March''19'!$A$3:$X$1193,21,0)</f>
        <v>0</v>
      </c>
      <c r="V111" s="34">
        <f>VLOOKUP(A111,'SSP_March''19'!$A$3:$X$1193,22,0)</f>
        <v>0</v>
      </c>
      <c r="W111" s="34">
        <f>VLOOKUP(A111,'SSP_March''19'!$A$3:$X$1193,23,0)</f>
        <v>1</v>
      </c>
      <c r="X111" s="34">
        <f>VLOOKUP(A111,'SSP_March''19'!$A$3:$X$1193,24,0)</f>
        <v>0</v>
      </c>
    </row>
    <row r="112" spans="1:24">
      <c r="A112" s="34" t="s">
        <v>1722</v>
      </c>
      <c r="B112" s="34" t="s">
        <v>1723</v>
      </c>
      <c r="C112" s="34" t="s">
        <v>152</v>
      </c>
      <c r="D112" s="34" t="s">
        <v>153</v>
      </c>
      <c r="E112" s="34" t="s">
        <v>6</v>
      </c>
      <c r="F112" s="34" t="s">
        <v>1724</v>
      </c>
      <c r="G112" s="54">
        <v>1725263284</v>
      </c>
      <c r="H112" s="54" t="s">
        <v>229</v>
      </c>
      <c r="I112" s="54" t="s">
        <v>3514</v>
      </c>
      <c r="J112" s="34" t="s">
        <v>3419</v>
      </c>
      <c r="K112" s="43">
        <f>VLOOKUP(A112,'SSP_March''19'!$A$3:$L$1193,11,0)</f>
        <v>150000</v>
      </c>
      <c r="L112" s="43">
        <f>VLOOKUP(A112,'SSP_March''19'!$A$3:$L$1193,12,0)</f>
        <v>36440</v>
      </c>
      <c r="M112" s="44">
        <f t="shared" si="9"/>
        <v>0.24293333333333333</v>
      </c>
      <c r="N112" s="49">
        <f>ROUND(VLOOKUP(A112,'SSP_March''19'!$A$3:$N$1193,14,0),0)</f>
        <v>112964</v>
      </c>
      <c r="O112" s="44">
        <f t="shared" si="10"/>
        <v>0.75309333333333328</v>
      </c>
      <c r="P112" s="45">
        <f>VLOOKUP(A112,'SSP_March''19'!$A$3:$Q$1193,16,0)</f>
        <v>10</v>
      </c>
      <c r="Q112" s="34">
        <f>VLOOKUP(A112,'SSP_March''19'!$A$3:$Q$1193,17,0)</f>
        <v>3</v>
      </c>
      <c r="R112" s="35">
        <f t="shared" si="11"/>
        <v>0.3</v>
      </c>
      <c r="S112" s="49">
        <f>ROUND(VLOOKUP(A112,'SSP_March''19'!$A$3:$T$1193,19,0),0)</f>
        <v>9</v>
      </c>
      <c r="T112" s="44">
        <f>VLOOKUP(A112,'SSP_March''19'!$A$3:$T$1193,20,0)</f>
        <v>0.9</v>
      </c>
      <c r="U112" s="34">
        <f>VLOOKUP(A112,'SSP_March''19'!$A$3:$X$1193,21,0)</f>
        <v>0</v>
      </c>
      <c r="V112" s="34">
        <f>VLOOKUP(A112,'SSP_March''19'!$A$3:$X$1193,22,0)</f>
        <v>0</v>
      </c>
      <c r="W112" s="34">
        <f>VLOOKUP(A112,'SSP_March''19'!$A$3:$X$1193,23,0)</f>
        <v>0</v>
      </c>
      <c r="X112" s="34">
        <f>VLOOKUP(A112,'SSP_March''19'!$A$3:$X$1193,24,0)</f>
        <v>0</v>
      </c>
    </row>
    <row r="113" spans="1:24">
      <c r="A113" s="34" t="s">
        <v>1626</v>
      </c>
      <c r="B113" s="34" t="s">
        <v>1627</v>
      </c>
      <c r="C113" s="34" t="s">
        <v>152</v>
      </c>
      <c r="D113" s="34" t="s">
        <v>153</v>
      </c>
      <c r="E113" s="34" t="s">
        <v>6</v>
      </c>
      <c r="F113" s="34" t="s">
        <v>1628</v>
      </c>
      <c r="G113" s="54">
        <v>1511833566</v>
      </c>
      <c r="H113" s="54" t="s">
        <v>229</v>
      </c>
      <c r="I113" s="54" t="s">
        <v>3514</v>
      </c>
      <c r="J113" s="34" t="s">
        <v>3419</v>
      </c>
      <c r="K113" s="43">
        <f>VLOOKUP(A113,'SSP_March''19'!$A$3:$L$1193,11,0)</f>
        <v>146350</v>
      </c>
      <c r="L113" s="43">
        <f>VLOOKUP(A113,'SSP_March''19'!$A$3:$L$1193,12,0)</f>
        <v>41020</v>
      </c>
      <c r="M113" s="44">
        <f t="shared" si="9"/>
        <v>0.2802869832593099</v>
      </c>
      <c r="N113" s="49">
        <f>ROUND(VLOOKUP(A113,'SSP_March''19'!$A$3:$N$1193,14,0),0)</f>
        <v>127162</v>
      </c>
      <c r="O113" s="44">
        <f t="shared" si="10"/>
        <v>0.8688896481038606</v>
      </c>
      <c r="P113" s="45">
        <f>VLOOKUP(A113,'SSP_March''19'!$A$3:$Q$1193,16,0)</f>
        <v>10</v>
      </c>
      <c r="Q113" s="34">
        <f>VLOOKUP(A113,'SSP_March''19'!$A$3:$Q$1193,17,0)</f>
        <v>0</v>
      </c>
      <c r="R113" s="35">
        <f t="shared" si="11"/>
        <v>0</v>
      </c>
      <c r="S113" s="49">
        <f>ROUND(VLOOKUP(A113,'SSP_March''19'!$A$3:$T$1193,19,0),0)</f>
        <v>0</v>
      </c>
      <c r="T113" s="44">
        <f>VLOOKUP(A113,'SSP_March''19'!$A$3:$T$1193,20,0)</f>
        <v>0</v>
      </c>
      <c r="U113" s="34">
        <f>VLOOKUP(A113,'SSP_March''19'!$A$3:$X$1193,21,0)</f>
        <v>0</v>
      </c>
      <c r="V113" s="34">
        <f>VLOOKUP(A113,'SSP_March''19'!$A$3:$X$1193,22,0)</f>
        <v>0</v>
      </c>
      <c r="W113" s="34">
        <f>VLOOKUP(A113,'SSP_March''19'!$A$3:$X$1193,23,0)</f>
        <v>0</v>
      </c>
      <c r="X113" s="34">
        <f>VLOOKUP(A113,'SSP_March''19'!$A$3:$X$1193,24,0)</f>
        <v>0</v>
      </c>
    </row>
    <row r="114" spans="1:24">
      <c r="A114" s="34" t="s">
        <v>1588</v>
      </c>
      <c r="B114" s="34" t="s">
        <v>1589</v>
      </c>
      <c r="C114" s="34" t="s">
        <v>152</v>
      </c>
      <c r="D114" s="34" t="s">
        <v>153</v>
      </c>
      <c r="E114" s="34" t="s">
        <v>6</v>
      </c>
      <c r="F114" s="34" t="s">
        <v>1590</v>
      </c>
      <c r="G114" s="54">
        <v>1779937540</v>
      </c>
      <c r="H114" s="54" t="s">
        <v>229</v>
      </c>
      <c r="I114" s="54" t="s">
        <v>3514</v>
      </c>
      <c r="J114" s="34" t="s">
        <v>3421</v>
      </c>
      <c r="K114" s="43">
        <f>VLOOKUP(A114,'SSP_March''19'!$A$3:$L$1193,11,0)</f>
        <v>193258</v>
      </c>
      <c r="L114" s="43">
        <f>VLOOKUP(A114,'SSP_March''19'!$A$3:$L$1193,12,0)</f>
        <v>53909</v>
      </c>
      <c r="M114" s="44">
        <f t="shared" si="9"/>
        <v>0.27894834883937536</v>
      </c>
      <c r="N114" s="49">
        <f>ROUND(VLOOKUP(A114,'SSP_March''19'!$A$3:$N$1193,14,0),0)</f>
        <v>167118</v>
      </c>
      <c r="O114" s="44">
        <f t="shared" si="10"/>
        <v>0.86474039884506726</v>
      </c>
      <c r="P114" s="45">
        <f>VLOOKUP(A114,'SSP_March''19'!$A$3:$Q$1193,16,0)</f>
        <v>10</v>
      </c>
      <c r="Q114" s="34">
        <f>VLOOKUP(A114,'SSP_March''19'!$A$3:$Q$1193,17,0)</f>
        <v>1</v>
      </c>
      <c r="R114" s="35">
        <f t="shared" si="11"/>
        <v>0.1</v>
      </c>
      <c r="S114" s="49">
        <f>ROUND(VLOOKUP(A114,'SSP_March''19'!$A$3:$T$1193,19,0),0)</f>
        <v>3</v>
      </c>
      <c r="T114" s="44">
        <f>VLOOKUP(A114,'SSP_March''19'!$A$3:$T$1193,20,0)</f>
        <v>0.3</v>
      </c>
      <c r="U114" s="34">
        <f>VLOOKUP(A114,'SSP_March''19'!$A$3:$X$1193,21,0)</f>
        <v>0</v>
      </c>
      <c r="V114" s="34">
        <f>VLOOKUP(A114,'SSP_March''19'!$A$3:$X$1193,22,0)</f>
        <v>0</v>
      </c>
      <c r="W114" s="34">
        <f>VLOOKUP(A114,'SSP_March''19'!$A$3:$X$1193,23,0)</f>
        <v>0</v>
      </c>
      <c r="X114" s="34">
        <f>VLOOKUP(A114,'SSP_March''19'!$A$3:$X$1193,24,0)</f>
        <v>0</v>
      </c>
    </row>
    <row r="115" spans="1:24">
      <c r="A115" s="75" t="s">
        <v>3528</v>
      </c>
      <c r="B115" s="75" t="s">
        <v>152</v>
      </c>
      <c r="C115" s="75" t="s">
        <v>152</v>
      </c>
      <c r="D115" s="75" t="s">
        <v>153</v>
      </c>
      <c r="E115" s="75" t="s">
        <v>6</v>
      </c>
      <c r="F115" s="75" t="s">
        <v>3529</v>
      </c>
      <c r="G115" s="67">
        <v>1714448977</v>
      </c>
      <c r="H115" s="54" t="s">
        <v>229</v>
      </c>
      <c r="I115" s="54" t="s">
        <v>3514</v>
      </c>
      <c r="J115" s="34" t="s">
        <v>3419</v>
      </c>
      <c r="K115" s="43">
        <f>VLOOKUP(A115,'SSP_March''19'!$A$3:$L$1193,11,0)</f>
        <v>250000</v>
      </c>
      <c r="L115" s="43">
        <f>VLOOKUP(A115,'SSP_March''19'!$A$3:$L$1193,12,0)</f>
        <v>119680</v>
      </c>
      <c r="M115" s="44">
        <f t="shared" si="9"/>
        <v>0.47871999999999998</v>
      </c>
      <c r="N115" s="49">
        <f>ROUND(VLOOKUP(A115,'SSP_March''19'!$A$3:$N$1193,14,0),0)</f>
        <v>371008</v>
      </c>
      <c r="O115" s="44">
        <f t="shared" si="10"/>
        <v>1.484032</v>
      </c>
      <c r="P115" s="45">
        <f>VLOOKUP(A115,'SSP_March''19'!$A$3:$Q$1193,16,0)</f>
        <v>15</v>
      </c>
      <c r="Q115" s="34">
        <f>VLOOKUP(A115,'SSP_March''19'!$A$3:$Q$1193,17,0)</f>
        <v>5</v>
      </c>
      <c r="R115" s="35">
        <f t="shared" si="11"/>
        <v>0.33333333333333331</v>
      </c>
      <c r="S115" s="49">
        <f>ROUND(VLOOKUP(A115,'SSP_March''19'!$A$3:$T$1193,19,0),0)</f>
        <v>16</v>
      </c>
      <c r="T115" s="44">
        <f>VLOOKUP(A115,'SSP_March''19'!$A$3:$T$1193,20,0)</f>
        <v>1.0666666666666667</v>
      </c>
      <c r="U115" s="34">
        <f>VLOOKUP(A115,'SSP_March''19'!$A$3:$X$1193,21,0)</f>
        <v>2</v>
      </c>
      <c r="V115" s="34">
        <f>VLOOKUP(A115,'SSP_March''19'!$A$3:$X$1193,22,0)</f>
        <v>1</v>
      </c>
      <c r="W115" s="34">
        <f>VLOOKUP(A115,'SSP_March''19'!$A$3:$X$1193,23,0)</f>
        <v>0</v>
      </c>
      <c r="X115" s="34">
        <f>VLOOKUP(A115,'SSP_March''19'!$A$3:$X$1193,24,0)</f>
        <v>0</v>
      </c>
    </row>
    <row r="116" spans="1:24">
      <c r="A116" s="34" t="s">
        <v>1734</v>
      </c>
      <c r="B116" s="34" t="s">
        <v>1735</v>
      </c>
      <c r="C116" s="34" t="s">
        <v>152</v>
      </c>
      <c r="D116" s="34" t="s">
        <v>153</v>
      </c>
      <c r="E116" s="34" t="s">
        <v>6</v>
      </c>
      <c r="F116" s="34" t="s">
        <v>1736</v>
      </c>
      <c r="G116" s="54">
        <v>1812121155</v>
      </c>
      <c r="H116" s="54" t="s">
        <v>229</v>
      </c>
      <c r="I116" s="54" t="s">
        <v>3514</v>
      </c>
      <c r="J116" s="34" t="s">
        <v>3419</v>
      </c>
      <c r="K116" s="43">
        <f>VLOOKUP(A116,'SSP_March''19'!$A$3:$L$1193,11,0)</f>
        <v>130000</v>
      </c>
      <c r="L116" s="43">
        <f>VLOOKUP(A116,'SSP_March''19'!$A$3:$L$1193,12,0)</f>
        <v>49418</v>
      </c>
      <c r="M116" s="44">
        <f t="shared" si="9"/>
        <v>0.38013846153846154</v>
      </c>
      <c r="N116" s="49">
        <f>ROUND(VLOOKUP(A116,'SSP_March''19'!$A$3:$N$1193,14,0),0)</f>
        <v>153196</v>
      </c>
      <c r="O116" s="44">
        <f t="shared" si="10"/>
        <v>1.1784307692307692</v>
      </c>
      <c r="P116" s="45">
        <f>VLOOKUP(A116,'SSP_March''19'!$A$3:$Q$1193,16,0)</f>
        <v>10</v>
      </c>
      <c r="Q116" s="34">
        <f>VLOOKUP(A116,'SSP_March''19'!$A$3:$Q$1193,17,0)</f>
        <v>2</v>
      </c>
      <c r="R116" s="35">
        <f t="shared" si="11"/>
        <v>0.2</v>
      </c>
      <c r="S116" s="49">
        <f>ROUND(VLOOKUP(A116,'SSP_March''19'!$A$3:$T$1193,19,0),0)</f>
        <v>6</v>
      </c>
      <c r="T116" s="44">
        <f>VLOOKUP(A116,'SSP_March''19'!$A$3:$T$1193,20,0)</f>
        <v>0.6</v>
      </c>
      <c r="U116" s="34">
        <f>VLOOKUP(A116,'SSP_March''19'!$A$3:$X$1193,21,0)</f>
        <v>0</v>
      </c>
      <c r="V116" s="34">
        <f>VLOOKUP(A116,'SSP_March''19'!$A$3:$X$1193,22,0)</f>
        <v>2</v>
      </c>
      <c r="W116" s="34">
        <f>VLOOKUP(A116,'SSP_March''19'!$A$3:$X$1193,23,0)</f>
        <v>0</v>
      </c>
      <c r="X116" s="34">
        <f>VLOOKUP(A116,'SSP_March''19'!$A$3:$X$1193,24,0)</f>
        <v>0</v>
      </c>
    </row>
    <row r="117" spans="1:24">
      <c r="A117" s="34" t="s">
        <v>1753</v>
      </c>
      <c r="B117" s="34" t="s">
        <v>1754</v>
      </c>
      <c r="C117" s="34" t="s">
        <v>152</v>
      </c>
      <c r="D117" s="34" t="s">
        <v>153</v>
      </c>
      <c r="E117" s="34" t="s">
        <v>6</v>
      </c>
      <c r="F117" s="34" t="s">
        <v>1755</v>
      </c>
      <c r="G117" s="54">
        <v>1711145492</v>
      </c>
      <c r="H117" s="54" t="s">
        <v>229</v>
      </c>
      <c r="I117" s="54" t="s">
        <v>3514</v>
      </c>
      <c r="J117" s="34" t="s">
        <v>3419</v>
      </c>
      <c r="K117" s="43">
        <f>VLOOKUP(A117,'SSP_March''19'!$A$3:$L$1193,11,0)</f>
        <v>151793</v>
      </c>
      <c r="L117" s="43">
        <f>VLOOKUP(A117,'SSP_March''19'!$A$3:$L$1193,12,0)</f>
        <v>43765</v>
      </c>
      <c r="M117" s="44">
        <f t="shared" si="9"/>
        <v>0.28832027827370171</v>
      </c>
      <c r="N117" s="49">
        <f>ROUND(VLOOKUP(A117,'SSP_March''19'!$A$3:$N$1193,14,0),0)</f>
        <v>135672</v>
      </c>
      <c r="O117" s="44">
        <f t="shared" si="10"/>
        <v>0.89379615660801226</v>
      </c>
      <c r="P117" s="45">
        <f>VLOOKUP(A117,'SSP_March''19'!$A$3:$Q$1193,16,0)</f>
        <v>10</v>
      </c>
      <c r="Q117" s="34">
        <f>VLOOKUP(A117,'SSP_March''19'!$A$3:$Q$1193,17,0)</f>
        <v>4</v>
      </c>
      <c r="R117" s="35">
        <f t="shared" si="11"/>
        <v>0.4</v>
      </c>
      <c r="S117" s="49">
        <f>ROUND(VLOOKUP(A117,'SSP_March''19'!$A$3:$T$1193,19,0),0)</f>
        <v>12</v>
      </c>
      <c r="T117" s="44">
        <f>VLOOKUP(A117,'SSP_March''19'!$A$3:$T$1193,20,0)</f>
        <v>1.2</v>
      </c>
      <c r="U117" s="34">
        <f>VLOOKUP(A117,'SSP_March''19'!$A$3:$X$1193,21,0)</f>
        <v>0</v>
      </c>
      <c r="V117" s="34">
        <f>VLOOKUP(A117,'SSP_March''19'!$A$3:$X$1193,22,0)</f>
        <v>0</v>
      </c>
      <c r="W117" s="34">
        <f>VLOOKUP(A117,'SSP_March''19'!$A$3:$X$1193,23,0)</f>
        <v>0</v>
      </c>
      <c r="X117" s="34">
        <f>VLOOKUP(A117,'SSP_March''19'!$A$3:$X$1193,24,0)</f>
        <v>0</v>
      </c>
    </row>
    <row r="118" spans="1:24">
      <c r="A118" s="34" t="s">
        <v>1614</v>
      </c>
      <c r="B118" s="34" t="s">
        <v>1615</v>
      </c>
      <c r="C118" s="34" t="s">
        <v>1515</v>
      </c>
      <c r="D118" s="34" t="s">
        <v>153</v>
      </c>
      <c r="E118" s="34" t="s">
        <v>6</v>
      </c>
      <c r="F118" s="34" t="s">
        <v>1616</v>
      </c>
      <c r="G118" s="54">
        <v>1724494196</v>
      </c>
      <c r="H118" s="54" t="s">
        <v>229</v>
      </c>
      <c r="I118" s="54" t="s">
        <v>3514</v>
      </c>
      <c r="J118" s="34" t="s">
        <v>3421</v>
      </c>
      <c r="K118" s="43">
        <f>VLOOKUP(A118,'SSP_March''19'!$A$3:$L$1193,11,0)</f>
        <v>130000</v>
      </c>
      <c r="L118" s="43">
        <f>VLOOKUP(A118,'SSP_March''19'!$A$3:$L$1193,12,0)</f>
        <v>25460</v>
      </c>
      <c r="M118" s="44">
        <f t="shared" si="9"/>
        <v>0.19584615384615384</v>
      </c>
      <c r="N118" s="49">
        <f>ROUND(VLOOKUP(A118,'SSP_March''19'!$A$3:$N$1193,14,0),0)</f>
        <v>78926</v>
      </c>
      <c r="O118" s="44">
        <f t="shared" si="10"/>
        <v>0.60712307692307688</v>
      </c>
      <c r="P118" s="45">
        <f>VLOOKUP(A118,'SSP_March''19'!$A$3:$Q$1193,16,0)</f>
        <v>10</v>
      </c>
      <c r="Q118" s="34">
        <f>VLOOKUP(A118,'SSP_March''19'!$A$3:$Q$1193,17,0)</f>
        <v>1</v>
      </c>
      <c r="R118" s="35">
        <f t="shared" si="11"/>
        <v>0.1</v>
      </c>
      <c r="S118" s="49">
        <f>ROUND(VLOOKUP(A118,'SSP_March''19'!$A$3:$T$1193,19,0),0)</f>
        <v>3</v>
      </c>
      <c r="T118" s="44">
        <f>VLOOKUP(A118,'SSP_March''19'!$A$3:$T$1193,20,0)</f>
        <v>0.3</v>
      </c>
      <c r="U118" s="34">
        <f>VLOOKUP(A118,'SSP_March''19'!$A$3:$X$1193,21,0)</f>
        <v>1</v>
      </c>
      <c r="V118" s="34">
        <f>VLOOKUP(A118,'SSP_March''19'!$A$3:$X$1193,22,0)</f>
        <v>0</v>
      </c>
      <c r="W118" s="34">
        <f>VLOOKUP(A118,'SSP_March''19'!$A$3:$X$1193,23,0)</f>
        <v>0</v>
      </c>
      <c r="X118" s="34">
        <f>VLOOKUP(A118,'SSP_March''19'!$A$3:$X$1193,24,0)</f>
        <v>0</v>
      </c>
    </row>
    <row r="119" spans="1:24">
      <c r="A119" s="34" t="s">
        <v>1713</v>
      </c>
      <c r="B119" s="34" t="s">
        <v>1714</v>
      </c>
      <c r="C119" s="34" t="s">
        <v>1515</v>
      </c>
      <c r="D119" s="34" t="s">
        <v>153</v>
      </c>
      <c r="E119" s="34" t="s">
        <v>6</v>
      </c>
      <c r="F119" s="34" t="s">
        <v>1715</v>
      </c>
      <c r="G119" s="54">
        <v>1716841601</v>
      </c>
      <c r="H119" s="54" t="s">
        <v>229</v>
      </c>
      <c r="I119" s="54" t="s">
        <v>3514</v>
      </c>
      <c r="J119" s="34" t="s">
        <v>3421</v>
      </c>
      <c r="K119" s="43">
        <f>VLOOKUP(A119,'SSP_March''19'!$A$3:$L$1193,11,0)</f>
        <v>130000</v>
      </c>
      <c r="L119" s="43">
        <f>VLOOKUP(A119,'SSP_March''19'!$A$3:$L$1193,12,0)</f>
        <v>58920</v>
      </c>
      <c r="M119" s="44">
        <f t="shared" si="9"/>
        <v>0.45323076923076921</v>
      </c>
      <c r="N119" s="49">
        <f>ROUND(VLOOKUP(A119,'SSP_March''19'!$A$3:$N$1193,14,0),0)</f>
        <v>182652</v>
      </c>
      <c r="O119" s="44">
        <f t="shared" si="10"/>
        <v>1.4050153846153846</v>
      </c>
      <c r="P119" s="45">
        <f>VLOOKUP(A119,'SSP_March''19'!$A$3:$Q$1193,16,0)</f>
        <v>10</v>
      </c>
      <c r="Q119" s="34">
        <f>VLOOKUP(A119,'SSP_March''19'!$A$3:$Q$1193,17,0)</f>
        <v>1</v>
      </c>
      <c r="R119" s="35">
        <f t="shared" si="11"/>
        <v>0.1</v>
      </c>
      <c r="S119" s="49">
        <f>ROUND(VLOOKUP(A119,'SSP_March''19'!$A$3:$T$1193,19,0),0)</f>
        <v>3</v>
      </c>
      <c r="T119" s="44">
        <f>VLOOKUP(A119,'SSP_March''19'!$A$3:$T$1193,20,0)</f>
        <v>0.3</v>
      </c>
      <c r="U119" s="34">
        <f>VLOOKUP(A119,'SSP_March''19'!$A$3:$X$1193,21,0)</f>
        <v>0</v>
      </c>
      <c r="V119" s="34">
        <f>VLOOKUP(A119,'SSP_March''19'!$A$3:$X$1193,22,0)</f>
        <v>0</v>
      </c>
      <c r="W119" s="34">
        <f>VLOOKUP(A119,'SSP_March''19'!$A$3:$X$1193,23,0)</f>
        <v>0</v>
      </c>
      <c r="X119" s="34">
        <f>VLOOKUP(A119,'SSP_March''19'!$A$3:$X$1193,24,0)</f>
        <v>0</v>
      </c>
    </row>
    <row r="120" spans="1:24">
      <c r="A120" s="34" t="s">
        <v>1665</v>
      </c>
      <c r="B120" s="34" t="s">
        <v>1666</v>
      </c>
      <c r="C120" s="34" t="s">
        <v>1515</v>
      </c>
      <c r="D120" s="34" t="s">
        <v>153</v>
      </c>
      <c r="E120" s="34" t="s">
        <v>6</v>
      </c>
      <c r="F120" s="34" t="s">
        <v>1667</v>
      </c>
      <c r="G120" s="54">
        <v>1711571853</v>
      </c>
      <c r="H120" s="54" t="s">
        <v>229</v>
      </c>
      <c r="I120" s="54" t="s">
        <v>3514</v>
      </c>
      <c r="J120" s="34" t="s">
        <v>3421</v>
      </c>
      <c r="K120" s="43">
        <f>VLOOKUP(A120,'SSP_March''19'!$A$3:$L$1193,11,0)</f>
        <v>130000</v>
      </c>
      <c r="L120" s="43">
        <f>VLOOKUP(A120,'SSP_March''19'!$A$3:$L$1193,12,0)</f>
        <v>36310</v>
      </c>
      <c r="M120" s="44">
        <f t="shared" si="9"/>
        <v>0.27930769230769231</v>
      </c>
      <c r="N120" s="49">
        <f>ROUND(VLOOKUP(A120,'SSP_March''19'!$A$3:$N$1193,14,0),0)</f>
        <v>112561</v>
      </c>
      <c r="O120" s="44">
        <f t="shared" si="10"/>
        <v>0.8658538461538462</v>
      </c>
      <c r="P120" s="45">
        <f>VLOOKUP(A120,'SSP_March''19'!$A$3:$Q$1193,16,0)</f>
        <v>10</v>
      </c>
      <c r="Q120" s="34">
        <f>VLOOKUP(A120,'SSP_March''19'!$A$3:$Q$1193,17,0)</f>
        <v>3</v>
      </c>
      <c r="R120" s="35">
        <f t="shared" si="11"/>
        <v>0.3</v>
      </c>
      <c r="S120" s="49">
        <f>ROUND(VLOOKUP(A120,'SSP_March''19'!$A$3:$T$1193,19,0),0)</f>
        <v>9</v>
      </c>
      <c r="T120" s="44">
        <f>VLOOKUP(A120,'SSP_March''19'!$A$3:$T$1193,20,0)</f>
        <v>0.9</v>
      </c>
      <c r="U120" s="34">
        <f>VLOOKUP(A120,'SSP_March''19'!$A$3:$X$1193,21,0)</f>
        <v>0</v>
      </c>
      <c r="V120" s="34">
        <f>VLOOKUP(A120,'SSP_March''19'!$A$3:$X$1193,22,0)</f>
        <v>1</v>
      </c>
      <c r="W120" s="34">
        <f>VLOOKUP(A120,'SSP_March''19'!$A$3:$X$1193,23,0)</f>
        <v>0</v>
      </c>
      <c r="X120" s="34">
        <f>VLOOKUP(A120,'SSP_March''19'!$A$3:$X$1193,24,0)</f>
        <v>0</v>
      </c>
    </row>
  </sheetData>
  <conditionalFormatting sqref="A304:A1048576">
    <cfRule type="duplicateValues" dxfId="20" priority="32"/>
  </conditionalFormatting>
  <conditionalFormatting sqref="A2">
    <cfRule type="duplicateValues" dxfId="19" priority="30"/>
  </conditionalFormatting>
  <conditionalFormatting sqref="A2">
    <cfRule type="duplicateValues" dxfId="18" priority="28"/>
    <cfRule type="duplicateValues" priority="29"/>
  </conditionalFormatting>
  <conditionalFormatting sqref="A2">
    <cfRule type="duplicateValues" dxfId="17" priority="27"/>
  </conditionalFormatting>
  <conditionalFormatting sqref="A2">
    <cfRule type="duplicateValues" dxfId="16" priority="31"/>
  </conditionalFormatting>
  <conditionalFormatting sqref="A2">
    <cfRule type="duplicateValues" dxfId="15" priority="26"/>
  </conditionalFormatting>
  <conditionalFormatting sqref="A3:A120">
    <cfRule type="duplicateValues" dxfId="14" priority="1"/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7"/>
  <sheetViews>
    <sheetView workbookViewId="0">
      <pane xSplit="2" ySplit="2" topLeftCell="I3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Q2" sqref="Q2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SUBTOTAL(9,K3:K107)</f>
        <v>18400346</v>
      </c>
      <c r="L1" s="31">
        <f>SUBTOTAL(9,L3:L107)</f>
        <v>5353301</v>
      </c>
      <c r="M1" s="30">
        <f>L1/K1</f>
        <v>0.29093480089993962</v>
      </c>
      <c r="N1" s="30"/>
      <c r="O1" s="30"/>
      <c r="P1" s="31">
        <f>SUBTOTAL(9,P3:P107)</f>
        <v>1233</v>
      </c>
      <c r="Q1" s="31">
        <f>SUBTOTAL(9,Q3:Q107)</f>
        <v>288</v>
      </c>
      <c r="R1" s="30">
        <f>Q1/P1</f>
        <v>0.23357664233576642</v>
      </c>
      <c r="S1" s="30"/>
      <c r="T1" s="30"/>
      <c r="U1" s="31">
        <f>SUBTOTAL(9,U3:U107)</f>
        <v>56</v>
      </c>
      <c r="V1" s="31">
        <f>SUBTOTAL(9,V3:V107)</f>
        <v>59</v>
      </c>
      <c r="W1" s="31">
        <f>SUBTOTAL(9,W3:W107)</f>
        <v>10</v>
      </c>
      <c r="X1" s="31">
        <f>SUBTOTAL(9,X3:X107)</f>
        <v>14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34" t="s">
        <v>1284</v>
      </c>
      <c r="B3" s="34" t="s">
        <v>1285</v>
      </c>
      <c r="C3" s="34" t="s">
        <v>1286</v>
      </c>
      <c r="D3" s="34" t="s">
        <v>114</v>
      </c>
      <c r="E3" s="34" t="s">
        <v>2</v>
      </c>
      <c r="F3" s="34" t="s">
        <v>1287</v>
      </c>
      <c r="G3" s="54">
        <v>1712471916</v>
      </c>
      <c r="H3" s="54" t="s">
        <v>229</v>
      </c>
      <c r="I3" s="54" t="s">
        <v>3514</v>
      </c>
      <c r="J3" s="34" t="s">
        <v>3419</v>
      </c>
      <c r="K3" s="43">
        <f>VLOOKUP(A3,'SSP_March''19'!$A$3:$L$1193,11,0)</f>
        <v>200000</v>
      </c>
      <c r="L3" s="43">
        <f>VLOOKUP(A3,'SSP_March''19'!$A$3:$L$1193,12,0)</f>
        <v>35000</v>
      </c>
      <c r="M3" s="44">
        <f t="shared" ref="M3:M36" si="0">L3/K3</f>
        <v>0.17499999999999999</v>
      </c>
      <c r="N3" s="49">
        <f>ROUND(VLOOKUP(A3,'SSP_March''19'!$A$3:$N$1193,14,0),0)</f>
        <v>108500</v>
      </c>
      <c r="O3" s="44">
        <f t="shared" ref="O3:O36" si="1">N3/K3</f>
        <v>0.54249999999999998</v>
      </c>
      <c r="P3" s="45">
        <f>VLOOKUP(A3,'SSP_March''19'!$A$3:$Q$1193,16,0)</f>
        <v>13</v>
      </c>
      <c r="Q3" s="34">
        <f>VLOOKUP(A3,'SSP_March''19'!$A$3:$Q$1193,17,0)</f>
        <v>3</v>
      </c>
      <c r="R3" s="35">
        <f t="shared" ref="R3:R36" si="2">Q3/P3</f>
        <v>0.23076923076923078</v>
      </c>
      <c r="S3" s="49">
        <f>ROUND(VLOOKUP(A3,'SSP_March''19'!$A$3:$T$1193,19,0),0)</f>
        <v>9</v>
      </c>
      <c r="T3" s="44">
        <f>VLOOKUP(A3,'SSP_March''19'!$A$3:$T$1193,20,0)</f>
        <v>0.69230769230769229</v>
      </c>
      <c r="U3" s="34">
        <f>VLOOKUP(A3,'SSP_March''19'!$A$3:$X$1193,21,0)</f>
        <v>0</v>
      </c>
      <c r="V3" s="34">
        <f>VLOOKUP(A3,'SSP_March''19'!$A$3:$X$1193,22,0)</f>
        <v>0</v>
      </c>
      <c r="W3" s="34">
        <f>VLOOKUP(A3,'SSP_March''19'!$A$3:$X$1193,23,0)</f>
        <v>0</v>
      </c>
      <c r="X3" s="34">
        <f>VLOOKUP(A3,'SSP_March''19'!$A$3:$X$1193,24,0)</f>
        <v>1</v>
      </c>
    </row>
    <row r="4" spans="1:24">
      <c r="A4" s="34" t="s">
        <v>1294</v>
      </c>
      <c r="B4" s="34" t="s">
        <v>1295</v>
      </c>
      <c r="C4" s="34" t="s">
        <v>1286</v>
      </c>
      <c r="D4" s="34" t="s">
        <v>114</v>
      </c>
      <c r="E4" s="34" t="s">
        <v>2</v>
      </c>
      <c r="F4" s="34" t="s">
        <v>1296</v>
      </c>
      <c r="G4" s="54">
        <v>1710868286</v>
      </c>
      <c r="H4" s="54" t="s">
        <v>229</v>
      </c>
      <c r="I4" s="54" t="s">
        <v>3514</v>
      </c>
      <c r="J4" s="34" t="s">
        <v>3419</v>
      </c>
      <c r="K4" s="43">
        <f>VLOOKUP(A4,'SSP_March''19'!$A$3:$L$1193,11,0)</f>
        <v>202691</v>
      </c>
      <c r="L4" s="43">
        <f>VLOOKUP(A4,'SSP_March''19'!$A$3:$L$1193,12,0)</f>
        <v>80625</v>
      </c>
      <c r="M4" s="44">
        <f t="shared" si="0"/>
        <v>0.3977729647591654</v>
      </c>
      <c r="N4" s="49">
        <f>ROUND(VLOOKUP(A4,'SSP_March''19'!$A$3:$N$1193,14,0),0)</f>
        <v>249938</v>
      </c>
      <c r="O4" s="44">
        <f t="shared" si="1"/>
        <v>1.2330986575624967</v>
      </c>
      <c r="P4" s="45">
        <f>VLOOKUP(A4,'SSP_March''19'!$A$3:$Q$1193,16,0)</f>
        <v>10</v>
      </c>
      <c r="Q4" s="34">
        <f>VLOOKUP(A4,'SSP_March''19'!$A$3:$Q$1193,17,0)</f>
        <v>2</v>
      </c>
      <c r="R4" s="35">
        <f t="shared" si="2"/>
        <v>0.2</v>
      </c>
      <c r="S4" s="49">
        <f>ROUND(VLOOKUP(A4,'SSP_March''19'!$A$3:$T$1193,19,0),0)</f>
        <v>6</v>
      </c>
      <c r="T4" s="44">
        <f>VLOOKUP(A4,'SSP_March''19'!$A$3:$T$1193,20,0)</f>
        <v>0.6</v>
      </c>
      <c r="U4" s="34">
        <f>VLOOKUP(A4,'SSP_March''19'!$A$3:$X$1193,21,0)</f>
        <v>0</v>
      </c>
      <c r="V4" s="34">
        <f>VLOOKUP(A4,'SSP_March''19'!$A$3:$X$1193,22,0)</f>
        <v>0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34" t="s">
        <v>1316</v>
      </c>
      <c r="B5" s="34" t="s">
        <v>1317</v>
      </c>
      <c r="C5" s="34" t="s">
        <v>1286</v>
      </c>
      <c r="D5" s="34" t="s">
        <v>114</v>
      </c>
      <c r="E5" s="34" t="s">
        <v>2</v>
      </c>
      <c r="F5" s="34" t="s">
        <v>1318</v>
      </c>
      <c r="G5" s="54">
        <v>1716111377</v>
      </c>
      <c r="H5" s="54" t="s">
        <v>229</v>
      </c>
      <c r="I5" s="54" t="s">
        <v>3514</v>
      </c>
      <c r="J5" s="34" t="s">
        <v>3419</v>
      </c>
      <c r="K5" s="43">
        <f>VLOOKUP(A5,'SSP_March''19'!$A$3:$L$1193,11,0)</f>
        <v>150000</v>
      </c>
      <c r="L5" s="43">
        <f>VLOOKUP(A5,'SSP_March''19'!$A$3:$L$1193,12,0)</f>
        <v>76220</v>
      </c>
      <c r="M5" s="44">
        <f t="shared" ref="M5:M6" si="3">L5/K5</f>
        <v>0.50813333333333333</v>
      </c>
      <c r="N5" s="49">
        <f>ROUND(VLOOKUP(A5,'SSP_March''19'!$A$3:$N$1193,14,0),0)</f>
        <v>236282</v>
      </c>
      <c r="O5" s="44">
        <f t="shared" ref="O5:O6" si="4">N5/K5</f>
        <v>1.5752133333333334</v>
      </c>
      <c r="P5" s="45">
        <f>VLOOKUP(A5,'SSP_March''19'!$A$3:$Q$1193,16,0)</f>
        <v>11</v>
      </c>
      <c r="Q5" s="34">
        <f>VLOOKUP(A5,'SSP_March''19'!$A$3:$Q$1193,17,0)</f>
        <v>4</v>
      </c>
      <c r="R5" s="35">
        <f t="shared" ref="R5:R6" si="5">Q5/P5</f>
        <v>0.36363636363636365</v>
      </c>
      <c r="S5" s="49">
        <f>ROUND(VLOOKUP(A5,'SSP_March''19'!$A$3:$T$1193,19,0),0)</f>
        <v>12</v>
      </c>
      <c r="T5" s="44">
        <f>VLOOKUP(A5,'SSP_March''19'!$A$3:$T$1193,20,0)</f>
        <v>1.0909090909090908</v>
      </c>
      <c r="U5" s="34">
        <f>VLOOKUP(A5,'SSP_March''19'!$A$3:$X$1193,21,0)</f>
        <v>3</v>
      </c>
      <c r="V5" s="34">
        <f>VLOOKUP(A5,'SSP_March''19'!$A$3:$X$1193,22,0)</f>
        <v>1</v>
      </c>
      <c r="W5" s="34">
        <f>VLOOKUP(A5,'SSP_March''19'!$A$3:$X$1193,23,0)</f>
        <v>0</v>
      </c>
      <c r="X5" s="34">
        <f>VLOOKUP(A5,'SSP_March''19'!$A$3:$X$1193,24,0)</f>
        <v>0</v>
      </c>
    </row>
    <row r="6" spans="1:24">
      <c r="A6" s="34" t="s">
        <v>1304</v>
      </c>
      <c r="B6" s="34" t="s">
        <v>1305</v>
      </c>
      <c r="C6" s="34" t="s">
        <v>1286</v>
      </c>
      <c r="D6" s="34" t="s">
        <v>114</v>
      </c>
      <c r="E6" s="34" t="s">
        <v>2</v>
      </c>
      <c r="F6" s="34" t="s">
        <v>1306</v>
      </c>
      <c r="G6" s="54">
        <v>1811751878</v>
      </c>
      <c r="H6" s="54" t="s">
        <v>229</v>
      </c>
      <c r="I6" s="54" t="s">
        <v>3522</v>
      </c>
      <c r="J6" s="34" t="s">
        <v>3419</v>
      </c>
      <c r="K6" s="43">
        <f>VLOOKUP(A6,'SSP_March''19'!$A$3:$L$1193,11,0)</f>
        <v>600000</v>
      </c>
      <c r="L6" s="43">
        <f>VLOOKUP(A6,'SSP_March''19'!$A$3:$L$1193,12,0)</f>
        <v>155879</v>
      </c>
      <c r="M6" s="44">
        <f t="shared" si="3"/>
        <v>0.25979833333333335</v>
      </c>
      <c r="N6" s="49">
        <f>ROUND(VLOOKUP(A6,'SSP_March''19'!$A$3:$N$1193,14,0),0)</f>
        <v>483225</v>
      </c>
      <c r="O6" s="44">
        <f t="shared" si="4"/>
        <v>0.80537499999999995</v>
      </c>
      <c r="P6" s="45">
        <f>VLOOKUP(A6,'SSP_March''19'!$A$3:$Q$1193,16,0)</f>
        <v>41</v>
      </c>
      <c r="Q6" s="34">
        <f>VLOOKUP(A6,'SSP_March''19'!$A$3:$Q$1193,17,0)</f>
        <v>7</v>
      </c>
      <c r="R6" s="35">
        <f t="shared" si="5"/>
        <v>0.17073170731707318</v>
      </c>
      <c r="S6" s="49">
        <f>ROUND(VLOOKUP(A6,'SSP_March''19'!$A$3:$T$1193,19,0),0)</f>
        <v>22</v>
      </c>
      <c r="T6" s="44">
        <f>VLOOKUP(A6,'SSP_March''19'!$A$3:$T$1193,20,0)</f>
        <v>0.53658536585365857</v>
      </c>
      <c r="U6" s="34">
        <f>VLOOKUP(A6,'SSP_March''19'!$A$3:$X$1193,21,0)</f>
        <v>1</v>
      </c>
      <c r="V6" s="34">
        <f>VLOOKUP(A6,'SSP_March''19'!$A$3:$X$1193,22,0)</f>
        <v>1</v>
      </c>
      <c r="W6" s="34">
        <f>VLOOKUP(A6,'SSP_March''19'!$A$3:$X$1193,23,0)</f>
        <v>0</v>
      </c>
      <c r="X6" s="34">
        <f>VLOOKUP(A6,'SSP_March''19'!$A$3:$X$1193,24,0)</f>
        <v>0</v>
      </c>
    </row>
    <row r="7" spans="1:24">
      <c r="A7" s="34" t="s">
        <v>1297</v>
      </c>
      <c r="B7" s="34" t="s">
        <v>1298</v>
      </c>
      <c r="C7" s="34" t="s">
        <v>1286</v>
      </c>
      <c r="D7" s="34" t="s">
        <v>114</v>
      </c>
      <c r="E7" s="34" t="s">
        <v>2</v>
      </c>
      <c r="F7" s="34" t="s">
        <v>1299</v>
      </c>
      <c r="G7" s="54">
        <v>1717506653</v>
      </c>
      <c r="H7" s="54" t="s">
        <v>229</v>
      </c>
      <c r="I7" s="54" t="s">
        <v>3514</v>
      </c>
      <c r="J7" s="34" t="s">
        <v>3421</v>
      </c>
      <c r="K7" s="43">
        <f>VLOOKUP(A7,'SSP_March''19'!$A$3:$L$1193,11,0)</f>
        <v>152000</v>
      </c>
      <c r="L7" s="43">
        <f>VLOOKUP(A7,'SSP_March''19'!$A$3:$L$1193,12,0)</f>
        <v>51550</v>
      </c>
      <c r="M7" s="44">
        <f t="shared" si="0"/>
        <v>0.33914473684210528</v>
      </c>
      <c r="N7" s="49">
        <f>ROUND(VLOOKUP(A7,'SSP_March''19'!$A$3:$N$1193,14,0),0)</f>
        <v>159805</v>
      </c>
      <c r="O7" s="44">
        <f t="shared" si="1"/>
        <v>1.0513486842105264</v>
      </c>
      <c r="P7" s="45">
        <f>VLOOKUP(A7,'SSP_March''19'!$A$3:$Q$1193,16,0)</f>
        <v>10</v>
      </c>
      <c r="Q7" s="34">
        <f>VLOOKUP(A7,'SSP_March''19'!$A$3:$Q$1193,17,0)</f>
        <v>1</v>
      </c>
      <c r="R7" s="35">
        <f t="shared" si="2"/>
        <v>0.1</v>
      </c>
      <c r="S7" s="49">
        <f>ROUND(VLOOKUP(A7,'SSP_March''19'!$A$3:$T$1193,19,0),0)</f>
        <v>3</v>
      </c>
      <c r="T7" s="44">
        <f>VLOOKUP(A7,'SSP_March''19'!$A$3:$T$1193,20,0)</f>
        <v>0.3</v>
      </c>
      <c r="U7" s="34">
        <f>VLOOKUP(A7,'SSP_March''19'!$A$3:$X$1193,21,0)</f>
        <v>0</v>
      </c>
      <c r="V7" s="34">
        <f>VLOOKUP(A7,'SSP_March''19'!$A$3:$X$1193,22,0)</f>
        <v>0</v>
      </c>
      <c r="W7" s="34">
        <f>VLOOKUP(A7,'SSP_March''19'!$A$3:$X$1193,23,0)</f>
        <v>1</v>
      </c>
      <c r="X7" s="34">
        <f>VLOOKUP(A7,'SSP_March''19'!$A$3:$X$1193,24,0)</f>
        <v>0</v>
      </c>
    </row>
    <row r="8" spans="1:24">
      <c r="A8" s="34" t="s">
        <v>1307</v>
      </c>
      <c r="B8" s="34" t="s">
        <v>1308</v>
      </c>
      <c r="C8" s="34" t="s">
        <v>83</v>
      </c>
      <c r="D8" s="34" t="s">
        <v>114</v>
      </c>
      <c r="E8" s="34" t="s">
        <v>2</v>
      </c>
      <c r="F8" s="34" t="s">
        <v>1309</v>
      </c>
      <c r="G8" s="54">
        <v>1773109696</v>
      </c>
      <c r="H8" s="54" t="s">
        <v>229</v>
      </c>
      <c r="I8" s="54" t="s">
        <v>3514</v>
      </c>
      <c r="J8" s="34" t="s">
        <v>3419</v>
      </c>
      <c r="K8" s="43">
        <f>VLOOKUP(A8,'SSP_March''19'!$A$3:$L$1193,11,0)</f>
        <v>190000</v>
      </c>
      <c r="L8" s="43">
        <f>VLOOKUP(A8,'SSP_March''19'!$A$3:$L$1193,12,0)</f>
        <v>46930</v>
      </c>
      <c r="M8" s="44">
        <f t="shared" si="0"/>
        <v>0.247</v>
      </c>
      <c r="N8" s="49">
        <f>ROUND(VLOOKUP(A8,'SSP_March''19'!$A$3:$N$1193,14,0),0)</f>
        <v>145483</v>
      </c>
      <c r="O8" s="44">
        <f t="shared" si="1"/>
        <v>0.76570000000000005</v>
      </c>
      <c r="P8" s="45">
        <f>VLOOKUP(A8,'SSP_March''19'!$A$3:$Q$1193,16,0)</f>
        <v>12</v>
      </c>
      <c r="Q8" s="34">
        <f>VLOOKUP(A8,'SSP_March''19'!$A$3:$Q$1193,17,0)</f>
        <v>3</v>
      </c>
      <c r="R8" s="35">
        <f t="shared" si="2"/>
        <v>0.25</v>
      </c>
      <c r="S8" s="49">
        <f>ROUND(VLOOKUP(A8,'SSP_March''19'!$A$3:$T$1193,19,0),0)</f>
        <v>9</v>
      </c>
      <c r="T8" s="44">
        <f>VLOOKUP(A8,'SSP_March''19'!$A$3:$T$1193,20,0)</f>
        <v>0.75</v>
      </c>
      <c r="U8" s="34">
        <f>VLOOKUP(A8,'SSP_March''19'!$A$3:$X$1193,21,0)</f>
        <v>1</v>
      </c>
      <c r="V8" s="34">
        <f>VLOOKUP(A8,'SSP_March''19'!$A$3:$X$1193,22,0)</f>
        <v>0</v>
      </c>
      <c r="W8" s="34">
        <f>VLOOKUP(A8,'SSP_March''19'!$A$3:$X$1193,23,0)</f>
        <v>0</v>
      </c>
      <c r="X8" s="34">
        <f>VLOOKUP(A8,'SSP_March''19'!$A$3:$X$1193,24,0)</f>
        <v>2</v>
      </c>
    </row>
    <row r="9" spans="1:24">
      <c r="A9" s="34" t="s">
        <v>3409</v>
      </c>
      <c r="B9" s="34" t="s">
        <v>3410</v>
      </c>
      <c r="C9" s="34" t="s">
        <v>83</v>
      </c>
      <c r="D9" s="34" t="s">
        <v>114</v>
      </c>
      <c r="E9" s="34" t="s">
        <v>2</v>
      </c>
      <c r="F9" s="34" t="s">
        <v>3408</v>
      </c>
      <c r="G9" s="54">
        <v>1714862297</v>
      </c>
      <c r="H9" s="54" t="s">
        <v>229</v>
      </c>
      <c r="I9" s="54" t="s">
        <v>3514</v>
      </c>
      <c r="J9" s="34" t="s">
        <v>3421</v>
      </c>
      <c r="K9" s="43">
        <f>VLOOKUP(A9,'SSP_March''19'!$A$3:$L$1193,11,0)</f>
        <v>225121</v>
      </c>
      <c r="L9" s="43">
        <f>VLOOKUP(A9,'SSP_March''19'!$A$3:$L$1193,12,0)</f>
        <v>68675</v>
      </c>
      <c r="M9" s="44">
        <f t="shared" si="0"/>
        <v>0.305058168718156</v>
      </c>
      <c r="N9" s="49">
        <f>ROUND(VLOOKUP(A9,'SSP_March''19'!$A$3:$N$1193,14,0),0)</f>
        <v>212893</v>
      </c>
      <c r="O9" s="44">
        <f t="shared" si="1"/>
        <v>0.94568254405408647</v>
      </c>
      <c r="P9" s="45">
        <f>VLOOKUP(A9,'SSP_March''19'!$A$3:$Q$1193,16,0)</f>
        <v>13</v>
      </c>
      <c r="Q9" s="34">
        <f>VLOOKUP(A9,'SSP_March''19'!$A$3:$Q$1193,17,0)</f>
        <v>5</v>
      </c>
      <c r="R9" s="35">
        <f t="shared" si="2"/>
        <v>0.38461538461538464</v>
      </c>
      <c r="S9" s="49">
        <f>ROUND(VLOOKUP(A9,'SSP_March''19'!$A$3:$T$1193,19,0),0)</f>
        <v>16</v>
      </c>
      <c r="T9" s="44">
        <f>VLOOKUP(A9,'SSP_March''19'!$A$3:$T$1193,20,0)</f>
        <v>1.2307692307692308</v>
      </c>
      <c r="U9" s="34">
        <f>VLOOKUP(A9,'SSP_March''19'!$A$3:$X$1193,21,0)</f>
        <v>1</v>
      </c>
      <c r="V9" s="34">
        <f>VLOOKUP(A9,'SSP_March''19'!$A$3:$X$1193,22,0)</f>
        <v>2</v>
      </c>
      <c r="W9" s="34">
        <f>VLOOKUP(A9,'SSP_March''19'!$A$3:$X$1193,23,0)</f>
        <v>0</v>
      </c>
      <c r="X9" s="34">
        <f>VLOOKUP(A9,'SSP_March''19'!$A$3:$X$1193,24,0)</f>
        <v>1</v>
      </c>
    </row>
    <row r="10" spans="1:24">
      <c r="A10" s="34" t="s">
        <v>1291</v>
      </c>
      <c r="B10" s="34" t="s">
        <v>1292</v>
      </c>
      <c r="C10" s="34" t="s">
        <v>83</v>
      </c>
      <c r="D10" s="34" t="s">
        <v>114</v>
      </c>
      <c r="E10" s="34" t="s">
        <v>2</v>
      </c>
      <c r="F10" s="34" t="s">
        <v>1293</v>
      </c>
      <c r="G10" s="54">
        <v>1881913234</v>
      </c>
      <c r="H10" s="54" t="s">
        <v>229</v>
      </c>
      <c r="I10" s="54" t="s">
        <v>3514</v>
      </c>
      <c r="J10" s="34" t="s">
        <v>3421</v>
      </c>
      <c r="K10" s="43">
        <f>VLOOKUP(A10,'SSP_March''19'!$A$3:$L$1193,11,0)</f>
        <v>130000</v>
      </c>
      <c r="L10" s="43">
        <f>VLOOKUP(A10,'SSP_March''19'!$A$3:$L$1193,12,0)</f>
        <v>33690</v>
      </c>
      <c r="M10" s="44">
        <f t="shared" si="0"/>
        <v>0.25915384615384618</v>
      </c>
      <c r="N10" s="49">
        <f>ROUND(VLOOKUP(A10,'SSP_March''19'!$A$3:$N$1193,14,0),0)</f>
        <v>104439</v>
      </c>
      <c r="O10" s="44">
        <f t="shared" si="1"/>
        <v>0.8033769230769231</v>
      </c>
      <c r="P10" s="45">
        <f>VLOOKUP(A10,'SSP_March''19'!$A$3:$Q$1193,16,0)</f>
        <v>10</v>
      </c>
      <c r="Q10" s="34">
        <f>VLOOKUP(A10,'SSP_March''19'!$A$3:$Q$1193,17,0)</f>
        <v>2</v>
      </c>
      <c r="R10" s="35">
        <f t="shared" si="2"/>
        <v>0.2</v>
      </c>
      <c r="S10" s="49">
        <f>ROUND(VLOOKUP(A10,'SSP_March''19'!$A$3:$T$1193,19,0),0)</f>
        <v>6</v>
      </c>
      <c r="T10" s="44">
        <f>VLOOKUP(A10,'SSP_March''19'!$A$3:$T$1193,20,0)</f>
        <v>0.6</v>
      </c>
      <c r="U10" s="34">
        <f>VLOOKUP(A10,'SSP_March''19'!$A$3:$X$1193,21,0)</f>
        <v>0</v>
      </c>
      <c r="V10" s="34">
        <f>VLOOKUP(A10,'SSP_March''19'!$A$3:$X$1193,22,0)</f>
        <v>0</v>
      </c>
      <c r="W10" s="34">
        <f>VLOOKUP(A10,'SSP_March''19'!$A$3:$X$1193,23,0)</f>
        <v>0</v>
      </c>
      <c r="X10" s="34">
        <f>VLOOKUP(A10,'SSP_March''19'!$A$3:$X$1193,24,0)</f>
        <v>0</v>
      </c>
    </row>
    <row r="11" spans="1:24">
      <c r="A11" s="34" t="s">
        <v>1281</v>
      </c>
      <c r="B11" s="34" t="s">
        <v>1282</v>
      </c>
      <c r="C11" s="34" t="s">
        <v>83</v>
      </c>
      <c r="D11" s="34" t="s">
        <v>114</v>
      </c>
      <c r="E11" s="34" t="s">
        <v>2</v>
      </c>
      <c r="F11" s="34" t="s">
        <v>1283</v>
      </c>
      <c r="G11" s="54">
        <v>1724443737</v>
      </c>
      <c r="H11" s="54" t="s">
        <v>229</v>
      </c>
      <c r="I11" s="54" t="s">
        <v>3514</v>
      </c>
      <c r="J11" s="34" t="s">
        <v>3421</v>
      </c>
      <c r="K11" s="43">
        <f>VLOOKUP(A11,'SSP_March''19'!$A$3:$L$1193,11,0)</f>
        <v>130000</v>
      </c>
      <c r="L11" s="43">
        <f>VLOOKUP(A11,'SSP_March''19'!$A$3:$L$1193,12,0)</f>
        <v>14679</v>
      </c>
      <c r="M11" s="44">
        <f t="shared" si="0"/>
        <v>0.11291538461538461</v>
      </c>
      <c r="N11" s="49">
        <f>ROUND(VLOOKUP(A11,'SSP_March''19'!$A$3:$N$1193,14,0),0)</f>
        <v>45505</v>
      </c>
      <c r="O11" s="44">
        <f t="shared" si="1"/>
        <v>0.35003846153846152</v>
      </c>
      <c r="P11" s="45">
        <f>VLOOKUP(A11,'SSP_March''19'!$A$3:$Q$1193,16,0)</f>
        <v>10</v>
      </c>
      <c r="Q11" s="34">
        <f>VLOOKUP(A11,'SSP_March''19'!$A$3:$Q$1193,17,0)</f>
        <v>1</v>
      </c>
      <c r="R11" s="35">
        <f t="shared" si="2"/>
        <v>0.1</v>
      </c>
      <c r="S11" s="49">
        <f>ROUND(VLOOKUP(A11,'SSP_March''19'!$A$3:$T$1193,19,0),0)</f>
        <v>3</v>
      </c>
      <c r="T11" s="44">
        <f>VLOOKUP(A11,'SSP_March''19'!$A$3:$T$1193,20,0)</f>
        <v>0.3</v>
      </c>
      <c r="U11" s="34">
        <f>VLOOKUP(A11,'SSP_March''19'!$A$3:$X$1193,21,0)</f>
        <v>0</v>
      </c>
      <c r="V11" s="34">
        <f>VLOOKUP(A11,'SSP_March''19'!$A$3:$X$1193,22,0)</f>
        <v>1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34" t="s">
        <v>1352</v>
      </c>
      <c r="B12" s="34" t="s">
        <v>1353</v>
      </c>
      <c r="C12" s="34" t="s">
        <v>83</v>
      </c>
      <c r="D12" s="34" t="s">
        <v>114</v>
      </c>
      <c r="E12" s="34" t="s">
        <v>2</v>
      </c>
      <c r="F12" s="34" t="s">
        <v>1354</v>
      </c>
      <c r="G12" s="54">
        <v>1717817732</v>
      </c>
      <c r="H12" s="54" t="s">
        <v>229</v>
      </c>
      <c r="I12" s="54" t="s">
        <v>3514</v>
      </c>
      <c r="J12" s="34" t="s">
        <v>3419</v>
      </c>
      <c r="K12" s="43">
        <f>VLOOKUP(A12,'SSP_March''19'!$A$3:$L$1193,11,0)</f>
        <v>171911</v>
      </c>
      <c r="L12" s="43">
        <f>VLOOKUP(A12,'SSP_March''19'!$A$3:$L$1193,12,0)</f>
        <v>30640</v>
      </c>
      <c r="M12" s="44">
        <f t="shared" si="0"/>
        <v>0.17823175945692829</v>
      </c>
      <c r="N12" s="49">
        <f>ROUND(VLOOKUP(A12,'SSP_March''19'!$A$3:$N$1193,14,0),0)</f>
        <v>94984</v>
      </c>
      <c r="O12" s="44">
        <f t="shared" si="1"/>
        <v>0.55251845431647773</v>
      </c>
      <c r="P12" s="45">
        <f>VLOOKUP(A12,'SSP_March''19'!$A$3:$Q$1193,16,0)</f>
        <v>10</v>
      </c>
      <c r="Q12" s="34">
        <f>VLOOKUP(A12,'SSP_March''19'!$A$3:$Q$1193,17,0)</f>
        <v>1</v>
      </c>
      <c r="R12" s="35">
        <f t="shared" si="2"/>
        <v>0.1</v>
      </c>
      <c r="S12" s="49">
        <f>ROUND(VLOOKUP(A12,'SSP_March''19'!$A$3:$T$1193,19,0),0)</f>
        <v>3</v>
      </c>
      <c r="T12" s="44">
        <f>VLOOKUP(A12,'SSP_March''19'!$A$3:$T$1193,20,0)</f>
        <v>0.3</v>
      </c>
      <c r="U12" s="34">
        <f>VLOOKUP(A12,'SSP_March''19'!$A$3:$X$1193,21,0)</f>
        <v>1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34" t="s">
        <v>1334</v>
      </c>
      <c r="B13" s="34" t="s">
        <v>1335</v>
      </c>
      <c r="C13" s="34" t="s">
        <v>83</v>
      </c>
      <c r="D13" s="34" t="s">
        <v>114</v>
      </c>
      <c r="E13" s="34" t="s">
        <v>2</v>
      </c>
      <c r="F13" s="34" t="s">
        <v>1336</v>
      </c>
      <c r="G13" s="54">
        <v>1740474747</v>
      </c>
      <c r="H13" s="54" t="s">
        <v>229</v>
      </c>
      <c r="I13" s="54" t="s">
        <v>3514</v>
      </c>
      <c r="J13" s="34" t="s">
        <v>3421</v>
      </c>
      <c r="K13" s="43">
        <f>VLOOKUP(A13,'SSP_March''19'!$A$3:$L$1193,11,0)</f>
        <v>130000</v>
      </c>
      <c r="L13" s="43">
        <f>VLOOKUP(A13,'SSP_March''19'!$A$3:$L$1193,12,0)</f>
        <v>49320</v>
      </c>
      <c r="M13" s="44">
        <f t="shared" si="0"/>
        <v>0.37938461538461538</v>
      </c>
      <c r="N13" s="49">
        <f>ROUND(VLOOKUP(A13,'SSP_March''19'!$A$3:$N$1193,14,0),0)</f>
        <v>152892</v>
      </c>
      <c r="O13" s="44">
        <f t="shared" si="1"/>
        <v>1.1760923076923078</v>
      </c>
      <c r="P13" s="45">
        <f>VLOOKUP(A13,'SSP_March''19'!$A$3:$Q$1193,16,0)</f>
        <v>10</v>
      </c>
      <c r="Q13" s="34">
        <f>VLOOKUP(A13,'SSP_March''19'!$A$3:$Q$1193,17,0)</f>
        <v>3</v>
      </c>
      <c r="R13" s="35">
        <f t="shared" si="2"/>
        <v>0.3</v>
      </c>
      <c r="S13" s="49">
        <f>ROUND(VLOOKUP(A13,'SSP_March''19'!$A$3:$T$1193,19,0),0)</f>
        <v>9</v>
      </c>
      <c r="T13" s="44">
        <f>VLOOKUP(A13,'SSP_March''19'!$A$3:$T$1193,20,0)</f>
        <v>0.9</v>
      </c>
      <c r="U13" s="34">
        <f>VLOOKUP(A13,'SSP_March''19'!$A$3:$X$1193,21,0)</f>
        <v>3</v>
      </c>
      <c r="V13" s="34">
        <f>VLOOKUP(A13,'SSP_March''19'!$A$3:$X$1193,22,0)</f>
        <v>1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34" t="s">
        <v>2950</v>
      </c>
      <c r="B14" s="34" t="s">
        <v>2951</v>
      </c>
      <c r="C14" s="34" t="s">
        <v>83</v>
      </c>
      <c r="D14" s="34" t="s">
        <v>114</v>
      </c>
      <c r="E14" s="34" t="s">
        <v>2</v>
      </c>
      <c r="F14" s="34" t="s">
        <v>2952</v>
      </c>
      <c r="G14" s="54">
        <v>1722434758</v>
      </c>
      <c r="H14" s="54" t="s">
        <v>229</v>
      </c>
      <c r="I14" s="54" t="s">
        <v>3514</v>
      </c>
      <c r="J14" s="34" t="s">
        <v>3419</v>
      </c>
      <c r="K14" s="43">
        <f>VLOOKUP(A14,'SSP_March''19'!$A$3:$L$1193,11,0)</f>
        <v>130000</v>
      </c>
      <c r="L14" s="43">
        <f>VLOOKUP(A14,'SSP_March''19'!$A$3:$L$1193,12,0)</f>
        <v>66430</v>
      </c>
      <c r="M14" s="44">
        <f t="shared" si="0"/>
        <v>0.51100000000000001</v>
      </c>
      <c r="N14" s="49">
        <f>ROUND(VLOOKUP(A14,'SSP_March''19'!$A$3:$N$1193,14,0),0)</f>
        <v>205933</v>
      </c>
      <c r="O14" s="44">
        <f t="shared" si="1"/>
        <v>1.5841000000000001</v>
      </c>
      <c r="P14" s="45">
        <f>VLOOKUP(A14,'SSP_March''19'!$A$3:$Q$1193,16,0)</f>
        <v>11</v>
      </c>
      <c r="Q14" s="34">
        <f>VLOOKUP(A14,'SSP_March''19'!$A$3:$Q$1193,17,0)</f>
        <v>5</v>
      </c>
      <c r="R14" s="35">
        <f t="shared" si="2"/>
        <v>0.45454545454545453</v>
      </c>
      <c r="S14" s="49">
        <f>ROUND(VLOOKUP(A14,'SSP_March''19'!$A$3:$T$1193,19,0),0)</f>
        <v>16</v>
      </c>
      <c r="T14" s="44">
        <f>VLOOKUP(A14,'SSP_March''19'!$A$3:$T$1193,20,0)</f>
        <v>1.4545454545454546</v>
      </c>
      <c r="U14" s="34">
        <f>VLOOKUP(A14,'SSP_March''19'!$A$3:$X$1193,21,0)</f>
        <v>2</v>
      </c>
      <c r="V14" s="34">
        <f>VLOOKUP(A14,'SSP_March''19'!$A$3:$X$1193,22,0)</f>
        <v>0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75" t="s">
        <v>3643</v>
      </c>
      <c r="B15" s="75" t="s">
        <v>3644</v>
      </c>
      <c r="C15" s="75" t="s">
        <v>83</v>
      </c>
      <c r="D15" s="75" t="s">
        <v>114</v>
      </c>
      <c r="E15" s="75" t="s">
        <v>2</v>
      </c>
      <c r="F15" s="75" t="s">
        <v>3645</v>
      </c>
      <c r="G15" s="67">
        <v>1711416818</v>
      </c>
      <c r="H15" s="54" t="s">
        <v>229</v>
      </c>
      <c r="I15" s="54" t="s">
        <v>3514</v>
      </c>
      <c r="J15" s="34" t="s">
        <v>3419</v>
      </c>
      <c r="K15" s="43">
        <f>VLOOKUP(A15,'SSP_March''19'!$A$3:$L$1193,11,0)</f>
        <v>200000</v>
      </c>
      <c r="L15" s="43">
        <f>VLOOKUP(A15,'SSP_March''19'!$A$3:$L$1193,12,0)</f>
        <v>43930</v>
      </c>
      <c r="M15" s="44">
        <f t="shared" si="0"/>
        <v>0.21965000000000001</v>
      </c>
      <c r="N15" s="49">
        <f>ROUND(VLOOKUP(A15,'SSP_March''19'!$A$3:$N$1193,14,0),0)</f>
        <v>136183</v>
      </c>
      <c r="O15" s="44">
        <f t="shared" si="1"/>
        <v>0.68091500000000005</v>
      </c>
      <c r="P15" s="45">
        <f>VLOOKUP(A15,'SSP_March''19'!$A$3:$Q$1193,16,0)</f>
        <v>20</v>
      </c>
      <c r="Q15" s="34">
        <f>VLOOKUP(A15,'SSP_March''19'!$A$3:$Q$1193,17,0)</f>
        <v>3</v>
      </c>
      <c r="R15" s="35">
        <f t="shared" si="2"/>
        <v>0.15</v>
      </c>
      <c r="S15" s="49">
        <f>ROUND(VLOOKUP(A15,'SSP_March''19'!$A$3:$T$1193,19,0),0)</f>
        <v>9</v>
      </c>
      <c r="T15" s="44">
        <f>VLOOKUP(A15,'SSP_March''19'!$A$3:$T$1193,20,0)</f>
        <v>0.45</v>
      </c>
      <c r="U15" s="34">
        <f>VLOOKUP(A15,'SSP_March''19'!$A$3:$X$1193,21,0)</f>
        <v>0</v>
      </c>
      <c r="V15" s="34">
        <f>VLOOKUP(A15,'SSP_March''19'!$A$3:$X$1193,22,0)</f>
        <v>0</v>
      </c>
      <c r="W15" s="34">
        <f>VLOOKUP(A15,'SSP_March''19'!$A$3:$X$1193,23,0)</f>
        <v>1</v>
      </c>
      <c r="X15" s="34">
        <f>VLOOKUP(A15,'SSP_March''19'!$A$3:$X$1193,24,0)</f>
        <v>0</v>
      </c>
    </row>
    <row r="16" spans="1:24">
      <c r="A16" s="34" t="s">
        <v>1288</v>
      </c>
      <c r="B16" s="34" t="s">
        <v>1289</v>
      </c>
      <c r="C16" s="34" t="s">
        <v>83</v>
      </c>
      <c r="D16" s="34" t="s">
        <v>114</v>
      </c>
      <c r="E16" s="34" t="s">
        <v>2</v>
      </c>
      <c r="F16" s="34" t="s">
        <v>1290</v>
      </c>
      <c r="G16" s="54">
        <v>1754171770</v>
      </c>
      <c r="H16" s="54" t="s">
        <v>229</v>
      </c>
      <c r="I16" s="54" t="s">
        <v>3514</v>
      </c>
      <c r="J16" s="34" t="s">
        <v>3419</v>
      </c>
      <c r="K16" s="43">
        <f>VLOOKUP(A16,'SSP_March''19'!$A$3:$L$1193,11,0)</f>
        <v>130000</v>
      </c>
      <c r="L16" s="43">
        <f>VLOOKUP(A16,'SSP_March''19'!$A$3:$L$1193,12,0)</f>
        <v>35440</v>
      </c>
      <c r="M16" s="44">
        <f t="shared" si="0"/>
        <v>0.27261538461538459</v>
      </c>
      <c r="N16" s="49">
        <f>ROUND(VLOOKUP(A16,'SSP_March''19'!$A$3:$N$1193,14,0),0)</f>
        <v>109864</v>
      </c>
      <c r="O16" s="44">
        <f t="shared" si="1"/>
        <v>0.84510769230769234</v>
      </c>
      <c r="P16" s="45">
        <f>VLOOKUP(A16,'SSP_March''19'!$A$3:$Q$1193,16,0)</f>
        <v>10</v>
      </c>
      <c r="Q16" s="34">
        <f>VLOOKUP(A16,'SSP_March''19'!$A$3:$Q$1193,17,0)</f>
        <v>1</v>
      </c>
      <c r="R16" s="35">
        <f t="shared" si="2"/>
        <v>0.1</v>
      </c>
      <c r="S16" s="49">
        <f>ROUND(VLOOKUP(A16,'SSP_March''19'!$A$3:$T$1193,19,0),0)</f>
        <v>3</v>
      </c>
      <c r="T16" s="44">
        <f>VLOOKUP(A16,'SSP_March''19'!$A$3:$T$1193,20,0)</f>
        <v>0.3</v>
      </c>
      <c r="U16" s="34">
        <f>VLOOKUP(A16,'SSP_March''19'!$A$3:$X$1193,21,0)</f>
        <v>1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34" t="s">
        <v>1322</v>
      </c>
      <c r="B17" s="34" t="s">
        <v>1323</v>
      </c>
      <c r="C17" s="34" t="s">
        <v>83</v>
      </c>
      <c r="D17" s="34" t="s">
        <v>114</v>
      </c>
      <c r="E17" s="34" t="s">
        <v>2</v>
      </c>
      <c r="F17" s="34" t="s">
        <v>1324</v>
      </c>
      <c r="G17" s="54">
        <v>1772947104</v>
      </c>
      <c r="H17" s="54" t="s">
        <v>229</v>
      </c>
      <c r="I17" s="54" t="s">
        <v>3514</v>
      </c>
      <c r="J17" s="34" t="s">
        <v>3421</v>
      </c>
      <c r="K17" s="43">
        <f>VLOOKUP(A17,'SSP_March''19'!$A$3:$L$1193,11,0)</f>
        <v>263114</v>
      </c>
      <c r="L17" s="43">
        <f>VLOOKUP(A17,'SSP_March''19'!$A$3:$L$1193,12,0)</f>
        <v>80670</v>
      </c>
      <c r="M17" s="44">
        <f t="shared" si="0"/>
        <v>0.30659714040301922</v>
      </c>
      <c r="N17" s="49">
        <f>ROUND(VLOOKUP(A17,'SSP_March''19'!$A$3:$N$1193,14,0),0)</f>
        <v>250077</v>
      </c>
      <c r="O17" s="44">
        <f t="shared" si="1"/>
        <v>0.95045113524935965</v>
      </c>
      <c r="P17" s="45">
        <f>VLOOKUP(A17,'SSP_March''19'!$A$3:$Q$1193,16,0)</f>
        <v>18</v>
      </c>
      <c r="Q17" s="34">
        <f>VLOOKUP(A17,'SSP_March''19'!$A$3:$Q$1193,17,0)</f>
        <v>5</v>
      </c>
      <c r="R17" s="35">
        <f t="shared" si="2"/>
        <v>0.27777777777777779</v>
      </c>
      <c r="S17" s="49">
        <f>ROUND(VLOOKUP(A17,'SSP_March''19'!$A$3:$T$1193,19,0),0)</f>
        <v>16</v>
      </c>
      <c r="T17" s="44">
        <f>VLOOKUP(A17,'SSP_March''19'!$A$3:$T$1193,20,0)</f>
        <v>0.88888888888888884</v>
      </c>
      <c r="U17" s="34">
        <f>VLOOKUP(A17,'SSP_March''19'!$A$3:$X$1193,21,0)</f>
        <v>2</v>
      </c>
      <c r="V17" s="34">
        <f>VLOOKUP(A17,'SSP_March''19'!$A$3:$X$1193,22,0)</f>
        <v>0</v>
      </c>
      <c r="W17" s="34">
        <f>VLOOKUP(A17,'SSP_March''19'!$A$3:$X$1193,23,0)</f>
        <v>1</v>
      </c>
      <c r="X17" s="34">
        <f>VLOOKUP(A17,'SSP_March''19'!$A$3:$X$1193,24,0)</f>
        <v>1</v>
      </c>
    </row>
    <row r="18" spans="1:24">
      <c r="A18" s="34" t="s">
        <v>1363</v>
      </c>
      <c r="B18" s="34" t="s">
        <v>1364</v>
      </c>
      <c r="C18" s="34" t="s">
        <v>161</v>
      </c>
      <c r="D18" s="34" t="s">
        <v>162</v>
      </c>
      <c r="E18" s="34" t="s">
        <v>2</v>
      </c>
      <c r="F18" s="34" t="s">
        <v>1365</v>
      </c>
      <c r="G18" s="54">
        <v>1740929533</v>
      </c>
      <c r="H18" s="54" t="s">
        <v>229</v>
      </c>
      <c r="I18" s="54" t="s">
        <v>3514</v>
      </c>
      <c r="J18" s="34" t="s">
        <v>3419</v>
      </c>
      <c r="K18" s="43">
        <f>VLOOKUP(A18,'SSP_March''19'!$A$3:$L$1193,11,0)</f>
        <v>130000</v>
      </c>
      <c r="L18" s="43">
        <f>VLOOKUP(A18,'SSP_March''19'!$A$3:$L$1193,12,0)</f>
        <v>21560</v>
      </c>
      <c r="M18" s="44">
        <f t="shared" si="0"/>
        <v>0.16584615384615384</v>
      </c>
      <c r="N18" s="49">
        <f>ROUND(VLOOKUP(A18,'SSP_March''19'!$A$3:$N$1193,14,0),0)</f>
        <v>66836</v>
      </c>
      <c r="O18" s="44">
        <f t="shared" si="1"/>
        <v>0.5141230769230769</v>
      </c>
      <c r="P18" s="45">
        <f>VLOOKUP(A18,'SSP_March''19'!$A$3:$Q$1193,16,0)</f>
        <v>14</v>
      </c>
      <c r="Q18" s="34">
        <f>VLOOKUP(A18,'SSP_March''19'!$A$3:$Q$1193,17,0)</f>
        <v>0</v>
      </c>
      <c r="R18" s="35">
        <f t="shared" si="2"/>
        <v>0</v>
      </c>
      <c r="S18" s="49">
        <f>ROUND(VLOOKUP(A18,'SSP_March''19'!$A$3:$T$1193,19,0),0)</f>
        <v>0</v>
      </c>
      <c r="T18" s="44">
        <f>VLOOKUP(A18,'SSP_March''19'!$A$3:$T$1193,20,0)</f>
        <v>0</v>
      </c>
      <c r="U18" s="34">
        <f>VLOOKUP(A18,'SSP_March''19'!$A$3:$X$1193,21,0)</f>
        <v>1</v>
      </c>
      <c r="V18" s="34">
        <f>VLOOKUP(A18,'SSP_March''19'!$A$3:$X$1193,22,0)</f>
        <v>0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34" t="s">
        <v>1448</v>
      </c>
      <c r="B19" s="34" t="s">
        <v>1449</v>
      </c>
      <c r="C19" s="34" t="s">
        <v>161</v>
      </c>
      <c r="D19" s="34" t="s">
        <v>162</v>
      </c>
      <c r="E19" s="34" t="s">
        <v>2</v>
      </c>
      <c r="F19" s="34" t="s">
        <v>1450</v>
      </c>
      <c r="G19" s="54">
        <v>1729119191</v>
      </c>
      <c r="H19" s="54" t="s">
        <v>229</v>
      </c>
      <c r="I19" s="54" t="s">
        <v>3514</v>
      </c>
      <c r="J19" s="34" t="s">
        <v>3421</v>
      </c>
      <c r="K19" s="43">
        <f>VLOOKUP(A19,'SSP_March''19'!$A$3:$L$1193,11,0)</f>
        <v>200000</v>
      </c>
      <c r="L19" s="43">
        <f>VLOOKUP(A19,'SSP_March''19'!$A$3:$L$1193,12,0)</f>
        <v>32390</v>
      </c>
      <c r="M19" s="44">
        <f t="shared" si="0"/>
        <v>0.16195000000000001</v>
      </c>
      <c r="N19" s="49">
        <f>ROUND(VLOOKUP(A19,'SSP_March''19'!$A$3:$N$1193,14,0),0)</f>
        <v>100409</v>
      </c>
      <c r="O19" s="44">
        <f t="shared" si="1"/>
        <v>0.50204499999999996</v>
      </c>
      <c r="P19" s="45">
        <f>VLOOKUP(A19,'SSP_March''19'!$A$3:$Q$1193,16,0)</f>
        <v>12</v>
      </c>
      <c r="Q19" s="34">
        <f>VLOOKUP(A19,'SSP_March''19'!$A$3:$Q$1193,17,0)</f>
        <v>2</v>
      </c>
      <c r="R19" s="35">
        <f t="shared" si="2"/>
        <v>0.16666666666666666</v>
      </c>
      <c r="S19" s="49">
        <f>ROUND(VLOOKUP(A19,'SSP_March''19'!$A$3:$T$1193,19,0),0)</f>
        <v>6</v>
      </c>
      <c r="T19" s="44">
        <f>VLOOKUP(A19,'SSP_March''19'!$A$3:$T$1193,20,0)</f>
        <v>0.5</v>
      </c>
      <c r="U19" s="34">
        <f>VLOOKUP(A19,'SSP_March''19'!$A$3:$X$1193,21,0)</f>
        <v>0</v>
      </c>
      <c r="V19" s="34">
        <f>VLOOKUP(A19,'SSP_March''19'!$A$3:$X$1193,22,0)</f>
        <v>2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34" t="s">
        <v>1422</v>
      </c>
      <c r="B20" s="34" t="s">
        <v>1423</v>
      </c>
      <c r="C20" s="34" t="s">
        <v>161</v>
      </c>
      <c r="D20" s="34" t="s">
        <v>162</v>
      </c>
      <c r="E20" s="34" t="s">
        <v>2</v>
      </c>
      <c r="F20" s="34" t="s">
        <v>1424</v>
      </c>
      <c r="G20" s="54">
        <v>1722061005</v>
      </c>
      <c r="H20" s="54" t="s">
        <v>229</v>
      </c>
      <c r="I20" s="54" t="s">
        <v>3514</v>
      </c>
      <c r="J20" s="34" t="s">
        <v>3515</v>
      </c>
      <c r="K20" s="43">
        <f>VLOOKUP(A20,'SSP_March''19'!$A$3:$L$1193,11,0)</f>
        <v>251670</v>
      </c>
      <c r="L20" s="43">
        <f>VLOOKUP(A20,'SSP_March''19'!$A$3:$L$1193,12,0)</f>
        <v>31340</v>
      </c>
      <c r="M20" s="44">
        <f t="shared" si="0"/>
        <v>0.12452815194500735</v>
      </c>
      <c r="N20" s="49">
        <f>ROUND(VLOOKUP(A20,'SSP_March''19'!$A$3:$N$1193,14,0),0)</f>
        <v>97154</v>
      </c>
      <c r="O20" s="44">
        <f t="shared" si="1"/>
        <v>0.38603727102952279</v>
      </c>
      <c r="P20" s="45">
        <f>VLOOKUP(A20,'SSP_March''19'!$A$3:$Q$1193,16,0)</f>
        <v>14</v>
      </c>
      <c r="Q20" s="34">
        <f>VLOOKUP(A20,'SSP_March''19'!$A$3:$Q$1193,17,0)</f>
        <v>1</v>
      </c>
      <c r="R20" s="35">
        <f t="shared" si="2"/>
        <v>7.1428571428571425E-2</v>
      </c>
      <c r="S20" s="49">
        <f>ROUND(VLOOKUP(A20,'SSP_March''19'!$A$3:$T$1193,19,0),0)</f>
        <v>3</v>
      </c>
      <c r="T20" s="44">
        <f>VLOOKUP(A20,'SSP_March''19'!$A$3:$T$1193,20,0)</f>
        <v>0.21428571428571427</v>
      </c>
      <c r="U20" s="34">
        <f>VLOOKUP(A20,'SSP_March''19'!$A$3:$X$1193,21,0)</f>
        <v>0</v>
      </c>
      <c r="V20" s="34">
        <f>VLOOKUP(A20,'SSP_March''19'!$A$3:$X$1193,22,0)</f>
        <v>0</v>
      </c>
      <c r="W20" s="34">
        <f>VLOOKUP(A20,'SSP_March''19'!$A$3:$X$1193,23,0)</f>
        <v>0</v>
      </c>
      <c r="X20" s="34">
        <f>VLOOKUP(A20,'SSP_March''19'!$A$3:$X$1193,24,0)</f>
        <v>0</v>
      </c>
    </row>
    <row r="21" spans="1:24">
      <c r="A21" s="34" t="s">
        <v>1389</v>
      </c>
      <c r="B21" s="34" t="s">
        <v>1390</v>
      </c>
      <c r="C21" s="34" t="s">
        <v>161</v>
      </c>
      <c r="D21" s="34" t="s">
        <v>162</v>
      </c>
      <c r="E21" s="34" t="s">
        <v>2</v>
      </c>
      <c r="F21" s="34" t="s">
        <v>1391</v>
      </c>
      <c r="G21" s="54">
        <v>1713706522</v>
      </c>
      <c r="H21" s="54" t="s">
        <v>229</v>
      </c>
      <c r="I21" s="54" t="s">
        <v>3514</v>
      </c>
      <c r="J21" s="34" t="s">
        <v>3419</v>
      </c>
      <c r="K21" s="43">
        <f>VLOOKUP(A21,'SSP_March''19'!$A$3:$L$1193,11,0)</f>
        <v>130000</v>
      </c>
      <c r="L21" s="43">
        <f>VLOOKUP(A21,'SSP_March''19'!$A$3:$L$1193,12,0)</f>
        <v>28545</v>
      </c>
      <c r="M21" s="44">
        <f t="shared" si="0"/>
        <v>0.21957692307692309</v>
      </c>
      <c r="N21" s="49">
        <f>ROUND(VLOOKUP(A21,'SSP_March''19'!$A$3:$N$1193,14,0),0)</f>
        <v>88490</v>
      </c>
      <c r="O21" s="44">
        <f t="shared" si="1"/>
        <v>0.68069230769230771</v>
      </c>
      <c r="P21" s="45">
        <f>VLOOKUP(A21,'SSP_March''19'!$A$3:$Q$1193,16,0)</f>
        <v>10</v>
      </c>
      <c r="Q21" s="34">
        <f>VLOOKUP(A21,'SSP_March''19'!$A$3:$Q$1193,17,0)</f>
        <v>3</v>
      </c>
      <c r="R21" s="35">
        <f t="shared" si="2"/>
        <v>0.3</v>
      </c>
      <c r="S21" s="49">
        <f>ROUND(VLOOKUP(A21,'SSP_March''19'!$A$3:$T$1193,19,0),0)</f>
        <v>9</v>
      </c>
      <c r="T21" s="44">
        <f>VLOOKUP(A21,'SSP_March''19'!$A$3:$T$1193,20,0)</f>
        <v>0.9</v>
      </c>
      <c r="U21" s="34">
        <f>VLOOKUP(A21,'SSP_March''19'!$A$3:$X$1193,21,0)</f>
        <v>1</v>
      </c>
      <c r="V21" s="34">
        <f>VLOOKUP(A21,'SSP_March''19'!$A$3:$X$1193,22,0)</f>
        <v>1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34" t="s">
        <v>3314</v>
      </c>
      <c r="B22" s="34" t="s">
        <v>3315</v>
      </c>
      <c r="C22" s="34" t="s">
        <v>161</v>
      </c>
      <c r="D22" s="34" t="s">
        <v>162</v>
      </c>
      <c r="E22" s="34" t="s">
        <v>2</v>
      </c>
      <c r="F22" s="34" t="s">
        <v>3316</v>
      </c>
      <c r="G22" s="54">
        <v>1820655274</v>
      </c>
      <c r="H22" s="54" t="s">
        <v>229</v>
      </c>
      <c r="I22" s="54" t="s">
        <v>3514</v>
      </c>
      <c r="J22" s="34" t="s">
        <v>3421</v>
      </c>
      <c r="K22" s="43">
        <f>VLOOKUP(A22,'SSP_March''19'!$A$3:$L$1193,11,0)</f>
        <v>130000</v>
      </c>
      <c r="L22" s="43">
        <f>VLOOKUP(A22,'SSP_March''19'!$A$3:$L$1193,12,0)</f>
        <v>39530</v>
      </c>
      <c r="M22" s="44">
        <f t="shared" si="0"/>
        <v>0.30407692307692308</v>
      </c>
      <c r="N22" s="49">
        <f>ROUND(VLOOKUP(A22,'SSP_March''19'!$A$3:$N$1193,14,0),0)</f>
        <v>122543</v>
      </c>
      <c r="O22" s="44">
        <f t="shared" si="1"/>
        <v>0.94263846153846154</v>
      </c>
      <c r="P22" s="45">
        <f>VLOOKUP(A22,'SSP_March''19'!$A$3:$Q$1193,16,0)</f>
        <v>10</v>
      </c>
      <c r="Q22" s="34">
        <f>VLOOKUP(A22,'SSP_March''19'!$A$3:$Q$1193,17,0)</f>
        <v>3</v>
      </c>
      <c r="R22" s="35">
        <f t="shared" si="2"/>
        <v>0.3</v>
      </c>
      <c r="S22" s="49">
        <f>ROUND(VLOOKUP(A22,'SSP_March''19'!$A$3:$T$1193,19,0),0)</f>
        <v>9</v>
      </c>
      <c r="T22" s="44">
        <f>VLOOKUP(A22,'SSP_March''19'!$A$3:$T$1193,20,0)</f>
        <v>0.9</v>
      </c>
      <c r="U22" s="34">
        <f>VLOOKUP(A22,'SSP_March''19'!$A$3:$X$1193,21,0)</f>
        <v>0</v>
      </c>
      <c r="V22" s="34">
        <f>VLOOKUP(A22,'SSP_March''19'!$A$3:$X$1193,22,0)</f>
        <v>1</v>
      </c>
      <c r="W22" s="34">
        <f>VLOOKUP(A22,'SSP_March''19'!$A$3:$X$1193,23,0)</f>
        <v>1</v>
      </c>
      <c r="X22" s="34">
        <f>VLOOKUP(A22,'SSP_March''19'!$A$3:$X$1193,24,0)</f>
        <v>0</v>
      </c>
    </row>
    <row r="23" spans="1:24">
      <c r="A23" s="34" t="s">
        <v>1410</v>
      </c>
      <c r="B23" s="34" t="s">
        <v>161</v>
      </c>
      <c r="C23" s="34" t="s">
        <v>161</v>
      </c>
      <c r="D23" s="34" t="s">
        <v>162</v>
      </c>
      <c r="E23" s="34" t="s">
        <v>2</v>
      </c>
      <c r="F23" s="34" t="s">
        <v>3128</v>
      </c>
      <c r="G23" s="54">
        <v>1755295289</v>
      </c>
      <c r="H23" s="54" t="s">
        <v>229</v>
      </c>
      <c r="I23" s="54" t="s">
        <v>3518</v>
      </c>
      <c r="J23" s="34" t="s">
        <v>3419</v>
      </c>
      <c r="K23" s="43">
        <f>VLOOKUP(A23,'SSP_March''19'!$A$3:$L$1193,11,0)</f>
        <v>309728</v>
      </c>
      <c r="L23" s="43">
        <f>VLOOKUP(A23,'SSP_March''19'!$A$3:$L$1193,12,0)</f>
        <v>83180</v>
      </c>
      <c r="M23" s="44">
        <f t="shared" si="0"/>
        <v>0.26855821882425873</v>
      </c>
      <c r="N23" s="49">
        <f>ROUND(VLOOKUP(A23,'SSP_March''19'!$A$3:$N$1193,14,0),0)</f>
        <v>257858</v>
      </c>
      <c r="O23" s="44">
        <f t="shared" si="1"/>
        <v>0.832530478355202</v>
      </c>
      <c r="P23" s="45">
        <f>VLOOKUP(A23,'SSP_March''19'!$A$3:$Q$1193,16,0)</f>
        <v>23</v>
      </c>
      <c r="Q23" s="34">
        <f>VLOOKUP(A23,'SSP_March''19'!$A$3:$Q$1193,17,0)</f>
        <v>6</v>
      </c>
      <c r="R23" s="35">
        <f t="shared" si="2"/>
        <v>0.2608695652173913</v>
      </c>
      <c r="S23" s="49">
        <f>ROUND(VLOOKUP(A23,'SSP_March''19'!$A$3:$T$1193,19,0),0)</f>
        <v>19</v>
      </c>
      <c r="T23" s="44">
        <f>VLOOKUP(A23,'SSP_March''19'!$A$3:$T$1193,20,0)</f>
        <v>0.82608695652173914</v>
      </c>
      <c r="U23" s="34">
        <f>VLOOKUP(A23,'SSP_March''19'!$A$3:$X$1193,21,0)</f>
        <v>2</v>
      </c>
      <c r="V23" s="34">
        <f>VLOOKUP(A23,'SSP_March''19'!$A$3:$X$1193,22,0)</f>
        <v>4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34" t="s">
        <v>1416</v>
      </c>
      <c r="B24" s="34" t="s">
        <v>1417</v>
      </c>
      <c r="C24" s="34" t="s">
        <v>161</v>
      </c>
      <c r="D24" s="34" t="s">
        <v>162</v>
      </c>
      <c r="E24" s="34" t="s">
        <v>2</v>
      </c>
      <c r="F24" s="34" t="s">
        <v>1418</v>
      </c>
      <c r="G24" s="54">
        <v>1757962917</v>
      </c>
      <c r="H24" s="54" t="s">
        <v>229</v>
      </c>
      <c r="I24" s="54" t="s">
        <v>3518</v>
      </c>
      <c r="J24" s="34" t="s">
        <v>3419</v>
      </c>
      <c r="K24" s="43">
        <f>VLOOKUP(A24,'SSP_March''19'!$A$3:$L$1193,11,0)</f>
        <v>332097</v>
      </c>
      <c r="L24" s="43">
        <f>VLOOKUP(A24,'SSP_March''19'!$A$3:$L$1193,12,0)</f>
        <v>96755</v>
      </c>
      <c r="M24" s="44">
        <f t="shared" si="0"/>
        <v>0.29134560083349142</v>
      </c>
      <c r="N24" s="49">
        <f>ROUND(VLOOKUP(A24,'SSP_March''19'!$A$3:$N$1193,14,0),0)</f>
        <v>299941</v>
      </c>
      <c r="O24" s="44">
        <f t="shared" si="1"/>
        <v>0.90317286816803521</v>
      </c>
      <c r="P24" s="45">
        <f>VLOOKUP(A24,'SSP_March''19'!$A$3:$Q$1193,16,0)</f>
        <v>18</v>
      </c>
      <c r="Q24" s="34">
        <f>VLOOKUP(A24,'SSP_March''19'!$A$3:$Q$1193,17,0)</f>
        <v>6</v>
      </c>
      <c r="R24" s="35">
        <f t="shared" si="2"/>
        <v>0.33333333333333331</v>
      </c>
      <c r="S24" s="49">
        <f>ROUND(VLOOKUP(A24,'SSP_March''19'!$A$3:$T$1193,19,0),0)</f>
        <v>19</v>
      </c>
      <c r="T24" s="44">
        <f>VLOOKUP(A24,'SSP_March''19'!$A$3:$T$1193,20,0)</f>
        <v>1.0555555555555556</v>
      </c>
      <c r="U24" s="34">
        <f>VLOOKUP(A24,'SSP_March''19'!$A$3:$X$1193,21,0)</f>
        <v>0</v>
      </c>
      <c r="V24" s="34">
        <f>VLOOKUP(A24,'SSP_March''19'!$A$3:$X$1193,22,0)</f>
        <v>2</v>
      </c>
      <c r="W24" s="34">
        <f>VLOOKUP(A24,'SSP_March''19'!$A$3:$X$1193,23,0)</f>
        <v>0</v>
      </c>
      <c r="X24" s="34">
        <f>VLOOKUP(A24,'SSP_March''19'!$A$3:$X$1193,24,0)</f>
        <v>0</v>
      </c>
    </row>
    <row r="25" spans="1:24">
      <c r="A25" s="34" t="s">
        <v>1374</v>
      </c>
      <c r="B25" s="34" t="s">
        <v>1375</v>
      </c>
      <c r="C25" s="34" t="s">
        <v>161</v>
      </c>
      <c r="D25" s="34" t="s">
        <v>162</v>
      </c>
      <c r="E25" s="34" t="s">
        <v>2</v>
      </c>
      <c r="F25" s="34" t="s">
        <v>1376</v>
      </c>
      <c r="G25" s="54">
        <v>1711412125</v>
      </c>
      <c r="H25" s="54" t="s">
        <v>229</v>
      </c>
      <c r="I25" s="54" t="s">
        <v>3514</v>
      </c>
      <c r="J25" s="34" t="s">
        <v>3421</v>
      </c>
      <c r="K25" s="43">
        <f>VLOOKUP(A25,'SSP_March''19'!$A$3:$L$1193,11,0)</f>
        <v>130000</v>
      </c>
      <c r="L25" s="43">
        <f>VLOOKUP(A25,'SSP_March''19'!$A$3:$L$1193,12,0)</f>
        <v>29890</v>
      </c>
      <c r="M25" s="44">
        <f t="shared" si="0"/>
        <v>0.22992307692307692</v>
      </c>
      <c r="N25" s="49">
        <f>ROUND(VLOOKUP(A25,'SSP_March''19'!$A$3:$N$1193,14,0),0)</f>
        <v>92659</v>
      </c>
      <c r="O25" s="44">
        <f t="shared" si="1"/>
        <v>0.71276153846153845</v>
      </c>
      <c r="P25" s="45">
        <f>VLOOKUP(A25,'SSP_March''19'!$A$3:$Q$1193,16,0)</f>
        <v>10</v>
      </c>
      <c r="Q25" s="34">
        <f>VLOOKUP(A25,'SSP_March''19'!$A$3:$Q$1193,17,0)</f>
        <v>0</v>
      </c>
      <c r="R25" s="35">
        <f t="shared" si="2"/>
        <v>0</v>
      </c>
      <c r="S25" s="49">
        <f>ROUND(VLOOKUP(A25,'SSP_March''19'!$A$3:$T$1193,19,0),0)</f>
        <v>0</v>
      </c>
      <c r="T25" s="44">
        <f>VLOOKUP(A25,'SSP_March''19'!$A$3:$T$1193,20,0)</f>
        <v>0</v>
      </c>
      <c r="U25" s="34">
        <f>VLOOKUP(A25,'SSP_March''19'!$A$3:$X$1193,21,0)</f>
        <v>0</v>
      </c>
      <c r="V25" s="34">
        <f>VLOOKUP(A25,'SSP_March''19'!$A$3:$X$1193,22,0)</f>
        <v>0</v>
      </c>
      <c r="W25" s="34">
        <f>VLOOKUP(A25,'SSP_March''19'!$A$3:$X$1193,23,0)</f>
        <v>0</v>
      </c>
      <c r="X25" s="34">
        <f>VLOOKUP(A25,'SSP_March''19'!$A$3:$X$1193,24,0)</f>
        <v>0</v>
      </c>
    </row>
    <row r="26" spans="1:24">
      <c r="A26" s="34" t="s">
        <v>1366</v>
      </c>
      <c r="B26" s="34" t="s">
        <v>134</v>
      </c>
      <c r="C26" s="34" t="s">
        <v>161</v>
      </c>
      <c r="D26" s="34" t="s">
        <v>162</v>
      </c>
      <c r="E26" s="34" t="s">
        <v>2</v>
      </c>
      <c r="F26" s="34" t="s">
        <v>1367</v>
      </c>
      <c r="G26" s="54">
        <v>1761511150</v>
      </c>
      <c r="H26" s="54" t="s">
        <v>229</v>
      </c>
      <c r="I26" s="54" t="s">
        <v>3514</v>
      </c>
      <c r="J26" s="34" t="s">
        <v>3421</v>
      </c>
      <c r="K26" s="43">
        <f>VLOOKUP(A26,'SSP_March''19'!$A$3:$L$1193,11,0)</f>
        <v>130000</v>
      </c>
      <c r="L26" s="43">
        <f>VLOOKUP(A26,'SSP_March''19'!$A$3:$L$1193,12,0)</f>
        <v>36140</v>
      </c>
      <c r="M26" s="44">
        <f t="shared" si="0"/>
        <v>0.27800000000000002</v>
      </c>
      <c r="N26" s="49">
        <f>ROUND(VLOOKUP(A26,'SSP_March''19'!$A$3:$N$1193,14,0),0)</f>
        <v>112034</v>
      </c>
      <c r="O26" s="44">
        <f t="shared" si="1"/>
        <v>0.86180000000000001</v>
      </c>
      <c r="P26" s="45">
        <f>VLOOKUP(A26,'SSP_March''19'!$A$3:$Q$1193,16,0)</f>
        <v>10</v>
      </c>
      <c r="Q26" s="34">
        <f>VLOOKUP(A26,'SSP_March''19'!$A$3:$Q$1193,17,0)</f>
        <v>2</v>
      </c>
      <c r="R26" s="35">
        <f t="shared" si="2"/>
        <v>0.2</v>
      </c>
      <c r="S26" s="49">
        <f>ROUND(VLOOKUP(A26,'SSP_March''19'!$A$3:$T$1193,19,0),0)</f>
        <v>6</v>
      </c>
      <c r="T26" s="44">
        <f>VLOOKUP(A26,'SSP_March''19'!$A$3:$T$1193,20,0)</f>
        <v>0.6</v>
      </c>
      <c r="U26" s="34">
        <f>VLOOKUP(A26,'SSP_March''19'!$A$3:$X$1193,21,0)</f>
        <v>0</v>
      </c>
      <c r="V26" s="34">
        <f>VLOOKUP(A26,'SSP_March''19'!$A$3:$X$1193,22,0)</f>
        <v>1</v>
      </c>
      <c r="W26" s="34">
        <f>VLOOKUP(A26,'SSP_March''19'!$A$3:$X$1193,23,0)</f>
        <v>0</v>
      </c>
      <c r="X26" s="34">
        <f>VLOOKUP(A26,'SSP_March''19'!$A$3:$X$1193,24,0)</f>
        <v>0</v>
      </c>
    </row>
    <row r="27" spans="1:24">
      <c r="A27" s="34" t="s">
        <v>1425</v>
      </c>
      <c r="B27" s="34" t="s">
        <v>1426</v>
      </c>
      <c r="C27" s="34" t="s">
        <v>161</v>
      </c>
      <c r="D27" s="34" t="s">
        <v>162</v>
      </c>
      <c r="E27" s="34" t="s">
        <v>2</v>
      </c>
      <c r="F27" s="34" t="s">
        <v>1427</v>
      </c>
      <c r="G27" s="54">
        <v>1713706273</v>
      </c>
      <c r="H27" s="54" t="s">
        <v>229</v>
      </c>
      <c r="I27" s="54" t="s">
        <v>3514</v>
      </c>
      <c r="J27" s="34" t="s">
        <v>3515</v>
      </c>
      <c r="K27" s="43">
        <f>VLOOKUP(A27,'SSP_March''19'!$A$3:$L$1193,11,0)</f>
        <v>130000</v>
      </c>
      <c r="L27" s="43">
        <f>VLOOKUP(A27,'SSP_March''19'!$A$3:$L$1193,12,0)</f>
        <v>29935</v>
      </c>
      <c r="M27" s="44">
        <f t="shared" si="0"/>
        <v>0.23026923076923078</v>
      </c>
      <c r="N27" s="49">
        <f>ROUND(VLOOKUP(A27,'SSP_March''19'!$A$3:$N$1193,14,0),0)</f>
        <v>92799</v>
      </c>
      <c r="O27" s="44">
        <f t="shared" si="1"/>
        <v>0.71383846153846153</v>
      </c>
      <c r="P27" s="45">
        <f>VLOOKUP(A27,'SSP_March''19'!$A$3:$Q$1193,16,0)</f>
        <v>10</v>
      </c>
      <c r="Q27" s="34">
        <f>VLOOKUP(A27,'SSP_March''19'!$A$3:$Q$1193,17,0)</f>
        <v>1</v>
      </c>
      <c r="R27" s="35">
        <f t="shared" si="2"/>
        <v>0.1</v>
      </c>
      <c r="S27" s="49">
        <f>ROUND(VLOOKUP(A27,'SSP_March''19'!$A$3:$T$1193,19,0),0)</f>
        <v>3</v>
      </c>
      <c r="T27" s="44">
        <f>VLOOKUP(A27,'SSP_March''19'!$A$3:$T$1193,20,0)</f>
        <v>0.3</v>
      </c>
      <c r="U27" s="34">
        <f>VLOOKUP(A27,'SSP_March''19'!$A$3:$X$1193,21,0)</f>
        <v>2</v>
      </c>
      <c r="V27" s="34">
        <f>VLOOKUP(A27,'SSP_March''19'!$A$3:$X$1193,22,0)</f>
        <v>0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34" t="s">
        <v>1360</v>
      </c>
      <c r="B28" s="34" t="s">
        <v>1361</v>
      </c>
      <c r="C28" s="34" t="s">
        <v>161</v>
      </c>
      <c r="D28" s="34" t="s">
        <v>162</v>
      </c>
      <c r="E28" s="34" t="s">
        <v>2</v>
      </c>
      <c r="F28" s="34" t="s">
        <v>1362</v>
      </c>
      <c r="G28" s="54">
        <v>1716077886</v>
      </c>
      <c r="H28" s="54" t="s">
        <v>229</v>
      </c>
      <c r="I28" s="54" t="s">
        <v>3514</v>
      </c>
      <c r="J28" s="34" t="s">
        <v>3515</v>
      </c>
      <c r="K28" s="43">
        <f>VLOOKUP(A28,'SSP_March''19'!$A$3:$L$1193,11,0)</f>
        <v>130000</v>
      </c>
      <c r="L28" s="43">
        <f>VLOOKUP(A28,'SSP_March''19'!$A$3:$L$1193,12,0)</f>
        <v>37165</v>
      </c>
      <c r="M28" s="44">
        <f t="shared" si="0"/>
        <v>0.2858846153846154</v>
      </c>
      <c r="N28" s="49">
        <f>ROUND(VLOOKUP(A28,'SSP_March''19'!$A$3:$N$1193,14,0),0)</f>
        <v>115212</v>
      </c>
      <c r="O28" s="44">
        <f t="shared" si="1"/>
        <v>0.88624615384615379</v>
      </c>
      <c r="P28" s="45">
        <f>VLOOKUP(A28,'SSP_March''19'!$A$3:$Q$1193,16,0)</f>
        <v>10</v>
      </c>
      <c r="Q28" s="34">
        <f>VLOOKUP(A28,'SSP_March''19'!$A$3:$Q$1193,17,0)</f>
        <v>3</v>
      </c>
      <c r="R28" s="35">
        <f t="shared" si="2"/>
        <v>0.3</v>
      </c>
      <c r="S28" s="49">
        <f>ROUND(VLOOKUP(A28,'SSP_March''19'!$A$3:$T$1193,19,0),0)</f>
        <v>9</v>
      </c>
      <c r="T28" s="44">
        <f>VLOOKUP(A28,'SSP_March''19'!$A$3:$T$1193,20,0)</f>
        <v>0.9</v>
      </c>
      <c r="U28" s="34">
        <f>VLOOKUP(A28,'SSP_March''19'!$A$3:$X$1193,21,0)</f>
        <v>0</v>
      </c>
      <c r="V28" s="34">
        <f>VLOOKUP(A28,'SSP_March''19'!$A$3:$X$1193,22,0)</f>
        <v>1</v>
      </c>
      <c r="W28" s="34">
        <f>VLOOKUP(A28,'SSP_March''19'!$A$3:$X$1193,23,0)</f>
        <v>0</v>
      </c>
      <c r="X28" s="34">
        <f>VLOOKUP(A28,'SSP_March''19'!$A$3:$X$1193,24,0)</f>
        <v>0</v>
      </c>
    </row>
    <row r="29" spans="1:24">
      <c r="A29" s="34" t="s">
        <v>1475</v>
      </c>
      <c r="B29" s="34" t="s">
        <v>1476</v>
      </c>
      <c r="C29" s="34" t="s">
        <v>163</v>
      </c>
      <c r="D29" s="34" t="s">
        <v>162</v>
      </c>
      <c r="E29" s="34" t="s">
        <v>2</v>
      </c>
      <c r="F29" s="34" t="s">
        <v>1477</v>
      </c>
      <c r="G29" s="54">
        <v>1730988320</v>
      </c>
      <c r="H29" s="54" t="s">
        <v>229</v>
      </c>
      <c r="I29" s="54" t="s">
        <v>3514</v>
      </c>
      <c r="J29" s="34" t="s">
        <v>3419</v>
      </c>
      <c r="K29" s="43">
        <f>VLOOKUP(A29,'SSP_March''19'!$A$3:$L$1193,11,0)</f>
        <v>175105</v>
      </c>
      <c r="L29" s="43">
        <f>VLOOKUP(A29,'SSP_March''19'!$A$3:$L$1193,12,0)</f>
        <v>48855</v>
      </c>
      <c r="M29" s="44">
        <f t="shared" si="0"/>
        <v>0.27900402615573511</v>
      </c>
      <c r="N29" s="49">
        <f>ROUND(VLOOKUP(A29,'SSP_March''19'!$A$3:$N$1193,14,0),0)</f>
        <v>151451</v>
      </c>
      <c r="O29" s="44">
        <f t="shared" si="1"/>
        <v>0.86491533651237829</v>
      </c>
      <c r="P29" s="45">
        <f>VLOOKUP(A29,'SSP_March''19'!$A$3:$Q$1193,16,0)</f>
        <v>10</v>
      </c>
      <c r="Q29" s="34">
        <f>VLOOKUP(A29,'SSP_March''19'!$A$3:$Q$1193,17,0)</f>
        <v>3</v>
      </c>
      <c r="R29" s="35">
        <f t="shared" si="2"/>
        <v>0.3</v>
      </c>
      <c r="S29" s="49">
        <f>ROUND(VLOOKUP(A29,'SSP_March''19'!$A$3:$T$1193,19,0),0)</f>
        <v>9</v>
      </c>
      <c r="T29" s="44">
        <f>VLOOKUP(A29,'SSP_March''19'!$A$3:$T$1193,20,0)</f>
        <v>0.9</v>
      </c>
      <c r="U29" s="34">
        <f>VLOOKUP(A29,'SSP_March''19'!$A$3:$X$1193,21,0)</f>
        <v>1</v>
      </c>
      <c r="V29" s="34">
        <f>VLOOKUP(A29,'SSP_March''19'!$A$3:$X$1193,22,0)</f>
        <v>0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34" t="s">
        <v>1454</v>
      </c>
      <c r="B30" s="34" t="s">
        <v>1455</v>
      </c>
      <c r="C30" s="34" t="s">
        <v>163</v>
      </c>
      <c r="D30" s="34" t="s">
        <v>162</v>
      </c>
      <c r="E30" s="34" t="s">
        <v>2</v>
      </c>
      <c r="F30" s="34" t="s">
        <v>1456</v>
      </c>
      <c r="G30" s="54">
        <v>1770991547</v>
      </c>
      <c r="H30" s="54" t="s">
        <v>229</v>
      </c>
      <c r="I30" s="54" t="s">
        <v>3514</v>
      </c>
      <c r="J30" s="34" t="s">
        <v>3419</v>
      </c>
      <c r="K30" s="43">
        <f>VLOOKUP(A30,'SSP_March''19'!$A$3:$L$1193,11,0)</f>
        <v>200000</v>
      </c>
      <c r="L30" s="43">
        <f>VLOOKUP(A30,'SSP_March''19'!$A$3:$L$1193,12,0)</f>
        <v>43565</v>
      </c>
      <c r="M30" s="44">
        <f t="shared" si="0"/>
        <v>0.21782499999999999</v>
      </c>
      <c r="N30" s="49">
        <f>ROUND(VLOOKUP(A30,'SSP_March''19'!$A$3:$N$1193,14,0),0)</f>
        <v>135052</v>
      </c>
      <c r="O30" s="44">
        <f t="shared" si="1"/>
        <v>0.67525999999999997</v>
      </c>
      <c r="P30" s="45">
        <f>VLOOKUP(A30,'SSP_March''19'!$A$3:$Q$1193,16,0)</f>
        <v>11</v>
      </c>
      <c r="Q30" s="34">
        <f>VLOOKUP(A30,'SSP_March''19'!$A$3:$Q$1193,17,0)</f>
        <v>3</v>
      </c>
      <c r="R30" s="35">
        <f t="shared" si="2"/>
        <v>0.27272727272727271</v>
      </c>
      <c r="S30" s="49">
        <f>ROUND(VLOOKUP(A30,'SSP_March''19'!$A$3:$T$1193,19,0),0)</f>
        <v>9</v>
      </c>
      <c r="T30" s="44">
        <f>VLOOKUP(A30,'SSP_March''19'!$A$3:$T$1193,20,0)</f>
        <v>0.81818181818181823</v>
      </c>
      <c r="U30" s="34">
        <f>VLOOKUP(A30,'SSP_March''19'!$A$3:$X$1193,21,0)</f>
        <v>0</v>
      </c>
      <c r="V30" s="34">
        <f>VLOOKUP(A30,'SSP_March''19'!$A$3:$X$1193,22,0)</f>
        <v>0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34" t="s">
        <v>1490</v>
      </c>
      <c r="B31" s="34" t="s">
        <v>1491</v>
      </c>
      <c r="C31" s="34" t="s">
        <v>163</v>
      </c>
      <c r="D31" s="34" t="s">
        <v>162</v>
      </c>
      <c r="E31" s="34" t="s">
        <v>2</v>
      </c>
      <c r="F31" s="34" t="s">
        <v>1492</v>
      </c>
      <c r="G31" s="54">
        <v>1778763492</v>
      </c>
      <c r="H31" s="54" t="s">
        <v>229</v>
      </c>
      <c r="I31" s="54" t="s">
        <v>3518</v>
      </c>
      <c r="J31" s="34" t="s">
        <v>3515</v>
      </c>
      <c r="K31" s="43">
        <f>VLOOKUP(A31,'SSP_March''19'!$A$3:$L$1193,11,0)</f>
        <v>400000</v>
      </c>
      <c r="L31" s="43">
        <f>VLOOKUP(A31,'SSP_March''19'!$A$3:$L$1193,12,0)</f>
        <v>94390</v>
      </c>
      <c r="M31" s="44">
        <f t="shared" si="0"/>
        <v>0.23597499999999999</v>
      </c>
      <c r="N31" s="49">
        <f>ROUND(VLOOKUP(A31,'SSP_March''19'!$A$3:$N$1193,14,0),0)</f>
        <v>292609</v>
      </c>
      <c r="O31" s="44">
        <f t="shared" si="1"/>
        <v>0.73152249999999996</v>
      </c>
      <c r="P31" s="45">
        <f>VLOOKUP(A31,'SSP_March''19'!$A$3:$Q$1193,16,0)</f>
        <v>25</v>
      </c>
      <c r="Q31" s="34">
        <f>VLOOKUP(A31,'SSP_March''19'!$A$3:$Q$1193,17,0)</f>
        <v>4</v>
      </c>
      <c r="R31" s="35">
        <f t="shared" si="2"/>
        <v>0.16</v>
      </c>
      <c r="S31" s="49">
        <f>ROUND(VLOOKUP(A31,'SSP_March''19'!$A$3:$T$1193,19,0),0)</f>
        <v>12</v>
      </c>
      <c r="T31" s="44">
        <f>VLOOKUP(A31,'SSP_March''19'!$A$3:$T$1193,20,0)</f>
        <v>0.48</v>
      </c>
      <c r="U31" s="34">
        <f>VLOOKUP(A31,'SSP_March''19'!$A$3:$X$1193,21,0)</f>
        <v>0</v>
      </c>
      <c r="V31" s="34">
        <f>VLOOKUP(A31,'SSP_March''19'!$A$3:$X$1193,22,0)</f>
        <v>1</v>
      </c>
      <c r="W31" s="34">
        <f>VLOOKUP(A31,'SSP_March''19'!$A$3:$X$1193,23,0)</f>
        <v>0</v>
      </c>
      <c r="X31" s="34">
        <f>VLOOKUP(A31,'SSP_March''19'!$A$3:$X$1193,24,0)</f>
        <v>1</v>
      </c>
    </row>
    <row r="32" spans="1:24">
      <c r="A32" s="34" t="s">
        <v>1438</v>
      </c>
      <c r="B32" s="34" t="s">
        <v>1439</v>
      </c>
      <c r="C32" s="34" t="s">
        <v>163</v>
      </c>
      <c r="D32" s="34" t="s">
        <v>162</v>
      </c>
      <c r="E32" s="34" t="s">
        <v>2</v>
      </c>
      <c r="F32" s="34" t="s">
        <v>1440</v>
      </c>
      <c r="G32" s="54">
        <v>1944828240</v>
      </c>
      <c r="H32" s="54" t="s">
        <v>229</v>
      </c>
      <c r="I32" s="54" t="s">
        <v>3514</v>
      </c>
      <c r="J32" s="34" t="s">
        <v>3421</v>
      </c>
      <c r="K32" s="43">
        <f>VLOOKUP(A32,'SSP_March''19'!$A$3:$L$1193,11,0)</f>
        <v>159190</v>
      </c>
      <c r="L32" s="43">
        <f>VLOOKUP(A32,'SSP_March''19'!$A$3:$L$1193,12,0)</f>
        <v>27800</v>
      </c>
      <c r="M32" s="44">
        <f t="shared" si="0"/>
        <v>0.17463408505559394</v>
      </c>
      <c r="N32" s="49">
        <f>ROUND(VLOOKUP(A32,'SSP_March''19'!$A$3:$N$1193,14,0),0)</f>
        <v>86180</v>
      </c>
      <c r="O32" s="44">
        <f t="shared" si="1"/>
        <v>0.54136566367234118</v>
      </c>
      <c r="P32" s="45">
        <f>VLOOKUP(A32,'SSP_March''19'!$A$3:$Q$1193,16,0)</f>
        <v>10</v>
      </c>
      <c r="Q32" s="34">
        <f>VLOOKUP(A32,'SSP_March''19'!$A$3:$Q$1193,17,0)</f>
        <v>1</v>
      </c>
      <c r="R32" s="35">
        <f t="shared" si="2"/>
        <v>0.1</v>
      </c>
      <c r="S32" s="49">
        <f>ROUND(VLOOKUP(A32,'SSP_March''19'!$A$3:$T$1193,19,0),0)</f>
        <v>3</v>
      </c>
      <c r="T32" s="44">
        <f>VLOOKUP(A32,'SSP_March''19'!$A$3:$T$1193,20,0)</f>
        <v>0.3</v>
      </c>
      <c r="U32" s="34">
        <f>VLOOKUP(A32,'SSP_March''19'!$A$3:$X$1193,21,0)</f>
        <v>0</v>
      </c>
      <c r="V32" s="34">
        <f>VLOOKUP(A32,'SSP_March''19'!$A$3:$X$1193,22,0)</f>
        <v>0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34" t="s">
        <v>2953</v>
      </c>
      <c r="B33" s="34" t="s">
        <v>1502</v>
      </c>
      <c r="C33" s="34" t="s">
        <v>163</v>
      </c>
      <c r="D33" s="34" t="s">
        <v>162</v>
      </c>
      <c r="E33" s="34" t="s">
        <v>2</v>
      </c>
      <c r="F33" s="34" t="s">
        <v>1503</v>
      </c>
      <c r="G33" s="54">
        <v>1731482080</v>
      </c>
      <c r="H33" s="54" t="s">
        <v>229</v>
      </c>
      <c r="I33" s="54" t="s">
        <v>3514</v>
      </c>
      <c r="J33" s="34" t="s">
        <v>3421</v>
      </c>
      <c r="K33" s="43">
        <f>VLOOKUP(A33,'SSP_March''19'!$A$3:$L$1193,11,0)</f>
        <v>130000</v>
      </c>
      <c r="L33" s="43">
        <f>VLOOKUP(A33,'SSP_March''19'!$A$3:$L$1193,12,0)</f>
        <v>31490</v>
      </c>
      <c r="M33" s="44">
        <f t="shared" si="0"/>
        <v>0.24223076923076922</v>
      </c>
      <c r="N33" s="49">
        <f>ROUND(VLOOKUP(A33,'SSP_March''19'!$A$3:$N$1193,14,0),0)</f>
        <v>97619</v>
      </c>
      <c r="O33" s="44">
        <f t="shared" si="1"/>
        <v>0.75091538461538465</v>
      </c>
      <c r="P33" s="45">
        <f>VLOOKUP(A33,'SSP_March''19'!$A$3:$Q$1193,16,0)</f>
        <v>10</v>
      </c>
      <c r="Q33" s="34">
        <f>VLOOKUP(A33,'SSP_March''19'!$A$3:$Q$1193,17,0)</f>
        <v>2</v>
      </c>
      <c r="R33" s="35">
        <f t="shared" si="2"/>
        <v>0.2</v>
      </c>
      <c r="S33" s="49">
        <f>ROUND(VLOOKUP(A33,'SSP_March''19'!$A$3:$T$1193,19,0),0)</f>
        <v>6</v>
      </c>
      <c r="T33" s="44">
        <f>VLOOKUP(A33,'SSP_March''19'!$A$3:$T$1193,20,0)</f>
        <v>0.6</v>
      </c>
      <c r="U33" s="34">
        <f>VLOOKUP(A33,'SSP_March''19'!$A$3:$X$1193,21,0)</f>
        <v>0</v>
      </c>
      <c r="V33" s="34">
        <f>VLOOKUP(A33,'SSP_March''19'!$A$3:$X$1193,22,0)</f>
        <v>2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34" t="s">
        <v>3412</v>
      </c>
      <c r="B34" s="34" t="s">
        <v>3413</v>
      </c>
      <c r="C34" s="34" t="s">
        <v>47</v>
      </c>
      <c r="D34" s="34" t="s">
        <v>48</v>
      </c>
      <c r="E34" s="34" t="s">
        <v>2</v>
      </c>
      <c r="F34" s="34" t="s">
        <v>3411</v>
      </c>
      <c r="G34" s="54">
        <v>1721010799</v>
      </c>
      <c r="H34" s="54" t="s">
        <v>229</v>
      </c>
      <c r="I34" s="54" t="s">
        <v>3514</v>
      </c>
      <c r="J34" s="34" t="s">
        <v>3421</v>
      </c>
      <c r="K34" s="43">
        <f>VLOOKUP(A34,'SSP_March''19'!$A$3:$L$1193,11,0)</f>
        <v>130000</v>
      </c>
      <c r="L34" s="43">
        <f>VLOOKUP(A34,'SSP_March''19'!$A$3:$L$1193,12,0)</f>
        <v>31740</v>
      </c>
      <c r="M34" s="44">
        <f t="shared" si="0"/>
        <v>0.24415384615384617</v>
      </c>
      <c r="N34" s="49">
        <f>ROUND(VLOOKUP(A34,'SSP_March''19'!$A$3:$N$1193,14,0),0)</f>
        <v>98394</v>
      </c>
      <c r="O34" s="44">
        <f t="shared" si="1"/>
        <v>0.75687692307692311</v>
      </c>
      <c r="P34" s="45">
        <f>VLOOKUP(A34,'SSP_March''19'!$A$3:$Q$1193,16,0)</f>
        <v>10</v>
      </c>
      <c r="Q34" s="34">
        <f>VLOOKUP(A34,'SSP_March''19'!$A$3:$Q$1193,17,0)</f>
        <v>1</v>
      </c>
      <c r="R34" s="35">
        <f t="shared" si="2"/>
        <v>0.1</v>
      </c>
      <c r="S34" s="49">
        <f>ROUND(VLOOKUP(A34,'SSP_March''19'!$A$3:$T$1193,19,0),0)</f>
        <v>3</v>
      </c>
      <c r="T34" s="44">
        <f>VLOOKUP(A34,'SSP_March''19'!$A$3:$T$1193,20,0)</f>
        <v>0.3</v>
      </c>
      <c r="U34" s="34">
        <f>VLOOKUP(A34,'SSP_March''19'!$A$3:$X$1193,21,0)</f>
        <v>0</v>
      </c>
      <c r="V34" s="34">
        <f>VLOOKUP(A34,'SSP_March''19'!$A$3:$X$1193,22,0)</f>
        <v>0</v>
      </c>
      <c r="W34" s="34">
        <f>VLOOKUP(A34,'SSP_March''19'!$A$3:$X$1193,23,0)</f>
        <v>0</v>
      </c>
      <c r="X34" s="34">
        <f>VLOOKUP(A34,'SSP_March''19'!$A$3:$X$1193,24,0)</f>
        <v>0</v>
      </c>
    </row>
    <row r="35" spans="1:24">
      <c r="A35" s="34" t="s">
        <v>3317</v>
      </c>
      <c r="B35" s="34" t="s">
        <v>2265</v>
      </c>
      <c r="C35" s="34" t="s">
        <v>47</v>
      </c>
      <c r="D35" s="34" t="s">
        <v>48</v>
      </c>
      <c r="E35" s="34" t="s">
        <v>2</v>
      </c>
      <c r="F35" s="34" t="s">
        <v>3318</v>
      </c>
      <c r="G35" s="54">
        <v>1711414935</v>
      </c>
      <c r="H35" s="54" t="s">
        <v>229</v>
      </c>
      <c r="I35" s="54" t="s">
        <v>3514</v>
      </c>
      <c r="J35" s="34" t="s">
        <v>3515</v>
      </c>
      <c r="K35" s="43">
        <f>VLOOKUP(A35,'SSP_March''19'!$A$3:$L$1193,11,0)</f>
        <v>130000</v>
      </c>
      <c r="L35" s="43">
        <f>VLOOKUP(A35,'SSP_March''19'!$A$3:$L$1193,12,0)</f>
        <v>50104</v>
      </c>
      <c r="M35" s="44">
        <f t="shared" si="0"/>
        <v>0.3854153846153846</v>
      </c>
      <c r="N35" s="49">
        <f>ROUND(VLOOKUP(A35,'SSP_March''19'!$A$3:$N$1193,14,0),0)</f>
        <v>155322</v>
      </c>
      <c r="O35" s="44">
        <f t="shared" si="1"/>
        <v>1.1947846153846153</v>
      </c>
      <c r="P35" s="45">
        <f>VLOOKUP(A35,'SSP_March''19'!$A$3:$Q$1193,16,0)</f>
        <v>10</v>
      </c>
      <c r="Q35" s="34">
        <f>VLOOKUP(A35,'SSP_March''19'!$A$3:$Q$1193,17,0)</f>
        <v>3</v>
      </c>
      <c r="R35" s="35">
        <f t="shared" si="2"/>
        <v>0.3</v>
      </c>
      <c r="S35" s="49">
        <f>ROUND(VLOOKUP(A35,'SSP_March''19'!$A$3:$T$1193,19,0),0)</f>
        <v>9</v>
      </c>
      <c r="T35" s="44">
        <f>VLOOKUP(A35,'SSP_March''19'!$A$3:$T$1193,20,0)</f>
        <v>0.9</v>
      </c>
      <c r="U35" s="34">
        <f>VLOOKUP(A35,'SSP_March''19'!$A$3:$X$1193,21,0)</f>
        <v>1</v>
      </c>
      <c r="V35" s="34">
        <f>VLOOKUP(A35,'SSP_March''19'!$A$3:$X$1193,22,0)</f>
        <v>0</v>
      </c>
      <c r="W35" s="34">
        <f>VLOOKUP(A35,'SSP_March''19'!$A$3:$X$1193,23,0)</f>
        <v>0</v>
      </c>
      <c r="X35" s="34">
        <f>VLOOKUP(A35,'SSP_March''19'!$A$3:$X$1193,24,0)</f>
        <v>0</v>
      </c>
    </row>
    <row r="36" spans="1:24">
      <c r="A36" s="34" t="s">
        <v>1460</v>
      </c>
      <c r="B36" s="34" t="s">
        <v>1461</v>
      </c>
      <c r="C36" s="34" t="s">
        <v>47</v>
      </c>
      <c r="D36" s="34" t="s">
        <v>48</v>
      </c>
      <c r="E36" s="34" t="s">
        <v>2</v>
      </c>
      <c r="F36" s="34" t="s">
        <v>1462</v>
      </c>
      <c r="G36" s="54">
        <v>1720436797</v>
      </c>
      <c r="H36" s="54" t="s">
        <v>229</v>
      </c>
      <c r="I36" s="54" t="s">
        <v>3518</v>
      </c>
      <c r="J36" s="34" t="s">
        <v>3515</v>
      </c>
      <c r="K36" s="43">
        <f>VLOOKUP(A36,'SSP_March''19'!$A$3:$L$1193,11,0)</f>
        <v>302320</v>
      </c>
      <c r="L36" s="43">
        <f>VLOOKUP(A36,'SSP_March''19'!$A$3:$L$1193,12,0)</f>
        <v>70500</v>
      </c>
      <c r="M36" s="44">
        <f t="shared" si="0"/>
        <v>0.2331966128605451</v>
      </c>
      <c r="N36" s="49">
        <f>ROUND(VLOOKUP(A36,'SSP_March''19'!$A$3:$N$1193,14,0),0)</f>
        <v>218550</v>
      </c>
      <c r="O36" s="44">
        <f t="shared" si="1"/>
        <v>0.72290949986768982</v>
      </c>
      <c r="P36" s="45">
        <f>VLOOKUP(A36,'SSP_March''19'!$A$3:$Q$1193,16,0)</f>
        <v>10</v>
      </c>
      <c r="Q36" s="34">
        <f>VLOOKUP(A36,'SSP_March''19'!$A$3:$Q$1193,17,0)</f>
        <v>1</v>
      </c>
      <c r="R36" s="35">
        <f t="shared" si="2"/>
        <v>0.1</v>
      </c>
      <c r="S36" s="49">
        <f>ROUND(VLOOKUP(A36,'SSP_March''19'!$A$3:$T$1193,19,0),0)</f>
        <v>3</v>
      </c>
      <c r="T36" s="44">
        <f>VLOOKUP(A36,'SSP_March''19'!$A$3:$T$1193,20,0)</f>
        <v>0.3</v>
      </c>
      <c r="U36" s="34">
        <f>VLOOKUP(A36,'SSP_March''19'!$A$3:$X$1193,21,0)</f>
        <v>0</v>
      </c>
      <c r="V36" s="34">
        <f>VLOOKUP(A36,'SSP_March''19'!$A$3:$X$1193,22,0)</f>
        <v>0</v>
      </c>
      <c r="W36" s="34">
        <f>VLOOKUP(A36,'SSP_March''19'!$A$3:$X$1193,23,0)</f>
        <v>0</v>
      </c>
      <c r="X36" s="34">
        <f>VLOOKUP(A36,'SSP_March''19'!$A$3:$X$1193,24,0)</f>
        <v>0</v>
      </c>
    </row>
    <row r="37" spans="1:24">
      <c r="A37" s="34" t="s">
        <v>1419</v>
      </c>
      <c r="B37" s="34" t="s">
        <v>1420</v>
      </c>
      <c r="C37" s="34" t="s">
        <v>47</v>
      </c>
      <c r="D37" s="34" t="s">
        <v>48</v>
      </c>
      <c r="E37" s="34" t="s">
        <v>2</v>
      </c>
      <c r="F37" s="34" t="s">
        <v>1421</v>
      </c>
      <c r="G37" s="54">
        <v>1717423317</v>
      </c>
      <c r="H37" s="54" t="s">
        <v>229</v>
      </c>
      <c r="I37" s="54" t="s">
        <v>3514</v>
      </c>
      <c r="J37" s="34" t="s">
        <v>3419</v>
      </c>
      <c r="K37" s="43">
        <f>VLOOKUP(A37,'SSP_March''19'!$A$3:$L$1193,11,0)</f>
        <v>130000</v>
      </c>
      <c r="L37" s="43">
        <f>VLOOKUP(A37,'SSP_March''19'!$A$3:$L$1193,12,0)</f>
        <v>63490</v>
      </c>
      <c r="M37" s="44">
        <f t="shared" ref="M37:M68" si="6">L37/K37</f>
        <v>0.48838461538461536</v>
      </c>
      <c r="N37" s="49">
        <f>ROUND(VLOOKUP(A37,'SSP_March''19'!$A$3:$N$1193,14,0),0)</f>
        <v>196819</v>
      </c>
      <c r="O37" s="44">
        <f t="shared" ref="O37:O68" si="7">N37/K37</f>
        <v>1.5139923076923076</v>
      </c>
      <c r="P37" s="45">
        <f>VLOOKUP(A37,'SSP_March''19'!$A$3:$Q$1193,16,0)</f>
        <v>10</v>
      </c>
      <c r="Q37" s="34">
        <f>VLOOKUP(A37,'SSP_March''19'!$A$3:$Q$1193,17,0)</f>
        <v>5</v>
      </c>
      <c r="R37" s="35">
        <f t="shared" ref="R37:R68" si="8">Q37/P37</f>
        <v>0.5</v>
      </c>
      <c r="S37" s="49">
        <f>ROUND(VLOOKUP(A37,'SSP_March''19'!$A$3:$T$1193,19,0),0)</f>
        <v>16</v>
      </c>
      <c r="T37" s="44">
        <f>VLOOKUP(A37,'SSP_March''19'!$A$3:$T$1193,20,0)</f>
        <v>1.6</v>
      </c>
      <c r="U37" s="34">
        <f>VLOOKUP(A37,'SSP_March''19'!$A$3:$X$1193,21,0)</f>
        <v>1</v>
      </c>
      <c r="V37" s="34">
        <f>VLOOKUP(A37,'SSP_March''19'!$A$3:$X$1193,22,0)</f>
        <v>1</v>
      </c>
      <c r="W37" s="34">
        <f>VLOOKUP(A37,'SSP_March''19'!$A$3:$X$1193,23,0)</f>
        <v>0</v>
      </c>
      <c r="X37" s="34">
        <f>VLOOKUP(A37,'SSP_March''19'!$A$3:$X$1193,24,0)</f>
        <v>0</v>
      </c>
    </row>
    <row r="38" spans="1:24">
      <c r="A38" s="34" t="s">
        <v>2939</v>
      </c>
      <c r="B38" s="34" t="s">
        <v>2940</v>
      </c>
      <c r="C38" s="34" t="s">
        <v>47</v>
      </c>
      <c r="D38" s="34" t="s">
        <v>48</v>
      </c>
      <c r="E38" s="34" t="s">
        <v>2</v>
      </c>
      <c r="F38" s="34" t="s">
        <v>1188</v>
      </c>
      <c r="G38" s="54">
        <v>1723795324</v>
      </c>
      <c r="H38" s="54" t="s">
        <v>229</v>
      </c>
      <c r="I38" s="54" t="s">
        <v>3514</v>
      </c>
      <c r="J38" s="34" t="s">
        <v>3421</v>
      </c>
      <c r="K38" s="43">
        <f>VLOOKUP(A38,'SSP_March''19'!$A$3:$L$1193,11,0)</f>
        <v>180000</v>
      </c>
      <c r="L38" s="43">
        <f>VLOOKUP(A38,'SSP_March''19'!$A$3:$L$1193,12,0)</f>
        <v>37980</v>
      </c>
      <c r="M38" s="44">
        <f t="shared" si="6"/>
        <v>0.21099999999999999</v>
      </c>
      <c r="N38" s="49">
        <f>ROUND(VLOOKUP(A38,'SSP_March''19'!$A$3:$N$1193,14,0),0)</f>
        <v>117738</v>
      </c>
      <c r="O38" s="44">
        <f t="shared" si="7"/>
        <v>0.65410000000000001</v>
      </c>
      <c r="P38" s="45">
        <f>VLOOKUP(A38,'SSP_March''19'!$A$3:$Q$1193,16,0)</f>
        <v>10</v>
      </c>
      <c r="Q38" s="34">
        <f>VLOOKUP(A38,'SSP_March''19'!$A$3:$Q$1193,17,0)</f>
        <v>1</v>
      </c>
      <c r="R38" s="35">
        <f t="shared" si="8"/>
        <v>0.1</v>
      </c>
      <c r="S38" s="49">
        <f>ROUND(VLOOKUP(A38,'SSP_March''19'!$A$3:$T$1193,19,0),0)</f>
        <v>3</v>
      </c>
      <c r="T38" s="44">
        <f>VLOOKUP(A38,'SSP_March''19'!$A$3:$T$1193,20,0)</f>
        <v>0.3</v>
      </c>
      <c r="U38" s="34">
        <f>VLOOKUP(A38,'SSP_March''19'!$A$3:$X$1193,21,0)</f>
        <v>0</v>
      </c>
      <c r="V38" s="34">
        <f>VLOOKUP(A38,'SSP_March''19'!$A$3:$X$1193,22,0)</f>
        <v>1</v>
      </c>
      <c r="W38" s="34">
        <f>VLOOKUP(A38,'SSP_March''19'!$A$3:$X$1193,23,0)</f>
        <v>0</v>
      </c>
      <c r="X38" s="34">
        <f>VLOOKUP(A38,'SSP_March''19'!$A$3:$X$1193,24,0)</f>
        <v>0</v>
      </c>
    </row>
    <row r="39" spans="1:24">
      <c r="A39" s="34" t="s">
        <v>1446</v>
      </c>
      <c r="B39" s="34" t="s">
        <v>1447</v>
      </c>
      <c r="C39" s="34" t="s">
        <v>76</v>
      </c>
      <c r="D39" s="34" t="s">
        <v>48</v>
      </c>
      <c r="E39" s="34" t="s">
        <v>2</v>
      </c>
      <c r="F39" s="34" t="s">
        <v>1293</v>
      </c>
      <c r="G39" s="54">
        <v>1740972629</v>
      </c>
      <c r="H39" s="54" t="s">
        <v>229</v>
      </c>
      <c r="I39" s="54" t="s">
        <v>3514</v>
      </c>
      <c r="J39" s="34" t="s">
        <v>3419</v>
      </c>
      <c r="K39" s="43">
        <f>VLOOKUP(A39,'SSP_March''19'!$A$3:$L$1193,11,0)</f>
        <v>173427</v>
      </c>
      <c r="L39" s="43">
        <f>VLOOKUP(A39,'SSP_March''19'!$A$3:$L$1193,12,0)</f>
        <v>69700</v>
      </c>
      <c r="M39" s="44">
        <f t="shared" si="6"/>
        <v>0.40189820500844736</v>
      </c>
      <c r="N39" s="49">
        <f>ROUND(VLOOKUP(A39,'SSP_March''19'!$A$3:$N$1193,14,0),0)</f>
        <v>216070</v>
      </c>
      <c r="O39" s="44">
        <f t="shared" si="7"/>
        <v>1.2458844355261869</v>
      </c>
      <c r="P39" s="45">
        <f>VLOOKUP(A39,'SSP_March''19'!$A$3:$Q$1193,16,0)</f>
        <v>10</v>
      </c>
      <c r="Q39" s="34">
        <f>VLOOKUP(A39,'SSP_March''19'!$A$3:$Q$1193,17,0)</f>
        <v>0</v>
      </c>
      <c r="R39" s="35">
        <f t="shared" si="8"/>
        <v>0</v>
      </c>
      <c r="S39" s="49">
        <f>ROUND(VLOOKUP(A39,'SSP_March''19'!$A$3:$T$1193,19,0),0)</f>
        <v>0</v>
      </c>
      <c r="T39" s="44">
        <f>VLOOKUP(A39,'SSP_March''19'!$A$3:$T$1193,20,0)</f>
        <v>0</v>
      </c>
      <c r="U39" s="34">
        <f>VLOOKUP(A39,'SSP_March''19'!$A$3:$X$1193,21,0)</f>
        <v>0</v>
      </c>
      <c r="V39" s="34">
        <f>VLOOKUP(A39,'SSP_March''19'!$A$3:$X$1193,22,0)</f>
        <v>0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34" t="s">
        <v>3495</v>
      </c>
      <c r="B40" s="34" t="s">
        <v>3496</v>
      </c>
      <c r="C40" s="34" t="s">
        <v>76</v>
      </c>
      <c r="D40" s="34" t="s">
        <v>48</v>
      </c>
      <c r="E40" s="34" t="s">
        <v>2</v>
      </c>
      <c r="F40" s="34" t="s">
        <v>3497</v>
      </c>
      <c r="G40" s="54">
        <v>1750899046</v>
      </c>
      <c r="H40" s="54" t="s">
        <v>229</v>
      </c>
      <c r="I40" s="54" t="s">
        <v>3514</v>
      </c>
      <c r="J40" s="34" t="s">
        <v>3419</v>
      </c>
      <c r="K40" s="43">
        <f>VLOOKUP(A40,'SSP_March''19'!$A$3:$L$1193,11,0)</f>
        <v>130000</v>
      </c>
      <c r="L40" s="43">
        <f>VLOOKUP(A40,'SSP_March''19'!$A$3:$L$1193,12,0)</f>
        <v>58310</v>
      </c>
      <c r="M40" s="44">
        <f t="shared" si="6"/>
        <v>0.44853846153846155</v>
      </c>
      <c r="N40" s="49">
        <f>ROUND(VLOOKUP(A40,'SSP_March''19'!$A$3:$N$1193,14,0),0)</f>
        <v>180761</v>
      </c>
      <c r="O40" s="44">
        <f t="shared" si="7"/>
        <v>1.3904692307692308</v>
      </c>
      <c r="P40" s="45">
        <f>VLOOKUP(A40,'SSP_March''19'!$A$3:$Q$1193,16,0)</f>
        <v>10</v>
      </c>
      <c r="Q40" s="34">
        <f>VLOOKUP(A40,'SSP_March''19'!$A$3:$Q$1193,17,0)</f>
        <v>6</v>
      </c>
      <c r="R40" s="35">
        <f t="shared" si="8"/>
        <v>0.6</v>
      </c>
      <c r="S40" s="49">
        <f>ROUND(VLOOKUP(A40,'SSP_March''19'!$A$3:$T$1193,19,0),0)</f>
        <v>19</v>
      </c>
      <c r="T40" s="44">
        <f>VLOOKUP(A40,'SSP_March''19'!$A$3:$T$1193,20,0)</f>
        <v>1.9</v>
      </c>
      <c r="U40" s="34">
        <f>VLOOKUP(A40,'SSP_March''19'!$A$3:$X$1193,21,0)</f>
        <v>1</v>
      </c>
      <c r="V40" s="34">
        <f>VLOOKUP(A40,'SSP_March''19'!$A$3:$X$1193,22,0)</f>
        <v>2</v>
      </c>
      <c r="W40" s="34">
        <f>VLOOKUP(A40,'SSP_March''19'!$A$3:$X$1193,23,0)</f>
        <v>1</v>
      </c>
      <c r="X40" s="34">
        <f>VLOOKUP(A40,'SSP_March''19'!$A$3:$X$1193,24,0)</f>
        <v>0</v>
      </c>
    </row>
    <row r="41" spans="1:24">
      <c r="A41" s="34" t="s">
        <v>3319</v>
      </c>
      <c r="B41" s="34" t="s">
        <v>3320</v>
      </c>
      <c r="C41" s="34" t="s">
        <v>76</v>
      </c>
      <c r="D41" s="34" t="s">
        <v>48</v>
      </c>
      <c r="E41" s="34" t="s">
        <v>2</v>
      </c>
      <c r="F41" s="34" t="s">
        <v>3321</v>
      </c>
      <c r="G41" s="54">
        <v>1717185100</v>
      </c>
      <c r="H41" s="54" t="s">
        <v>229</v>
      </c>
      <c r="I41" s="54" t="s">
        <v>3514</v>
      </c>
      <c r="J41" s="34" t="s">
        <v>3421</v>
      </c>
      <c r="K41" s="43">
        <f>VLOOKUP(A41,'SSP_March''19'!$A$3:$L$1193,11,0)</f>
        <v>130000</v>
      </c>
      <c r="L41" s="43">
        <f>VLOOKUP(A41,'SSP_March''19'!$A$3:$L$1193,12,0)</f>
        <v>15970</v>
      </c>
      <c r="M41" s="44">
        <f t="shared" si="6"/>
        <v>0.12284615384615384</v>
      </c>
      <c r="N41" s="49">
        <f>ROUND(VLOOKUP(A41,'SSP_March''19'!$A$3:$N$1193,14,0),0)</f>
        <v>49507</v>
      </c>
      <c r="O41" s="44">
        <f t="shared" si="7"/>
        <v>0.38082307692307693</v>
      </c>
      <c r="P41" s="45">
        <f>VLOOKUP(A41,'SSP_March''19'!$A$3:$Q$1193,16,0)</f>
        <v>10</v>
      </c>
      <c r="Q41" s="34">
        <f>VLOOKUP(A41,'SSP_March''19'!$A$3:$Q$1193,17,0)</f>
        <v>1</v>
      </c>
      <c r="R41" s="35">
        <f t="shared" si="8"/>
        <v>0.1</v>
      </c>
      <c r="S41" s="49">
        <f>ROUND(VLOOKUP(A41,'SSP_March''19'!$A$3:$T$1193,19,0),0)</f>
        <v>3</v>
      </c>
      <c r="T41" s="44">
        <f>VLOOKUP(A41,'SSP_March''19'!$A$3:$T$1193,20,0)</f>
        <v>0.3</v>
      </c>
      <c r="U41" s="34">
        <f>VLOOKUP(A41,'SSP_March''19'!$A$3:$X$1193,21,0)</f>
        <v>0</v>
      </c>
      <c r="V41" s="34">
        <f>VLOOKUP(A41,'SSP_March''19'!$A$3:$X$1193,22,0)</f>
        <v>1</v>
      </c>
      <c r="W41" s="34">
        <f>VLOOKUP(A41,'SSP_March''19'!$A$3:$X$1193,23,0)</f>
        <v>0</v>
      </c>
      <c r="X41" s="34">
        <f>VLOOKUP(A41,'SSP_March''19'!$A$3:$X$1193,24,0)</f>
        <v>0</v>
      </c>
    </row>
    <row r="42" spans="1:24">
      <c r="A42" s="34" t="s">
        <v>2941</v>
      </c>
      <c r="B42" s="34" t="s">
        <v>2942</v>
      </c>
      <c r="C42" s="34" t="s">
        <v>76</v>
      </c>
      <c r="D42" s="34" t="s">
        <v>48</v>
      </c>
      <c r="E42" s="34" t="s">
        <v>2</v>
      </c>
      <c r="F42" s="34" t="s">
        <v>2943</v>
      </c>
      <c r="G42" s="54">
        <v>1717141428</v>
      </c>
      <c r="H42" s="54" t="s">
        <v>229</v>
      </c>
      <c r="I42" s="54" t="s">
        <v>3514</v>
      </c>
      <c r="J42" s="34" t="s">
        <v>3419</v>
      </c>
      <c r="K42" s="43">
        <f>VLOOKUP(A42,'SSP_March''19'!$A$3:$L$1193,11,0)</f>
        <v>130000</v>
      </c>
      <c r="L42" s="43">
        <f>VLOOKUP(A42,'SSP_March''19'!$A$3:$L$1193,12,0)</f>
        <v>62000</v>
      </c>
      <c r="M42" s="44">
        <f t="shared" si="6"/>
        <v>0.47692307692307695</v>
      </c>
      <c r="N42" s="49">
        <f>ROUND(VLOOKUP(A42,'SSP_March''19'!$A$3:$N$1193,14,0),0)</f>
        <v>192200</v>
      </c>
      <c r="O42" s="44">
        <f t="shared" si="7"/>
        <v>1.4784615384615385</v>
      </c>
      <c r="P42" s="45">
        <f>VLOOKUP(A42,'SSP_March''19'!$A$3:$Q$1193,16,0)</f>
        <v>10</v>
      </c>
      <c r="Q42" s="34">
        <f>VLOOKUP(A42,'SSP_March''19'!$A$3:$Q$1193,17,0)</f>
        <v>6</v>
      </c>
      <c r="R42" s="35">
        <f t="shared" si="8"/>
        <v>0.6</v>
      </c>
      <c r="S42" s="49">
        <f>ROUND(VLOOKUP(A42,'SSP_March''19'!$A$3:$T$1193,19,0),0)</f>
        <v>19</v>
      </c>
      <c r="T42" s="44">
        <f>VLOOKUP(A42,'SSP_March''19'!$A$3:$T$1193,20,0)</f>
        <v>1.9</v>
      </c>
      <c r="U42" s="34">
        <f>VLOOKUP(A42,'SSP_March''19'!$A$3:$X$1193,21,0)</f>
        <v>0</v>
      </c>
      <c r="V42" s="34">
        <f>VLOOKUP(A42,'SSP_March''19'!$A$3:$X$1193,22,0)</f>
        <v>0</v>
      </c>
      <c r="W42" s="34">
        <f>VLOOKUP(A42,'SSP_March''19'!$A$3:$X$1193,23,0)</f>
        <v>0</v>
      </c>
      <c r="X42" s="34">
        <f>VLOOKUP(A42,'SSP_March''19'!$A$3:$X$1193,24,0)</f>
        <v>0</v>
      </c>
    </row>
    <row r="43" spans="1:24">
      <c r="A43" s="34" t="s">
        <v>1472</v>
      </c>
      <c r="B43" s="34" t="s">
        <v>1473</v>
      </c>
      <c r="C43" s="34" t="s">
        <v>76</v>
      </c>
      <c r="D43" s="34" t="s">
        <v>48</v>
      </c>
      <c r="E43" s="34" t="s">
        <v>2</v>
      </c>
      <c r="F43" s="34" t="s">
        <v>1474</v>
      </c>
      <c r="G43" s="54">
        <v>1719709048</v>
      </c>
      <c r="H43" s="54" t="s">
        <v>229</v>
      </c>
      <c r="I43" s="54" t="s">
        <v>3514</v>
      </c>
      <c r="J43" s="34" t="s">
        <v>3419</v>
      </c>
      <c r="K43" s="43">
        <f>VLOOKUP(A43,'SSP_March''19'!$A$3:$L$1193,11,0)</f>
        <v>169442</v>
      </c>
      <c r="L43" s="43">
        <f>VLOOKUP(A43,'SSP_March''19'!$A$3:$L$1193,12,0)</f>
        <v>69730</v>
      </c>
      <c r="M43" s="44">
        <f t="shared" si="6"/>
        <v>0.41152724826194215</v>
      </c>
      <c r="N43" s="49">
        <f>ROUND(VLOOKUP(A43,'SSP_March''19'!$A$3:$N$1193,14,0),0)</f>
        <v>216163</v>
      </c>
      <c r="O43" s="44">
        <f t="shared" si="7"/>
        <v>1.2757344696120205</v>
      </c>
      <c r="P43" s="45">
        <f>VLOOKUP(A43,'SSP_March''19'!$A$3:$Q$1193,16,0)</f>
        <v>10</v>
      </c>
      <c r="Q43" s="34">
        <f>VLOOKUP(A43,'SSP_March''19'!$A$3:$Q$1193,17,0)</f>
        <v>3</v>
      </c>
      <c r="R43" s="35">
        <f t="shared" si="8"/>
        <v>0.3</v>
      </c>
      <c r="S43" s="49">
        <f>ROUND(VLOOKUP(A43,'SSP_March''19'!$A$3:$T$1193,19,0),0)</f>
        <v>9</v>
      </c>
      <c r="T43" s="44">
        <f>VLOOKUP(A43,'SSP_March''19'!$A$3:$T$1193,20,0)</f>
        <v>0.9</v>
      </c>
      <c r="U43" s="34">
        <f>VLOOKUP(A43,'SSP_March''19'!$A$3:$X$1193,21,0)</f>
        <v>3</v>
      </c>
      <c r="V43" s="34">
        <f>VLOOKUP(A43,'SSP_March''19'!$A$3:$X$1193,22,0)</f>
        <v>1</v>
      </c>
      <c r="W43" s="34">
        <f>VLOOKUP(A43,'SSP_March''19'!$A$3:$X$1193,23,0)</f>
        <v>0</v>
      </c>
      <c r="X43" s="34">
        <f>VLOOKUP(A43,'SSP_March''19'!$A$3:$X$1193,24,0)</f>
        <v>0</v>
      </c>
    </row>
    <row r="44" spans="1:24">
      <c r="A44" s="34" t="s">
        <v>1496</v>
      </c>
      <c r="B44" s="34" t="s">
        <v>1497</v>
      </c>
      <c r="C44" s="34" t="s">
        <v>76</v>
      </c>
      <c r="D44" s="34" t="s">
        <v>48</v>
      </c>
      <c r="E44" s="34" t="s">
        <v>2</v>
      </c>
      <c r="F44" s="34" t="s">
        <v>1498</v>
      </c>
      <c r="G44" s="54">
        <v>1730912599</v>
      </c>
      <c r="H44" s="54" t="s">
        <v>229</v>
      </c>
      <c r="I44" s="54" t="s">
        <v>3514</v>
      </c>
      <c r="J44" s="34" t="s">
        <v>3421</v>
      </c>
      <c r="K44" s="43">
        <f>VLOOKUP(A44,'SSP_March''19'!$A$3:$L$1193,11,0)</f>
        <v>130000</v>
      </c>
      <c r="L44" s="43">
        <f>VLOOKUP(A44,'SSP_March''19'!$A$3:$L$1193,12,0)</f>
        <v>23560</v>
      </c>
      <c r="M44" s="44">
        <f t="shared" si="6"/>
        <v>0.18123076923076922</v>
      </c>
      <c r="N44" s="49">
        <f>ROUND(VLOOKUP(A44,'SSP_March''19'!$A$3:$N$1193,14,0),0)</f>
        <v>73036</v>
      </c>
      <c r="O44" s="44">
        <f t="shared" si="7"/>
        <v>0.56181538461538461</v>
      </c>
      <c r="P44" s="45">
        <f>VLOOKUP(A44,'SSP_March''19'!$A$3:$Q$1193,16,0)</f>
        <v>10</v>
      </c>
      <c r="Q44" s="34">
        <f>VLOOKUP(A44,'SSP_March''19'!$A$3:$Q$1193,17,0)</f>
        <v>1</v>
      </c>
      <c r="R44" s="35">
        <f t="shared" si="8"/>
        <v>0.1</v>
      </c>
      <c r="S44" s="49">
        <f>ROUND(VLOOKUP(A44,'SSP_March''19'!$A$3:$T$1193,19,0),0)</f>
        <v>3</v>
      </c>
      <c r="T44" s="44">
        <f>VLOOKUP(A44,'SSP_March''19'!$A$3:$T$1193,20,0)</f>
        <v>0.3</v>
      </c>
      <c r="U44" s="34">
        <f>VLOOKUP(A44,'SSP_March''19'!$A$3:$X$1193,21,0)</f>
        <v>0</v>
      </c>
      <c r="V44" s="34">
        <f>VLOOKUP(A44,'SSP_March''19'!$A$3:$X$1193,22,0)</f>
        <v>0</v>
      </c>
      <c r="W44" s="34">
        <f>VLOOKUP(A44,'SSP_March''19'!$A$3:$X$1193,23,0)</f>
        <v>0</v>
      </c>
      <c r="X44" s="34">
        <f>VLOOKUP(A44,'SSP_March''19'!$A$3:$X$1193,24,0)</f>
        <v>0</v>
      </c>
    </row>
    <row r="45" spans="1:24">
      <c r="A45" s="34" t="s">
        <v>1319</v>
      </c>
      <c r="B45" s="34" t="s">
        <v>1320</v>
      </c>
      <c r="C45" s="34" t="s">
        <v>164</v>
      </c>
      <c r="D45" s="34" t="s">
        <v>165</v>
      </c>
      <c r="E45" s="34" t="s">
        <v>2</v>
      </c>
      <c r="F45" s="34" t="s">
        <v>1321</v>
      </c>
      <c r="G45" s="54">
        <v>1738340730</v>
      </c>
      <c r="H45" s="54" t="s">
        <v>229</v>
      </c>
      <c r="I45" s="54" t="s">
        <v>3514</v>
      </c>
      <c r="J45" s="34" t="s">
        <v>3515</v>
      </c>
      <c r="K45" s="43">
        <f>VLOOKUP(A45,'SSP_March''19'!$A$3:$L$1193,11,0)</f>
        <v>154764</v>
      </c>
      <c r="L45" s="43">
        <f>VLOOKUP(A45,'SSP_March''19'!$A$3:$L$1193,12,0)</f>
        <v>63990</v>
      </c>
      <c r="M45" s="44">
        <f t="shared" si="6"/>
        <v>0.4134682484298674</v>
      </c>
      <c r="N45" s="49">
        <f>ROUND(VLOOKUP(A45,'SSP_March''19'!$A$3:$N$1193,14,0),0)</f>
        <v>198369</v>
      </c>
      <c r="O45" s="44">
        <f t="shared" si="7"/>
        <v>1.281751570132589</v>
      </c>
      <c r="P45" s="45">
        <f>VLOOKUP(A45,'SSP_March''19'!$A$3:$Q$1193,16,0)</f>
        <v>10</v>
      </c>
      <c r="Q45" s="34">
        <f>VLOOKUP(A45,'SSP_March''19'!$A$3:$Q$1193,17,0)</f>
        <v>5</v>
      </c>
      <c r="R45" s="35">
        <f t="shared" si="8"/>
        <v>0.5</v>
      </c>
      <c r="S45" s="49">
        <f>ROUND(VLOOKUP(A45,'SSP_March''19'!$A$3:$T$1193,19,0),0)</f>
        <v>16</v>
      </c>
      <c r="T45" s="44">
        <f>VLOOKUP(A45,'SSP_March''19'!$A$3:$T$1193,20,0)</f>
        <v>1.6</v>
      </c>
      <c r="U45" s="34">
        <f>VLOOKUP(A45,'SSP_March''19'!$A$3:$X$1193,21,0)</f>
        <v>1</v>
      </c>
      <c r="V45" s="34">
        <f>VLOOKUP(A45,'SSP_March''19'!$A$3:$X$1193,22,0)</f>
        <v>2</v>
      </c>
      <c r="W45" s="34">
        <f>VLOOKUP(A45,'SSP_March''19'!$A$3:$X$1193,23,0)</f>
        <v>0</v>
      </c>
      <c r="X45" s="34">
        <f>VLOOKUP(A45,'SSP_March''19'!$A$3:$X$1193,24,0)</f>
        <v>0</v>
      </c>
    </row>
    <row r="46" spans="1:24">
      <c r="A46" s="34" t="s">
        <v>1478</v>
      </c>
      <c r="B46" s="34" t="s">
        <v>1479</v>
      </c>
      <c r="C46" s="34" t="s">
        <v>164</v>
      </c>
      <c r="D46" s="34" t="s">
        <v>165</v>
      </c>
      <c r="E46" s="34" t="s">
        <v>2</v>
      </c>
      <c r="F46" s="34" t="s">
        <v>1480</v>
      </c>
      <c r="G46" s="54">
        <v>1761898121</v>
      </c>
      <c r="H46" s="54" t="s">
        <v>229</v>
      </c>
      <c r="I46" s="54" t="s">
        <v>3514</v>
      </c>
      <c r="J46" s="34" t="s">
        <v>3515</v>
      </c>
      <c r="K46" s="43">
        <f>VLOOKUP(A46,'SSP_March''19'!$A$3:$L$1193,11,0)</f>
        <v>130000</v>
      </c>
      <c r="L46" s="43">
        <f>VLOOKUP(A46,'SSP_March''19'!$A$3:$L$1193,12,0)</f>
        <v>42030</v>
      </c>
      <c r="M46" s="44">
        <f t="shared" si="6"/>
        <v>0.3233076923076923</v>
      </c>
      <c r="N46" s="49">
        <f>ROUND(VLOOKUP(A46,'SSP_March''19'!$A$3:$N$1193,14,0),0)</f>
        <v>130293</v>
      </c>
      <c r="O46" s="44">
        <f t="shared" si="7"/>
        <v>1.0022538461538462</v>
      </c>
      <c r="P46" s="45">
        <f>VLOOKUP(A46,'SSP_March''19'!$A$3:$Q$1193,16,0)</f>
        <v>10</v>
      </c>
      <c r="Q46" s="34">
        <f>VLOOKUP(A46,'SSP_March''19'!$A$3:$Q$1193,17,0)</f>
        <v>2</v>
      </c>
      <c r="R46" s="35">
        <f t="shared" si="8"/>
        <v>0.2</v>
      </c>
      <c r="S46" s="49">
        <f>ROUND(VLOOKUP(A46,'SSP_March''19'!$A$3:$T$1193,19,0),0)</f>
        <v>6</v>
      </c>
      <c r="T46" s="44">
        <f>VLOOKUP(A46,'SSP_March''19'!$A$3:$T$1193,20,0)</f>
        <v>0.6</v>
      </c>
      <c r="U46" s="34">
        <f>VLOOKUP(A46,'SSP_March''19'!$A$3:$X$1193,21,0)</f>
        <v>1</v>
      </c>
      <c r="V46" s="34">
        <f>VLOOKUP(A46,'SSP_March''19'!$A$3:$X$1193,22,0)</f>
        <v>0</v>
      </c>
      <c r="W46" s="34">
        <f>VLOOKUP(A46,'SSP_March''19'!$A$3:$X$1193,23,0)</f>
        <v>0</v>
      </c>
      <c r="X46" s="34">
        <f>VLOOKUP(A46,'SSP_March''19'!$A$3:$X$1193,24,0)</f>
        <v>0</v>
      </c>
    </row>
    <row r="47" spans="1:24">
      <c r="A47" s="34" t="s">
        <v>1487</v>
      </c>
      <c r="B47" s="34" t="s">
        <v>1488</v>
      </c>
      <c r="C47" s="34" t="s">
        <v>164</v>
      </c>
      <c r="D47" s="34" t="s">
        <v>165</v>
      </c>
      <c r="E47" s="34" t="s">
        <v>2</v>
      </c>
      <c r="F47" s="34" t="s">
        <v>1489</v>
      </c>
      <c r="G47" s="54">
        <v>1750457937</v>
      </c>
      <c r="H47" s="54" t="s">
        <v>229</v>
      </c>
      <c r="I47" s="54" t="s">
        <v>3514</v>
      </c>
      <c r="J47" s="34" t="s">
        <v>3421</v>
      </c>
      <c r="K47" s="43">
        <f>VLOOKUP(A47,'SSP_March''19'!$A$3:$L$1193,11,0)</f>
        <v>130000</v>
      </c>
      <c r="L47" s="43">
        <f>VLOOKUP(A47,'SSP_March''19'!$A$3:$L$1193,12,0)</f>
        <v>70980</v>
      </c>
      <c r="M47" s="44">
        <f t="shared" si="6"/>
        <v>0.54600000000000004</v>
      </c>
      <c r="N47" s="49">
        <f>ROUND(VLOOKUP(A47,'SSP_March''19'!$A$3:$N$1193,14,0),0)</f>
        <v>220038</v>
      </c>
      <c r="O47" s="44">
        <f t="shared" si="7"/>
        <v>1.6926000000000001</v>
      </c>
      <c r="P47" s="45">
        <f>VLOOKUP(A47,'SSP_March''19'!$A$3:$Q$1193,16,0)</f>
        <v>10</v>
      </c>
      <c r="Q47" s="34">
        <f>VLOOKUP(A47,'SSP_March''19'!$A$3:$Q$1193,17,0)</f>
        <v>4</v>
      </c>
      <c r="R47" s="35">
        <f t="shared" si="8"/>
        <v>0.4</v>
      </c>
      <c r="S47" s="49">
        <f>ROUND(VLOOKUP(A47,'SSP_March''19'!$A$3:$T$1193,19,0),0)</f>
        <v>12</v>
      </c>
      <c r="T47" s="44">
        <f>VLOOKUP(A47,'SSP_March''19'!$A$3:$T$1193,20,0)</f>
        <v>1.2</v>
      </c>
      <c r="U47" s="34">
        <f>VLOOKUP(A47,'SSP_March''19'!$A$3:$X$1193,21,0)</f>
        <v>0</v>
      </c>
      <c r="V47" s="34">
        <f>VLOOKUP(A47,'SSP_March''19'!$A$3:$X$1193,22,0)</f>
        <v>3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85" t="s">
        <v>1428</v>
      </c>
      <c r="B48" s="85" t="s">
        <v>164</v>
      </c>
      <c r="C48" s="85" t="s">
        <v>164</v>
      </c>
      <c r="D48" s="85" t="s">
        <v>165</v>
      </c>
      <c r="E48" s="85" t="s">
        <v>2</v>
      </c>
      <c r="F48" s="85" t="s">
        <v>3646</v>
      </c>
      <c r="G48" s="81">
        <v>1788166533</v>
      </c>
      <c r="H48" s="54" t="s">
        <v>229</v>
      </c>
      <c r="I48" s="54" t="s">
        <v>3514</v>
      </c>
      <c r="J48" s="34" t="s">
        <v>3419</v>
      </c>
      <c r="K48" s="43">
        <f>VLOOKUP(A48,'SSP_March''19'!$A$3:$L$1193,11,0)</f>
        <v>130000</v>
      </c>
      <c r="L48" s="43">
        <f>VLOOKUP(A48,'SSP_March''19'!$A$3:$L$1193,12,0)</f>
        <v>79480</v>
      </c>
      <c r="M48" s="44">
        <f t="shared" si="6"/>
        <v>0.61138461538461542</v>
      </c>
      <c r="N48" s="49">
        <f>ROUND(VLOOKUP(A48,'SSP_March''19'!$A$3:$N$1193,14,0),0)</f>
        <v>246388</v>
      </c>
      <c r="O48" s="44">
        <f t="shared" si="7"/>
        <v>1.8952923076923076</v>
      </c>
      <c r="P48" s="45">
        <f>VLOOKUP(A48,'SSP_March''19'!$A$3:$Q$1193,16,0)</f>
        <v>10</v>
      </c>
      <c r="Q48" s="34">
        <f>VLOOKUP(A48,'SSP_March''19'!$A$3:$Q$1193,17,0)</f>
        <v>5</v>
      </c>
      <c r="R48" s="35">
        <f t="shared" si="8"/>
        <v>0.5</v>
      </c>
      <c r="S48" s="49">
        <f>ROUND(VLOOKUP(A48,'SSP_March''19'!$A$3:$T$1193,19,0),0)</f>
        <v>16</v>
      </c>
      <c r="T48" s="44">
        <f>VLOOKUP(A48,'SSP_March''19'!$A$3:$T$1193,20,0)</f>
        <v>1.6</v>
      </c>
      <c r="U48" s="34">
        <f>VLOOKUP(A48,'SSP_March''19'!$A$3:$X$1193,21,0)</f>
        <v>1</v>
      </c>
      <c r="V48" s="34">
        <f>VLOOKUP(A48,'SSP_March''19'!$A$3:$X$1193,22,0)</f>
        <v>0</v>
      </c>
      <c r="W48" s="34">
        <f>VLOOKUP(A48,'SSP_March''19'!$A$3:$X$1193,23,0)</f>
        <v>0</v>
      </c>
      <c r="X48" s="34">
        <f>VLOOKUP(A48,'SSP_March''19'!$A$3:$X$1193,24,0)</f>
        <v>1</v>
      </c>
    </row>
    <row r="49" spans="1:24">
      <c r="A49" s="34" t="s">
        <v>1481</v>
      </c>
      <c r="B49" s="34" t="s">
        <v>1482</v>
      </c>
      <c r="C49" s="34" t="s">
        <v>164</v>
      </c>
      <c r="D49" s="34" t="s">
        <v>165</v>
      </c>
      <c r="E49" s="34" t="s">
        <v>2</v>
      </c>
      <c r="F49" s="34" t="s">
        <v>1483</v>
      </c>
      <c r="G49" s="54">
        <v>1729122202</v>
      </c>
      <c r="H49" s="54" t="s">
        <v>229</v>
      </c>
      <c r="I49" s="54" t="s">
        <v>3514</v>
      </c>
      <c r="J49" s="34" t="s">
        <v>3421</v>
      </c>
      <c r="K49" s="43">
        <f>VLOOKUP(A49,'SSP_March''19'!$A$3:$L$1193,11,0)</f>
        <v>130000</v>
      </c>
      <c r="L49" s="43">
        <f>VLOOKUP(A49,'SSP_March''19'!$A$3:$L$1193,12,0)</f>
        <v>43080</v>
      </c>
      <c r="M49" s="44">
        <f t="shared" si="6"/>
        <v>0.33138461538461539</v>
      </c>
      <c r="N49" s="49">
        <f>ROUND(VLOOKUP(A49,'SSP_March''19'!$A$3:$N$1193,14,0),0)</f>
        <v>133548</v>
      </c>
      <c r="O49" s="44">
        <f t="shared" si="7"/>
        <v>1.0272923076923077</v>
      </c>
      <c r="P49" s="45">
        <f>VLOOKUP(A49,'SSP_March''19'!$A$3:$Q$1193,16,0)</f>
        <v>10</v>
      </c>
      <c r="Q49" s="34">
        <f>VLOOKUP(A49,'SSP_March''19'!$A$3:$Q$1193,17,0)</f>
        <v>2</v>
      </c>
      <c r="R49" s="35">
        <f t="shared" si="8"/>
        <v>0.2</v>
      </c>
      <c r="S49" s="49">
        <f>ROUND(VLOOKUP(A49,'SSP_March''19'!$A$3:$T$1193,19,0),0)</f>
        <v>6</v>
      </c>
      <c r="T49" s="44">
        <f>VLOOKUP(A49,'SSP_March''19'!$A$3:$T$1193,20,0)</f>
        <v>0.6</v>
      </c>
      <c r="U49" s="34">
        <f>VLOOKUP(A49,'SSP_March''19'!$A$3:$X$1193,21,0)</f>
        <v>1</v>
      </c>
      <c r="V49" s="34">
        <f>VLOOKUP(A49,'SSP_March''19'!$A$3:$X$1193,22,0)</f>
        <v>1</v>
      </c>
      <c r="W49" s="34">
        <f>VLOOKUP(A49,'SSP_March''19'!$A$3:$X$1193,23,0)</f>
        <v>0</v>
      </c>
      <c r="X49" s="34">
        <f>VLOOKUP(A49,'SSP_March''19'!$A$3:$X$1193,24,0)</f>
        <v>0</v>
      </c>
    </row>
    <row r="50" spans="1:24">
      <c r="A50" s="34" t="s">
        <v>1404</v>
      </c>
      <c r="B50" s="34" t="s">
        <v>1405</v>
      </c>
      <c r="C50" s="34" t="s">
        <v>197</v>
      </c>
      <c r="D50" s="34" t="s">
        <v>165</v>
      </c>
      <c r="E50" s="34" t="s">
        <v>2</v>
      </c>
      <c r="F50" s="34" t="s">
        <v>1406</v>
      </c>
      <c r="G50" s="54">
        <v>1855066678</v>
      </c>
      <c r="H50" s="54" t="s">
        <v>229</v>
      </c>
      <c r="I50" s="54" t="s">
        <v>3514</v>
      </c>
      <c r="J50" s="34" t="s">
        <v>3515</v>
      </c>
      <c r="K50" s="43">
        <f>VLOOKUP(A50,'SSP_March''19'!$A$3:$L$1193,11,0)</f>
        <v>130000</v>
      </c>
      <c r="L50" s="43">
        <f>VLOOKUP(A50,'SSP_March''19'!$A$3:$L$1193,12,0)</f>
        <v>30399</v>
      </c>
      <c r="M50" s="44">
        <f t="shared" si="6"/>
        <v>0.23383846153846155</v>
      </c>
      <c r="N50" s="49">
        <f>ROUND(VLOOKUP(A50,'SSP_March''19'!$A$3:$N$1193,14,0),0)</f>
        <v>94237</v>
      </c>
      <c r="O50" s="44">
        <f t="shared" si="7"/>
        <v>0.72489999999999999</v>
      </c>
      <c r="P50" s="45">
        <f>VLOOKUP(A50,'SSP_March''19'!$A$3:$Q$1193,16,0)</f>
        <v>10</v>
      </c>
      <c r="Q50" s="34">
        <f>VLOOKUP(A50,'SSP_March''19'!$A$3:$Q$1193,17,0)</f>
        <v>0</v>
      </c>
      <c r="R50" s="35">
        <f t="shared" si="8"/>
        <v>0</v>
      </c>
      <c r="S50" s="49">
        <f>ROUND(VLOOKUP(A50,'SSP_March''19'!$A$3:$T$1193,19,0),0)</f>
        <v>0</v>
      </c>
      <c r="T50" s="44">
        <f>VLOOKUP(A50,'SSP_March''19'!$A$3:$T$1193,20,0)</f>
        <v>0</v>
      </c>
      <c r="U50" s="34">
        <f>VLOOKUP(A50,'SSP_March''19'!$A$3:$X$1193,21,0)</f>
        <v>1</v>
      </c>
      <c r="V50" s="34">
        <f>VLOOKUP(A50,'SSP_March''19'!$A$3:$X$1193,22,0)</f>
        <v>0</v>
      </c>
      <c r="W50" s="34">
        <f>VLOOKUP(A50,'SSP_March''19'!$A$3:$X$1193,23,0)</f>
        <v>0</v>
      </c>
      <c r="X50" s="34">
        <f>VLOOKUP(A50,'SSP_March''19'!$A$3:$X$1193,24,0)</f>
        <v>0</v>
      </c>
    </row>
    <row r="51" spans="1:24">
      <c r="A51" s="34" t="s">
        <v>1346</v>
      </c>
      <c r="B51" s="34" t="s">
        <v>1347</v>
      </c>
      <c r="C51" s="34" t="s">
        <v>197</v>
      </c>
      <c r="D51" s="34" t="s">
        <v>165</v>
      </c>
      <c r="E51" s="34" t="s">
        <v>2</v>
      </c>
      <c r="F51" s="34" t="s">
        <v>1348</v>
      </c>
      <c r="G51" s="54">
        <v>1719514561</v>
      </c>
      <c r="H51" s="54" t="s">
        <v>229</v>
      </c>
      <c r="I51" s="54" t="s">
        <v>3514</v>
      </c>
      <c r="J51" s="34" t="s">
        <v>3419</v>
      </c>
      <c r="K51" s="43">
        <f>VLOOKUP(A51,'SSP_March''19'!$A$3:$L$1193,11,0)</f>
        <v>220000</v>
      </c>
      <c r="L51" s="43">
        <f>VLOOKUP(A51,'SSP_March''19'!$A$3:$L$1193,12,0)</f>
        <v>59190</v>
      </c>
      <c r="M51" s="44">
        <f t="shared" si="6"/>
        <v>0.26904545454545453</v>
      </c>
      <c r="N51" s="49">
        <f>ROUND(VLOOKUP(A51,'SSP_March''19'!$A$3:$N$1193,14,0),0)</f>
        <v>183489</v>
      </c>
      <c r="O51" s="44">
        <f t="shared" si="7"/>
        <v>0.83404090909090911</v>
      </c>
      <c r="P51" s="45">
        <f>VLOOKUP(A51,'SSP_March''19'!$A$3:$Q$1193,16,0)</f>
        <v>10</v>
      </c>
      <c r="Q51" s="34">
        <f>VLOOKUP(A51,'SSP_March''19'!$A$3:$Q$1193,17,0)</f>
        <v>3</v>
      </c>
      <c r="R51" s="35">
        <f t="shared" si="8"/>
        <v>0.3</v>
      </c>
      <c r="S51" s="49">
        <f>ROUND(VLOOKUP(A51,'SSP_March''19'!$A$3:$T$1193,19,0),0)</f>
        <v>9</v>
      </c>
      <c r="T51" s="44">
        <f>VLOOKUP(A51,'SSP_March''19'!$A$3:$T$1193,20,0)</f>
        <v>0.9</v>
      </c>
      <c r="U51" s="34">
        <f>VLOOKUP(A51,'SSP_March''19'!$A$3:$X$1193,21,0)</f>
        <v>1</v>
      </c>
      <c r="V51" s="34">
        <f>VLOOKUP(A51,'SSP_March''19'!$A$3:$X$1193,22,0)</f>
        <v>1</v>
      </c>
      <c r="W51" s="34">
        <f>VLOOKUP(A51,'SSP_March''19'!$A$3:$X$1193,23,0)</f>
        <v>0</v>
      </c>
      <c r="X51" s="34">
        <f>VLOOKUP(A51,'SSP_March''19'!$A$3:$X$1193,24,0)</f>
        <v>1</v>
      </c>
    </row>
    <row r="52" spans="1:24">
      <c r="A52" s="75" t="s">
        <v>3647</v>
      </c>
      <c r="B52" s="75" t="s">
        <v>3648</v>
      </c>
      <c r="C52" s="75" t="s">
        <v>197</v>
      </c>
      <c r="D52" s="75" t="s">
        <v>165</v>
      </c>
      <c r="E52" s="75" t="s">
        <v>2</v>
      </c>
      <c r="F52" s="75" t="s">
        <v>3649</v>
      </c>
      <c r="G52" s="67">
        <v>1718192828</v>
      </c>
      <c r="H52" s="54" t="s">
        <v>229</v>
      </c>
      <c r="I52" s="54" t="s">
        <v>3514</v>
      </c>
      <c r="J52" s="34" t="s">
        <v>3419</v>
      </c>
      <c r="K52" s="43">
        <f>VLOOKUP(A52,'SSP_March''19'!$A$3:$L$1193,11,0)</f>
        <v>150000</v>
      </c>
      <c r="L52" s="43">
        <f>VLOOKUP(A52,'SSP_March''19'!$A$3:$L$1193,12,0)</f>
        <v>61399</v>
      </c>
      <c r="M52" s="44">
        <f t="shared" si="6"/>
        <v>0.40932666666666667</v>
      </c>
      <c r="N52" s="49">
        <f>ROUND(VLOOKUP(A52,'SSP_March''19'!$A$3:$N$1193,14,0),0)</f>
        <v>190337</v>
      </c>
      <c r="O52" s="44">
        <f t="shared" si="7"/>
        <v>1.2689133333333333</v>
      </c>
      <c r="P52" s="45">
        <f>VLOOKUP(A52,'SSP_March''19'!$A$3:$Q$1193,16,0)</f>
        <v>10</v>
      </c>
      <c r="Q52" s="34">
        <f>VLOOKUP(A52,'SSP_March''19'!$A$3:$Q$1193,17,0)</f>
        <v>3</v>
      </c>
      <c r="R52" s="35">
        <f t="shared" si="8"/>
        <v>0.3</v>
      </c>
      <c r="S52" s="49">
        <f>ROUND(VLOOKUP(A52,'SSP_March''19'!$A$3:$T$1193,19,0),0)</f>
        <v>9</v>
      </c>
      <c r="T52" s="44">
        <f>VLOOKUP(A52,'SSP_March''19'!$A$3:$T$1193,20,0)</f>
        <v>0.9</v>
      </c>
      <c r="U52" s="34">
        <f>VLOOKUP(A52,'SSP_March''19'!$A$3:$X$1193,21,0)</f>
        <v>1</v>
      </c>
      <c r="V52" s="34">
        <f>VLOOKUP(A52,'SSP_March''19'!$A$3:$X$1193,22,0)</f>
        <v>0</v>
      </c>
      <c r="W52" s="34">
        <f>VLOOKUP(A52,'SSP_March''19'!$A$3:$X$1193,23,0)</f>
        <v>1</v>
      </c>
      <c r="X52" s="34">
        <f>VLOOKUP(A52,'SSP_March''19'!$A$3:$X$1193,24,0)</f>
        <v>0</v>
      </c>
    </row>
    <row r="53" spans="1:24">
      <c r="A53" s="34" t="s">
        <v>1457</v>
      </c>
      <c r="B53" s="34" t="s">
        <v>1458</v>
      </c>
      <c r="C53" s="34" t="s">
        <v>197</v>
      </c>
      <c r="D53" s="34" t="s">
        <v>165</v>
      </c>
      <c r="E53" s="34" t="s">
        <v>2</v>
      </c>
      <c r="F53" s="34" t="s">
        <v>1459</v>
      </c>
      <c r="G53" s="54">
        <v>1750582828</v>
      </c>
      <c r="H53" s="54" t="s">
        <v>229</v>
      </c>
      <c r="I53" s="54" t="s">
        <v>3514</v>
      </c>
      <c r="J53" s="34" t="s">
        <v>3419</v>
      </c>
      <c r="K53" s="43">
        <f>VLOOKUP(A53,'SSP_March''19'!$A$3:$L$1193,11,0)</f>
        <v>220000</v>
      </c>
      <c r="L53" s="43">
        <f>VLOOKUP(A53,'SSP_March''19'!$A$3:$L$1193,12,0)</f>
        <v>114010</v>
      </c>
      <c r="M53" s="44">
        <f t="shared" si="6"/>
        <v>0.51822727272727276</v>
      </c>
      <c r="N53" s="49">
        <f>ROUND(VLOOKUP(A53,'SSP_March''19'!$A$3:$N$1193,14,0),0)</f>
        <v>353431</v>
      </c>
      <c r="O53" s="44">
        <f t="shared" si="7"/>
        <v>1.6065045454545455</v>
      </c>
      <c r="P53" s="45">
        <f>VLOOKUP(A53,'SSP_March''19'!$A$3:$Q$1193,16,0)</f>
        <v>14</v>
      </c>
      <c r="Q53" s="34">
        <f>VLOOKUP(A53,'SSP_March''19'!$A$3:$Q$1193,17,0)</f>
        <v>6</v>
      </c>
      <c r="R53" s="35">
        <f t="shared" si="8"/>
        <v>0.42857142857142855</v>
      </c>
      <c r="S53" s="49">
        <f>ROUND(VLOOKUP(A53,'SSP_March''19'!$A$3:$T$1193,19,0),0)</f>
        <v>19</v>
      </c>
      <c r="T53" s="44">
        <f>VLOOKUP(A53,'SSP_March''19'!$A$3:$T$1193,20,0)</f>
        <v>1.3571428571428572</v>
      </c>
      <c r="U53" s="34">
        <f>VLOOKUP(A53,'SSP_March''19'!$A$3:$X$1193,21,0)</f>
        <v>0</v>
      </c>
      <c r="V53" s="34">
        <f>VLOOKUP(A53,'SSP_March''19'!$A$3:$X$1193,22,0)</f>
        <v>0</v>
      </c>
      <c r="W53" s="34">
        <f>VLOOKUP(A53,'SSP_March''19'!$A$3:$X$1193,23,0)</f>
        <v>0</v>
      </c>
      <c r="X53" s="34">
        <f>VLOOKUP(A53,'SSP_March''19'!$A$3:$X$1193,24,0)</f>
        <v>0</v>
      </c>
    </row>
    <row r="54" spans="1:24">
      <c r="A54" s="34" t="s">
        <v>1469</v>
      </c>
      <c r="B54" s="34" t="s">
        <v>1470</v>
      </c>
      <c r="C54" s="34" t="s">
        <v>197</v>
      </c>
      <c r="D54" s="34" t="s">
        <v>165</v>
      </c>
      <c r="E54" s="34" t="s">
        <v>2</v>
      </c>
      <c r="F54" s="34" t="s">
        <v>1471</v>
      </c>
      <c r="G54" s="54">
        <v>1723862799</v>
      </c>
      <c r="H54" s="54" t="s">
        <v>229</v>
      </c>
      <c r="I54" s="54" t="s">
        <v>3514</v>
      </c>
      <c r="J54" s="34" t="s">
        <v>3419</v>
      </c>
      <c r="K54" s="43">
        <f>VLOOKUP(A54,'SSP_March''19'!$A$3:$L$1193,11,0)</f>
        <v>150000</v>
      </c>
      <c r="L54" s="43">
        <f>VLOOKUP(A54,'SSP_March''19'!$A$3:$L$1193,12,0)</f>
        <v>62075</v>
      </c>
      <c r="M54" s="44">
        <f t="shared" si="6"/>
        <v>0.41383333333333333</v>
      </c>
      <c r="N54" s="49">
        <f>ROUND(VLOOKUP(A54,'SSP_March''19'!$A$3:$N$1193,14,0),0)</f>
        <v>192433</v>
      </c>
      <c r="O54" s="44">
        <f t="shared" si="7"/>
        <v>1.2828866666666667</v>
      </c>
      <c r="P54" s="45">
        <f>VLOOKUP(A54,'SSP_March''19'!$A$3:$Q$1193,16,0)</f>
        <v>10</v>
      </c>
      <c r="Q54" s="34">
        <f>VLOOKUP(A54,'SSP_March''19'!$A$3:$Q$1193,17,0)</f>
        <v>4</v>
      </c>
      <c r="R54" s="35">
        <f t="shared" si="8"/>
        <v>0.4</v>
      </c>
      <c r="S54" s="49">
        <f>ROUND(VLOOKUP(A54,'SSP_March''19'!$A$3:$T$1193,19,0),0)</f>
        <v>12</v>
      </c>
      <c r="T54" s="44">
        <f>VLOOKUP(A54,'SSP_March''19'!$A$3:$T$1193,20,0)</f>
        <v>1.2</v>
      </c>
      <c r="U54" s="34">
        <f>VLOOKUP(A54,'SSP_March''19'!$A$3:$X$1193,21,0)</f>
        <v>0</v>
      </c>
      <c r="V54" s="34">
        <f>VLOOKUP(A54,'SSP_March''19'!$A$3:$X$1193,22,0)</f>
        <v>2</v>
      </c>
      <c r="W54" s="34">
        <f>VLOOKUP(A54,'SSP_March''19'!$A$3:$X$1193,23,0)</f>
        <v>0</v>
      </c>
      <c r="X54" s="34">
        <f>VLOOKUP(A54,'SSP_March''19'!$A$3:$X$1193,24,0)</f>
        <v>0</v>
      </c>
    </row>
    <row r="55" spans="1:24">
      <c r="A55" s="34" t="s">
        <v>1395</v>
      </c>
      <c r="B55" s="34" t="s">
        <v>1396</v>
      </c>
      <c r="C55" s="34" t="s">
        <v>197</v>
      </c>
      <c r="D55" s="34" t="s">
        <v>165</v>
      </c>
      <c r="E55" s="34" t="s">
        <v>2</v>
      </c>
      <c r="F55" s="34" t="s">
        <v>1397</v>
      </c>
      <c r="G55" s="54">
        <v>1717976697</v>
      </c>
      <c r="H55" s="54" t="s">
        <v>229</v>
      </c>
      <c r="I55" s="54" t="s">
        <v>3514</v>
      </c>
      <c r="J55" s="34" t="s">
        <v>3419</v>
      </c>
      <c r="K55" s="43">
        <f>VLOOKUP(A55,'SSP_March''19'!$A$3:$L$1193,11,0)</f>
        <v>130000</v>
      </c>
      <c r="L55" s="43">
        <f>VLOOKUP(A55,'SSP_March''19'!$A$3:$L$1193,12,0)</f>
        <v>5690</v>
      </c>
      <c r="M55" s="44">
        <f t="shared" si="6"/>
        <v>4.3769230769230769E-2</v>
      </c>
      <c r="N55" s="49">
        <f>ROUND(VLOOKUP(A55,'SSP_March''19'!$A$3:$N$1193,14,0),0)</f>
        <v>17639</v>
      </c>
      <c r="O55" s="44">
        <f t="shared" si="7"/>
        <v>0.13568461538461538</v>
      </c>
      <c r="P55" s="45">
        <f>VLOOKUP(A55,'SSP_March''19'!$A$3:$Q$1193,16,0)</f>
        <v>10</v>
      </c>
      <c r="Q55" s="34">
        <f>VLOOKUP(A55,'SSP_March''19'!$A$3:$Q$1193,17,0)</f>
        <v>0</v>
      </c>
      <c r="R55" s="35">
        <f t="shared" si="8"/>
        <v>0</v>
      </c>
      <c r="S55" s="49">
        <f>ROUND(VLOOKUP(A55,'SSP_March''19'!$A$3:$T$1193,19,0),0)</f>
        <v>0</v>
      </c>
      <c r="T55" s="44">
        <f>VLOOKUP(A55,'SSP_March''19'!$A$3:$T$1193,20,0)</f>
        <v>0</v>
      </c>
      <c r="U55" s="34">
        <f>VLOOKUP(A55,'SSP_March''19'!$A$3:$X$1193,21,0)</f>
        <v>0</v>
      </c>
      <c r="V55" s="34">
        <f>VLOOKUP(A55,'SSP_March''19'!$A$3:$X$1193,22,0)</f>
        <v>0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34" t="s">
        <v>1383</v>
      </c>
      <c r="B56" s="34" t="s">
        <v>1384</v>
      </c>
      <c r="C56" s="34" t="s">
        <v>197</v>
      </c>
      <c r="D56" s="34" t="s">
        <v>165</v>
      </c>
      <c r="E56" s="34" t="s">
        <v>2</v>
      </c>
      <c r="F56" s="34" t="s">
        <v>1385</v>
      </c>
      <c r="G56" s="54">
        <v>1722670485</v>
      </c>
      <c r="H56" s="54" t="s">
        <v>229</v>
      </c>
      <c r="I56" s="54" t="s">
        <v>3514</v>
      </c>
      <c r="J56" s="34" t="s">
        <v>3419</v>
      </c>
      <c r="K56" s="43">
        <f>VLOOKUP(A56,'SSP_March''19'!$A$3:$L$1193,11,0)</f>
        <v>150000</v>
      </c>
      <c r="L56" s="43">
        <f>VLOOKUP(A56,'SSP_March''19'!$A$3:$L$1193,12,0)</f>
        <v>71250</v>
      </c>
      <c r="M56" s="44">
        <f t="shared" si="6"/>
        <v>0.47499999999999998</v>
      </c>
      <c r="N56" s="49">
        <f>ROUND(VLOOKUP(A56,'SSP_March''19'!$A$3:$N$1193,14,0),0)</f>
        <v>220875</v>
      </c>
      <c r="O56" s="44">
        <f t="shared" si="7"/>
        <v>1.4724999999999999</v>
      </c>
      <c r="P56" s="45">
        <f>VLOOKUP(A56,'SSP_March''19'!$A$3:$Q$1193,16,0)</f>
        <v>10</v>
      </c>
      <c r="Q56" s="34">
        <f>VLOOKUP(A56,'SSP_March''19'!$A$3:$Q$1193,17,0)</f>
        <v>1</v>
      </c>
      <c r="R56" s="35">
        <f t="shared" si="8"/>
        <v>0.1</v>
      </c>
      <c r="S56" s="49">
        <f>ROUND(VLOOKUP(A56,'SSP_March''19'!$A$3:$T$1193,19,0),0)</f>
        <v>3</v>
      </c>
      <c r="T56" s="44">
        <f>VLOOKUP(A56,'SSP_March''19'!$A$3:$T$1193,20,0)</f>
        <v>0.3</v>
      </c>
      <c r="U56" s="34">
        <f>VLOOKUP(A56,'SSP_March''19'!$A$3:$X$1193,21,0)</f>
        <v>0</v>
      </c>
      <c r="V56" s="34">
        <f>VLOOKUP(A56,'SSP_March''19'!$A$3:$X$1193,22,0)</f>
        <v>1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34" t="s">
        <v>3322</v>
      </c>
      <c r="B57" s="34" t="s">
        <v>1423</v>
      </c>
      <c r="C57" s="34" t="s">
        <v>197</v>
      </c>
      <c r="D57" s="34" t="s">
        <v>165</v>
      </c>
      <c r="E57" s="34" t="s">
        <v>2</v>
      </c>
      <c r="F57" s="34" t="s">
        <v>3323</v>
      </c>
      <c r="G57" s="54">
        <v>1797968700</v>
      </c>
      <c r="H57" s="54" t="s">
        <v>229</v>
      </c>
      <c r="I57" s="54" t="s">
        <v>3514</v>
      </c>
      <c r="J57" s="34" t="s">
        <v>3421</v>
      </c>
      <c r="K57" s="43">
        <f>VLOOKUP(A57,'SSP_March''19'!$A$3:$L$1193,11,0)</f>
        <v>140000</v>
      </c>
      <c r="L57" s="43">
        <f>VLOOKUP(A57,'SSP_March''19'!$A$3:$L$1193,12,0)</f>
        <v>47560</v>
      </c>
      <c r="M57" s="44">
        <f t="shared" si="6"/>
        <v>0.33971428571428569</v>
      </c>
      <c r="N57" s="49">
        <f>ROUND(VLOOKUP(A57,'SSP_March''19'!$A$3:$N$1193,14,0),0)</f>
        <v>147436</v>
      </c>
      <c r="O57" s="44">
        <f t="shared" si="7"/>
        <v>1.0531142857142857</v>
      </c>
      <c r="P57" s="45">
        <f>VLOOKUP(A57,'SSP_March''19'!$A$3:$Q$1193,16,0)</f>
        <v>10</v>
      </c>
      <c r="Q57" s="34">
        <f>VLOOKUP(A57,'SSP_March''19'!$A$3:$Q$1193,17,0)</f>
        <v>0</v>
      </c>
      <c r="R57" s="35">
        <f t="shared" si="8"/>
        <v>0</v>
      </c>
      <c r="S57" s="49">
        <f>ROUND(VLOOKUP(A57,'SSP_March''19'!$A$3:$T$1193,19,0),0)</f>
        <v>0</v>
      </c>
      <c r="T57" s="44">
        <f>VLOOKUP(A57,'SSP_March''19'!$A$3:$T$1193,20,0)</f>
        <v>0</v>
      </c>
      <c r="U57" s="34">
        <f>VLOOKUP(A57,'SSP_March''19'!$A$3:$X$1193,21,0)</f>
        <v>1</v>
      </c>
      <c r="V57" s="34">
        <f>VLOOKUP(A57,'SSP_March''19'!$A$3:$X$1193,22,0)</f>
        <v>0</v>
      </c>
      <c r="W57" s="34">
        <f>VLOOKUP(A57,'SSP_March''19'!$A$3:$X$1193,23,0)</f>
        <v>0</v>
      </c>
      <c r="X57" s="34">
        <f>VLOOKUP(A57,'SSP_March''19'!$A$3:$X$1193,24,0)</f>
        <v>0</v>
      </c>
    </row>
    <row r="58" spans="1:24">
      <c r="A58" s="34" t="s">
        <v>1349</v>
      </c>
      <c r="B58" s="34" t="s">
        <v>1350</v>
      </c>
      <c r="C58" s="34" t="s">
        <v>197</v>
      </c>
      <c r="D58" s="34" t="s">
        <v>165</v>
      </c>
      <c r="E58" s="34" t="s">
        <v>2</v>
      </c>
      <c r="F58" s="34" t="s">
        <v>1351</v>
      </c>
      <c r="G58" s="54">
        <v>1925343348</v>
      </c>
      <c r="H58" s="54" t="s">
        <v>229</v>
      </c>
      <c r="I58" s="54" t="s">
        <v>3518</v>
      </c>
      <c r="J58" s="34" t="s">
        <v>3419</v>
      </c>
      <c r="K58" s="43">
        <f>VLOOKUP(A58,'SSP_March''19'!$A$3:$L$1193,11,0)</f>
        <v>301000</v>
      </c>
      <c r="L58" s="43">
        <f>VLOOKUP(A58,'SSP_March''19'!$A$3:$L$1193,12,0)</f>
        <v>111894</v>
      </c>
      <c r="M58" s="44">
        <f t="shared" si="6"/>
        <v>0.37174086378737542</v>
      </c>
      <c r="N58" s="49">
        <f>ROUND(VLOOKUP(A58,'SSP_March''19'!$A$3:$N$1193,14,0),0)</f>
        <v>346871</v>
      </c>
      <c r="O58" s="44">
        <f t="shared" si="7"/>
        <v>1.1523953488372094</v>
      </c>
      <c r="P58" s="45">
        <f>VLOOKUP(A58,'SSP_March''19'!$A$3:$Q$1193,16,0)</f>
        <v>18</v>
      </c>
      <c r="Q58" s="34">
        <f>VLOOKUP(A58,'SSP_March''19'!$A$3:$Q$1193,17,0)</f>
        <v>4</v>
      </c>
      <c r="R58" s="35">
        <f t="shared" si="8"/>
        <v>0.22222222222222221</v>
      </c>
      <c r="S58" s="49">
        <f>ROUND(VLOOKUP(A58,'SSP_March''19'!$A$3:$T$1193,19,0),0)</f>
        <v>12</v>
      </c>
      <c r="T58" s="44">
        <f>VLOOKUP(A58,'SSP_March''19'!$A$3:$T$1193,20,0)</f>
        <v>0.66666666666666663</v>
      </c>
      <c r="U58" s="34">
        <f>VLOOKUP(A58,'SSP_March''19'!$A$3:$X$1193,21,0)</f>
        <v>0</v>
      </c>
      <c r="V58" s="34">
        <f>VLOOKUP(A58,'SSP_March''19'!$A$3:$X$1193,22,0)</f>
        <v>1</v>
      </c>
      <c r="W58" s="34">
        <f>VLOOKUP(A58,'SSP_March''19'!$A$3:$X$1193,23,0)</f>
        <v>0</v>
      </c>
      <c r="X58" s="34">
        <f>VLOOKUP(A58,'SSP_March''19'!$A$3:$X$1193,24,0)</f>
        <v>1</v>
      </c>
    </row>
    <row r="59" spans="1:24">
      <c r="A59" s="34" t="s">
        <v>3138</v>
      </c>
      <c r="B59" s="34" t="s">
        <v>3139</v>
      </c>
      <c r="C59" s="34" t="s">
        <v>197</v>
      </c>
      <c r="D59" s="34" t="s">
        <v>165</v>
      </c>
      <c r="E59" s="34" t="s">
        <v>2</v>
      </c>
      <c r="F59" s="34" t="s">
        <v>3140</v>
      </c>
      <c r="G59" s="54">
        <v>1788220678</v>
      </c>
      <c r="H59" s="54" t="s">
        <v>229</v>
      </c>
      <c r="I59" s="54" t="s">
        <v>3514</v>
      </c>
      <c r="J59" s="34" t="s">
        <v>3421</v>
      </c>
      <c r="K59" s="43">
        <f>VLOOKUP(A59,'SSP_March''19'!$A$3:$L$1193,11,0)</f>
        <v>130000</v>
      </c>
      <c r="L59" s="43">
        <f>VLOOKUP(A59,'SSP_March''19'!$A$3:$L$1193,12,0)</f>
        <v>40530</v>
      </c>
      <c r="M59" s="44">
        <f t="shared" si="6"/>
        <v>0.31176923076923074</v>
      </c>
      <c r="N59" s="49">
        <f>ROUND(VLOOKUP(A59,'SSP_March''19'!$A$3:$N$1193,14,0),0)</f>
        <v>125643</v>
      </c>
      <c r="O59" s="44">
        <f t="shared" si="7"/>
        <v>0.96648461538461539</v>
      </c>
      <c r="P59" s="45">
        <f>VLOOKUP(A59,'SSP_March''19'!$A$3:$Q$1193,16,0)</f>
        <v>10</v>
      </c>
      <c r="Q59" s="34">
        <f>VLOOKUP(A59,'SSP_March''19'!$A$3:$Q$1193,17,0)</f>
        <v>3</v>
      </c>
      <c r="R59" s="35">
        <f t="shared" si="8"/>
        <v>0.3</v>
      </c>
      <c r="S59" s="49">
        <f>ROUND(VLOOKUP(A59,'SSP_March''19'!$A$3:$T$1193,19,0),0)</f>
        <v>9</v>
      </c>
      <c r="T59" s="44">
        <f>VLOOKUP(A59,'SSP_March''19'!$A$3:$T$1193,20,0)</f>
        <v>0.9</v>
      </c>
      <c r="U59" s="34">
        <f>VLOOKUP(A59,'SSP_March''19'!$A$3:$X$1193,21,0)</f>
        <v>0</v>
      </c>
      <c r="V59" s="34">
        <f>VLOOKUP(A59,'SSP_March''19'!$A$3:$X$1193,22,0)</f>
        <v>0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34" t="s">
        <v>1337</v>
      </c>
      <c r="B60" s="34" t="s">
        <v>1338</v>
      </c>
      <c r="C60" s="34" t="s">
        <v>197</v>
      </c>
      <c r="D60" s="34" t="s">
        <v>165</v>
      </c>
      <c r="E60" s="34" t="s">
        <v>2</v>
      </c>
      <c r="F60" s="34" t="s">
        <v>1339</v>
      </c>
      <c r="G60" s="54">
        <v>1770713765</v>
      </c>
      <c r="H60" s="54" t="s">
        <v>229</v>
      </c>
      <c r="I60" s="54" t="s">
        <v>3514</v>
      </c>
      <c r="J60" s="34" t="s">
        <v>3515</v>
      </c>
      <c r="K60" s="43">
        <f>VLOOKUP(A60,'SSP_March''19'!$A$3:$L$1193,11,0)</f>
        <v>150000</v>
      </c>
      <c r="L60" s="43">
        <f>VLOOKUP(A60,'SSP_March''19'!$A$3:$L$1193,12,0)</f>
        <v>28800</v>
      </c>
      <c r="M60" s="44">
        <f t="shared" si="6"/>
        <v>0.192</v>
      </c>
      <c r="N60" s="49">
        <f>ROUND(VLOOKUP(A60,'SSP_March''19'!$A$3:$N$1193,14,0),0)</f>
        <v>89280</v>
      </c>
      <c r="O60" s="44">
        <f t="shared" si="7"/>
        <v>0.59519999999999995</v>
      </c>
      <c r="P60" s="45">
        <f>VLOOKUP(A60,'SSP_March''19'!$A$3:$Q$1193,16,0)</f>
        <v>10</v>
      </c>
      <c r="Q60" s="34">
        <f>VLOOKUP(A60,'SSP_March''19'!$A$3:$Q$1193,17,0)</f>
        <v>1</v>
      </c>
      <c r="R60" s="35">
        <f t="shared" si="8"/>
        <v>0.1</v>
      </c>
      <c r="S60" s="49">
        <f>ROUND(VLOOKUP(A60,'SSP_March''19'!$A$3:$T$1193,19,0),0)</f>
        <v>3</v>
      </c>
      <c r="T60" s="44">
        <f>VLOOKUP(A60,'SSP_March''19'!$A$3:$T$1193,20,0)</f>
        <v>0.3</v>
      </c>
      <c r="U60" s="34">
        <f>VLOOKUP(A60,'SSP_March''19'!$A$3:$X$1193,21,0)</f>
        <v>1</v>
      </c>
      <c r="V60" s="34">
        <f>VLOOKUP(A60,'SSP_March''19'!$A$3:$X$1193,22,0)</f>
        <v>0</v>
      </c>
      <c r="W60" s="34">
        <f>VLOOKUP(A60,'SSP_March''19'!$A$3:$X$1193,23,0)</f>
        <v>0</v>
      </c>
      <c r="X60" s="34">
        <f>VLOOKUP(A60,'SSP_March''19'!$A$3:$X$1193,24,0)</f>
        <v>0</v>
      </c>
    </row>
    <row r="61" spans="1:24">
      <c r="A61" s="34" t="s">
        <v>1392</v>
      </c>
      <c r="B61" s="34" t="s">
        <v>1393</v>
      </c>
      <c r="C61" s="34" t="s">
        <v>197</v>
      </c>
      <c r="D61" s="34" t="s">
        <v>165</v>
      </c>
      <c r="E61" s="34" t="s">
        <v>2</v>
      </c>
      <c r="F61" s="34" t="s">
        <v>1394</v>
      </c>
      <c r="G61" s="54">
        <v>1755101500</v>
      </c>
      <c r="H61" s="54" t="s">
        <v>229</v>
      </c>
      <c r="I61" s="54" t="s">
        <v>3514</v>
      </c>
      <c r="J61" s="34" t="s">
        <v>3419</v>
      </c>
      <c r="K61" s="43">
        <f>VLOOKUP(A61,'SSP_March''19'!$A$3:$L$1193,11,0)</f>
        <v>180000</v>
      </c>
      <c r="L61" s="43">
        <f>VLOOKUP(A61,'SSP_March''19'!$A$3:$L$1193,12,0)</f>
        <v>34099</v>
      </c>
      <c r="M61" s="44">
        <f t="shared" si="6"/>
        <v>0.18943888888888888</v>
      </c>
      <c r="N61" s="49">
        <f>ROUND(VLOOKUP(A61,'SSP_March''19'!$A$3:$N$1193,14,0),0)</f>
        <v>105707</v>
      </c>
      <c r="O61" s="44">
        <f t="shared" si="7"/>
        <v>0.58726111111111112</v>
      </c>
      <c r="P61" s="45">
        <f>VLOOKUP(A61,'SSP_March''19'!$A$3:$Q$1193,16,0)</f>
        <v>10</v>
      </c>
      <c r="Q61" s="34">
        <f>VLOOKUP(A61,'SSP_March''19'!$A$3:$Q$1193,17,0)</f>
        <v>1</v>
      </c>
      <c r="R61" s="35">
        <f t="shared" si="8"/>
        <v>0.1</v>
      </c>
      <c r="S61" s="49">
        <f>ROUND(VLOOKUP(A61,'SSP_March''19'!$A$3:$T$1193,19,0),0)</f>
        <v>3</v>
      </c>
      <c r="T61" s="44">
        <f>VLOOKUP(A61,'SSP_March''19'!$A$3:$T$1193,20,0)</f>
        <v>0.3</v>
      </c>
      <c r="U61" s="34">
        <f>VLOOKUP(A61,'SSP_March''19'!$A$3:$X$1193,21,0)</f>
        <v>0</v>
      </c>
      <c r="V61" s="34">
        <f>VLOOKUP(A61,'SSP_March''19'!$A$3:$X$1193,22,0)</f>
        <v>0</v>
      </c>
      <c r="W61" s="34">
        <f>VLOOKUP(A61,'SSP_March''19'!$A$3:$X$1193,23,0)</f>
        <v>0</v>
      </c>
      <c r="X61" s="34">
        <f>VLOOKUP(A61,'SSP_March''19'!$A$3:$X$1193,24,0)</f>
        <v>0</v>
      </c>
    </row>
    <row r="62" spans="1:24">
      <c r="A62" s="34" t="s">
        <v>1432</v>
      </c>
      <c r="B62" s="34" t="s">
        <v>1433</v>
      </c>
      <c r="C62" s="34" t="s">
        <v>197</v>
      </c>
      <c r="D62" s="34" t="s">
        <v>165</v>
      </c>
      <c r="E62" s="34" t="s">
        <v>2</v>
      </c>
      <c r="F62" s="34" t="s">
        <v>1434</v>
      </c>
      <c r="G62" s="54">
        <v>1719391989</v>
      </c>
      <c r="H62" s="54" t="s">
        <v>229</v>
      </c>
      <c r="I62" s="54" t="s">
        <v>3514</v>
      </c>
      <c r="J62" s="34" t="s">
        <v>3515</v>
      </c>
      <c r="K62" s="43">
        <f>VLOOKUP(A62,'SSP_March''19'!$A$3:$L$1193,11,0)</f>
        <v>170000</v>
      </c>
      <c r="L62" s="43">
        <f>VLOOKUP(A62,'SSP_March''19'!$A$3:$L$1193,12,0)</f>
        <v>49909</v>
      </c>
      <c r="M62" s="44">
        <f t="shared" si="6"/>
        <v>0.29358235294117646</v>
      </c>
      <c r="N62" s="49">
        <f>ROUND(VLOOKUP(A62,'SSP_March''19'!$A$3:$N$1193,14,0),0)</f>
        <v>154718</v>
      </c>
      <c r="O62" s="44">
        <f t="shared" si="7"/>
        <v>0.91010588235294121</v>
      </c>
      <c r="P62" s="45">
        <f>VLOOKUP(A62,'SSP_March''19'!$A$3:$Q$1193,16,0)</f>
        <v>10</v>
      </c>
      <c r="Q62" s="34">
        <f>VLOOKUP(A62,'SSP_March''19'!$A$3:$Q$1193,17,0)</f>
        <v>1</v>
      </c>
      <c r="R62" s="35">
        <f t="shared" si="8"/>
        <v>0.1</v>
      </c>
      <c r="S62" s="49">
        <f>ROUND(VLOOKUP(A62,'SSP_March''19'!$A$3:$T$1193,19,0),0)</f>
        <v>3</v>
      </c>
      <c r="T62" s="44">
        <f>VLOOKUP(A62,'SSP_March''19'!$A$3:$T$1193,20,0)</f>
        <v>0.3</v>
      </c>
      <c r="U62" s="34">
        <f>VLOOKUP(A62,'SSP_March''19'!$A$3:$X$1193,21,0)</f>
        <v>0</v>
      </c>
      <c r="V62" s="34">
        <f>VLOOKUP(A62,'SSP_March''19'!$A$3:$X$1193,22,0)</f>
        <v>0</v>
      </c>
      <c r="W62" s="34">
        <f>VLOOKUP(A62,'SSP_March''19'!$A$3:$X$1193,23,0)</f>
        <v>0</v>
      </c>
      <c r="X62" s="34">
        <f>VLOOKUP(A62,'SSP_March''19'!$A$3:$X$1193,24,0)</f>
        <v>0</v>
      </c>
    </row>
    <row r="63" spans="1:24">
      <c r="A63" s="34" t="s">
        <v>1413</v>
      </c>
      <c r="B63" s="34" t="s">
        <v>1414</v>
      </c>
      <c r="C63" s="34" t="s">
        <v>197</v>
      </c>
      <c r="D63" s="34" t="s">
        <v>165</v>
      </c>
      <c r="E63" s="34" t="s">
        <v>2</v>
      </c>
      <c r="F63" s="34" t="s">
        <v>1415</v>
      </c>
      <c r="G63" s="54">
        <v>1737794480</v>
      </c>
      <c r="H63" s="54" t="s">
        <v>229</v>
      </c>
      <c r="I63" s="54" t="s">
        <v>3514</v>
      </c>
      <c r="J63" s="34" t="s">
        <v>3421</v>
      </c>
      <c r="K63" s="43">
        <f>VLOOKUP(A63,'SSP_March''19'!$A$3:$L$1193,11,0)</f>
        <v>130000</v>
      </c>
      <c r="L63" s="43">
        <f>VLOOKUP(A63,'SSP_March''19'!$A$3:$L$1193,12,0)</f>
        <v>15929</v>
      </c>
      <c r="M63" s="44">
        <f t="shared" si="6"/>
        <v>0.12253076923076923</v>
      </c>
      <c r="N63" s="49">
        <f>ROUND(VLOOKUP(A63,'SSP_March''19'!$A$3:$N$1193,14,0),0)</f>
        <v>49380</v>
      </c>
      <c r="O63" s="44">
        <f t="shared" si="7"/>
        <v>0.37984615384615383</v>
      </c>
      <c r="P63" s="45">
        <f>VLOOKUP(A63,'SSP_March''19'!$A$3:$Q$1193,16,0)</f>
        <v>10</v>
      </c>
      <c r="Q63" s="34">
        <f>VLOOKUP(A63,'SSP_March''19'!$A$3:$Q$1193,17,0)</f>
        <v>0</v>
      </c>
      <c r="R63" s="35">
        <f t="shared" si="8"/>
        <v>0</v>
      </c>
      <c r="S63" s="49">
        <f>ROUND(VLOOKUP(A63,'SSP_March''19'!$A$3:$T$1193,19,0),0)</f>
        <v>0</v>
      </c>
      <c r="T63" s="44">
        <f>VLOOKUP(A63,'SSP_March''19'!$A$3:$T$1193,20,0)</f>
        <v>0</v>
      </c>
      <c r="U63" s="34">
        <f>VLOOKUP(A63,'SSP_March''19'!$A$3:$X$1193,21,0)</f>
        <v>0</v>
      </c>
      <c r="V63" s="34">
        <f>VLOOKUP(A63,'SSP_March''19'!$A$3:$X$1193,22,0)</f>
        <v>0</v>
      </c>
      <c r="W63" s="34">
        <f>VLOOKUP(A63,'SSP_March''19'!$A$3:$X$1193,23,0)</f>
        <v>0</v>
      </c>
      <c r="X63" s="34">
        <f>VLOOKUP(A63,'SSP_March''19'!$A$3:$X$1193,24,0)</f>
        <v>0</v>
      </c>
    </row>
    <row r="64" spans="1:24">
      <c r="A64" s="34" t="s">
        <v>1357</v>
      </c>
      <c r="B64" s="34" t="s">
        <v>1358</v>
      </c>
      <c r="C64" s="34" t="s">
        <v>197</v>
      </c>
      <c r="D64" s="34" t="s">
        <v>165</v>
      </c>
      <c r="E64" s="34" t="s">
        <v>2</v>
      </c>
      <c r="F64" s="34" t="s">
        <v>1359</v>
      </c>
      <c r="G64" s="54">
        <v>1712415935</v>
      </c>
      <c r="H64" s="54" t="s">
        <v>229</v>
      </c>
      <c r="I64" s="54" t="s">
        <v>3514</v>
      </c>
      <c r="J64" s="34" t="s">
        <v>3419</v>
      </c>
      <c r="K64" s="43">
        <f>VLOOKUP(A64,'SSP_March''19'!$A$3:$L$1193,11,0)</f>
        <v>130000</v>
      </c>
      <c r="L64" s="43">
        <f>VLOOKUP(A64,'SSP_March''19'!$A$3:$L$1193,12,0)</f>
        <v>36289</v>
      </c>
      <c r="M64" s="44">
        <f t="shared" si="6"/>
        <v>0.27914615384615382</v>
      </c>
      <c r="N64" s="49">
        <f>ROUND(VLOOKUP(A64,'SSP_March''19'!$A$3:$N$1193,14,0),0)</f>
        <v>112496</v>
      </c>
      <c r="O64" s="44">
        <f t="shared" si="7"/>
        <v>0.86535384615384614</v>
      </c>
      <c r="P64" s="45">
        <f>VLOOKUP(A64,'SSP_March''19'!$A$3:$Q$1193,16,0)</f>
        <v>10</v>
      </c>
      <c r="Q64" s="34">
        <f>VLOOKUP(A64,'SSP_March''19'!$A$3:$Q$1193,17,0)</f>
        <v>1</v>
      </c>
      <c r="R64" s="35">
        <f t="shared" si="8"/>
        <v>0.1</v>
      </c>
      <c r="S64" s="49">
        <f>ROUND(VLOOKUP(A64,'SSP_March''19'!$A$3:$T$1193,19,0),0)</f>
        <v>3</v>
      </c>
      <c r="T64" s="44">
        <f>VLOOKUP(A64,'SSP_March''19'!$A$3:$T$1193,20,0)</f>
        <v>0.3</v>
      </c>
      <c r="U64" s="34">
        <f>VLOOKUP(A64,'SSP_March''19'!$A$3:$X$1193,21,0)</f>
        <v>0</v>
      </c>
      <c r="V64" s="34">
        <f>VLOOKUP(A64,'SSP_March''19'!$A$3:$X$1193,22,0)</f>
        <v>0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34" t="s">
        <v>3201</v>
      </c>
      <c r="B65" s="34" t="s">
        <v>3202</v>
      </c>
      <c r="C65" s="34" t="s">
        <v>129</v>
      </c>
      <c r="D65" s="34" t="s">
        <v>2</v>
      </c>
      <c r="E65" s="34" t="s">
        <v>2</v>
      </c>
      <c r="F65" s="34" t="s">
        <v>3203</v>
      </c>
      <c r="G65" s="54">
        <v>1723535572</v>
      </c>
      <c r="H65" s="54" t="s">
        <v>229</v>
      </c>
      <c r="I65" s="54" t="s">
        <v>3514</v>
      </c>
      <c r="J65" s="34" t="s">
        <v>3421</v>
      </c>
      <c r="K65" s="43">
        <f>VLOOKUP(A65,'SSP_March''19'!$A$3:$L$1193,11,0)</f>
        <v>130000</v>
      </c>
      <c r="L65" s="43">
        <f>VLOOKUP(A65,'SSP_March''19'!$A$3:$L$1193,12,0)</f>
        <v>29900</v>
      </c>
      <c r="M65" s="44">
        <f t="shared" si="6"/>
        <v>0.23</v>
      </c>
      <c r="N65" s="49">
        <f>ROUND(VLOOKUP(A65,'SSP_March''19'!$A$3:$N$1193,14,0),0)</f>
        <v>92690</v>
      </c>
      <c r="O65" s="44">
        <f t="shared" si="7"/>
        <v>0.71299999999999997</v>
      </c>
      <c r="P65" s="45">
        <f>VLOOKUP(A65,'SSP_March''19'!$A$3:$Q$1193,16,0)</f>
        <v>10</v>
      </c>
      <c r="Q65" s="34">
        <f>VLOOKUP(A65,'SSP_March''19'!$A$3:$Q$1193,17,0)</f>
        <v>2</v>
      </c>
      <c r="R65" s="35">
        <f t="shared" si="8"/>
        <v>0.2</v>
      </c>
      <c r="S65" s="49">
        <f>ROUND(VLOOKUP(A65,'SSP_March''19'!$A$3:$T$1193,19,0),0)</f>
        <v>6</v>
      </c>
      <c r="T65" s="44">
        <f>VLOOKUP(A65,'SSP_March''19'!$A$3:$T$1193,20,0)</f>
        <v>0.6</v>
      </c>
      <c r="U65" s="34">
        <f>VLOOKUP(A65,'SSP_March''19'!$A$3:$X$1193,21,0)</f>
        <v>0</v>
      </c>
      <c r="V65" s="34">
        <f>VLOOKUP(A65,'SSP_March''19'!$A$3:$X$1193,22,0)</f>
        <v>2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34" t="s">
        <v>1386</v>
      </c>
      <c r="B66" s="34" t="s">
        <v>1387</v>
      </c>
      <c r="C66" s="34" t="s">
        <v>129</v>
      </c>
      <c r="D66" s="34" t="s">
        <v>2</v>
      </c>
      <c r="E66" s="34" t="s">
        <v>2</v>
      </c>
      <c r="F66" s="34" t="s">
        <v>1388</v>
      </c>
      <c r="G66" s="54">
        <v>1724389618</v>
      </c>
      <c r="H66" s="54" t="s">
        <v>229</v>
      </c>
      <c r="I66" s="54" t="s">
        <v>3514</v>
      </c>
      <c r="J66" s="34" t="s">
        <v>3419</v>
      </c>
      <c r="K66" s="43">
        <f>VLOOKUP(A66,'SSP_March''19'!$A$3:$L$1193,11,0)</f>
        <v>140000</v>
      </c>
      <c r="L66" s="43">
        <f>VLOOKUP(A66,'SSP_March''19'!$A$3:$L$1193,12,0)</f>
        <v>37640</v>
      </c>
      <c r="M66" s="44">
        <f t="shared" si="6"/>
        <v>0.26885714285714285</v>
      </c>
      <c r="N66" s="49">
        <f>ROUND(VLOOKUP(A66,'SSP_March''19'!$A$3:$N$1193,14,0),0)</f>
        <v>116684</v>
      </c>
      <c r="O66" s="44">
        <f t="shared" si="7"/>
        <v>0.8334571428571429</v>
      </c>
      <c r="P66" s="45">
        <f>VLOOKUP(A66,'SSP_March''19'!$A$3:$Q$1193,16,0)</f>
        <v>10</v>
      </c>
      <c r="Q66" s="34">
        <f>VLOOKUP(A66,'SSP_March''19'!$A$3:$Q$1193,17,0)</f>
        <v>3</v>
      </c>
      <c r="R66" s="35">
        <f t="shared" si="8"/>
        <v>0.3</v>
      </c>
      <c r="S66" s="49">
        <f>ROUND(VLOOKUP(A66,'SSP_March''19'!$A$3:$T$1193,19,0),0)</f>
        <v>9</v>
      </c>
      <c r="T66" s="44">
        <f>VLOOKUP(A66,'SSP_March''19'!$A$3:$T$1193,20,0)</f>
        <v>0.9</v>
      </c>
      <c r="U66" s="34">
        <f>VLOOKUP(A66,'SSP_March''19'!$A$3:$X$1193,21,0)</f>
        <v>1</v>
      </c>
      <c r="V66" s="34">
        <f>VLOOKUP(A66,'SSP_March''19'!$A$3:$X$1193,22,0)</f>
        <v>1</v>
      </c>
      <c r="W66" s="34">
        <f>VLOOKUP(A66,'SSP_March''19'!$A$3:$X$1193,23,0)</f>
        <v>1</v>
      </c>
      <c r="X66" s="34">
        <f>VLOOKUP(A66,'SSP_March''19'!$A$3:$X$1193,24,0)</f>
        <v>0</v>
      </c>
    </row>
    <row r="67" spans="1:24">
      <c r="A67" s="34" t="s">
        <v>1466</v>
      </c>
      <c r="B67" s="34" t="s">
        <v>1467</v>
      </c>
      <c r="C67" s="34" t="s">
        <v>129</v>
      </c>
      <c r="D67" s="34" t="s">
        <v>2</v>
      </c>
      <c r="E67" s="34" t="s">
        <v>2</v>
      </c>
      <c r="F67" s="34" t="s">
        <v>1468</v>
      </c>
      <c r="G67" s="54">
        <v>1919938592</v>
      </c>
      <c r="H67" s="54" t="s">
        <v>229</v>
      </c>
      <c r="I67" s="54" t="s">
        <v>3514</v>
      </c>
      <c r="J67" s="34" t="s">
        <v>3421</v>
      </c>
      <c r="K67" s="43">
        <f>VLOOKUP(A67,'SSP_March''19'!$A$3:$L$1193,11,0)</f>
        <v>130000</v>
      </c>
      <c r="L67" s="43">
        <f>VLOOKUP(A67,'SSP_March''19'!$A$3:$L$1193,12,0)</f>
        <v>11180</v>
      </c>
      <c r="M67" s="44">
        <f t="shared" si="6"/>
        <v>8.5999999999999993E-2</v>
      </c>
      <c r="N67" s="49">
        <f>ROUND(VLOOKUP(A67,'SSP_March''19'!$A$3:$N$1193,14,0),0)</f>
        <v>34658</v>
      </c>
      <c r="O67" s="44">
        <f t="shared" si="7"/>
        <v>0.2666</v>
      </c>
      <c r="P67" s="45">
        <f>VLOOKUP(A67,'SSP_March''19'!$A$3:$Q$1193,16,0)</f>
        <v>10</v>
      </c>
      <c r="Q67" s="34">
        <f>VLOOKUP(A67,'SSP_March''19'!$A$3:$Q$1193,17,0)</f>
        <v>0</v>
      </c>
      <c r="R67" s="35">
        <f t="shared" si="8"/>
        <v>0</v>
      </c>
      <c r="S67" s="49">
        <f>ROUND(VLOOKUP(A67,'SSP_March''19'!$A$3:$T$1193,19,0),0)</f>
        <v>0</v>
      </c>
      <c r="T67" s="44">
        <f>VLOOKUP(A67,'SSP_March''19'!$A$3:$T$1193,20,0)</f>
        <v>0</v>
      </c>
      <c r="U67" s="34">
        <f>VLOOKUP(A67,'SSP_March''19'!$A$3:$X$1193,21,0)</f>
        <v>1</v>
      </c>
      <c r="V67" s="34">
        <f>VLOOKUP(A67,'SSP_March''19'!$A$3:$X$1193,22,0)</f>
        <v>0</v>
      </c>
      <c r="W67" s="34">
        <f>VLOOKUP(A67,'SSP_March''19'!$A$3:$X$1193,23,0)</f>
        <v>0</v>
      </c>
      <c r="X67" s="34">
        <f>VLOOKUP(A67,'SSP_March''19'!$A$3:$X$1193,24,0)</f>
        <v>0</v>
      </c>
    </row>
    <row r="68" spans="1:24">
      <c r="A68" s="34" t="s">
        <v>3198</v>
      </c>
      <c r="B68" s="34" t="s">
        <v>3199</v>
      </c>
      <c r="C68" s="34" t="s">
        <v>129</v>
      </c>
      <c r="D68" s="34" t="s">
        <v>2</v>
      </c>
      <c r="E68" s="34" t="s">
        <v>2</v>
      </c>
      <c r="F68" s="34" t="s">
        <v>3200</v>
      </c>
      <c r="G68" s="54">
        <v>1737494949</v>
      </c>
      <c r="H68" s="54" t="s">
        <v>229</v>
      </c>
      <c r="I68" s="54" t="s">
        <v>3514</v>
      </c>
      <c r="J68" s="34" t="s">
        <v>3421</v>
      </c>
      <c r="K68" s="43">
        <f>VLOOKUP(A68,'SSP_March''19'!$A$3:$L$1193,11,0)</f>
        <v>130000</v>
      </c>
      <c r="L68" s="43">
        <f>VLOOKUP(A68,'SSP_March''19'!$A$3:$L$1193,12,0)</f>
        <v>19570</v>
      </c>
      <c r="M68" s="44">
        <f t="shared" si="6"/>
        <v>0.15053846153846154</v>
      </c>
      <c r="N68" s="49">
        <f>ROUND(VLOOKUP(A68,'SSP_March''19'!$A$3:$N$1193,14,0),0)</f>
        <v>60667</v>
      </c>
      <c r="O68" s="44">
        <f t="shared" si="7"/>
        <v>0.46666923076923078</v>
      </c>
      <c r="P68" s="45">
        <f>VLOOKUP(A68,'SSP_March''19'!$A$3:$Q$1193,16,0)</f>
        <v>10</v>
      </c>
      <c r="Q68" s="34">
        <f>VLOOKUP(A68,'SSP_March''19'!$A$3:$Q$1193,17,0)</f>
        <v>1</v>
      </c>
      <c r="R68" s="35">
        <f t="shared" si="8"/>
        <v>0.1</v>
      </c>
      <c r="S68" s="49">
        <f>ROUND(VLOOKUP(A68,'SSP_March''19'!$A$3:$T$1193,19,0),0)</f>
        <v>3</v>
      </c>
      <c r="T68" s="44">
        <f>VLOOKUP(A68,'SSP_March''19'!$A$3:$T$1193,20,0)</f>
        <v>0.3</v>
      </c>
      <c r="U68" s="34">
        <f>VLOOKUP(A68,'SSP_March''19'!$A$3:$X$1193,21,0)</f>
        <v>2</v>
      </c>
      <c r="V68" s="34">
        <f>VLOOKUP(A68,'SSP_March''19'!$A$3:$X$1193,22,0)</f>
        <v>0</v>
      </c>
      <c r="W68" s="34">
        <f>VLOOKUP(A68,'SSP_March''19'!$A$3:$X$1193,23,0)</f>
        <v>0</v>
      </c>
      <c r="X68" s="34">
        <f>VLOOKUP(A68,'SSP_March''19'!$A$3:$X$1193,24,0)</f>
        <v>0</v>
      </c>
    </row>
    <row r="69" spans="1:24">
      <c r="A69" s="34" t="s">
        <v>1377</v>
      </c>
      <c r="B69" s="34" t="s">
        <v>1378</v>
      </c>
      <c r="C69" s="34" t="s">
        <v>129</v>
      </c>
      <c r="D69" s="34" t="s">
        <v>2</v>
      </c>
      <c r="E69" s="34" t="s">
        <v>2</v>
      </c>
      <c r="F69" s="34" t="s">
        <v>1379</v>
      </c>
      <c r="G69" s="54">
        <v>1965502222</v>
      </c>
      <c r="H69" s="54" t="s">
        <v>229</v>
      </c>
      <c r="I69" s="54" t="s">
        <v>3514</v>
      </c>
      <c r="J69" s="34" t="s">
        <v>3419</v>
      </c>
      <c r="K69" s="43">
        <f>VLOOKUP(A69,'SSP_March''19'!$A$3:$L$1193,11,0)</f>
        <v>130000</v>
      </c>
      <c r="L69" s="43">
        <f>VLOOKUP(A69,'SSP_March''19'!$A$3:$L$1193,12,0)</f>
        <v>59509</v>
      </c>
      <c r="M69" s="44">
        <f t="shared" ref="M69:M100" si="9">L69/K69</f>
        <v>0.45776153846153844</v>
      </c>
      <c r="N69" s="49">
        <f>ROUND(VLOOKUP(A69,'SSP_March''19'!$A$3:$N$1193,14,0),0)</f>
        <v>184478</v>
      </c>
      <c r="O69" s="44">
        <f t="shared" ref="O69:O100" si="10">N69/K69</f>
        <v>1.4190615384615384</v>
      </c>
      <c r="P69" s="45">
        <f>VLOOKUP(A69,'SSP_March''19'!$A$3:$Q$1193,16,0)</f>
        <v>10</v>
      </c>
      <c r="Q69" s="34">
        <f>VLOOKUP(A69,'SSP_March''19'!$A$3:$Q$1193,17,0)</f>
        <v>5</v>
      </c>
      <c r="R69" s="35">
        <f t="shared" ref="R69:R100" si="11">Q69/P69</f>
        <v>0.5</v>
      </c>
      <c r="S69" s="49">
        <f>ROUND(VLOOKUP(A69,'SSP_March''19'!$A$3:$T$1193,19,0),0)</f>
        <v>16</v>
      </c>
      <c r="T69" s="44">
        <f>VLOOKUP(A69,'SSP_March''19'!$A$3:$T$1193,20,0)</f>
        <v>1.6</v>
      </c>
      <c r="U69" s="34">
        <f>VLOOKUP(A69,'SSP_March''19'!$A$3:$X$1193,21,0)</f>
        <v>0</v>
      </c>
      <c r="V69" s="34">
        <f>VLOOKUP(A69,'SSP_March''19'!$A$3:$X$1193,22,0)</f>
        <v>2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34" t="s">
        <v>1493</v>
      </c>
      <c r="B70" s="34" t="s">
        <v>1494</v>
      </c>
      <c r="C70" s="34" t="s">
        <v>129</v>
      </c>
      <c r="D70" s="34" t="s">
        <v>2</v>
      </c>
      <c r="E70" s="34" t="s">
        <v>2</v>
      </c>
      <c r="F70" s="34" t="s">
        <v>1495</v>
      </c>
      <c r="G70" s="54">
        <v>1938899715</v>
      </c>
      <c r="H70" s="54" t="s">
        <v>229</v>
      </c>
      <c r="I70" s="54" t="s">
        <v>3514</v>
      </c>
      <c r="J70" s="34" t="s">
        <v>3421</v>
      </c>
      <c r="K70" s="43">
        <f>VLOOKUP(A70,'SSP_March''19'!$A$3:$L$1193,11,0)</f>
        <v>130000</v>
      </c>
      <c r="L70" s="43">
        <f>VLOOKUP(A70,'SSP_March''19'!$A$3:$L$1193,12,0)</f>
        <v>17520</v>
      </c>
      <c r="M70" s="44">
        <f t="shared" si="9"/>
        <v>0.13476923076923078</v>
      </c>
      <c r="N70" s="49">
        <f>ROUND(VLOOKUP(A70,'SSP_March''19'!$A$3:$N$1193,14,0),0)</f>
        <v>54312</v>
      </c>
      <c r="O70" s="44">
        <f t="shared" si="10"/>
        <v>0.41778461538461537</v>
      </c>
      <c r="P70" s="45">
        <f>VLOOKUP(A70,'SSP_March''19'!$A$3:$Q$1193,16,0)</f>
        <v>10</v>
      </c>
      <c r="Q70" s="34">
        <f>VLOOKUP(A70,'SSP_March''19'!$A$3:$Q$1193,17,0)</f>
        <v>1</v>
      </c>
      <c r="R70" s="35">
        <f t="shared" si="11"/>
        <v>0.1</v>
      </c>
      <c r="S70" s="49">
        <f>ROUND(VLOOKUP(A70,'SSP_March''19'!$A$3:$T$1193,19,0),0)</f>
        <v>3</v>
      </c>
      <c r="T70" s="44">
        <f>VLOOKUP(A70,'SSP_March''19'!$A$3:$T$1193,20,0)</f>
        <v>0.3</v>
      </c>
      <c r="U70" s="34">
        <f>VLOOKUP(A70,'SSP_March''19'!$A$3:$X$1193,21,0)</f>
        <v>1</v>
      </c>
      <c r="V70" s="34">
        <f>VLOOKUP(A70,'SSP_March''19'!$A$3:$X$1193,22,0)</f>
        <v>0</v>
      </c>
      <c r="W70" s="34">
        <f>VLOOKUP(A70,'SSP_March''19'!$A$3:$X$1193,23,0)</f>
        <v>0</v>
      </c>
      <c r="X70" s="34">
        <f>VLOOKUP(A70,'SSP_March''19'!$A$3:$X$1193,24,0)</f>
        <v>0</v>
      </c>
    </row>
    <row r="71" spans="1:24">
      <c r="A71" s="34" t="s">
        <v>1310</v>
      </c>
      <c r="B71" s="34" t="s">
        <v>1311</v>
      </c>
      <c r="C71" s="34" t="s">
        <v>129</v>
      </c>
      <c r="D71" s="34" t="s">
        <v>2</v>
      </c>
      <c r="E71" s="34" t="s">
        <v>2</v>
      </c>
      <c r="F71" s="34" t="s">
        <v>1312</v>
      </c>
      <c r="G71" s="54">
        <v>1757867933</v>
      </c>
      <c r="H71" s="54" t="s">
        <v>229</v>
      </c>
      <c r="I71" s="54" t="s">
        <v>3514</v>
      </c>
      <c r="J71" s="34" t="s">
        <v>3419</v>
      </c>
      <c r="K71" s="43">
        <f>VLOOKUP(A71,'SSP_March''19'!$A$3:$L$1193,11,0)</f>
        <v>140000</v>
      </c>
      <c r="L71" s="43">
        <f>VLOOKUP(A71,'SSP_March''19'!$A$3:$L$1193,12,0)</f>
        <v>28520</v>
      </c>
      <c r="M71" s="44">
        <f t="shared" si="9"/>
        <v>0.20371428571428571</v>
      </c>
      <c r="N71" s="49">
        <f>ROUND(VLOOKUP(A71,'SSP_March''19'!$A$3:$N$1193,14,0),0)</f>
        <v>88412</v>
      </c>
      <c r="O71" s="44">
        <f t="shared" si="10"/>
        <v>0.63151428571428569</v>
      </c>
      <c r="P71" s="45">
        <f>VLOOKUP(A71,'SSP_March''19'!$A$3:$Q$1193,16,0)</f>
        <v>10</v>
      </c>
      <c r="Q71" s="34">
        <f>VLOOKUP(A71,'SSP_March''19'!$A$3:$Q$1193,17,0)</f>
        <v>3</v>
      </c>
      <c r="R71" s="35">
        <f t="shared" si="11"/>
        <v>0.3</v>
      </c>
      <c r="S71" s="49">
        <f>ROUND(VLOOKUP(A71,'SSP_March''19'!$A$3:$T$1193,19,0),0)</f>
        <v>9</v>
      </c>
      <c r="T71" s="44">
        <f>VLOOKUP(A71,'SSP_March''19'!$A$3:$T$1193,20,0)</f>
        <v>0.9</v>
      </c>
      <c r="U71" s="34">
        <f>VLOOKUP(A71,'SSP_March''19'!$A$3:$X$1193,21,0)</f>
        <v>0</v>
      </c>
      <c r="V71" s="34">
        <f>VLOOKUP(A71,'SSP_March''19'!$A$3:$X$1193,22,0)</f>
        <v>1</v>
      </c>
      <c r="W71" s="34">
        <f>VLOOKUP(A71,'SSP_March''19'!$A$3:$X$1193,23,0)</f>
        <v>0</v>
      </c>
      <c r="X71" s="34">
        <f>VLOOKUP(A71,'SSP_March''19'!$A$3:$X$1193,24,0)</f>
        <v>1</v>
      </c>
    </row>
    <row r="72" spans="1:24">
      <c r="A72" s="34" t="s">
        <v>3324</v>
      </c>
      <c r="B72" s="34" t="s">
        <v>3325</v>
      </c>
      <c r="C72" s="34" t="s">
        <v>129</v>
      </c>
      <c r="D72" s="34" t="s">
        <v>2</v>
      </c>
      <c r="E72" s="34" t="s">
        <v>2</v>
      </c>
      <c r="F72" s="34" t="s">
        <v>3326</v>
      </c>
      <c r="G72" s="54">
        <v>1722775387</v>
      </c>
      <c r="H72" s="54" t="s">
        <v>229</v>
      </c>
      <c r="I72" s="54" t="s">
        <v>3514</v>
      </c>
      <c r="J72" s="34" t="s">
        <v>3419</v>
      </c>
      <c r="K72" s="43">
        <f>VLOOKUP(A72,'SSP_March''19'!$A$3:$L$1193,11,0)</f>
        <v>160000</v>
      </c>
      <c r="L72" s="43">
        <f>VLOOKUP(A72,'SSP_March''19'!$A$3:$L$1193,12,0)</f>
        <v>26160</v>
      </c>
      <c r="M72" s="44">
        <f t="shared" si="9"/>
        <v>0.16350000000000001</v>
      </c>
      <c r="N72" s="49">
        <f>ROUND(VLOOKUP(A72,'SSP_March''19'!$A$3:$N$1193,14,0),0)</f>
        <v>81096</v>
      </c>
      <c r="O72" s="44">
        <f t="shared" si="10"/>
        <v>0.50685000000000002</v>
      </c>
      <c r="P72" s="45">
        <f>VLOOKUP(A72,'SSP_March''19'!$A$3:$Q$1193,16,0)</f>
        <v>10</v>
      </c>
      <c r="Q72" s="34">
        <f>VLOOKUP(A72,'SSP_March''19'!$A$3:$Q$1193,17,0)</f>
        <v>2</v>
      </c>
      <c r="R72" s="35">
        <f t="shared" si="11"/>
        <v>0.2</v>
      </c>
      <c r="S72" s="49">
        <f>ROUND(VLOOKUP(A72,'SSP_March''19'!$A$3:$T$1193,19,0),0)</f>
        <v>6</v>
      </c>
      <c r="T72" s="44">
        <f>VLOOKUP(A72,'SSP_March''19'!$A$3:$T$1193,20,0)</f>
        <v>0.6</v>
      </c>
      <c r="U72" s="34">
        <f>VLOOKUP(A72,'SSP_March''19'!$A$3:$X$1193,21,0)</f>
        <v>0</v>
      </c>
      <c r="V72" s="34">
        <f>VLOOKUP(A72,'SSP_March''19'!$A$3:$X$1193,22,0)</f>
        <v>0</v>
      </c>
      <c r="W72" s="34">
        <f>VLOOKUP(A72,'SSP_March''19'!$A$3:$X$1193,23,0)</f>
        <v>0</v>
      </c>
      <c r="X72" s="34">
        <f>VLOOKUP(A72,'SSP_March''19'!$A$3:$X$1193,24,0)</f>
        <v>0</v>
      </c>
    </row>
    <row r="73" spans="1:24">
      <c r="A73" s="34" t="s">
        <v>2947</v>
      </c>
      <c r="B73" s="34" t="s">
        <v>2948</v>
      </c>
      <c r="C73" s="34" t="s">
        <v>206</v>
      </c>
      <c r="D73" s="34" t="s">
        <v>2</v>
      </c>
      <c r="E73" s="34" t="s">
        <v>2</v>
      </c>
      <c r="F73" s="34" t="s">
        <v>2949</v>
      </c>
      <c r="G73" s="54">
        <v>1713798233</v>
      </c>
      <c r="H73" s="54" t="s">
        <v>229</v>
      </c>
      <c r="I73" s="54" t="s">
        <v>3514</v>
      </c>
      <c r="J73" s="34" t="s">
        <v>3515</v>
      </c>
      <c r="K73" s="43">
        <f>VLOOKUP(A73,'SSP_March''19'!$A$3:$L$1193,11,0)</f>
        <v>200000</v>
      </c>
      <c r="L73" s="43">
        <f>VLOOKUP(A73,'SSP_March''19'!$A$3:$L$1193,12,0)</f>
        <v>59743</v>
      </c>
      <c r="M73" s="44">
        <f t="shared" si="9"/>
        <v>0.29871500000000001</v>
      </c>
      <c r="N73" s="49">
        <f>ROUND(VLOOKUP(A73,'SSP_March''19'!$A$3:$N$1193,14,0),0)</f>
        <v>185203</v>
      </c>
      <c r="O73" s="44">
        <f t="shared" si="10"/>
        <v>0.92601500000000003</v>
      </c>
      <c r="P73" s="45">
        <f>VLOOKUP(A73,'SSP_March''19'!$A$3:$Q$1193,16,0)</f>
        <v>10</v>
      </c>
      <c r="Q73" s="34">
        <f>VLOOKUP(A73,'SSP_March''19'!$A$3:$Q$1193,17,0)</f>
        <v>2</v>
      </c>
      <c r="R73" s="35">
        <f t="shared" si="11"/>
        <v>0.2</v>
      </c>
      <c r="S73" s="49">
        <f>ROUND(VLOOKUP(A73,'SSP_March''19'!$A$3:$T$1193,19,0),0)</f>
        <v>6</v>
      </c>
      <c r="T73" s="44">
        <f>VLOOKUP(A73,'SSP_March''19'!$A$3:$T$1193,20,0)</f>
        <v>0.6</v>
      </c>
      <c r="U73" s="34">
        <f>VLOOKUP(A73,'SSP_March''19'!$A$3:$X$1193,21,0)</f>
        <v>0</v>
      </c>
      <c r="V73" s="34">
        <f>VLOOKUP(A73,'SSP_March''19'!$A$3:$X$1193,22,0)</f>
        <v>0</v>
      </c>
      <c r="W73" s="34">
        <f>VLOOKUP(A73,'SSP_March''19'!$A$3:$X$1193,23,0)</f>
        <v>1</v>
      </c>
      <c r="X73" s="34">
        <f>VLOOKUP(A73,'SSP_March''19'!$A$3:$X$1193,24,0)</f>
        <v>0</v>
      </c>
    </row>
    <row r="74" spans="1:24">
      <c r="A74" s="34" t="s">
        <v>1331</v>
      </c>
      <c r="B74" s="34" t="s">
        <v>1332</v>
      </c>
      <c r="C74" s="34" t="s">
        <v>206</v>
      </c>
      <c r="D74" s="34" t="s">
        <v>2</v>
      </c>
      <c r="E74" s="34" t="s">
        <v>2</v>
      </c>
      <c r="F74" s="34" t="s">
        <v>1333</v>
      </c>
      <c r="G74" s="54">
        <v>1744551137</v>
      </c>
      <c r="H74" s="54" t="s">
        <v>229</v>
      </c>
      <c r="I74" s="54" t="s">
        <v>3514</v>
      </c>
      <c r="J74" s="34" t="s">
        <v>3419</v>
      </c>
      <c r="K74" s="43">
        <f>VLOOKUP(A74,'SSP_March''19'!$A$3:$L$1193,11,0)</f>
        <v>130000</v>
      </c>
      <c r="L74" s="43">
        <f>VLOOKUP(A74,'SSP_March''19'!$A$3:$L$1193,12,0)</f>
        <v>27950</v>
      </c>
      <c r="M74" s="44">
        <f t="shared" si="9"/>
        <v>0.215</v>
      </c>
      <c r="N74" s="49">
        <f>ROUND(VLOOKUP(A74,'SSP_March''19'!$A$3:$N$1193,14,0),0)</f>
        <v>86645</v>
      </c>
      <c r="O74" s="44">
        <f t="shared" si="10"/>
        <v>0.66649999999999998</v>
      </c>
      <c r="P74" s="45">
        <f>VLOOKUP(A74,'SSP_March''19'!$A$3:$Q$1193,16,0)</f>
        <v>10</v>
      </c>
      <c r="Q74" s="34">
        <f>VLOOKUP(A74,'SSP_March''19'!$A$3:$Q$1193,17,0)</f>
        <v>1</v>
      </c>
      <c r="R74" s="35">
        <f t="shared" si="11"/>
        <v>0.1</v>
      </c>
      <c r="S74" s="49">
        <f>ROUND(VLOOKUP(A74,'SSP_March''19'!$A$3:$T$1193,19,0),0)</f>
        <v>3</v>
      </c>
      <c r="T74" s="44">
        <f>VLOOKUP(A74,'SSP_March''19'!$A$3:$T$1193,20,0)</f>
        <v>0.3</v>
      </c>
      <c r="U74" s="34">
        <f>VLOOKUP(A74,'SSP_March''19'!$A$3:$X$1193,21,0)</f>
        <v>0</v>
      </c>
      <c r="V74" s="34">
        <f>VLOOKUP(A74,'SSP_March''19'!$A$3:$X$1193,22,0)</f>
        <v>0</v>
      </c>
      <c r="W74" s="34">
        <f>VLOOKUP(A74,'SSP_March''19'!$A$3:$X$1193,23,0)</f>
        <v>0</v>
      </c>
      <c r="X74" s="34">
        <f>VLOOKUP(A74,'SSP_March''19'!$A$3:$X$1193,24,0)</f>
        <v>1</v>
      </c>
    </row>
    <row r="75" spans="1:24">
      <c r="A75" s="34" t="s">
        <v>1463</v>
      </c>
      <c r="B75" s="34" t="s">
        <v>1464</v>
      </c>
      <c r="C75" s="34" t="s">
        <v>206</v>
      </c>
      <c r="D75" s="34" t="s">
        <v>2</v>
      </c>
      <c r="E75" s="34" t="s">
        <v>2</v>
      </c>
      <c r="F75" s="34" t="s">
        <v>1465</v>
      </c>
      <c r="G75" s="54">
        <v>1722978294</v>
      </c>
      <c r="H75" s="54" t="s">
        <v>229</v>
      </c>
      <c r="I75" s="54" t="s">
        <v>3514</v>
      </c>
      <c r="J75" s="34" t="s">
        <v>3515</v>
      </c>
      <c r="K75" s="43">
        <f>VLOOKUP(A75,'SSP_March''19'!$A$3:$L$1193,11,0)</f>
        <v>200000</v>
      </c>
      <c r="L75" s="43">
        <f>VLOOKUP(A75,'SSP_March''19'!$A$3:$L$1193,12,0)</f>
        <v>61550</v>
      </c>
      <c r="M75" s="44">
        <f t="shared" si="9"/>
        <v>0.30775000000000002</v>
      </c>
      <c r="N75" s="49">
        <f>ROUND(VLOOKUP(A75,'SSP_March''19'!$A$3:$N$1193,14,0),0)</f>
        <v>190805</v>
      </c>
      <c r="O75" s="44">
        <f t="shared" si="10"/>
        <v>0.95402500000000001</v>
      </c>
      <c r="P75" s="45">
        <f>VLOOKUP(A75,'SSP_March''19'!$A$3:$Q$1193,16,0)</f>
        <v>10</v>
      </c>
      <c r="Q75" s="34">
        <f>VLOOKUP(A75,'SSP_March''19'!$A$3:$Q$1193,17,0)</f>
        <v>4</v>
      </c>
      <c r="R75" s="35">
        <f t="shared" si="11"/>
        <v>0.4</v>
      </c>
      <c r="S75" s="49">
        <f>ROUND(VLOOKUP(A75,'SSP_March''19'!$A$3:$T$1193,19,0),0)</f>
        <v>12</v>
      </c>
      <c r="T75" s="44">
        <f>VLOOKUP(A75,'SSP_March''19'!$A$3:$T$1193,20,0)</f>
        <v>1.2</v>
      </c>
      <c r="U75" s="34">
        <f>VLOOKUP(A75,'SSP_March''19'!$A$3:$X$1193,21,0)</f>
        <v>1</v>
      </c>
      <c r="V75" s="34">
        <f>VLOOKUP(A75,'SSP_March''19'!$A$3:$X$1193,22,0)</f>
        <v>0</v>
      </c>
      <c r="W75" s="34">
        <f>VLOOKUP(A75,'SSP_March''19'!$A$3:$X$1193,23,0)</f>
        <v>0</v>
      </c>
      <c r="X75" s="34">
        <f>VLOOKUP(A75,'SSP_March''19'!$A$3:$X$1193,24,0)</f>
        <v>0</v>
      </c>
    </row>
    <row r="76" spans="1:24">
      <c r="A76" s="34" t="s">
        <v>1443</v>
      </c>
      <c r="B76" s="34" t="s">
        <v>1444</v>
      </c>
      <c r="C76" s="34" t="s">
        <v>206</v>
      </c>
      <c r="D76" s="34" t="s">
        <v>2</v>
      </c>
      <c r="E76" s="34" t="s">
        <v>2</v>
      </c>
      <c r="F76" s="34" t="s">
        <v>1445</v>
      </c>
      <c r="G76" s="54">
        <v>1711354796</v>
      </c>
      <c r="H76" s="54" t="s">
        <v>229</v>
      </c>
      <c r="I76" s="54" t="s">
        <v>3514</v>
      </c>
      <c r="J76" s="34" t="s">
        <v>3419</v>
      </c>
      <c r="K76" s="43">
        <f>VLOOKUP(A76,'SSP_March''19'!$A$3:$L$1193,11,0)</f>
        <v>200000</v>
      </c>
      <c r="L76" s="43">
        <f>VLOOKUP(A76,'SSP_March''19'!$A$3:$L$1193,12,0)</f>
        <v>65149</v>
      </c>
      <c r="M76" s="44">
        <f t="shared" si="9"/>
        <v>0.32574500000000001</v>
      </c>
      <c r="N76" s="49">
        <f>ROUND(VLOOKUP(A76,'SSP_March''19'!$A$3:$N$1193,14,0),0)</f>
        <v>201962</v>
      </c>
      <c r="O76" s="44">
        <f t="shared" si="10"/>
        <v>1.0098100000000001</v>
      </c>
      <c r="P76" s="45">
        <f>VLOOKUP(A76,'SSP_March''19'!$A$3:$Q$1193,16,0)</f>
        <v>10</v>
      </c>
      <c r="Q76" s="34">
        <f>VLOOKUP(A76,'SSP_March''19'!$A$3:$Q$1193,17,0)</f>
        <v>3</v>
      </c>
      <c r="R76" s="35">
        <f t="shared" si="11"/>
        <v>0.3</v>
      </c>
      <c r="S76" s="49">
        <f>ROUND(VLOOKUP(A76,'SSP_March''19'!$A$3:$T$1193,19,0),0)</f>
        <v>9</v>
      </c>
      <c r="T76" s="44">
        <f>VLOOKUP(A76,'SSP_March''19'!$A$3:$T$1193,20,0)</f>
        <v>0.9</v>
      </c>
      <c r="U76" s="34">
        <f>VLOOKUP(A76,'SSP_March''19'!$A$3:$X$1193,21,0)</f>
        <v>0</v>
      </c>
      <c r="V76" s="34">
        <f>VLOOKUP(A76,'SSP_March''19'!$A$3:$X$1193,22,0)</f>
        <v>1</v>
      </c>
      <c r="W76" s="34">
        <f>VLOOKUP(A76,'SSP_March''19'!$A$3:$X$1193,23,0)</f>
        <v>0</v>
      </c>
      <c r="X76" s="34">
        <f>VLOOKUP(A76,'SSP_March''19'!$A$3:$X$1193,24,0)</f>
        <v>0</v>
      </c>
    </row>
    <row r="77" spans="1:24">
      <c r="A77" s="34" t="s">
        <v>1451</v>
      </c>
      <c r="B77" s="34" t="s">
        <v>1452</v>
      </c>
      <c r="C77" s="34" t="s">
        <v>206</v>
      </c>
      <c r="D77" s="34" t="s">
        <v>2</v>
      </c>
      <c r="E77" s="34" t="s">
        <v>2</v>
      </c>
      <c r="F77" s="34" t="s">
        <v>1453</v>
      </c>
      <c r="G77" s="54">
        <v>1717293000</v>
      </c>
      <c r="H77" s="54" t="s">
        <v>229</v>
      </c>
      <c r="I77" s="54" t="s">
        <v>3514</v>
      </c>
      <c r="J77" s="34" t="s">
        <v>3419</v>
      </c>
      <c r="K77" s="43">
        <f>VLOOKUP(A77,'SSP_March''19'!$A$3:$L$1193,11,0)</f>
        <v>130000</v>
      </c>
      <c r="L77" s="43">
        <f>VLOOKUP(A77,'SSP_March''19'!$A$3:$L$1193,12,0)</f>
        <v>12580</v>
      </c>
      <c r="M77" s="44">
        <f t="shared" si="9"/>
        <v>9.6769230769230774E-2</v>
      </c>
      <c r="N77" s="49">
        <f>ROUND(VLOOKUP(A77,'SSP_March''19'!$A$3:$N$1193,14,0),0)</f>
        <v>38998</v>
      </c>
      <c r="O77" s="44">
        <f t="shared" si="10"/>
        <v>0.29998461538461541</v>
      </c>
      <c r="P77" s="45">
        <f>VLOOKUP(A77,'SSP_March''19'!$A$3:$Q$1193,16,0)</f>
        <v>10</v>
      </c>
      <c r="Q77" s="34">
        <f>VLOOKUP(A77,'SSP_March''19'!$A$3:$Q$1193,17,0)</f>
        <v>1</v>
      </c>
      <c r="R77" s="35">
        <f t="shared" si="11"/>
        <v>0.1</v>
      </c>
      <c r="S77" s="49">
        <f>ROUND(VLOOKUP(A77,'SSP_March''19'!$A$3:$T$1193,19,0),0)</f>
        <v>3</v>
      </c>
      <c r="T77" s="44">
        <f>VLOOKUP(A77,'SSP_March''19'!$A$3:$T$1193,20,0)</f>
        <v>0.3</v>
      </c>
      <c r="U77" s="34">
        <f>VLOOKUP(A77,'SSP_March''19'!$A$3:$X$1193,21,0)</f>
        <v>0</v>
      </c>
      <c r="V77" s="34">
        <f>VLOOKUP(A77,'SSP_March''19'!$A$3:$X$1193,22,0)</f>
        <v>0</v>
      </c>
      <c r="W77" s="34">
        <f>VLOOKUP(A77,'SSP_March''19'!$A$3:$X$1193,23,0)</f>
        <v>1</v>
      </c>
      <c r="X77" s="34">
        <f>VLOOKUP(A77,'SSP_March''19'!$A$3:$X$1193,24,0)</f>
        <v>0</v>
      </c>
    </row>
    <row r="78" spans="1:24">
      <c r="A78" s="34" t="s">
        <v>3135</v>
      </c>
      <c r="B78" s="34" t="s">
        <v>3136</v>
      </c>
      <c r="C78" s="34" t="s">
        <v>206</v>
      </c>
      <c r="D78" s="34" t="s">
        <v>2</v>
      </c>
      <c r="E78" s="34" t="s">
        <v>2</v>
      </c>
      <c r="F78" s="34" t="s">
        <v>3137</v>
      </c>
      <c r="G78" s="54">
        <v>1719710603</v>
      </c>
      <c r="H78" s="54" t="s">
        <v>229</v>
      </c>
      <c r="I78" s="54" t="s">
        <v>3514</v>
      </c>
      <c r="J78" s="34" t="s">
        <v>3421</v>
      </c>
      <c r="K78" s="43">
        <f>VLOOKUP(A78,'SSP_March''19'!$A$3:$L$1193,11,0)</f>
        <v>130000</v>
      </c>
      <c r="L78" s="43">
        <f>VLOOKUP(A78,'SSP_March''19'!$A$3:$L$1193,12,0)</f>
        <v>30850</v>
      </c>
      <c r="M78" s="44">
        <f t="shared" si="9"/>
        <v>0.2373076923076923</v>
      </c>
      <c r="N78" s="49">
        <f>ROUND(VLOOKUP(A78,'SSP_March''19'!$A$3:$N$1193,14,0),0)</f>
        <v>95635</v>
      </c>
      <c r="O78" s="44">
        <f t="shared" si="10"/>
        <v>0.7356538461538461</v>
      </c>
      <c r="P78" s="45">
        <f>VLOOKUP(A78,'SSP_March''19'!$A$3:$Q$1193,16,0)</f>
        <v>10</v>
      </c>
      <c r="Q78" s="34">
        <f>VLOOKUP(A78,'SSP_March''19'!$A$3:$Q$1193,17,0)</f>
        <v>1</v>
      </c>
      <c r="R78" s="35">
        <f t="shared" si="11"/>
        <v>0.1</v>
      </c>
      <c r="S78" s="49">
        <f>ROUND(VLOOKUP(A78,'SSP_March''19'!$A$3:$T$1193,19,0),0)</f>
        <v>3</v>
      </c>
      <c r="T78" s="44">
        <f>VLOOKUP(A78,'SSP_March''19'!$A$3:$T$1193,20,0)</f>
        <v>0.3</v>
      </c>
      <c r="U78" s="34">
        <f>VLOOKUP(A78,'SSP_March''19'!$A$3:$X$1193,21,0)</f>
        <v>0</v>
      </c>
      <c r="V78" s="34">
        <f>VLOOKUP(A78,'SSP_March''19'!$A$3:$X$1193,22,0)</f>
        <v>0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34" t="s">
        <v>1435</v>
      </c>
      <c r="B79" s="34" t="s">
        <v>1436</v>
      </c>
      <c r="C79" s="34" t="s">
        <v>206</v>
      </c>
      <c r="D79" s="34" t="s">
        <v>2</v>
      </c>
      <c r="E79" s="34" t="s">
        <v>2</v>
      </c>
      <c r="F79" s="34" t="s">
        <v>1437</v>
      </c>
      <c r="G79" s="54">
        <v>1761650950</v>
      </c>
      <c r="H79" s="54" t="s">
        <v>229</v>
      </c>
      <c r="I79" s="54" t="s">
        <v>3514</v>
      </c>
      <c r="J79" s="34" t="s">
        <v>3515</v>
      </c>
      <c r="K79" s="43">
        <f>VLOOKUP(A79,'SSP_March''19'!$A$3:$L$1193,11,0)</f>
        <v>200000</v>
      </c>
      <c r="L79" s="43">
        <f>VLOOKUP(A79,'SSP_March''19'!$A$3:$L$1193,12,0)</f>
        <v>121724</v>
      </c>
      <c r="M79" s="44">
        <f t="shared" si="9"/>
        <v>0.60862000000000005</v>
      </c>
      <c r="N79" s="49">
        <f>ROUND(VLOOKUP(A79,'SSP_March''19'!$A$3:$N$1193,14,0),0)</f>
        <v>377344</v>
      </c>
      <c r="O79" s="44">
        <f t="shared" si="10"/>
        <v>1.88672</v>
      </c>
      <c r="P79" s="45">
        <f>VLOOKUP(A79,'SSP_March''19'!$A$3:$Q$1193,16,0)</f>
        <v>10</v>
      </c>
      <c r="Q79" s="34">
        <f>VLOOKUP(A79,'SSP_March''19'!$A$3:$Q$1193,17,0)</f>
        <v>5</v>
      </c>
      <c r="R79" s="35">
        <f t="shared" si="11"/>
        <v>0.5</v>
      </c>
      <c r="S79" s="49">
        <f>ROUND(VLOOKUP(A79,'SSP_March''19'!$A$3:$T$1193,19,0),0)</f>
        <v>16</v>
      </c>
      <c r="T79" s="44">
        <f>VLOOKUP(A79,'SSP_March''19'!$A$3:$T$1193,20,0)</f>
        <v>1.6</v>
      </c>
      <c r="U79" s="34">
        <f>VLOOKUP(A79,'SSP_March''19'!$A$3:$X$1193,21,0)</f>
        <v>1</v>
      </c>
      <c r="V79" s="34">
        <f>VLOOKUP(A79,'SSP_March''19'!$A$3:$X$1193,22,0)</f>
        <v>1</v>
      </c>
      <c r="W79" s="34">
        <f>VLOOKUP(A79,'SSP_March''19'!$A$3:$X$1193,23,0)</f>
        <v>0</v>
      </c>
      <c r="X79" s="34">
        <f>VLOOKUP(A79,'SSP_March''19'!$A$3:$X$1193,24,0)</f>
        <v>1</v>
      </c>
    </row>
    <row r="80" spans="1:24">
      <c r="A80" s="34" t="s">
        <v>2944</v>
      </c>
      <c r="B80" s="34" t="s">
        <v>2945</v>
      </c>
      <c r="C80" s="34" t="s">
        <v>206</v>
      </c>
      <c r="D80" s="34" t="s">
        <v>2</v>
      </c>
      <c r="E80" s="34" t="s">
        <v>2</v>
      </c>
      <c r="F80" s="34" t="s">
        <v>2946</v>
      </c>
      <c r="G80" s="54">
        <v>1773320448</v>
      </c>
      <c r="H80" s="54" t="s">
        <v>229</v>
      </c>
      <c r="I80" s="54" t="s">
        <v>3514</v>
      </c>
      <c r="J80" s="34" t="s">
        <v>3515</v>
      </c>
      <c r="K80" s="43">
        <f>VLOOKUP(A80,'SSP_March''19'!$A$3:$L$1193,11,0)</f>
        <v>130000</v>
      </c>
      <c r="L80" s="43">
        <f>VLOOKUP(A80,'SSP_March''19'!$A$3:$L$1193,12,0)</f>
        <v>45520</v>
      </c>
      <c r="M80" s="44">
        <f t="shared" si="9"/>
        <v>0.35015384615384615</v>
      </c>
      <c r="N80" s="49">
        <f>ROUND(VLOOKUP(A80,'SSP_March''19'!$A$3:$N$1193,14,0),0)</f>
        <v>141112</v>
      </c>
      <c r="O80" s="44">
        <f t="shared" si="10"/>
        <v>1.085476923076923</v>
      </c>
      <c r="P80" s="45">
        <f>VLOOKUP(A80,'SSP_March''19'!$A$3:$Q$1193,16,0)</f>
        <v>10</v>
      </c>
      <c r="Q80" s="34">
        <f>VLOOKUP(A80,'SSP_March''19'!$A$3:$Q$1193,17,0)</f>
        <v>2</v>
      </c>
      <c r="R80" s="35">
        <f t="shared" si="11"/>
        <v>0.2</v>
      </c>
      <c r="S80" s="49">
        <f>ROUND(VLOOKUP(A80,'SSP_March''19'!$A$3:$T$1193,19,0),0)</f>
        <v>6</v>
      </c>
      <c r="T80" s="44">
        <f>VLOOKUP(A80,'SSP_March''19'!$A$3:$T$1193,20,0)</f>
        <v>0.6</v>
      </c>
      <c r="U80" s="34">
        <f>VLOOKUP(A80,'SSP_March''19'!$A$3:$X$1193,21,0)</f>
        <v>1</v>
      </c>
      <c r="V80" s="34">
        <f>VLOOKUP(A80,'SSP_March''19'!$A$3:$X$1193,22,0)</f>
        <v>0</v>
      </c>
      <c r="W80" s="34">
        <f>VLOOKUP(A80,'SSP_March''19'!$A$3:$X$1193,23,0)</f>
        <v>0</v>
      </c>
      <c r="X80" s="34">
        <f>VLOOKUP(A80,'SSP_March''19'!$A$3:$X$1193,24,0)</f>
        <v>0</v>
      </c>
    </row>
    <row r="81" spans="1:24">
      <c r="A81" s="34" t="s">
        <v>1407</v>
      </c>
      <c r="B81" s="34" t="s">
        <v>1408</v>
      </c>
      <c r="C81" s="34" t="s">
        <v>188</v>
      </c>
      <c r="D81" s="34" t="s">
        <v>189</v>
      </c>
      <c r="E81" s="34" t="s">
        <v>2</v>
      </c>
      <c r="F81" s="34" t="s">
        <v>1409</v>
      </c>
      <c r="G81" s="54">
        <v>1738539666</v>
      </c>
      <c r="H81" s="54" t="s">
        <v>229</v>
      </c>
      <c r="I81" s="54" t="s">
        <v>3514</v>
      </c>
      <c r="J81" s="34" t="s">
        <v>3419</v>
      </c>
      <c r="K81" s="43">
        <f>VLOOKUP(A81,'SSP_March''19'!$A$3:$L$1193,11,0)</f>
        <v>219913</v>
      </c>
      <c r="L81" s="43">
        <f>VLOOKUP(A81,'SSP_March''19'!$A$3:$L$1193,12,0)</f>
        <v>61525</v>
      </c>
      <c r="M81" s="44">
        <f t="shared" si="9"/>
        <v>0.27976972711936082</v>
      </c>
      <c r="N81" s="49">
        <f>ROUND(VLOOKUP(A81,'SSP_March''19'!$A$3:$N$1193,14,0),0)</f>
        <v>190728</v>
      </c>
      <c r="O81" s="44">
        <f t="shared" si="10"/>
        <v>0.86728842769640724</v>
      </c>
      <c r="P81" s="45">
        <f>VLOOKUP(A81,'SSP_March''19'!$A$3:$Q$1193,16,0)</f>
        <v>10</v>
      </c>
      <c r="Q81" s="34">
        <f>VLOOKUP(A81,'SSP_March''19'!$A$3:$Q$1193,17,0)</f>
        <v>3</v>
      </c>
      <c r="R81" s="35">
        <f t="shared" si="11"/>
        <v>0.3</v>
      </c>
      <c r="S81" s="49">
        <f>ROUND(VLOOKUP(A81,'SSP_March''19'!$A$3:$T$1193,19,0),0)</f>
        <v>9</v>
      </c>
      <c r="T81" s="44">
        <f>VLOOKUP(A81,'SSP_March''19'!$A$3:$T$1193,20,0)</f>
        <v>0.9</v>
      </c>
      <c r="U81" s="34">
        <f>VLOOKUP(A81,'SSP_March''19'!$A$3:$X$1193,21,0)</f>
        <v>1</v>
      </c>
      <c r="V81" s="34">
        <f>VLOOKUP(A81,'SSP_March''19'!$A$3:$X$1193,22,0)</f>
        <v>0</v>
      </c>
      <c r="W81" s="34">
        <f>VLOOKUP(A81,'SSP_March''19'!$A$3:$X$1193,23,0)</f>
        <v>0</v>
      </c>
      <c r="X81" s="34">
        <f>VLOOKUP(A81,'SSP_March''19'!$A$3:$X$1193,24,0)</f>
        <v>0</v>
      </c>
    </row>
    <row r="82" spans="1:24">
      <c r="A82" s="34" t="s">
        <v>3132</v>
      </c>
      <c r="B82" s="34" t="s">
        <v>3133</v>
      </c>
      <c r="C82" s="34" t="s">
        <v>188</v>
      </c>
      <c r="D82" s="34" t="s">
        <v>189</v>
      </c>
      <c r="E82" s="34" t="s">
        <v>2</v>
      </c>
      <c r="F82" s="34" t="s">
        <v>3134</v>
      </c>
      <c r="G82" s="54">
        <v>1773377772</v>
      </c>
      <c r="H82" s="54" t="s">
        <v>229</v>
      </c>
      <c r="I82" s="54" t="s">
        <v>3514</v>
      </c>
      <c r="J82" s="34" t="s">
        <v>3421</v>
      </c>
      <c r="K82" s="43">
        <f>VLOOKUP(A82,'SSP_March''19'!$A$3:$L$1193,11,0)</f>
        <v>165000</v>
      </c>
      <c r="L82" s="43">
        <f>VLOOKUP(A82,'SSP_March''19'!$A$3:$L$1193,12,0)</f>
        <v>48720</v>
      </c>
      <c r="M82" s="44">
        <f t="shared" si="9"/>
        <v>0.2952727272727273</v>
      </c>
      <c r="N82" s="49">
        <f>ROUND(VLOOKUP(A82,'SSP_March''19'!$A$3:$N$1193,14,0),0)</f>
        <v>151032</v>
      </c>
      <c r="O82" s="44">
        <f t="shared" si="10"/>
        <v>0.91534545454545457</v>
      </c>
      <c r="P82" s="45">
        <f>VLOOKUP(A82,'SSP_March''19'!$A$3:$Q$1193,16,0)</f>
        <v>10</v>
      </c>
      <c r="Q82" s="34">
        <f>VLOOKUP(A82,'SSP_March''19'!$A$3:$Q$1193,17,0)</f>
        <v>2</v>
      </c>
      <c r="R82" s="35">
        <f t="shared" si="11"/>
        <v>0.2</v>
      </c>
      <c r="S82" s="49">
        <f>ROUND(VLOOKUP(A82,'SSP_March''19'!$A$3:$T$1193,19,0),0)</f>
        <v>6</v>
      </c>
      <c r="T82" s="44">
        <f>VLOOKUP(A82,'SSP_March''19'!$A$3:$T$1193,20,0)</f>
        <v>0.6</v>
      </c>
      <c r="U82" s="34">
        <f>VLOOKUP(A82,'SSP_March''19'!$A$3:$X$1193,21,0)</f>
        <v>2</v>
      </c>
      <c r="V82" s="34">
        <f>VLOOKUP(A82,'SSP_March''19'!$A$3:$X$1193,22,0)</f>
        <v>0</v>
      </c>
      <c r="W82" s="34">
        <f>VLOOKUP(A82,'SSP_March''19'!$A$3:$X$1193,23,0)</f>
        <v>0</v>
      </c>
      <c r="X82" s="34">
        <f>VLOOKUP(A82,'SSP_March''19'!$A$3:$X$1193,24,0)</f>
        <v>0</v>
      </c>
    </row>
    <row r="83" spans="1:24">
      <c r="A83" s="34" t="s">
        <v>1398</v>
      </c>
      <c r="B83" s="34" t="s">
        <v>1399</v>
      </c>
      <c r="C83" s="34" t="s">
        <v>188</v>
      </c>
      <c r="D83" s="34" t="s">
        <v>189</v>
      </c>
      <c r="E83" s="34" t="s">
        <v>2</v>
      </c>
      <c r="F83" s="34" t="s">
        <v>1400</v>
      </c>
      <c r="G83" s="54">
        <v>1737050558</v>
      </c>
      <c r="H83" s="54" t="s">
        <v>229</v>
      </c>
      <c r="I83" s="54" t="s">
        <v>3514</v>
      </c>
      <c r="J83" s="34" t="s">
        <v>3421</v>
      </c>
      <c r="K83" s="43">
        <f>VLOOKUP(A83,'SSP_March''19'!$A$3:$L$1193,11,0)</f>
        <v>130000</v>
      </c>
      <c r="L83" s="43">
        <f>VLOOKUP(A83,'SSP_March''19'!$A$3:$L$1193,12,0)</f>
        <v>61500</v>
      </c>
      <c r="M83" s="44">
        <f t="shared" si="9"/>
        <v>0.47307692307692306</v>
      </c>
      <c r="N83" s="49">
        <f>ROUND(VLOOKUP(A83,'SSP_March''19'!$A$3:$N$1193,14,0),0)</f>
        <v>190650</v>
      </c>
      <c r="O83" s="44">
        <f t="shared" si="10"/>
        <v>1.4665384615384616</v>
      </c>
      <c r="P83" s="45">
        <f>VLOOKUP(A83,'SSP_March''19'!$A$3:$Q$1193,16,0)</f>
        <v>10</v>
      </c>
      <c r="Q83" s="34">
        <f>VLOOKUP(A83,'SSP_March''19'!$A$3:$Q$1193,17,0)</f>
        <v>4</v>
      </c>
      <c r="R83" s="35">
        <f t="shared" si="11"/>
        <v>0.4</v>
      </c>
      <c r="S83" s="49">
        <f>ROUND(VLOOKUP(A83,'SSP_March''19'!$A$3:$T$1193,19,0),0)</f>
        <v>12</v>
      </c>
      <c r="T83" s="44">
        <f>VLOOKUP(A83,'SSP_March''19'!$A$3:$T$1193,20,0)</f>
        <v>1.2</v>
      </c>
      <c r="U83" s="34">
        <f>VLOOKUP(A83,'SSP_March''19'!$A$3:$X$1193,21,0)</f>
        <v>0</v>
      </c>
      <c r="V83" s="34">
        <f>VLOOKUP(A83,'SSP_March''19'!$A$3:$X$1193,22,0)</f>
        <v>0</v>
      </c>
      <c r="W83" s="34">
        <f>VLOOKUP(A83,'SSP_March''19'!$A$3:$X$1193,23,0)</f>
        <v>0</v>
      </c>
      <c r="X83" s="34">
        <f>VLOOKUP(A83,'SSP_March''19'!$A$3:$X$1193,24,0)</f>
        <v>0</v>
      </c>
    </row>
    <row r="84" spans="1:24">
      <c r="A84" s="34" t="s">
        <v>3498</v>
      </c>
      <c r="B84" s="34" t="s">
        <v>3499</v>
      </c>
      <c r="C84" s="34" t="s">
        <v>188</v>
      </c>
      <c r="D84" s="34" t="s">
        <v>189</v>
      </c>
      <c r="E84" s="34" t="s">
        <v>2</v>
      </c>
      <c r="F84" s="34" t="s">
        <v>3500</v>
      </c>
      <c r="G84" s="54">
        <v>1713705616</v>
      </c>
      <c r="H84" s="54" t="s">
        <v>229</v>
      </c>
      <c r="I84" s="54" t="s">
        <v>3514</v>
      </c>
      <c r="J84" s="34" t="s">
        <v>3419</v>
      </c>
      <c r="K84" s="43">
        <f>VLOOKUP(A84,'SSP_March''19'!$A$3:$L$1193,11,0)</f>
        <v>170000</v>
      </c>
      <c r="L84" s="43">
        <f>VLOOKUP(A84,'SSP_March''19'!$A$3:$L$1193,12,0)</f>
        <v>47270</v>
      </c>
      <c r="M84" s="44">
        <f t="shared" si="9"/>
        <v>0.27805882352941175</v>
      </c>
      <c r="N84" s="49">
        <f>ROUND(VLOOKUP(A84,'SSP_March''19'!$A$3:$N$1193,14,0),0)</f>
        <v>146537</v>
      </c>
      <c r="O84" s="44">
        <f t="shared" si="10"/>
        <v>0.86198235294117642</v>
      </c>
      <c r="P84" s="45">
        <f>VLOOKUP(A84,'SSP_March''19'!$A$3:$Q$1193,16,0)</f>
        <v>13</v>
      </c>
      <c r="Q84" s="34">
        <f>VLOOKUP(A84,'SSP_March''19'!$A$3:$Q$1193,17,0)</f>
        <v>3</v>
      </c>
      <c r="R84" s="35">
        <f t="shared" si="11"/>
        <v>0.23076923076923078</v>
      </c>
      <c r="S84" s="49">
        <f>ROUND(VLOOKUP(A84,'SSP_March''19'!$A$3:$T$1193,19,0),0)</f>
        <v>9</v>
      </c>
      <c r="T84" s="44">
        <f>VLOOKUP(A84,'SSP_March''19'!$A$3:$T$1193,20,0)</f>
        <v>0.69230769230769229</v>
      </c>
      <c r="U84" s="34">
        <f>VLOOKUP(A84,'SSP_March''19'!$A$3:$X$1193,21,0)</f>
        <v>0</v>
      </c>
      <c r="V84" s="34">
        <f>VLOOKUP(A84,'SSP_March''19'!$A$3:$X$1193,22,0)</f>
        <v>1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34" t="s">
        <v>1371</v>
      </c>
      <c r="B85" s="34" t="s">
        <v>1372</v>
      </c>
      <c r="C85" s="34" t="s">
        <v>188</v>
      </c>
      <c r="D85" s="34" t="s">
        <v>189</v>
      </c>
      <c r="E85" s="34" t="s">
        <v>2</v>
      </c>
      <c r="F85" s="34" t="s">
        <v>1373</v>
      </c>
      <c r="G85" s="54">
        <v>1717875559</v>
      </c>
      <c r="H85" s="54" t="s">
        <v>229</v>
      </c>
      <c r="I85" s="54" t="s">
        <v>3514</v>
      </c>
      <c r="J85" s="34" t="s">
        <v>3421</v>
      </c>
      <c r="K85" s="43">
        <f>VLOOKUP(A85,'SSP_March''19'!$A$3:$L$1193,11,0)</f>
        <v>130000</v>
      </c>
      <c r="L85" s="43">
        <f>VLOOKUP(A85,'SSP_March''19'!$A$3:$L$1193,12,0)</f>
        <v>16470</v>
      </c>
      <c r="M85" s="44">
        <f t="shared" si="9"/>
        <v>0.12669230769230769</v>
      </c>
      <c r="N85" s="49">
        <f>ROUND(VLOOKUP(A85,'SSP_March''19'!$A$3:$N$1193,14,0),0)</f>
        <v>51057</v>
      </c>
      <c r="O85" s="44">
        <f t="shared" si="10"/>
        <v>0.39274615384615386</v>
      </c>
      <c r="P85" s="45">
        <f>VLOOKUP(A85,'SSP_March''19'!$A$3:$Q$1193,16,0)</f>
        <v>10</v>
      </c>
      <c r="Q85" s="34">
        <f>VLOOKUP(A85,'SSP_March''19'!$A$3:$Q$1193,17,0)</f>
        <v>0</v>
      </c>
      <c r="R85" s="35">
        <f t="shared" si="11"/>
        <v>0</v>
      </c>
      <c r="S85" s="49">
        <f>ROUND(VLOOKUP(A85,'SSP_March''19'!$A$3:$T$1193,19,0),0)</f>
        <v>0</v>
      </c>
      <c r="T85" s="44">
        <f>VLOOKUP(A85,'SSP_March''19'!$A$3:$T$1193,20,0)</f>
        <v>0</v>
      </c>
      <c r="U85" s="34">
        <f>VLOOKUP(A85,'SSP_March''19'!$A$3:$X$1193,21,0)</f>
        <v>0</v>
      </c>
      <c r="V85" s="34">
        <f>VLOOKUP(A85,'SSP_March''19'!$A$3:$X$1193,22,0)</f>
        <v>0</v>
      </c>
      <c r="W85" s="34">
        <f>VLOOKUP(A85,'SSP_March''19'!$A$3:$X$1193,23,0)</f>
        <v>0</v>
      </c>
      <c r="X85" s="34">
        <f>VLOOKUP(A85,'SSP_March''19'!$A$3:$X$1193,24,0)</f>
        <v>0</v>
      </c>
    </row>
    <row r="86" spans="1:24">
      <c r="A86" s="34" t="s">
        <v>1401</v>
      </c>
      <c r="B86" s="34" t="s">
        <v>1402</v>
      </c>
      <c r="C86" s="34" t="s">
        <v>188</v>
      </c>
      <c r="D86" s="34" t="s">
        <v>189</v>
      </c>
      <c r="E86" s="34" t="s">
        <v>2</v>
      </c>
      <c r="F86" s="34" t="s">
        <v>1403</v>
      </c>
      <c r="G86" s="54">
        <v>1713705597</v>
      </c>
      <c r="H86" s="54" t="s">
        <v>229</v>
      </c>
      <c r="I86" s="54" t="s">
        <v>3514</v>
      </c>
      <c r="J86" s="34" t="s">
        <v>3419</v>
      </c>
      <c r="K86" s="43">
        <f>VLOOKUP(A86,'SSP_March''19'!$A$3:$L$1193,11,0)</f>
        <v>130000</v>
      </c>
      <c r="L86" s="43">
        <f>VLOOKUP(A86,'SSP_March''19'!$A$3:$L$1193,12,0)</f>
        <v>30630</v>
      </c>
      <c r="M86" s="44">
        <f t="shared" si="9"/>
        <v>0.23561538461538462</v>
      </c>
      <c r="N86" s="49">
        <f>ROUND(VLOOKUP(A86,'SSP_March''19'!$A$3:$N$1193,14,0),0)</f>
        <v>94953</v>
      </c>
      <c r="O86" s="44">
        <f t="shared" si="10"/>
        <v>0.73040769230769231</v>
      </c>
      <c r="P86" s="45">
        <f>VLOOKUP(A86,'SSP_March''19'!$A$3:$Q$1193,16,0)</f>
        <v>10</v>
      </c>
      <c r="Q86" s="34">
        <f>VLOOKUP(A86,'SSP_March''19'!$A$3:$Q$1193,17,0)</f>
        <v>0</v>
      </c>
      <c r="R86" s="35">
        <f t="shared" si="11"/>
        <v>0</v>
      </c>
      <c r="S86" s="49">
        <f>ROUND(VLOOKUP(A86,'SSP_March''19'!$A$3:$T$1193,19,0),0)</f>
        <v>0</v>
      </c>
      <c r="T86" s="44">
        <f>VLOOKUP(A86,'SSP_March''19'!$A$3:$T$1193,20,0)</f>
        <v>0</v>
      </c>
      <c r="U86" s="34">
        <f>VLOOKUP(A86,'SSP_March''19'!$A$3:$X$1193,21,0)</f>
        <v>2</v>
      </c>
      <c r="V86" s="34">
        <f>VLOOKUP(A86,'SSP_March''19'!$A$3:$X$1193,22,0)</f>
        <v>0</v>
      </c>
      <c r="W86" s="34">
        <f>VLOOKUP(A86,'SSP_March''19'!$A$3:$X$1193,23,0)</f>
        <v>0</v>
      </c>
      <c r="X86" s="34">
        <f>VLOOKUP(A86,'SSP_March''19'!$A$3:$X$1193,24,0)</f>
        <v>0</v>
      </c>
    </row>
    <row r="87" spans="1:24">
      <c r="A87" s="34" t="s">
        <v>1340</v>
      </c>
      <c r="B87" s="34" t="s">
        <v>1341</v>
      </c>
      <c r="C87" s="34" t="s">
        <v>188</v>
      </c>
      <c r="D87" s="34" t="s">
        <v>189</v>
      </c>
      <c r="E87" s="34" t="s">
        <v>2</v>
      </c>
      <c r="F87" s="34" t="s">
        <v>1342</v>
      </c>
      <c r="G87" s="54">
        <v>1774037692</v>
      </c>
      <c r="H87" s="54" t="s">
        <v>229</v>
      </c>
      <c r="I87" s="54" t="s">
        <v>3514</v>
      </c>
      <c r="J87" s="34" t="s">
        <v>3419</v>
      </c>
      <c r="K87" s="43">
        <f>VLOOKUP(A87,'SSP_March''19'!$A$3:$L$1193,11,0)</f>
        <v>280289</v>
      </c>
      <c r="L87" s="43">
        <f>VLOOKUP(A87,'SSP_March''19'!$A$3:$L$1193,12,0)</f>
        <v>100200</v>
      </c>
      <c r="M87" s="44">
        <f t="shared" si="9"/>
        <v>0.35748816400215494</v>
      </c>
      <c r="N87" s="49">
        <f>ROUND(VLOOKUP(A87,'SSP_March''19'!$A$3:$N$1193,14,0),0)</f>
        <v>310620</v>
      </c>
      <c r="O87" s="44">
        <f t="shared" si="10"/>
        <v>1.1082133084066803</v>
      </c>
      <c r="P87" s="45">
        <f>VLOOKUP(A87,'SSP_March''19'!$A$3:$Q$1193,16,0)</f>
        <v>15</v>
      </c>
      <c r="Q87" s="34">
        <f>VLOOKUP(A87,'SSP_March''19'!$A$3:$Q$1193,17,0)</f>
        <v>7</v>
      </c>
      <c r="R87" s="35">
        <f t="shared" si="11"/>
        <v>0.46666666666666667</v>
      </c>
      <c r="S87" s="49">
        <f>ROUND(VLOOKUP(A87,'SSP_March''19'!$A$3:$T$1193,19,0),0)</f>
        <v>22</v>
      </c>
      <c r="T87" s="44">
        <f>VLOOKUP(A87,'SSP_March''19'!$A$3:$T$1193,20,0)</f>
        <v>1.4666666666666666</v>
      </c>
      <c r="U87" s="34">
        <f>VLOOKUP(A87,'SSP_March''19'!$A$3:$X$1193,21,0)</f>
        <v>0</v>
      </c>
      <c r="V87" s="34">
        <f>VLOOKUP(A87,'SSP_March''19'!$A$3:$X$1193,22,0)</f>
        <v>0</v>
      </c>
      <c r="W87" s="34">
        <f>VLOOKUP(A87,'SSP_March''19'!$A$3:$X$1193,23,0)</f>
        <v>0</v>
      </c>
      <c r="X87" s="34">
        <f>VLOOKUP(A87,'SSP_March''19'!$A$3:$X$1193,24,0)</f>
        <v>1</v>
      </c>
    </row>
    <row r="88" spans="1:24">
      <c r="A88" s="34" t="s">
        <v>1429</v>
      </c>
      <c r="B88" s="34" t="s">
        <v>1430</v>
      </c>
      <c r="C88" s="34" t="s">
        <v>188</v>
      </c>
      <c r="D88" s="34" t="s">
        <v>189</v>
      </c>
      <c r="E88" s="34" t="s">
        <v>2</v>
      </c>
      <c r="F88" s="34" t="s">
        <v>1431</v>
      </c>
      <c r="G88" s="54">
        <v>1722809473</v>
      </c>
      <c r="H88" s="54" t="s">
        <v>229</v>
      </c>
      <c r="I88" s="54" t="s">
        <v>3514</v>
      </c>
      <c r="J88" s="34" t="s">
        <v>3419</v>
      </c>
      <c r="K88" s="43">
        <f>VLOOKUP(A88,'SSP_March''19'!$A$3:$L$1193,11,0)</f>
        <v>210830</v>
      </c>
      <c r="L88" s="43">
        <f>VLOOKUP(A88,'SSP_March''19'!$A$3:$L$1193,12,0)</f>
        <v>87669</v>
      </c>
      <c r="M88" s="44">
        <f t="shared" si="9"/>
        <v>0.41582791822795617</v>
      </c>
      <c r="N88" s="49">
        <f>ROUND(VLOOKUP(A88,'SSP_March''19'!$A$3:$N$1193,14,0),0)</f>
        <v>271774</v>
      </c>
      <c r="O88" s="44">
        <f t="shared" si="10"/>
        <v>1.2890670208224635</v>
      </c>
      <c r="P88" s="45">
        <f>VLOOKUP(A88,'SSP_March''19'!$A$3:$Q$1193,16,0)</f>
        <v>16</v>
      </c>
      <c r="Q88" s="34">
        <f>VLOOKUP(A88,'SSP_March''19'!$A$3:$Q$1193,17,0)</f>
        <v>7</v>
      </c>
      <c r="R88" s="35">
        <f t="shared" si="11"/>
        <v>0.4375</v>
      </c>
      <c r="S88" s="49">
        <f>ROUND(VLOOKUP(A88,'SSP_March''19'!$A$3:$T$1193,19,0),0)</f>
        <v>22</v>
      </c>
      <c r="T88" s="44">
        <f>VLOOKUP(A88,'SSP_March''19'!$A$3:$T$1193,20,0)</f>
        <v>1.375</v>
      </c>
      <c r="U88" s="34">
        <f>VLOOKUP(A88,'SSP_March''19'!$A$3:$X$1193,21,0)</f>
        <v>0</v>
      </c>
      <c r="V88" s="34">
        <f>VLOOKUP(A88,'SSP_March''19'!$A$3:$X$1193,22,0)</f>
        <v>1</v>
      </c>
      <c r="W88" s="34">
        <f>VLOOKUP(A88,'SSP_March''19'!$A$3:$X$1193,23,0)</f>
        <v>0</v>
      </c>
      <c r="X88" s="34">
        <f>VLOOKUP(A88,'SSP_March''19'!$A$3:$X$1193,24,0)</f>
        <v>0</v>
      </c>
    </row>
    <row r="89" spans="1:24">
      <c r="A89" s="34" t="s">
        <v>1313</v>
      </c>
      <c r="B89" s="34" t="s">
        <v>1314</v>
      </c>
      <c r="C89" s="34" t="s">
        <v>188</v>
      </c>
      <c r="D89" s="34" t="s">
        <v>189</v>
      </c>
      <c r="E89" s="34" t="s">
        <v>2</v>
      </c>
      <c r="F89" s="34" t="s">
        <v>1315</v>
      </c>
      <c r="G89" s="54">
        <v>1717975545</v>
      </c>
      <c r="H89" s="54" t="s">
        <v>229</v>
      </c>
      <c r="I89" s="54" t="s">
        <v>3514</v>
      </c>
      <c r="J89" s="34" t="s">
        <v>3421</v>
      </c>
      <c r="K89" s="43">
        <f>VLOOKUP(A89,'SSP_March''19'!$A$3:$L$1193,11,0)</f>
        <v>130000</v>
      </c>
      <c r="L89" s="43">
        <f>VLOOKUP(A89,'SSP_March''19'!$A$3:$L$1193,12,0)</f>
        <v>4740</v>
      </c>
      <c r="M89" s="44">
        <f t="shared" si="9"/>
        <v>3.6461538461538462E-2</v>
      </c>
      <c r="N89" s="49">
        <f>ROUND(VLOOKUP(A89,'SSP_March''19'!$A$3:$N$1193,14,0),0)</f>
        <v>14694</v>
      </c>
      <c r="O89" s="44">
        <f t="shared" si="10"/>
        <v>0.11303076923076923</v>
      </c>
      <c r="P89" s="45">
        <f>VLOOKUP(A89,'SSP_March''19'!$A$3:$Q$1193,16,0)</f>
        <v>10</v>
      </c>
      <c r="Q89" s="34">
        <f>VLOOKUP(A89,'SSP_March''19'!$A$3:$Q$1193,17,0)</f>
        <v>0</v>
      </c>
      <c r="R89" s="35">
        <f t="shared" si="11"/>
        <v>0</v>
      </c>
      <c r="S89" s="49">
        <f>ROUND(VLOOKUP(A89,'SSP_March''19'!$A$3:$T$1193,19,0),0)</f>
        <v>0</v>
      </c>
      <c r="T89" s="44">
        <f>VLOOKUP(A89,'SSP_March''19'!$A$3:$T$1193,20,0)</f>
        <v>0</v>
      </c>
      <c r="U89" s="34">
        <f>VLOOKUP(A89,'SSP_March''19'!$A$3:$X$1193,21,0)</f>
        <v>0</v>
      </c>
      <c r="V89" s="34">
        <f>VLOOKUP(A89,'SSP_March''19'!$A$3:$X$1193,22,0)</f>
        <v>0</v>
      </c>
      <c r="W89" s="34">
        <f>VLOOKUP(A89,'SSP_March''19'!$A$3:$X$1193,23,0)</f>
        <v>0</v>
      </c>
      <c r="X89" s="34">
        <f>VLOOKUP(A89,'SSP_March''19'!$A$3:$X$1193,24,0)</f>
        <v>0</v>
      </c>
    </row>
    <row r="90" spans="1:24">
      <c r="A90" s="34" t="s">
        <v>3327</v>
      </c>
      <c r="B90" s="34" t="s">
        <v>3328</v>
      </c>
      <c r="C90" s="34" t="s">
        <v>188</v>
      </c>
      <c r="D90" s="34" t="s">
        <v>189</v>
      </c>
      <c r="E90" s="34" t="s">
        <v>2</v>
      </c>
      <c r="F90" s="34" t="s">
        <v>3329</v>
      </c>
      <c r="G90" s="54">
        <v>1985749224</v>
      </c>
      <c r="H90" s="54" t="s">
        <v>229</v>
      </c>
      <c r="I90" s="54" t="s">
        <v>3514</v>
      </c>
      <c r="J90" s="34" t="s">
        <v>3421</v>
      </c>
      <c r="K90" s="43">
        <f>VLOOKUP(A90,'SSP_March''19'!$A$3:$L$1193,11,0)</f>
        <v>130000</v>
      </c>
      <c r="L90" s="43">
        <f>VLOOKUP(A90,'SSP_March''19'!$A$3:$L$1193,12,0)</f>
        <v>31590</v>
      </c>
      <c r="M90" s="44">
        <f t="shared" si="9"/>
        <v>0.24299999999999999</v>
      </c>
      <c r="N90" s="49">
        <f>ROUND(VLOOKUP(A90,'SSP_March''19'!$A$3:$N$1193,14,0),0)</f>
        <v>97929</v>
      </c>
      <c r="O90" s="44">
        <f t="shared" si="10"/>
        <v>0.75329999999999997</v>
      </c>
      <c r="P90" s="45">
        <f>VLOOKUP(A90,'SSP_March''19'!$A$3:$Q$1193,16,0)</f>
        <v>10</v>
      </c>
      <c r="Q90" s="34">
        <f>VLOOKUP(A90,'SSP_March''19'!$A$3:$Q$1193,17,0)</f>
        <v>1</v>
      </c>
      <c r="R90" s="35">
        <f t="shared" si="11"/>
        <v>0.1</v>
      </c>
      <c r="S90" s="49">
        <f>ROUND(VLOOKUP(A90,'SSP_March''19'!$A$3:$T$1193,19,0),0)</f>
        <v>3</v>
      </c>
      <c r="T90" s="44">
        <f>VLOOKUP(A90,'SSP_March''19'!$A$3:$T$1193,20,0)</f>
        <v>0.3</v>
      </c>
      <c r="U90" s="34">
        <f>VLOOKUP(A90,'SSP_March''19'!$A$3:$X$1193,21,0)</f>
        <v>0</v>
      </c>
      <c r="V90" s="34">
        <f>VLOOKUP(A90,'SSP_March''19'!$A$3:$X$1193,22,0)</f>
        <v>0</v>
      </c>
      <c r="W90" s="34">
        <f>VLOOKUP(A90,'SSP_March''19'!$A$3:$X$1193,23,0)</f>
        <v>0</v>
      </c>
      <c r="X90" s="34">
        <f>VLOOKUP(A90,'SSP_March''19'!$A$3:$X$1193,24,0)</f>
        <v>0</v>
      </c>
    </row>
    <row r="91" spans="1:24">
      <c r="A91" s="75" t="s">
        <v>3650</v>
      </c>
      <c r="B91" s="75" t="s">
        <v>73</v>
      </c>
      <c r="C91" s="75" t="s">
        <v>188</v>
      </c>
      <c r="D91" s="75" t="s">
        <v>189</v>
      </c>
      <c r="E91" s="75" t="s">
        <v>2</v>
      </c>
      <c r="F91" s="75" t="s">
        <v>3651</v>
      </c>
      <c r="G91" s="67">
        <v>1713708298</v>
      </c>
      <c r="H91" s="54" t="s">
        <v>229</v>
      </c>
      <c r="I91" s="54" t="s">
        <v>3514</v>
      </c>
      <c r="J91" s="34" t="s">
        <v>3421</v>
      </c>
      <c r="K91" s="43">
        <f>VLOOKUP(A91,'SSP_March''19'!$A$3:$L$1193,11,0)</f>
        <v>130000</v>
      </c>
      <c r="L91" s="43">
        <f>VLOOKUP(A91,'SSP_March''19'!$A$3:$L$1193,12,0)</f>
        <v>15570</v>
      </c>
      <c r="M91" s="44">
        <f t="shared" si="9"/>
        <v>0.11976923076923077</v>
      </c>
      <c r="N91" s="49">
        <f>ROUND(VLOOKUP(A91,'SSP_March''19'!$A$3:$N$1193,14,0),0)</f>
        <v>48267</v>
      </c>
      <c r="O91" s="44">
        <f t="shared" si="10"/>
        <v>0.37128461538461538</v>
      </c>
      <c r="P91" s="45">
        <f>VLOOKUP(A91,'SSP_March''19'!$A$3:$Q$1193,16,0)</f>
        <v>10</v>
      </c>
      <c r="Q91" s="34">
        <f>VLOOKUP(A91,'SSP_March''19'!$A$3:$Q$1193,17,0)</f>
        <v>1</v>
      </c>
      <c r="R91" s="35">
        <f t="shared" si="11"/>
        <v>0.1</v>
      </c>
      <c r="S91" s="49">
        <f>ROUND(VLOOKUP(A91,'SSP_March''19'!$A$3:$T$1193,19,0),0)</f>
        <v>3</v>
      </c>
      <c r="T91" s="44">
        <f>VLOOKUP(A91,'SSP_March''19'!$A$3:$T$1193,20,0)</f>
        <v>0.3</v>
      </c>
      <c r="U91" s="34">
        <f>VLOOKUP(A91,'SSP_March''19'!$A$3:$X$1193,21,0)</f>
        <v>0</v>
      </c>
      <c r="V91" s="34">
        <f>VLOOKUP(A91,'SSP_March''19'!$A$3:$X$1193,22,0)</f>
        <v>0</v>
      </c>
      <c r="W91" s="34">
        <f>VLOOKUP(A91,'SSP_March''19'!$A$3:$X$1193,23,0)</f>
        <v>0</v>
      </c>
      <c r="X91" s="34">
        <f>VLOOKUP(A91,'SSP_March''19'!$A$3:$X$1193,24,0)</f>
        <v>0</v>
      </c>
    </row>
    <row r="92" spans="1:24">
      <c r="A92" s="34" t="s">
        <v>3207</v>
      </c>
      <c r="B92" s="34" t="s">
        <v>3208</v>
      </c>
      <c r="C92" s="34" t="s">
        <v>188</v>
      </c>
      <c r="D92" s="34" t="s">
        <v>189</v>
      </c>
      <c r="E92" s="34" t="s">
        <v>2</v>
      </c>
      <c r="F92" s="34" t="s">
        <v>3209</v>
      </c>
      <c r="G92" s="54">
        <v>1713712871</v>
      </c>
      <c r="H92" s="54" t="s">
        <v>229</v>
      </c>
      <c r="I92" s="54" t="s">
        <v>3514</v>
      </c>
      <c r="J92" s="34" t="s">
        <v>3419</v>
      </c>
      <c r="K92" s="43">
        <f>VLOOKUP(A92,'SSP_March''19'!$A$3:$L$1193,11,0)</f>
        <v>130000</v>
      </c>
      <c r="L92" s="43">
        <f>VLOOKUP(A92,'SSP_March''19'!$A$3:$L$1193,12,0)</f>
        <v>5390</v>
      </c>
      <c r="M92" s="44">
        <f t="shared" si="9"/>
        <v>4.1461538461538459E-2</v>
      </c>
      <c r="N92" s="49">
        <f>ROUND(VLOOKUP(A92,'SSP_March''19'!$A$3:$N$1193,14,0),0)</f>
        <v>16709</v>
      </c>
      <c r="O92" s="44">
        <f t="shared" si="10"/>
        <v>0.12853076923076923</v>
      </c>
      <c r="P92" s="45">
        <f>VLOOKUP(A92,'SSP_March''19'!$A$3:$Q$1193,16,0)</f>
        <v>10</v>
      </c>
      <c r="Q92" s="34">
        <f>VLOOKUP(A92,'SSP_March''19'!$A$3:$Q$1193,17,0)</f>
        <v>0</v>
      </c>
      <c r="R92" s="35">
        <f t="shared" si="11"/>
        <v>0</v>
      </c>
      <c r="S92" s="49">
        <f>ROUND(VLOOKUP(A92,'SSP_March''19'!$A$3:$T$1193,19,0),0)</f>
        <v>0</v>
      </c>
      <c r="T92" s="44">
        <f>VLOOKUP(A92,'SSP_March''19'!$A$3:$T$1193,20,0)</f>
        <v>0</v>
      </c>
      <c r="U92" s="34">
        <f>VLOOKUP(A92,'SSP_March''19'!$A$3:$X$1193,21,0)</f>
        <v>0</v>
      </c>
      <c r="V92" s="34">
        <f>VLOOKUP(A92,'SSP_March''19'!$A$3:$X$1193,22,0)</f>
        <v>0</v>
      </c>
      <c r="W92" s="34">
        <f>VLOOKUP(A92,'SSP_March''19'!$A$3:$X$1193,23,0)</f>
        <v>0</v>
      </c>
      <c r="X92" s="34">
        <f>VLOOKUP(A92,'SSP_March''19'!$A$3:$X$1193,24,0)</f>
        <v>0</v>
      </c>
    </row>
    <row r="93" spans="1:24">
      <c r="A93" s="34" t="s">
        <v>3204</v>
      </c>
      <c r="B93" s="34" t="s">
        <v>3205</v>
      </c>
      <c r="C93" s="34" t="s">
        <v>188</v>
      </c>
      <c r="D93" s="34" t="s">
        <v>189</v>
      </c>
      <c r="E93" s="34" t="s">
        <v>2</v>
      </c>
      <c r="F93" s="34" t="s">
        <v>3206</v>
      </c>
      <c r="G93" s="54">
        <v>1774232799</v>
      </c>
      <c r="H93" s="54" t="s">
        <v>229</v>
      </c>
      <c r="I93" s="54" t="s">
        <v>3514</v>
      </c>
      <c r="J93" s="34" t="s">
        <v>3421</v>
      </c>
      <c r="K93" s="43">
        <f>VLOOKUP(A93,'SSP_March''19'!$A$3:$L$1193,11,0)</f>
        <v>130000</v>
      </c>
      <c r="L93" s="43">
        <f>VLOOKUP(A93,'SSP_March''19'!$A$3:$L$1193,12,0)</f>
        <v>64390</v>
      </c>
      <c r="M93" s="44">
        <f t="shared" si="9"/>
        <v>0.49530769230769228</v>
      </c>
      <c r="N93" s="49">
        <f>ROUND(VLOOKUP(A93,'SSP_March''19'!$A$3:$N$1193,14,0),0)</f>
        <v>199609</v>
      </c>
      <c r="O93" s="44">
        <f t="shared" si="10"/>
        <v>1.5354538461538461</v>
      </c>
      <c r="P93" s="45">
        <f>VLOOKUP(A93,'SSP_March''19'!$A$3:$Q$1193,16,0)</f>
        <v>10</v>
      </c>
      <c r="Q93" s="34">
        <f>VLOOKUP(A93,'SSP_March''19'!$A$3:$Q$1193,17,0)</f>
        <v>3</v>
      </c>
      <c r="R93" s="35">
        <f t="shared" si="11"/>
        <v>0.3</v>
      </c>
      <c r="S93" s="49">
        <f>ROUND(VLOOKUP(A93,'SSP_March''19'!$A$3:$T$1193,19,0),0)</f>
        <v>9</v>
      </c>
      <c r="T93" s="44">
        <f>VLOOKUP(A93,'SSP_March''19'!$A$3:$T$1193,20,0)</f>
        <v>0.9</v>
      </c>
      <c r="U93" s="34">
        <f>VLOOKUP(A93,'SSP_March''19'!$A$3:$X$1193,21,0)</f>
        <v>1</v>
      </c>
      <c r="V93" s="34">
        <f>VLOOKUP(A93,'SSP_March''19'!$A$3:$X$1193,22,0)</f>
        <v>1</v>
      </c>
      <c r="W93" s="34">
        <f>VLOOKUP(A93,'SSP_March''19'!$A$3:$X$1193,23,0)</f>
        <v>0</v>
      </c>
      <c r="X93" s="34">
        <f>VLOOKUP(A93,'SSP_March''19'!$A$3:$X$1193,24,0)</f>
        <v>1</v>
      </c>
    </row>
    <row r="94" spans="1:24">
      <c r="A94" s="34" t="s">
        <v>1411</v>
      </c>
      <c r="B94" s="34" t="s">
        <v>82</v>
      </c>
      <c r="C94" s="34" t="s">
        <v>188</v>
      </c>
      <c r="D94" s="34" t="s">
        <v>189</v>
      </c>
      <c r="E94" s="34" t="s">
        <v>2</v>
      </c>
      <c r="F94" s="34" t="s">
        <v>1412</v>
      </c>
      <c r="G94" s="54">
        <v>1717675447</v>
      </c>
      <c r="H94" s="54" t="s">
        <v>229</v>
      </c>
      <c r="I94" s="54" t="s">
        <v>3514</v>
      </c>
      <c r="J94" s="34" t="s">
        <v>3421</v>
      </c>
      <c r="K94" s="43">
        <f>VLOOKUP(A94,'SSP_March''19'!$A$3:$L$1193,11,0)</f>
        <v>130000</v>
      </c>
      <c r="L94" s="43">
        <f>VLOOKUP(A94,'SSP_March''19'!$A$3:$L$1193,12,0)</f>
        <v>51100</v>
      </c>
      <c r="M94" s="44">
        <f t="shared" si="9"/>
        <v>0.3930769230769231</v>
      </c>
      <c r="N94" s="49">
        <f>ROUND(VLOOKUP(A94,'SSP_March''19'!$A$3:$N$1193,14,0),0)</f>
        <v>158410</v>
      </c>
      <c r="O94" s="44">
        <f t="shared" si="10"/>
        <v>1.2185384615384616</v>
      </c>
      <c r="P94" s="45">
        <f>VLOOKUP(A94,'SSP_March''19'!$A$3:$Q$1193,16,0)</f>
        <v>10</v>
      </c>
      <c r="Q94" s="34">
        <f>VLOOKUP(A94,'SSP_March''19'!$A$3:$Q$1193,17,0)</f>
        <v>6</v>
      </c>
      <c r="R94" s="35">
        <f t="shared" si="11"/>
        <v>0.6</v>
      </c>
      <c r="S94" s="49">
        <f>ROUND(VLOOKUP(A94,'SSP_March''19'!$A$3:$T$1193,19,0),0)</f>
        <v>19</v>
      </c>
      <c r="T94" s="44">
        <f>VLOOKUP(A94,'SSP_March''19'!$A$3:$T$1193,20,0)</f>
        <v>1.9</v>
      </c>
      <c r="U94" s="34">
        <f>VLOOKUP(A94,'SSP_March''19'!$A$3:$X$1193,21,0)</f>
        <v>1</v>
      </c>
      <c r="V94" s="34">
        <f>VLOOKUP(A94,'SSP_March''19'!$A$3:$X$1193,22,0)</f>
        <v>1</v>
      </c>
      <c r="W94" s="34">
        <f>VLOOKUP(A94,'SSP_March''19'!$A$3:$X$1193,23,0)</f>
        <v>0</v>
      </c>
      <c r="X94" s="34">
        <f>VLOOKUP(A94,'SSP_March''19'!$A$3:$X$1193,24,0)</f>
        <v>0</v>
      </c>
    </row>
    <row r="95" spans="1:24">
      <c r="A95" s="34" t="s">
        <v>1343</v>
      </c>
      <c r="B95" s="34" t="s">
        <v>1344</v>
      </c>
      <c r="C95" s="34" t="s">
        <v>188</v>
      </c>
      <c r="D95" s="34" t="s">
        <v>189</v>
      </c>
      <c r="E95" s="34" t="s">
        <v>2</v>
      </c>
      <c r="F95" s="34" t="s">
        <v>1345</v>
      </c>
      <c r="G95" s="54">
        <v>1716243697</v>
      </c>
      <c r="H95" s="54" t="s">
        <v>229</v>
      </c>
      <c r="I95" s="54" t="s">
        <v>3518</v>
      </c>
      <c r="J95" s="34" t="s">
        <v>3419</v>
      </c>
      <c r="K95" s="43">
        <f>VLOOKUP(A95,'SSP_March''19'!$A$3:$L$1193,11,0)</f>
        <v>300000</v>
      </c>
      <c r="L95" s="43">
        <f>VLOOKUP(A95,'SSP_March''19'!$A$3:$L$1193,12,0)</f>
        <v>118580</v>
      </c>
      <c r="M95" s="44">
        <f t="shared" si="9"/>
        <v>0.39526666666666666</v>
      </c>
      <c r="N95" s="49">
        <f>ROUND(VLOOKUP(A95,'SSP_March''19'!$A$3:$N$1193,14,0),0)</f>
        <v>367598</v>
      </c>
      <c r="O95" s="44">
        <f t="shared" si="10"/>
        <v>1.2253266666666667</v>
      </c>
      <c r="P95" s="45">
        <f>VLOOKUP(A95,'SSP_March''19'!$A$3:$Q$1193,16,0)</f>
        <v>17</v>
      </c>
      <c r="Q95" s="34">
        <f>VLOOKUP(A95,'SSP_March''19'!$A$3:$Q$1193,17,0)</f>
        <v>6</v>
      </c>
      <c r="R95" s="35">
        <f t="shared" si="11"/>
        <v>0.35294117647058826</v>
      </c>
      <c r="S95" s="49">
        <f>ROUND(VLOOKUP(A95,'SSP_March''19'!$A$3:$T$1193,19,0),0)</f>
        <v>19</v>
      </c>
      <c r="T95" s="44">
        <f>VLOOKUP(A95,'SSP_March''19'!$A$3:$T$1193,20,0)</f>
        <v>1.1176470588235294</v>
      </c>
      <c r="U95" s="34">
        <f>VLOOKUP(A95,'SSP_March''19'!$A$3:$X$1193,21,0)</f>
        <v>2</v>
      </c>
      <c r="V95" s="34">
        <f>VLOOKUP(A95,'SSP_March''19'!$A$3:$X$1193,22,0)</f>
        <v>0</v>
      </c>
      <c r="W95" s="34">
        <f>VLOOKUP(A95,'SSP_March''19'!$A$3:$X$1193,23,0)</f>
        <v>0</v>
      </c>
      <c r="X95" s="34">
        <f>VLOOKUP(A95,'SSP_March''19'!$A$3:$X$1193,24,0)</f>
        <v>0</v>
      </c>
    </row>
    <row r="96" spans="1:24">
      <c r="A96" s="75" t="s">
        <v>3652</v>
      </c>
      <c r="B96" s="75" t="s">
        <v>3653</v>
      </c>
      <c r="C96" s="75" t="s">
        <v>188</v>
      </c>
      <c r="D96" s="75" t="s">
        <v>189</v>
      </c>
      <c r="E96" s="75" t="s">
        <v>2</v>
      </c>
      <c r="F96" s="75" t="s">
        <v>3654</v>
      </c>
      <c r="G96" s="67">
        <v>1706348864</v>
      </c>
      <c r="H96" s="54" t="s">
        <v>229</v>
      </c>
      <c r="I96" s="54" t="s">
        <v>3514</v>
      </c>
      <c r="J96" s="34" t="s">
        <v>3421</v>
      </c>
      <c r="K96" s="43">
        <f>VLOOKUP(A96,'SSP_March''19'!$A$3:$L$1193,11,0)</f>
        <v>130000</v>
      </c>
      <c r="L96" s="43">
        <f>VLOOKUP(A96,'SSP_March''19'!$A$3:$L$1193,12,0)</f>
        <v>40280</v>
      </c>
      <c r="M96" s="44">
        <f t="shared" si="9"/>
        <v>0.30984615384615383</v>
      </c>
      <c r="N96" s="49">
        <f>ROUND(VLOOKUP(A96,'SSP_March''19'!$A$3:$N$1193,14,0),0)</f>
        <v>124868</v>
      </c>
      <c r="O96" s="44">
        <f t="shared" si="10"/>
        <v>0.96052307692307692</v>
      </c>
      <c r="P96" s="45">
        <f>VLOOKUP(A96,'SSP_March''19'!$A$3:$Q$1193,16,0)</f>
        <v>10</v>
      </c>
      <c r="Q96" s="34">
        <f>VLOOKUP(A96,'SSP_March''19'!$A$3:$Q$1193,17,0)</f>
        <v>3</v>
      </c>
      <c r="R96" s="35">
        <f t="shared" si="11"/>
        <v>0.3</v>
      </c>
      <c r="S96" s="49">
        <f>ROUND(VLOOKUP(A96,'SSP_March''19'!$A$3:$T$1193,19,0),0)</f>
        <v>9</v>
      </c>
      <c r="T96" s="44">
        <f>VLOOKUP(A96,'SSP_March''19'!$A$3:$T$1193,20,0)</f>
        <v>0.9</v>
      </c>
      <c r="U96" s="34">
        <f>VLOOKUP(A96,'SSP_March''19'!$A$3:$X$1193,21,0)</f>
        <v>0</v>
      </c>
      <c r="V96" s="34">
        <f>VLOOKUP(A96,'SSP_March''19'!$A$3:$X$1193,22,0)</f>
        <v>1</v>
      </c>
      <c r="W96" s="34">
        <f>VLOOKUP(A96,'SSP_March''19'!$A$3:$X$1193,23,0)</f>
        <v>0</v>
      </c>
      <c r="X96" s="34">
        <f>VLOOKUP(A96,'SSP_March''19'!$A$3:$X$1193,24,0)</f>
        <v>0</v>
      </c>
    </row>
    <row r="97" spans="1:24">
      <c r="A97" s="34" t="s">
        <v>1328</v>
      </c>
      <c r="B97" s="34" t="s">
        <v>1329</v>
      </c>
      <c r="C97" s="34" t="s">
        <v>188</v>
      </c>
      <c r="D97" s="34" t="s">
        <v>189</v>
      </c>
      <c r="E97" s="34" t="s">
        <v>2</v>
      </c>
      <c r="F97" s="34" t="s">
        <v>1330</v>
      </c>
      <c r="G97" s="54">
        <v>1854926463</v>
      </c>
      <c r="H97" s="54" t="s">
        <v>229</v>
      </c>
      <c r="I97" s="54" t="s">
        <v>3514</v>
      </c>
      <c r="J97" s="34" t="s">
        <v>3515</v>
      </c>
      <c r="K97" s="43">
        <f>VLOOKUP(A97,'SSP_March''19'!$A$3:$L$1193,11,0)</f>
        <v>275000</v>
      </c>
      <c r="L97" s="43">
        <f>VLOOKUP(A97,'SSP_March''19'!$A$3:$L$1193,12,0)</f>
        <v>73230</v>
      </c>
      <c r="M97" s="44">
        <f t="shared" si="9"/>
        <v>0.26629090909090908</v>
      </c>
      <c r="N97" s="49">
        <f>ROUND(VLOOKUP(A97,'SSP_March''19'!$A$3:$N$1193,14,0),0)</f>
        <v>227013</v>
      </c>
      <c r="O97" s="44">
        <f t="shared" si="10"/>
        <v>0.82550181818181823</v>
      </c>
      <c r="P97" s="45">
        <f>VLOOKUP(A97,'SSP_March''19'!$A$3:$Q$1193,16,0)</f>
        <v>20</v>
      </c>
      <c r="Q97" s="34">
        <f>VLOOKUP(A97,'SSP_March''19'!$A$3:$Q$1193,17,0)</f>
        <v>6</v>
      </c>
      <c r="R97" s="35">
        <f t="shared" si="11"/>
        <v>0.3</v>
      </c>
      <c r="S97" s="49">
        <f>ROUND(VLOOKUP(A97,'SSP_March''19'!$A$3:$T$1193,19,0),0)</f>
        <v>19</v>
      </c>
      <c r="T97" s="44">
        <f>VLOOKUP(A97,'SSP_March''19'!$A$3:$T$1193,20,0)</f>
        <v>0.95</v>
      </c>
      <c r="U97" s="34">
        <f>VLOOKUP(A97,'SSP_March''19'!$A$3:$X$1193,21,0)</f>
        <v>0</v>
      </c>
      <c r="V97" s="34">
        <f>VLOOKUP(A97,'SSP_March''19'!$A$3:$X$1193,22,0)</f>
        <v>1</v>
      </c>
      <c r="W97" s="34">
        <f>VLOOKUP(A97,'SSP_March''19'!$A$3:$X$1193,23,0)</f>
        <v>0</v>
      </c>
      <c r="X97" s="34">
        <f>VLOOKUP(A97,'SSP_March''19'!$A$3:$X$1193,24,0)</f>
        <v>0</v>
      </c>
    </row>
    <row r="98" spans="1:24">
      <c r="A98" s="34" t="s">
        <v>3501</v>
      </c>
      <c r="B98" s="34" t="s">
        <v>3502</v>
      </c>
      <c r="C98" s="34" t="s">
        <v>188</v>
      </c>
      <c r="D98" s="34" t="s">
        <v>189</v>
      </c>
      <c r="E98" s="34" t="s">
        <v>2</v>
      </c>
      <c r="F98" s="34" t="s">
        <v>3503</v>
      </c>
      <c r="G98" s="54">
        <v>1718532619</v>
      </c>
      <c r="H98" s="54" t="s">
        <v>229</v>
      </c>
      <c r="I98" s="54" t="s">
        <v>3514</v>
      </c>
      <c r="J98" s="34" t="s">
        <v>3515</v>
      </c>
      <c r="K98" s="43">
        <f>VLOOKUP(A98,'SSP_March''19'!$A$3:$L$1193,11,0)</f>
        <v>250000</v>
      </c>
      <c r="L98" s="43">
        <f>VLOOKUP(A98,'SSP_March''19'!$A$3:$L$1193,12,0)</f>
        <v>57475</v>
      </c>
      <c r="M98" s="44">
        <f t="shared" si="9"/>
        <v>0.22989999999999999</v>
      </c>
      <c r="N98" s="49">
        <f>ROUND(VLOOKUP(A98,'SSP_March''19'!$A$3:$N$1193,14,0),0)</f>
        <v>178173</v>
      </c>
      <c r="O98" s="44">
        <f t="shared" si="10"/>
        <v>0.71269199999999999</v>
      </c>
      <c r="P98" s="45">
        <f>VLOOKUP(A98,'SSP_March''19'!$A$3:$Q$1193,16,0)</f>
        <v>19</v>
      </c>
      <c r="Q98" s="34">
        <f>VLOOKUP(A98,'SSP_March''19'!$A$3:$Q$1193,17,0)</f>
        <v>4</v>
      </c>
      <c r="R98" s="35">
        <f t="shared" si="11"/>
        <v>0.21052631578947367</v>
      </c>
      <c r="S98" s="49">
        <f>ROUND(VLOOKUP(A98,'SSP_March''19'!$A$3:$T$1193,19,0),0)</f>
        <v>12</v>
      </c>
      <c r="T98" s="44">
        <f>VLOOKUP(A98,'SSP_March''19'!$A$3:$T$1193,20,0)</f>
        <v>0.63157894736842102</v>
      </c>
      <c r="U98" s="34">
        <f>VLOOKUP(A98,'SSP_March''19'!$A$3:$X$1193,21,0)</f>
        <v>0</v>
      </c>
      <c r="V98" s="34">
        <f>VLOOKUP(A98,'SSP_March''19'!$A$3:$X$1193,22,0)</f>
        <v>1</v>
      </c>
      <c r="W98" s="34">
        <f>VLOOKUP(A98,'SSP_March''19'!$A$3:$X$1193,23,0)</f>
        <v>0</v>
      </c>
      <c r="X98" s="34">
        <f>VLOOKUP(A98,'SSP_March''19'!$A$3:$X$1193,24,0)</f>
        <v>0</v>
      </c>
    </row>
    <row r="99" spans="1:24">
      <c r="A99" s="34" t="s">
        <v>1441</v>
      </c>
      <c r="B99" s="34" t="s">
        <v>158</v>
      </c>
      <c r="C99" s="34" t="s">
        <v>1302</v>
      </c>
      <c r="D99" s="34" t="s">
        <v>189</v>
      </c>
      <c r="E99" s="34" t="s">
        <v>2</v>
      </c>
      <c r="F99" s="34" t="s">
        <v>1442</v>
      </c>
      <c r="G99" s="54">
        <v>1734411487</v>
      </c>
      <c r="H99" s="54" t="s">
        <v>229</v>
      </c>
      <c r="I99" s="54" t="s">
        <v>3514</v>
      </c>
      <c r="J99" s="34" t="s">
        <v>3419</v>
      </c>
      <c r="K99" s="43">
        <f>VLOOKUP(A99,'SSP_March''19'!$A$3:$L$1193,11,0)</f>
        <v>200000</v>
      </c>
      <c r="L99" s="43">
        <f>VLOOKUP(A99,'SSP_March''19'!$A$3:$L$1193,12,0)</f>
        <v>56894</v>
      </c>
      <c r="M99" s="44">
        <f t="shared" si="9"/>
        <v>0.28447</v>
      </c>
      <c r="N99" s="49">
        <f>ROUND(VLOOKUP(A99,'SSP_March''19'!$A$3:$N$1193,14,0),0)</f>
        <v>176371</v>
      </c>
      <c r="O99" s="44">
        <f t="shared" si="10"/>
        <v>0.88185500000000006</v>
      </c>
      <c r="P99" s="45">
        <f>VLOOKUP(A99,'SSP_March''19'!$A$3:$Q$1193,16,0)</f>
        <v>13</v>
      </c>
      <c r="Q99" s="34">
        <f>VLOOKUP(A99,'SSP_March''19'!$A$3:$Q$1193,17,0)</f>
        <v>3</v>
      </c>
      <c r="R99" s="35">
        <f t="shared" si="11"/>
        <v>0.23076923076923078</v>
      </c>
      <c r="S99" s="49">
        <f>ROUND(VLOOKUP(A99,'SSP_March''19'!$A$3:$T$1193,19,0),0)</f>
        <v>9</v>
      </c>
      <c r="T99" s="44">
        <f>VLOOKUP(A99,'SSP_March''19'!$A$3:$T$1193,20,0)</f>
        <v>0.69230769230769229</v>
      </c>
      <c r="U99" s="34">
        <f>VLOOKUP(A99,'SSP_March''19'!$A$3:$X$1193,21,0)</f>
        <v>0</v>
      </c>
      <c r="V99" s="34">
        <f>VLOOKUP(A99,'SSP_March''19'!$A$3:$X$1193,22,0)</f>
        <v>1</v>
      </c>
      <c r="W99" s="34">
        <f>VLOOKUP(A99,'SSP_March''19'!$A$3:$X$1193,23,0)</f>
        <v>0</v>
      </c>
      <c r="X99" s="34">
        <f>VLOOKUP(A99,'SSP_March''19'!$A$3:$X$1193,24,0)</f>
        <v>0</v>
      </c>
    </row>
    <row r="100" spans="1:24">
      <c r="A100" s="34" t="s">
        <v>1484</v>
      </c>
      <c r="B100" s="34" t="s">
        <v>1485</v>
      </c>
      <c r="C100" s="34" t="s">
        <v>1302</v>
      </c>
      <c r="D100" s="34" t="s">
        <v>189</v>
      </c>
      <c r="E100" s="34" t="s">
        <v>2</v>
      </c>
      <c r="F100" s="34" t="s">
        <v>1486</v>
      </c>
      <c r="G100" s="54">
        <v>1735751113</v>
      </c>
      <c r="H100" s="54" t="s">
        <v>229</v>
      </c>
      <c r="I100" s="54" t="s">
        <v>3514</v>
      </c>
      <c r="J100" s="34" t="s">
        <v>3421</v>
      </c>
      <c r="K100" s="43">
        <f>VLOOKUP(A100,'SSP_March''19'!$A$3:$L$1193,11,0)</f>
        <v>130000</v>
      </c>
      <c r="L100" s="43">
        <f>VLOOKUP(A100,'SSP_March''19'!$A$3:$L$1193,12,0)</f>
        <v>32099</v>
      </c>
      <c r="M100" s="44">
        <f t="shared" si="9"/>
        <v>0.24691538461538462</v>
      </c>
      <c r="N100" s="49">
        <f>ROUND(VLOOKUP(A100,'SSP_March''19'!$A$3:$N$1193,14,0),0)</f>
        <v>99507</v>
      </c>
      <c r="O100" s="44">
        <f t="shared" si="10"/>
        <v>0.76543846153846151</v>
      </c>
      <c r="P100" s="45">
        <f>VLOOKUP(A100,'SSP_March''19'!$A$3:$Q$1193,16,0)</f>
        <v>10</v>
      </c>
      <c r="Q100" s="34">
        <f>VLOOKUP(A100,'SSP_March''19'!$A$3:$Q$1193,17,0)</f>
        <v>2</v>
      </c>
      <c r="R100" s="35">
        <f t="shared" si="11"/>
        <v>0.2</v>
      </c>
      <c r="S100" s="49">
        <f>ROUND(VLOOKUP(A100,'SSP_March''19'!$A$3:$T$1193,19,0),0)</f>
        <v>6</v>
      </c>
      <c r="T100" s="44">
        <f>VLOOKUP(A100,'SSP_March''19'!$A$3:$T$1193,20,0)</f>
        <v>0.6</v>
      </c>
      <c r="U100" s="34">
        <f>VLOOKUP(A100,'SSP_March''19'!$A$3:$X$1193,21,0)</f>
        <v>0</v>
      </c>
      <c r="V100" s="34">
        <f>VLOOKUP(A100,'SSP_March''19'!$A$3:$X$1193,22,0)</f>
        <v>0</v>
      </c>
      <c r="W100" s="34">
        <f>VLOOKUP(A100,'SSP_March''19'!$A$3:$X$1193,23,0)</f>
        <v>0</v>
      </c>
      <c r="X100" s="34">
        <f>VLOOKUP(A100,'SSP_March''19'!$A$3:$X$1193,24,0)</f>
        <v>0</v>
      </c>
    </row>
    <row r="101" spans="1:24">
      <c r="A101" s="34" t="s">
        <v>1325</v>
      </c>
      <c r="B101" s="34" t="s">
        <v>1326</v>
      </c>
      <c r="C101" s="34" t="s">
        <v>1302</v>
      </c>
      <c r="D101" s="34" t="s">
        <v>189</v>
      </c>
      <c r="E101" s="34" t="s">
        <v>2</v>
      </c>
      <c r="F101" s="34" t="s">
        <v>1327</v>
      </c>
      <c r="G101" s="54">
        <v>1723410986</v>
      </c>
      <c r="H101" s="54" t="s">
        <v>229</v>
      </c>
      <c r="I101" s="54" t="s">
        <v>3518</v>
      </c>
      <c r="J101" s="34" t="s">
        <v>3419</v>
      </c>
      <c r="K101" s="43">
        <f>VLOOKUP(A101,'SSP_March''19'!$A$3:$L$1193,11,0)</f>
        <v>345734</v>
      </c>
      <c r="L101" s="43">
        <f>VLOOKUP(A101,'SSP_March''19'!$A$3:$L$1193,12,0)</f>
        <v>136760</v>
      </c>
      <c r="M101" s="44">
        <f t="shared" ref="M101:M107" si="12">L101/K101</f>
        <v>0.39556421989159296</v>
      </c>
      <c r="N101" s="49">
        <f>ROUND(VLOOKUP(A101,'SSP_March''19'!$A$3:$N$1193,14,0),0)</f>
        <v>423956</v>
      </c>
      <c r="O101" s="44">
        <f t="shared" ref="O101:O107" si="13">N101/K101</f>
        <v>1.2262490816639382</v>
      </c>
      <c r="P101" s="45">
        <f>VLOOKUP(A101,'SSP_March''19'!$A$3:$Q$1193,16,0)</f>
        <v>18</v>
      </c>
      <c r="Q101" s="34">
        <f>VLOOKUP(A101,'SSP_March''19'!$A$3:$Q$1193,17,0)</f>
        <v>8</v>
      </c>
      <c r="R101" s="35">
        <f t="shared" ref="R101:R107" si="14">Q101/P101</f>
        <v>0.44444444444444442</v>
      </c>
      <c r="S101" s="49">
        <f>ROUND(VLOOKUP(A101,'SSP_March''19'!$A$3:$T$1193,19,0),0)</f>
        <v>25</v>
      </c>
      <c r="T101" s="44">
        <f>VLOOKUP(A101,'SSP_March''19'!$A$3:$T$1193,20,0)</f>
        <v>1.3888888888888888</v>
      </c>
      <c r="U101" s="34">
        <f>VLOOKUP(A101,'SSP_March''19'!$A$3:$X$1193,21,0)</f>
        <v>0</v>
      </c>
      <c r="V101" s="34">
        <f>VLOOKUP(A101,'SSP_March''19'!$A$3:$X$1193,22,0)</f>
        <v>2</v>
      </c>
      <c r="W101" s="34">
        <f>VLOOKUP(A101,'SSP_March''19'!$A$3:$X$1193,23,0)</f>
        <v>0</v>
      </c>
      <c r="X101" s="34">
        <f>VLOOKUP(A101,'SSP_March''19'!$A$3:$X$1193,24,0)</f>
        <v>0</v>
      </c>
    </row>
    <row r="102" spans="1:24">
      <c r="A102" s="34" t="s">
        <v>1368</v>
      </c>
      <c r="B102" s="34" t="s">
        <v>1369</v>
      </c>
      <c r="C102" s="34" t="s">
        <v>1302</v>
      </c>
      <c r="D102" s="34" t="s">
        <v>189</v>
      </c>
      <c r="E102" s="34" t="s">
        <v>2</v>
      </c>
      <c r="F102" s="34" t="s">
        <v>1370</v>
      </c>
      <c r="G102" s="54">
        <v>1717675711</v>
      </c>
      <c r="H102" s="54" t="s">
        <v>229</v>
      </c>
      <c r="I102" s="54" t="s">
        <v>3514</v>
      </c>
      <c r="J102" s="34" t="s">
        <v>3419</v>
      </c>
      <c r="K102" s="43">
        <f>VLOOKUP(A102,'SSP_March''19'!$A$3:$L$1193,11,0)</f>
        <v>170000</v>
      </c>
      <c r="L102" s="43">
        <f>VLOOKUP(A102,'SSP_March''19'!$A$3:$L$1193,12,0)</f>
        <v>113015</v>
      </c>
      <c r="M102" s="44">
        <f t="shared" ref="M102:M104" si="15">L102/K102</f>
        <v>0.66479411764705887</v>
      </c>
      <c r="N102" s="49">
        <f>ROUND(VLOOKUP(A102,'SSP_March''19'!$A$3:$N$1193,14,0),0)</f>
        <v>350347</v>
      </c>
      <c r="O102" s="44">
        <f t="shared" ref="O102:O104" si="16">N102/K102</f>
        <v>2.060864705882353</v>
      </c>
      <c r="P102" s="45">
        <f>VLOOKUP(A102,'SSP_March''19'!$A$3:$Q$1193,16,0)</f>
        <v>10</v>
      </c>
      <c r="Q102" s="34">
        <f>VLOOKUP(A102,'SSP_March''19'!$A$3:$Q$1193,17,0)</f>
        <v>10</v>
      </c>
      <c r="R102" s="35">
        <f t="shared" ref="R102:R104" si="17">Q102/P102</f>
        <v>1</v>
      </c>
      <c r="S102" s="49">
        <f>ROUND(VLOOKUP(A102,'SSP_March''19'!$A$3:$T$1193,19,0),0)</f>
        <v>31</v>
      </c>
      <c r="T102" s="44">
        <f>VLOOKUP(A102,'SSP_March''19'!$A$3:$T$1193,20,0)</f>
        <v>3.1</v>
      </c>
      <c r="U102" s="34">
        <f>VLOOKUP(A102,'SSP_March''19'!$A$3:$X$1193,21,0)</f>
        <v>1</v>
      </c>
      <c r="V102" s="34">
        <f>VLOOKUP(A102,'SSP_March''19'!$A$3:$X$1193,22,0)</f>
        <v>2</v>
      </c>
      <c r="W102" s="34">
        <f>VLOOKUP(A102,'SSP_March''19'!$A$3:$X$1193,23,0)</f>
        <v>0</v>
      </c>
      <c r="X102" s="34">
        <f>VLOOKUP(A102,'SSP_March''19'!$A$3:$X$1193,24,0)</f>
        <v>0</v>
      </c>
    </row>
    <row r="103" spans="1:24">
      <c r="A103" s="34" t="s">
        <v>3129</v>
      </c>
      <c r="B103" s="34" t="s">
        <v>3130</v>
      </c>
      <c r="C103" s="34" t="s">
        <v>1302</v>
      </c>
      <c r="D103" s="34" t="s">
        <v>189</v>
      </c>
      <c r="E103" s="34" t="s">
        <v>2</v>
      </c>
      <c r="F103" s="34" t="s">
        <v>3131</v>
      </c>
      <c r="G103" s="54">
        <v>1725495699</v>
      </c>
      <c r="H103" s="54" t="s">
        <v>229</v>
      </c>
      <c r="I103" s="54" t="s">
        <v>3514</v>
      </c>
      <c r="J103" s="34" t="s">
        <v>3421</v>
      </c>
      <c r="K103" s="43">
        <f>VLOOKUP(A103,'SSP_March''19'!$A$3:$L$1193,11,0)</f>
        <v>130000</v>
      </c>
      <c r="L103" s="43">
        <f>VLOOKUP(A103,'SSP_March''19'!$A$3:$L$1193,12,0)</f>
        <v>36080</v>
      </c>
      <c r="M103" s="44">
        <f t="shared" si="15"/>
        <v>0.27753846153846151</v>
      </c>
      <c r="N103" s="49">
        <f>ROUND(VLOOKUP(A103,'SSP_March''19'!$A$3:$N$1193,14,0),0)</f>
        <v>111848</v>
      </c>
      <c r="O103" s="44">
        <f t="shared" si="16"/>
        <v>0.86036923076923078</v>
      </c>
      <c r="P103" s="45">
        <f>VLOOKUP(A103,'SSP_March''19'!$A$3:$Q$1193,16,0)</f>
        <v>10</v>
      </c>
      <c r="Q103" s="34">
        <f>VLOOKUP(A103,'SSP_March''19'!$A$3:$Q$1193,17,0)</f>
        <v>1</v>
      </c>
      <c r="R103" s="35">
        <f t="shared" si="17"/>
        <v>0.1</v>
      </c>
      <c r="S103" s="49">
        <f>ROUND(VLOOKUP(A103,'SSP_March''19'!$A$3:$T$1193,19,0),0)</f>
        <v>3</v>
      </c>
      <c r="T103" s="44">
        <f>VLOOKUP(A103,'SSP_March''19'!$A$3:$T$1193,20,0)</f>
        <v>0.3</v>
      </c>
      <c r="U103" s="34">
        <f>VLOOKUP(A103,'SSP_March''19'!$A$3:$X$1193,21,0)</f>
        <v>1</v>
      </c>
      <c r="V103" s="34">
        <f>VLOOKUP(A103,'SSP_March''19'!$A$3:$X$1193,22,0)</f>
        <v>0</v>
      </c>
      <c r="W103" s="34">
        <f>VLOOKUP(A103,'SSP_March''19'!$A$3:$X$1193,23,0)</f>
        <v>0</v>
      </c>
      <c r="X103" s="34">
        <f>VLOOKUP(A103,'SSP_March''19'!$A$3:$X$1193,24,0)</f>
        <v>0</v>
      </c>
    </row>
    <row r="104" spans="1:24">
      <c r="A104" s="34" t="s">
        <v>1355</v>
      </c>
      <c r="B104" s="34" t="s">
        <v>337</v>
      </c>
      <c r="C104" s="34" t="s">
        <v>1302</v>
      </c>
      <c r="D104" s="34" t="s">
        <v>189</v>
      </c>
      <c r="E104" s="34" t="s">
        <v>2</v>
      </c>
      <c r="F104" s="34" t="s">
        <v>1356</v>
      </c>
      <c r="G104" s="54">
        <v>1745194303</v>
      </c>
      <c r="H104" s="54" t="s">
        <v>229</v>
      </c>
      <c r="I104" s="54" t="s">
        <v>3514</v>
      </c>
      <c r="J104" s="34" t="s">
        <v>3419</v>
      </c>
      <c r="K104" s="43">
        <f>VLOOKUP(A104,'SSP_March''19'!$A$3:$L$1193,11,0)</f>
        <v>190000</v>
      </c>
      <c r="L104" s="43">
        <f>VLOOKUP(A104,'SSP_March''19'!$A$3:$L$1193,12,0)</f>
        <v>55120</v>
      </c>
      <c r="M104" s="44">
        <f t="shared" si="15"/>
        <v>0.29010526315789475</v>
      </c>
      <c r="N104" s="49">
        <f>ROUND(VLOOKUP(A104,'SSP_March''19'!$A$3:$N$1193,14,0),0)</f>
        <v>170872</v>
      </c>
      <c r="O104" s="44">
        <f t="shared" si="16"/>
        <v>0.89932631578947364</v>
      </c>
      <c r="P104" s="45">
        <f>VLOOKUP(A104,'SSP_March''19'!$A$3:$Q$1193,16,0)</f>
        <v>10</v>
      </c>
      <c r="Q104" s="34">
        <f>VLOOKUP(A104,'SSP_March''19'!$A$3:$Q$1193,17,0)</f>
        <v>3</v>
      </c>
      <c r="R104" s="35">
        <f t="shared" si="17"/>
        <v>0.3</v>
      </c>
      <c r="S104" s="49">
        <f>ROUND(VLOOKUP(A104,'SSP_March''19'!$A$3:$T$1193,19,0),0)</f>
        <v>9</v>
      </c>
      <c r="T104" s="44">
        <f>VLOOKUP(A104,'SSP_March''19'!$A$3:$T$1193,20,0)</f>
        <v>0.9</v>
      </c>
      <c r="U104" s="34">
        <f>VLOOKUP(A104,'SSP_March''19'!$A$3:$X$1193,21,0)</f>
        <v>0</v>
      </c>
      <c r="V104" s="34">
        <f>VLOOKUP(A104,'SSP_March''19'!$A$3:$X$1193,22,0)</f>
        <v>0</v>
      </c>
      <c r="W104" s="34">
        <f>VLOOKUP(A104,'SSP_March''19'!$A$3:$X$1193,23,0)</f>
        <v>0</v>
      </c>
      <c r="X104" s="34">
        <f>VLOOKUP(A104,'SSP_March''19'!$A$3:$X$1193,24,0)</f>
        <v>0</v>
      </c>
    </row>
    <row r="105" spans="1:24">
      <c r="A105" s="34" t="s">
        <v>1380</v>
      </c>
      <c r="B105" s="34" t="s">
        <v>1381</v>
      </c>
      <c r="C105" s="34" t="s">
        <v>1302</v>
      </c>
      <c r="D105" s="34" t="s">
        <v>189</v>
      </c>
      <c r="E105" s="34" t="s">
        <v>2</v>
      </c>
      <c r="F105" s="34" t="s">
        <v>1382</v>
      </c>
      <c r="G105" s="54">
        <v>1730902476</v>
      </c>
      <c r="H105" s="54" t="s">
        <v>229</v>
      </c>
      <c r="I105" s="54" t="s">
        <v>3514</v>
      </c>
      <c r="J105" s="34" t="s">
        <v>3419</v>
      </c>
      <c r="K105" s="43">
        <f>VLOOKUP(A105,'SSP_March''19'!$A$3:$L$1193,11,0)</f>
        <v>250000</v>
      </c>
      <c r="L105" s="43">
        <f>VLOOKUP(A105,'SSP_March''19'!$A$3:$L$1193,12,0)</f>
        <v>55209</v>
      </c>
      <c r="M105" s="44">
        <f t="shared" si="12"/>
        <v>0.220836</v>
      </c>
      <c r="N105" s="49">
        <f>ROUND(VLOOKUP(A105,'SSP_March''19'!$A$3:$N$1193,14,0),0)</f>
        <v>171148</v>
      </c>
      <c r="O105" s="44">
        <f t="shared" si="13"/>
        <v>0.68459199999999998</v>
      </c>
      <c r="P105" s="45">
        <f>VLOOKUP(A105,'SSP_March''19'!$A$3:$Q$1193,16,0)</f>
        <v>15</v>
      </c>
      <c r="Q105" s="34">
        <f>VLOOKUP(A105,'SSP_March''19'!$A$3:$Q$1193,17,0)</f>
        <v>4</v>
      </c>
      <c r="R105" s="35">
        <f t="shared" si="14"/>
        <v>0.26666666666666666</v>
      </c>
      <c r="S105" s="49">
        <f>ROUND(VLOOKUP(A105,'SSP_March''19'!$A$3:$T$1193,19,0),0)</f>
        <v>12</v>
      </c>
      <c r="T105" s="44">
        <f>VLOOKUP(A105,'SSP_March''19'!$A$3:$T$1193,20,0)</f>
        <v>0.8</v>
      </c>
      <c r="U105" s="34">
        <f>VLOOKUP(A105,'SSP_March''19'!$A$3:$X$1193,21,0)</f>
        <v>0</v>
      </c>
      <c r="V105" s="34">
        <f>VLOOKUP(A105,'SSP_March''19'!$A$3:$X$1193,22,0)</f>
        <v>0</v>
      </c>
      <c r="W105" s="34">
        <f>VLOOKUP(A105,'SSP_March''19'!$A$3:$X$1193,23,0)</f>
        <v>1</v>
      </c>
      <c r="X105" s="34">
        <f>VLOOKUP(A105,'SSP_March''19'!$A$3:$X$1193,24,0)</f>
        <v>0</v>
      </c>
    </row>
    <row r="106" spans="1:24">
      <c r="A106" s="34" t="s">
        <v>1300</v>
      </c>
      <c r="B106" s="34" t="s">
        <v>1301</v>
      </c>
      <c r="C106" s="34" t="s">
        <v>1302</v>
      </c>
      <c r="D106" s="34" t="s">
        <v>189</v>
      </c>
      <c r="E106" s="34" t="s">
        <v>2</v>
      </c>
      <c r="F106" s="34" t="s">
        <v>1303</v>
      </c>
      <c r="G106" s="54">
        <v>1740999360</v>
      </c>
      <c r="H106" s="54" t="s">
        <v>229</v>
      </c>
      <c r="I106" s="54" t="s">
        <v>3518</v>
      </c>
      <c r="J106" s="34" t="s">
        <v>3419</v>
      </c>
      <c r="K106" s="43">
        <f>VLOOKUP(A106,'SSP_March''19'!$A$3:$L$1193,11,0)</f>
        <v>310000</v>
      </c>
      <c r="L106" s="43">
        <f>VLOOKUP(A106,'SSP_March''19'!$A$3:$L$1193,12,0)</f>
        <v>84275</v>
      </c>
      <c r="M106" s="44">
        <f t="shared" si="12"/>
        <v>0.27185483870967742</v>
      </c>
      <c r="N106" s="49">
        <f>ROUND(VLOOKUP(A106,'SSP_March''19'!$A$3:$N$1193,14,0),0)</f>
        <v>261253</v>
      </c>
      <c r="O106" s="44">
        <f t="shared" si="13"/>
        <v>0.84275161290322576</v>
      </c>
      <c r="P106" s="45">
        <f>VLOOKUP(A106,'SSP_March''19'!$A$3:$Q$1193,16,0)</f>
        <v>19</v>
      </c>
      <c r="Q106" s="34">
        <f>VLOOKUP(A106,'SSP_March''19'!$A$3:$Q$1193,17,0)</f>
        <v>5</v>
      </c>
      <c r="R106" s="35">
        <f t="shared" si="14"/>
        <v>0.26315789473684209</v>
      </c>
      <c r="S106" s="49">
        <f>ROUND(VLOOKUP(A106,'SSP_March''19'!$A$3:$T$1193,19,0),0)</f>
        <v>16</v>
      </c>
      <c r="T106" s="44">
        <f>VLOOKUP(A106,'SSP_March''19'!$A$3:$T$1193,20,0)</f>
        <v>0.84210526315789469</v>
      </c>
      <c r="U106" s="34">
        <f>VLOOKUP(A106,'SSP_March''19'!$A$3:$X$1193,21,0)</f>
        <v>0</v>
      </c>
      <c r="V106" s="34">
        <f>VLOOKUP(A106,'SSP_March''19'!$A$3:$X$1193,22,0)</f>
        <v>1</v>
      </c>
      <c r="W106" s="34">
        <f>VLOOKUP(A106,'SSP_March''19'!$A$3:$X$1193,23,0)</f>
        <v>0</v>
      </c>
      <c r="X106" s="34">
        <f>VLOOKUP(A106,'SSP_March''19'!$A$3:$X$1193,24,0)</f>
        <v>0</v>
      </c>
    </row>
    <row r="107" spans="1:24">
      <c r="A107" s="34" t="s">
        <v>1499</v>
      </c>
      <c r="B107" s="34" t="s">
        <v>1500</v>
      </c>
      <c r="C107" s="34" t="s">
        <v>1302</v>
      </c>
      <c r="D107" s="34" t="s">
        <v>189</v>
      </c>
      <c r="E107" s="34" t="s">
        <v>2</v>
      </c>
      <c r="F107" s="34" t="s">
        <v>1501</v>
      </c>
      <c r="G107" s="54">
        <v>1737591143</v>
      </c>
      <c r="H107" s="54" t="s">
        <v>229</v>
      </c>
      <c r="I107" s="54" t="s">
        <v>3514</v>
      </c>
      <c r="J107" s="34" t="s">
        <v>3421</v>
      </c>
      <c r="K107" s="43">
        <f>VLOOKUP(A107,'SSP_March''19'!$A$3:$L$1193,11,0)</f>
        <v>130000</v>
      </c>
      <c r="L107" s="43">
        <f>VLOOKUP(A107,'SSP_March''19'!$A$3:$L$1193,12,0)</f>
        <v>8580</v>
      </c>
      <c r="M107" s="44">
        <f t="shared" si="12"/>
        <v>6.6000000000000003E-2</v>
      </c>
      <c r="N107" s="49">
        <f>ROUND(VLOOKUP(A107,'SSP_March''19'!$A$3:$N$1193,14,0),0)</f>
        <v>26598</v>
      </c>
      <c r="O107" s="44">
        <f t="shared" si="13"/>
        <v>0.2046</v>
      </c>
      <c r="P107" s="45">
        <f>VLOOKUP(A107,'SSP_March''19'!$A$3:$Q$1193,16,0)</f>
        <v>10</v>
      </c>
      <c r="Q107" s="34">
        <f>VLOOKUP(A107,'SSP_March''19'!$A$3:$Q$1193,17,0)</f>
        <v>0</v>
      </c>
      <c r="R107" s="35">
        <f t="shared" si="14"/>
        <v>0</v>
      </c>
      <c r="S107" s="49">
        <f>ROUND(VLOOKUP(A107,'SSP_March''19'!$A$3:$T$1193,19,0),0)</f>
        <v>0</v>
      </c>
      <c r="T107" s="44">
        <f>VLOOKUP(A107,'SSP_March''19'!$A$3:$T$1193,20,0)</f>
        <v>0</v>
      </c>
      <c r="U107" s="34">
        <f>VLOOKUP(A107,'SSP_March''19'!$A$3:$X$1193,21,0)</f>
        <v>0</v>
      </c>
      <c r="V107" s="34">
        <f>VLOOKUP(A107,'SSP_March''19'!$A$3:$X$1193,22,0)</f>
        <v>0</v>
      </c>
      <c r="W107" s="34">
        <f>VLOOKUP(A107,'SSP_March''19'!$A$3:$X$1193,23,0)</f>
        <v>0</v>
      </c>
      <c r="X107" s="34">
        <f>VLOOKUP(A107,'SSP_March''19'!$A$3:$X$1193,24,0)</f>
        <v>0</v>
      </c>
    </row>
  </sheetData>
  <conditionalFormatting sqref="A294:A1048576">
    <cfRule type="duplicateValues" dxfId="13" priority="29"/>
  </conditionalFormatting>
  <conditionalFormatting sqref="A2">
    <cfRule type="duplicateValues" dxfId="12" priority="27"/>
  </conditionalFormatting>
  <conditionalFormatting sqref="A2">
    <cfRule type="duplicateValues" dxfId="11" priority="25"/>
    <cfRule type="duplicateValues" priority="26"/>
  </conditionalFormatting>
  <conditionalFormatting sqref="A2">
    <cfRule type="duplicateValues" dxfId="10" priority="24"/>
  </conditionalFormatting>
  <conditionalFormatting sqref="A2">
    <cfRule type="duplicateValues" dxfId="9" priority="28"/>
  </conditionalFormatting>
  <conditionalFormatting sqref="A2">
    <cfRule type="duplicateValues" dxfId="8" priority="23"/>
  </conditionalFormatting>
  <conditionalFormatting sqref="A3:A107">
    <cfRule type="duplicateValues" dxfId="7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87"/>
  <sheetViews>
    <sheetView workbookViewId="0">
      <pane xSplit="2" ySplit="2" topLeftCell="C3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A3" sqref="A3"/>
    </sheetView>
  </sheetViews>
  <sheetFormatPr defaultRowHeight="15"/>
  <cols>
    <col min="1" max="1" width="10.4257812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2.42578125" bestFit="1" customWidth="1"/>
    <col min="6" max="6" width="23.85546875" bestFit="1" customWidth="1"/>
    <col min="7" max="7" width="13.7109375" bestFit="1" customWidth="1"/>
    <col min="11" max="15" width="15" customWidth="1"/>
    <col min="16" max="16" width="11.28515625" style="46" customWidth="1"/>
    <col min="17" max="17" width="20.28515625" customWidth="1"/>
    <col min="19" max="20" width="15" customWidth="1"/>
  </cols>
  <sheetData>
    <row r="1" spans="1:24">
      <c r="K1" s="31">
        <f>SUBTOTAL(9,K3:K87)</f>
        <v>14075963</v>
      </c>
      <c r="L1" s="31">
        <f>SUBTOTAL(9,L3:L87)</f>
        <v>3789082</v>
      </c>
      <c r="M1" s="30">
        <f>L1/K1</f>
        <v>0.26918811878093174</v>
      </c>
      <c r="N1" s="30"/>
      <c r="O1" s="30"/>
      <c r="P1" s="31">
        <f>SUBTOTAL(9,P3:P87)</f>
        <v>960</v>
      </c>
      <c r="Q1" s="31">
        <f>SUBTOTAL(9,Q3:Q87)</f>
        <v>201</v>
      </c>
      <c r="R1" s="30">
        <f>Q1/P1</f>
        <v>0.20937500000000001</v>
      </c>
      <c r="S1" s="30"/>
      <c r="T1" s="30"/>
      <c r="U1" s="31">
        <f>SUBTOTAL(9,U3:U87)</f>
        <v>67</v>
      </c>
      <c r="V1" s="31">
        <f>SUBTOTAL(9,V3:V87)</f>
        <v>61</v>
      </c>
      <c r="W1" s="31">
        <f>SUBTOTAL(9,W3:W87)</f>
        <v>5</v>
      </c>
      <c r="X1" s="31">
        <f>SUBTOTAL(9,X3:X87)</f>
        <v>6</v>
      </c>
    </row>
    <row r="2" spans="1:24" ht="38.25">
      <c r="A2" s="32" t="s">
        <v>220</v>
      </c>
      <c r="B2" s="32" t="s">
        <v>43</v>
      </c>
      <c r="C2" s="32" t="s">
        <v>44</v>
      </c>
      <c r="D2" s="32" t="s">
        <v>45</v>
      </c>
      <c r="E2" s="32" t="s">
        <v>5</v>
      </c>
      <c r="F2" s="32" t="s">
        <v>221</v>
      </c>
      <c r="G2" s="32" t="s">
        <v>222</v>
      </c>
      <c r="H2" s="32" t="s">
        <v>3511</v>
      </c>
      <c r="I2" s="33" t="s">
        <v>223</v>
      </c>
      <c r="J2" s="33" t="s">
        <v>224</v>
      </c>
      <c r="K2" s="36" t="s">
        <v>2897</v>
      </c>
      <c r="L2" s="36" t="str">
        <f>'SSP_March''19'!L2</f>
        <v>Value Ach up to 10th March'19</v>
      </c>
      <c r="M2" s="37" t="s">
        <v>2899</v>
      </c>
      <c r="N2" s="47" t="s">
        <v>2959</v>
      </c>
      <c r="O2" s="37" t="s">
        <v>2960</v>
      </c>
      <c r="P2" s="38" t="s">
        <v>2898</v>
      </c>
      <c r="Q2" s="39" t="str">
        <f>'SSP_March''19'!Q2</f>
        <v>6k Qty Achv up to 10th March'19</v>
      </c>
      <c r="R2" s="37" t="s">
        <v>2900</v>
      </c>
      <c r="S2" s="47" t="s">
        <v>2959</v>
      </c>
      <c r="T2" s="37" t="s">
        <v>2960</v>
      </c>
      <c r="U2" s="40" t="s">
        <v>3507</v>
      </c>
      <c r="V2" s="79" t="s">
        <v>3512</v>
      </c>
      <c r="W2" s="41" t="s">
        <v>3513</v>
      </c>
      <c r="X2" s="42" t="s">
        <v>3351</v>
      </c>
    </row>
    <row r="3" spans="1:24">
      <c r="A3" s="34" t="s">
        <v>688</v>
      </c>
      <c r="B3" s="34" t="s">
        <v>689</v>
      </c>
      <c r="C3" s="34" t="s">
        <v>690</v>
      </c>
      <c r="D3" s="34" t="s">
        <v>150</v>
      </c>
      <c r="E3" s="34" t="s">
        <v>9</v>
      </c>
      <c r="F3" s="34" t="s">
        <v>691</v>
      </c>
      <c r="G3" s="54">
        <v>1711574515</v>
      </c>
      <c r="H3" s="54" t="s">
        <v>229</v>
      </c>
      <c r="I3" s="54" t="s">
        <v>3514</v>
      </c>
      <c r="J3" s="34" t="s">
        <v>3421</v>
      </c>
      <c r="K3" s="43">
        <f>VLOOKUP(A3,'SSP_March''19'!$A$3:$L$1193,11,0)</f>
        <v>222003</v>
      </c>
      <c r="L3" s="43">
        <f>VLOOKUP(A3,'SSP_March''19'!$A$3:$L$1193,12,0)</f>
        <v>50820</v>
      </c>
      <c r="M3" s="44">
        <f t="shared" ref="M3:M34" si="0">L3/K3</f>
        <v>0.22891582546181807</v>
      </c>
      <c r="N3" s="49">
        <f>ROUND(VLOOKUP(A3,'SSP_March''19'!$A$3:$N$1193,14,0),0)</f>
        <v>157542</v>
      </c>
      <c r="O3" s="44">
        <f t="shared" ref="O3:O34" si="1">N3/K3</f>
        <v>0.70963905893163604</v>
      </c>
      <c r="P3" s="45">
        <f>VLOOKUP(A3,'SSP_March''19'!$A$3:$Q$1193,16,0)</f>
        <v>10</v>
      </c>
      <c r="Q3" s="34">
        <f>VLOOKUP(A3,'SSP_March''19'!$A$3:$Q$1193,17,0)</f>
        <v>4</v>
      </c>
      <c r="R3" s="35">
        <f t="shared" ref="R3:R34" si="2">Q3/P3</f>
        <v>0.4</v>
      </c>
      <c r="S3" s="49">
        <f>ROUND(VLOOKUP(A3,'SSP_March''19'!$A$3:$T$1193,19,0),0)</f>
        <v>12</v>
      </c>
      <c r="T3" s="44">
        <f>VLOOKUP(A3,'SSP_March''19'!$A$3:$T$1193,20,0)</f>
        <v>1.2</v>
      </c>
      <c r="U3" s="34">
        <f>VLOOKUP(A3,'SSP_March''19'!$A$3:$X$1193,21,0)</f>
        <v>0</v>
      </c>
      <c r="V3" s="34">
        <f>VLOOKUP(A3,'SSP_March''19'!$A$3:$X$1193,22,0)</f>
        <v>2</v>
      </c>
      <c r="W3" s="34">
        <f>VLOOKUP(A3,'SSP_March''19'!$A$3:$X$1193,23,0)</f>
        <v>0</v>
      </c>
      <c r="X3" s="34">
        <f>VLOOKUP(A3,'SSP_March''19'!$A$3:$X$1193,24,0)</f>
        <v>0</v>
      </c>
    </row>
    <row r="4" spans="1:24">
      <c r="A4" s="34" t="s">
        <v>809</v>
      </c>
      <c r="B4" s="34" t="s">
        <v>810</v>
      </c>
      <c r="C4" s="34" t="s">
        <v>690</v>
      </c>
      <c r="D4" s="34" t="s">
        <v>150</v>
      </c>
      <c r="E4" s="34" t="s">
        <v>9</v>
      </c>
      <c r="F4" s="34" t="s">
        <v>811</v>
      </c>
      <c r="G4" s="54">
        <v>1730923923</v>
      </c>
      <c r="H4" s="54" t="s">
        <v>229</v>
      </c>
      <c r="I4" s="54" t="s">
        <v>3514</v>
      </c>
      <c r="J4" s="34" t="s">
        <v>3419</v>
      </c>
      <c r="K4" s="43">
        <f>VLOOKUP(A4,'SSP_March''19'!$A$3:$L$1193,11,0)</f>
        <v>130000</v>
      </c>
      <c r="L4" s="43">
        <f>VLOOKUP(A4,'SSP_March''19'!$A$3:$L$1193,12,0)</f>
        <v>13370</v>
      </c>
      <c r="M4" s="44">
        <f t="shared" si="0"/>
        <v>0.10284615384615385</v>
      </c>
      <c r="N4" s="49">
        <f>ROUND(VLOOKUP(A4,'SSP_March''19'!$A$3:$N$1193,14,0),0)</f>
        <v>41447</v>
      </c>
      <c r="O4" s="44">
        <f t="shared" si="1"/>
        <v>0.31882307692307693</v>
      </c>
      <c r="P4" s="45">
        <f>VLOOKUP(A4,'SSP_March''19'!$A$3:$Q$1193,16,0)</f>
        <v>10</v>
      </c>
      <c r="Q4" s="34">
        <f>VLOOKUP(A4,'SSP_March''19'!$A$3:$Q$1193,17,0)</f>
        <v>0</v>
      </c>
      <c r="R4" s="35">
        <f t="shared" si="2"/>
        <v>0</v>
      </c>
      <c r="S4" s="49">
        <f>ROUND(VLOOKUP(A4,'SSP_March''19'!$A$3:$T$1193,19,0),0)</f>
        <v>0</v>
      </c>
      <c r="T4" s="44">
        <f>VLOOKUP(A4,'SSP_March''19'!$A$3:$T$1193,20,0)</f>
        <v>0</v>
      </c>
      <c r="U4" s="34">
        <f>VLOOKUP(A4,'SSP_March''19'!$A$3:$X$1193,21,0)</f>
        <v>0</v>
      </c>
      <c r="V4" s="34">
        <f>VLOOKUP(A4,'SSP_March''19'!$A$3:$X$1193,22,0)</f>
        <v>0</v>
      </c>
      <c r="W4" s="34">
        <f>VLOOKUP(A4,'SSP_March''19'!$A$3:$X$1193,23,0)</f>
        <v>0</v>
      </c>
      <c r="X4" s="34">
        <f>VLOOKUP(A4,'SSP_March''19'!$A$3:$X$1193,24,0)</f>
        <v>0</v>
      </c>
    </row>
    <row r="5" spans="1:24">
      <c r="A5" s="34" t="s">
        <v>819</v>
      </c>
      <c r="B5" s="34" t="s">
        <v>820</v>
      </c>
      <c r="C5" s="34" t="s">
        <v>690</v>
      </c>
      <c r="D5" s="34" t="s">
        <v>150</v>
      </c>
      <c r="E5" s="34" t="s">
        <v>9</v>
      </c>
      <c r="F5" s="34" t="s">
        <v>821</v>
      </c>
      <c r="G5" s="54">
        <v>1706976050</v>
      </c>
      <c r="H5" s="54" t="s">
        <v>229</v>
      </c>
      <c r="I5" s="54" t="s">
        <v>3514</v>
      </c>
      <c r="J5" s="34" t="s">
        <v>3419</v>
      </c>
      <c r="K5" s="43">
        <f>VLOOKUP(A5,'SSP_March''19'!$A$3:$L$1193,11,0)</f>
        <v>130000</v>
      </c>
      <c r="L5" s="43">
        <f>VLOOKUP(A5,'SSP_March''19'!$A$3:$L$1193,12,0)</f>
        <v>22260</v>
      </c>
      <c r="M5" s="44">
        <f t="shared" si="0"/>
        <v>0.17123076923076924</v>
      </c>
      <c r="N5" s="49">
        <f>ROUND(VLOOKUP(A5,'SSP_March''19'!$A$3:$N$1193,14,0),0)</f>
        <v>69006</v>
      </c>
      <c r="O5" s="44">
        <f t="shared" si="1"/>
        <v>0.53081538461538458</v>
      </c>
      <c r="P5" s="45">
        <f>VLOOKUP(A5,'SSP_March''19'!$A$3:$Q$1193,16,0)</f>
        <v>10</v>
      </c>
      <c r="Q5" s="34">
        <f>VLOOKUP(A5,'SSP_March''19'!$A$3:$Q$1193,17,0)</f>
        <v>1</v>
      </c>
      <c r="R5" s="35">
        <f t="shared" si="2"/>
        <v>0.1</v>
      </c>
      <c r="S5" s="49">
        <f>ROUND(VLOOKUP(A5,'SSP_March''19'!$A$3:$T$1193,19,0),0)</f>
        <v>3</v>
      </c>
      <c r="T5" s="44">
        <f>VLOOKUP(A5,'SSP_March''19'!$A$3:$T$1193,20,0)</f>
        <v>0.3</v>
      </c>
      <c r="U5" s="34">
        <f>VLOOKUP(A5,'SSP_March''19'!$A$3:$X$1193,21,0)</f>
        <v>1</v>
      </c>
      <c r="V5" s="34">
        <f>VLOOKUP(A5,'SSP_March''19'!$A$3:$X$1193,22,0)</f>
        <v>0</v>
      </c>
      <c r="W5" s="34">
        <f>VLOOKUP(A5,'SSP_March''19'!$A$3:$X$1193,23,0)</f>
        <v>0</v>
      </c>
      <c r="X5" s="34">
        <f>VLOOKUP(A5,'SSP_March''19'!$A$3:$X$1193,24,0)</f>
        <v>0</v>
      </c>
    </row>
    <row r="6" spans="1:24">
      <c r="A6" s="34" t="s">
        <v>825</v>
      </c>
      <c r="B6" s="34" t="s">
        <v>826</v>
      </c>
      <c r="C6" s="34" t="s">
        <v>690</v>
      </c>
      <c r="D6" s="34" t="s">
        <v>150</v>
      </c>
      <c r="E6" s="34" t="s">
        <v>9</v>
      </c>
      <c r="F6" s="34" t="s">
        <v>235</v>
      </c>
      <c r="G6" s="54">
        <v>1856243372</v>
      </c>
      <c r="H6" s="54" t="s">
        <v>229</v>
      </c>
      <c r="I6" s="54" t="s">
        <v>3514</v>
      </c>
      <c r="J6" s="34" t="s">
        <v>3419</v>
      </c>
      <c r="K6" s="43">
        <f>VLOOKUP(A6,'SSP_March''19'!$A$3:$L$1193,11,0)</f>
        <v>130000</v>
      </c>
      <c r="L6" s="43">
        <f>VLOOKUP(A6,'SSP_March''19'!$A$3:$L$1193,12,0)</f>
        <v>11189</v>
      </c>
      <c r="M6" s="44">
        <f t="shared" si="0"/>
        <v>8.6069230769230773E-2</v>
      </c>
      <c r="N6" s="49">
        <f>ROUND(VLOOKUP(A6,'SSP_March''19'!$A$3:$N$1193,14,0),0)</f>
        <v>34686</v>
      </c>
      <c r="O6" s="44">
        <f t="shared" si="1"/>
        <v>0.26681538461538462</v>
      </c>
      <c r="P6" s="45">
        <f>VLOOKUP(A6,'SSP_March''19'!$A$3:$Q$1193,16,0)</f>
        <v>10</v>
      </c>
      <c r="Q6" s="34">
        <f>VLOOKUP(A6,'SSP_March''19'!$A$3:$Q$1193,17,0)</f>
        <v>1</v>
      </c>
      <c r="R6" s="35">
        <f t="shared" si="2"/>
        <v>0.1</v>
      </c>
      <c r="S6" s="49">
        <f>ROUND(VLOOKUP(A6,'SSP_March''19'!$A$3:$T$1193,19,0),0)</f>
        <v>3</v>
      </c>
      <c r="T6" s="44">
        <f>VLOOKUP(A6,'SSP_March''19'!$A$3:$T$1193,20,0)</f>
        <v>0.3</v>
      </c>
      <c r="U6" s="34">
        <f>VLOOKUP(A6,'SSP_March''19'!$A$3:$X$1193,21,0)</f>
        <v>0</v>
      </c>
      <c r="V6" s="34">
        <f>VLOOKUP(A6,'SSP_March''19'!$A$3:$X$1193,22,0)</f>
        <v>0</v>
      </c>
      <c r="W6" s="34">
        <f>VLOOKUP(A6,'SSP_March''19'!$A$3:$X$1193,23,0)</f>
        <v>0</v>
      </c>
      <c r="X6" s="34">
        <f>VLOOKUP(A6,'SSP_March''19'!$A$3:$X$1193,24,0)</f>
        <v>0</v>
      </c>
    </row>
    <row r="7" spans="1:24">
      <c r="A7" s="34" t="s">
        <v>830</v>
      </c>
      <c r="B7" s="34" t="s">
        <v>831</v>
      </c>
      <c r="C7" s="34" t="s">
        <v>149</v>
      </c>
      <c r="D7" s="34" t="s">
        <v>150</v>
      </c>
      <c r="E7" s="34" t="s">
        <v>9</v>
      </c>
      <c r="F7" s="34" t="s">
        <v>832</v>
      </c>
      <c r="G7" s="54">
        <v>1731331167</v>
      </c>
      <c r="H7" s="54" t="s">
        <v>229</v>
      </c>
      <c r="I7" s="54" t="s">
        <v>3514</v>
      </c>
      <c r="J7" s="34" t="s">
        <v>3421</v>
      </c>
      <c r="K7" s="43">
        <f>VLOOKUP(A7,'SSP_March''19'!$A$3:$L$1193,11,0)</f>
        <v>130000</v>
      </c>
      <c r="L7" s="43">
        <f>VLOOKUP(A7,'SSP_March''19'!$A$3:$L$1193,12,0)</f>
        <v>15510</v>
      </c>
      <c r="M7" s="44">
        <f t="shared" si="0"/>
        <v>0.11930769230769231</v>
      </c>
      <c r="N7" s="49">
        <f>ROUND(VLOOKUP(A7,'SSP_March''19'!$A$3:$N$1193,14,0),0)</f>
        <v>48081</v>
      </c>
      <c r="O7" s="44">
        <f t="shared" si="1"/>
        <v>0.36985384615384614</v>
      </c>
      <c r="P7" s="45">
        <f>VLOOKUP(A7,'SSP_March''19'!$A$3:$Q$1193,16,0)</f>
        <v>10</v>
      </c>
      <c r="Q7" s="34">
        <f>VLOOKUP(A7,'SSP_March''19'!$A$3:$Q$1193,17,0)</f>
        <v>0</v>
      </c>
      <c r="R7" s="35">
        <f t="shared" si="2"/>
        <v>0</v>
      </c>
      <c r="S7" s="49">
        <f>ROUND(VLOOKUP(A7,'SSP_March''19'!$A$3:$T$1193,19,0),0)</f>
        <v>0</v>
      </c>
      <c r="T7" s="44">
        <f>VLOOKUP(A7,'SSP_March''19'!$A$3:$T$1193,20,0)</f>
        <v>0</v>
      </c>
      <c r="U7" s="34">
        <f>VLOOKUP(A7,'SSP_March''19'!$A$3:$X$1193,21,0)</f>
        <v>0</v>
      </c>
      <c r="V7" s="34">
        <f>VLOOKUP(A7,'SSP_March''19'!$A$3:$X$1193,22,0)</f>
        <v>0</v>
      </c>
      <c r="W7" s="34">
        <f>VLOOKUP(A7,'SSP_March''19'!$A$3:$X$1193,23,0)</f>
        <v>0</v>
      </c>
      <c r="X7" s="34">
        <f>VLOOKUP(A7,'SSP_March''19'!$A$3:$X$1193,24,0)</f>
        <v>0</v>
      </c>
    </row>
    <row r="8" spans="1:24">
      <c r="A8" s="34" t="s">
        <v>815</v>
      </c>
      <c r="B8" s="34" t="s">
        <v>816</v>
      </c>
      <c r="C8" s="34" t="s">
        <v>149</v>
      </c>
      <c r="D8" s="34" t="s">
        <v>150</v>
      </c>
      <c r="E8" s="34" t="s">
        <v>9</v>
      </c>
      <c r="F8" s="34" t="s">
        <v>817</v>
      </c>
      <c r="G8" s="54">
        <v>1715483542</v>
      </c>
      <c r="H8" s="54" t="s">
        <v>229</v>
      </c>
      <c r="I8" s="54" t="s">
        <v>3514</v>
      </c>
      <c r="J8" s="34" t="s">
        <v>3421</v>
      </c>
      <c r="K8" s="43">
        <f>VLOOKUP(A8,'SSP_March''19'!$A$3:$L$1193,11,0)</f>
        <v>130000</v>
      </c>
      <c r="L8" s="43">
        <f>VLOOKUP(A8,'SSP_March''19'!$A$3:$L$1193,12,0)</f>
        <v>30440</v>
      </c>
      <c r="M8" s="44">
        <f t="shared" si="0"/>
        <v>0.23415384615384616</v>
      </c>
      <c r="N8" s="49">
        <f>ROUND(VLOOKUP(A8,'SSP_March''19'!$A$3:$N$1193,14,0),0)</f>
        <v>94364</v>
      </c>
      <c r="O8" s="44">
        <f t="shared" si="1"/>
        <v>0.72587692307692309</v>
      </c>
      <c r="P8" s="45">
        <f>VLOOKUP(A8,'SSP_March''19'!$A$3:$Q$1193,16,0)</f>
        <v>10</v>
      </c>
      <c r="Q8" s="34">
        <f>VLOOKUP(A8,'SSP_March''19'!$A$3:$Q$1193,17,0)</f>
        <v>0</v>
      </c>
      <c r="R8" s="35">
        <f t="shared" si="2"/>
        <v>0</v>
      </c>
      <c r="S8" s="49">
        <f>ROUND(VLOOKUP(A8,'SSP_March''19'!$A$3:$T$1193,19,0),0)</f>
        <v>0</v>
      </c>
      <c r="T8" s="44">
        <f>VLOOKUP(A8,'SSP_March''19'!$A$3:$T$1193,20,0)</f>
        <v>0</v>
      </c>
      <c r="U8" s="34">
        <f>VLOOKUP(A8,'SSP_March''19'!$A$3:$X$1193,21,0)</f>
        <v>1</v>
      </c>
      <c r="V8" s="34">
        <f>VLOOKUP(A8,'SSP_March''19'!$A$3:$X$1193,22,0)</f>
        <v>0</v>
      </c>
      <c r="W8" s="34">
        <f>VLOOKUP(A8,'SSP_March''19'!$A$3:$X$1193,23,0)</f>
        <v>0</v>
      </c>
      <c r="X8" s="34">
        <f>VLOOKUP(A8,'SSP_March''19'!$A$3:$X$1193,24,0)</f>
        <v>0</v>
      </c>
    </row>
    <row r="9" spans="1:24">
      <c r="A9" s="34" t="s">
        <v>735</v>
      </c>
      <c r="B9" s="34" t="s">
        <v>736</v>
      </c>
      <c r="C9" s="34" t="s">
        <v>149</v>
      </c>
      <c r="D9" s="34" t="s">
        <v>150</v>
      </c>
      <c r="E9" s="34" t="s">
        <v>9</v>
      </c>
      <c r="F9" s="34" t="s">
        <v>737</v>
      </c>
      <c r="G9" s="54">
        <v>1716433588</v>
      </c>
      <c r="H9" s="54" t="s">
        <v>229</v>
      </c>
      <c r="I9" s="54" t="s">
        <v>3514</v>
      </c>
      <c r="J9" s="34" t="s">
        <v>3515</v>
      </c>
      <c r="K9" s="43">
        <f>VLOOKUP(A9,'SSP_March''19'!$A$3:$L$1193,11,0)</f>
        <v>130000</v>
      </c>
      <c r="L9" s="43">
        <f>VLOOKUP(A9,'SSP_March''19'!$A$3:$L$1193,12,0)</f>
        <v>39230</v>
      </c>
      <c r="M9" s="44">
        <f t="shared" si="0"/>
        <v>0.30176923076923079</v>
      </c>
      <c r="N9" s="49">
        <f>ROUND(VLOOKUP(A9,'SSP_March''19'!$A$3:$N$1193,14,0),0)</f>
        <v>121613</v>
      </c>
      <c r="O9" s="44">
        <f t="shared" si="1"/>
        <v>0.93548461538461536</v>
      </c>
      <c r="P9" s="45">
        <f>VLOOKUP(A9,'SSP_March''19'!$A$3:$Q$1193,16,0)</f>
        <v>10</v>
      </c>
      <c r="Q9" s="34">
        <f>VLOOKUP(A9,'SSP_March''19'!$A$3:$Q$1193,17,0)</f>
        <v>2</v>
      </c>
      <c r="R9" s="35">
        <f t="shared" si="2"/>
        <v>0.2</v>
      </c>
      <c r="S9" s="49">
        <f>ROUND(VLOOKUP(A9,'SSP_March''19'!$A$3:$T$1193,19,0),0)</f>
        <v>6</v>
      </c>
      <c r="T9" s="44">
        <f>VLOOKUP(A9,'SSP_March''19'!$A$3:$T$1193,20,0)</f>
        <v>0.6</v>
      </c>
      <c r="U9" s="34">
        <f>VLOOKUP(A9,'SSP_March''19'!$A$3:$X$1193,21,0)</f>
        <v>1</v>
      </c>
      <c r="V9" s="34">
        <f>VLOOKUP(A9,'SSP_March''19'!$A$3:$X$1193,22,0)</f>
        <v>1</v>
      </c>
      <c r="W9" s="34">
        <f>VLOOKUP(A9,'SSP_March''19'!$A$3:$X$1193,23,0)</f>
        <v>0</v>
      </c>
      <c r="X9" s="34">
        <f>VLOOKUP(A9,'SSP_March''19'!$A$3:$X$1193,24,0)</f>
        <v>0</v>
      </c>
    </row>
    <row r="10" spans="1:24">
      <c r="A10" s="34" t="s">
        <v>827</v>
      </c>
      <c r="B10" s="34" t="s">
        <v>103</v>
      </c>
      <c r="C10" s="34" t="s">
        <v>149</v>
      </c>
      <c r="D10" s="34" t="s">
        <v>150</v>
      </c>
      <c r="E10" s="34" t="s">
        <v>9</v>
      </c>
      <c r="F10" s="34" t="s">
        <v>828</v>
      </c>
      <c r="G10" s="54">
        <v>1721418115</v>
      </c>
      <c r="H10" s="54" t="s">
        <v>229</v>
      </c>
      <c r="I10" s="54" t="s">
        <v>3514</v>
      </c>
      <c r="J10" s="34" t="s">
        <v>3421</v>
      </c>
      <c r="K10" s="43">
        <f>VLOOKUP(A10,'SSP_March''19'!$A$3:$L$1193,11,0)</f>
        <v>130000</v>
      </c>
      <c r="L10" s="43">
        <f>VLOOKUP(A10,'SSP_March''19'!$A$3:$L$1193,12,0)</f>
        <v>5790</v>
      </c>
      <c r="M10" s="44">
        <f t="shared" si="0"/>
        <v>4.4538461538461541E-2</v>
      </c>
      <c r="N10" s="49">
        <f>ROUND(VLOOKUP(A10,'SSP_March''19'!$A$3:$N$1193,14,0),0)</f>
        <v>17949</v>
      </c>
      <c r="O10" s="44">
        <f t="shared" si="1"/>
        <v>0.13806923076923078</v>
      </c>
      <c r="P10" s="45">
        <f>VLOOKUP(A10,'SSP_March''19'!$A$3:$Q$1193,16,0)</f>
        <v>10</v>
      </c>
      <c r="Q10" s="34">
        <f>VLOOKUP(A10,'SSP_March''19'!$A$3:$Q$1193,17,0)</f>
        <v>0</v>
      </c>
      <c r="R10" s="35">
        <f t="shared" si="2"/>
        <v>0</v>
      </c>
      <c r="S10" s="49">
        <f>ROUND(VLOOKUP(A10,'SSP_March''19'!$A$3:$T$1193,19,0),0)</f>
        <v>0</v>
      </c>
      <c r="T10" s="44">
        <f>VLOOKUP(A10,'SSP_March''19'!$A$3:$T$1193,20,0)</f>
        <v>0</v>
      </c>
      <c r="U10" s="34">
        <f>VLOOKUP(A10,'SSP_March''19'!$A$3:$X$1193,21,0)</f>
        <v>1</v>
      </c>
      <c r="V10" s="34">
        <f>VLOOKUP(A10,'SSP_March''19'!$A$3:$X$1193,22,0)</f>
        <v>0</v>
      </c>
      <c r="W10" s="34">
        <f>VLOOKUP(A10,'SSP_March''19'!$A$3:$X$1193,23,0)</f>
        <v>0</v>
      </c>
      <c r="X10" s="34">
        <f>VLOOKUP(A10,'SSP_March''19'!$A$3:$X$1193,24,0)</f>
        <v>0</v>
      </c>
    </row>
    <row r="11" spans="1:24">
      <c r="A11" s="34" t="s">
        <v>771</v>
      </c>
      <c r="B11" s="34" t="s">
        <v>772</v>
      </c>
      <c r="C11" s="34" t="s">
        <v>149</v>
      </c>
      <c r="D11" s="34" t="s">
        <v>150</v>
      </c>
      <c r="E11" s="34" t="s">
        <v>9</v>
      </c>
      <c r="F11" s="34" t="s">
        <v>773</v>
      </c>
      <c r="G11" s="54">
        <v>1717321847</v>
      </c>
      <c r="H11" s="54" t="s">
        <v>229</v>
      </c>
      <c r="I11" s="54" t="s">
        <v>3514</v>
      </c>
      <c r="J11" s="34" t="s">
        <v>3419</v>
      </c>
      <c r="K11" s="43">
        <f>VLOOKUP(A11,'SSP_March''19'!$A$3:$L$1193,11,0)</f>
        <v>130000</v>
      </c>
      <c r="L11" s="43">
        <f>VLOOKUP(A11,'SSP_March''19'!$A$3:$L$1193,12,0)</f>
        <v>18620</v>
      </c>
      <c r="M11" s="44">
        <f t="shared" si="0"/>
        <v>0.14323076923076922</v>
      </c>
      <c r="N11" s="49">
        <f>ROUND(VLOOKUP(A11,'SSP_March''19'!$A$3:$N$1193,14,0),0)</f>
        <v>57722</v>
      </c>
      <c r="O11" s="44">
        <f t="shared" si="1"/>
        <v>0.44401538461538459</v>
      </c>
      <c r="P11" s="45">
        <f>VLOOKUP(A11,'SSP_March''19'!$A$3:$Q$1193,16,0)</f>
        <v>10</v>
      </c>
      <c r="Q11" s="34">
        <f>VLOOKUP(A11,'SSP_March''19'!$A$3:$Q$1193,17,0)</f>
        <v>1</v>
      </c>
      <c r="R11" s="35">
        <f t="shared" si="2"/>
        <v>0.1</v>
      </c>
      <c r="S11" s="49">
        <f>ROUND(VLOOKUP(A11,'SSP_March''19'!$A$3:$T$1193,19,0),0)</f>
        <v>3</v>
      </c>
      <c r="T11" s="44">
        <f>VLOOKUP(A11,'SSP_March''19'!$A$3:$T$1193,20,0)</f>
        <v>0.3</v>
      </c>
      <c r="U11" s="34">
        <f>VLOOKUP(A11,'SSP_March''19'!$A$3:$X$1193,21,0)</f>
        <v>1</v>
      </c>
      <c r="V11" s="34">
        <f>VLOOKUP(A11,'SSP_March''19'!$A$3:$X$1193,22,0)</f>
        <v>0</v>
      </c>
      <c r="W11" s="34">
        <f>VLOOKUP(A11,'SSP_March''19'!$A$3:$X$1193,23,0)</f>
        <v>0</v>
      </c>
      <c r="X11" s="34">
        <f>VLOOKUP(A11,'SSP_March''19'!$A$3:$X$1193,24,0)</f>
        <v>0</v>
      </c>
    </row>
    <row r="12" spans="1:24">
      <c r="A12" s="34" t="s">
        <v>779</v>
      </c>
      <c r="B12" s="34" t="s">
        <v>780</v>
      </c>
      <c r="C12" s="34" t="s">
        <v>149</v>
      </c>
      <c r="D12" s="34" t="s">
        <v>150</v>
      </c>
      <c r="E12" s="34" t="s">
        <v>9</v>
      </c>
      <c r="F12" s="34" t="s">
        <v>781</v>
      </c>
      <c r="G12" s="54">
        <v>1718442859</v>
      </c>
      <c r="H12" s="54" t="s">
        <v>229</v>
      </c>
      <c r="I12" s="54" t="s">
        <v>3514</v>
      </c>
      <c r="J12" s="34" t="s">
        <v>3421</v>
      </c>
      <c r="K12" s="43">
        <f>VLOOKUP(A12,'SSP_March''19'!$A$3:$L$1193,11,0)</f>
        <v>130000</v>
      </c>
      <c r="L12" s="43">
        <f>VLOOKUP(A12,'SSP_March''19'!$A$3:$L$1193,12,0)</f>
        <v>35870</v>
      </c>
      <c r="M12" s="44">
        <f t="shared" si="0"/>
        <v>0.27592307692307694</v>
      </c>
      <c r="N12" s="49">
        <f>ROUND(VLOOKUP(A12,'SSP_March''19'!$A$3:$N$1193,14,0),0)</f>
        <v>111197</v>
      </c>
      <c r="O12" s="44">
        <f t="shared" si="1"/>
        <v>0.85536153846153851</v>
      </c>
      <c r="P12" s="45">
        <f>VLOOKUP(A12,'SSP_March''19'!$A$3:$Q$1193,16,0)</f>
        <v>10</v>
      </c>
      <c r="Q12" s="34">
        <f>VLOOKUP(A12,'SSP_March''19'!$A$3:$Q$1193,17,0)</f>
        <v>4</v>
      </c>
      <c r="R12" s="35">
        <f t="shared" si="2"/>
        <v>0.4</v>
      </c>
      <c r="S12" s="49">
        <f>ROUND(VLOOKUP(A12,'SSP_March''19'!$A$3:$T$1193,19,0),0)</f>
        <v>12</v>
      </c>
      <c r="T12" s="44">
        <f>VLOOKUP(A12,'SSP_March''19'!$A$3:$T$1193,20,0)</f>
        <v>1.2</v>
      </c>
      <c r="U12" s="34">
        <f>VLOOKUP(A12,'SSP_March''19'!$A$3:$X$1193,21,0)</f>
        <v>0</v>
      </c>
      <c r="V12" s="34">
        <f>VLOOKUP(A12,'SSP_March''19'!$A$3:$X$1193,22,0)</f>
        <v>0</v>
      </c>
      <c r="W12" s="34">
        <f>VLOOKUP(A12,'SSP_March''19'!$A$3:$X$1193,23,0)</f>
        <v>0</v>
      </c>
      <c r="X12" s="34">
        <f>VLOOKUP(A12,'SSP_March''19'!$A$3:$X$1193,24,0)</f>
        <v>0</v>
      </c>
    </row>
    <row r="13" spans="1:24">
      <c r="A13" s="34" t="s">
        <v>3107</v>
      </c>
      <c r="B13" s="34" t="s">
        <v>3108</v>
      </c>
      <c r="C13" s="34" t="s">
        <v>179</v>
      </c>
      <c r="D13" s="34" t="s">
        <v>150</v>
      </c>
      <c r="E13" s="34" t="s">
        <v>9</v>
      </c>
      <c r="F13" s="34" t="s">
        <v>3109</v>
      </c>
      <c r="G13" s="54">
        <v>1724081211</v>
      </c>
      <c r="H13" s="54" t="s">
        <v>229</v>
      </c>
      <c r="I13" s="54" t="s">
        <v>3514</v>
      </c>
      <c r="J13" s="34" t="s">
        <v>3421</v>
      </c>
      <c r="K13" s="43">
        <f>VLOOKUP(A13,'SSP_March''19'!$A$3:$L$1193,11,0)</f>
        <v>130000</v>
      </c>
      <c r="L13" s="43">
        <f>VLOOKUP(A13,'SSP_March''19'!$A$3:$L$1193,12,0)</f>
        <v>27250</v>
      </c>
      <c r="M13" s="44">
        <f t="shared" si="0"/>
        <v>0.20961538461538462</v>
      </c>
      <c r="N13" s="49">
        <f>ROUND(VLOOKUP(A13,'SSP_March''19'!$A$3:$N$1193,14,0),0)</f>
        <v>84475</v>
      </c>
      <c r="O13" s="44">
        <f t="shared" si="1"/>
        <v>0.64980769230769231</v>
      </c>
      <c r="P13" s="45">
        <f>VLOOKUP(A13,'SSP_March''19'!$A$3:$Q$1193,16,0)</f>
        <v>10</v>
      </c>
      <c r="Q13" s="34">
        <f>VLOOKUP(A13,'SSP_March''19'!$A$3:$Q$1193,17,0)</f>
        <v>0</v>
      </c>
      <c r="R13" s="35">
        <f t="shared" si="2"/>
        <v>0</v>
      </c>
      <c r="S13" s="49">
        <f>ROUND(VLOOKUP(A13,'SSP_March''19'!$A$3:$T$1193,19,0),0)</f>
        <v>0</v>
      </c>
      <c r="T13" s="44">
        <f>VLOOKUP(A13,'SSP_March''19'!$A$3:$T$1193,20,0)</f>
        <v>0</v>
      </c>
      <c r="U13" s="34">
        <f>VLOOKUP(A13,'SSP_March''19'!$A$3:$X$1193,21,0)</f>
        <v>2</v>
      </c>
      <c r="V13" s="34">
        <f>VLOOKUP(A13,'SSP_March''19'!$A$3:$X$1193,22,0)</f>
        <v>0</v>
      </c>
      <c r="W13" s="34">
        <f>VLOOKUP(A13,'SSP_March''19'!$A$3:$X$1193,23,0)</f>
        <v>0</v>
      </c>
      <c r="X13" s="34">
        <f>VLOOKUP(A13,'SSP_March''19'!$A$3:$X$1193,24,0)</f>
        <v>0</v>
      </c>
    </row>
    <row r="14" spans="1:24">
      <c r="A14" s="34" t="s">
        <v>750</v>
      </c>
      <c r="B14" s="34" t="s">
        <v>751</v>
      </c>
      <c r="C14" s="34" t="s">
        <v>179</v>
      </c>
      <c r="D14" s="34" t="s">
        <v>150</v>
      </c>
      <c r="E14" s="34" t="s">
        <v>9</v>
      </c>
      <c r="F14" s="34" t="s">
        <v>752</v>
      </c>
      <c r="G14" s="54">
        <v>1739893568</v>
      </c>
      <c r="H14" s="54" t="s">
        <v>229</v>
      </c>
      <c r="I14" s="54" t="s">
        <v>3514</v>
      </c>
      <c r="J14" s="34" t="s">
        <v>3421</v>
      </c>
      <c r="K14" s="43">
        <f>VLOOKUP(A14,'SSP_March''19'!$A$3:$L$1193,11,0)</f>
        <v>178422</v>
      </c>
      <c r="L14" s="43">
        <f>VLOOKUP(A14,'SSP_March''19'!$A$3:$L$1193,12,0)</f>
        <v>41989</v>
      </c>
      <c r="M14" s="44">
        <f t="shared" si="0"/>
        <v>0.23533532860297496</v>
      </c>
      <c r="N14" s="49">
        <f>ROUND(VLOOKUP(A14,'SSP_March''19'!$A$3:$N$1193,14,0),0)</f>
        <v>130166</v>
      </c>
      <c r="O14" s="44">
        <f t="shared" si="1"/>
        <v>0.72954007913822283</v>
      </c>
      <c r="P14" s="45">
        <f>VLOOKUP(A14,'SSP_March''19'!$A$3:$Q$1193,16,0)</f>
        <v>10</v>
      </c>
      <c r="Q14" s="34">
        <f>VLOOKUP(A14,'SSP_March''19'!$A$3:$Q$1193,17,0)</f>
        <v>3</v>
      </c>
      <c r="R14" s="35">
        <f t="shared" si="2"/>
        <v>0.3</v>
      </c>
      <c r="S14" s="49">
        <f>ROUND(VLOOKUP(A14,'SSP_March''19'!$A$3:$T$1193,19,0),0)</f>
        <v>9</v>
      </c>
      <c r="T14" s="44">
        <f>VLOOKUP(A14,'SSP_March''19'!$A$3:$T$1193,20,0)</f>
        <v>0.9</v>
      </c>
      <c r="U14" s="34">
        <f>VLOOKUP(A14,'SSP_March''19'!$A$3:$X$1193,21,0)</f>
        <v>0</v>
      </c>
      <c r="V14" s="34">
        <f>VLOOKUP(A14,'SSP_March''19'!$A$3:$X$1193,22,0)</f>
        <v>0</v>
      </c>
      <c r="W14" s="34">
        <f>VLOOKUP(A14,'SSP_March''19'!$A$3:$X$1193,23,0)</f>
        <v>0</v>
      </c>
      <c r="X14" s="34">
        <f>VLOOKUP(A14,'SSP_March''19'!$A$3:$X$1193,24,0)</f>
        <v>0</v>
      </c>
    </row>
    <row r="15" spans="1:24">
      <c r="A15" s="34" t="s">
        <v>709</v>
      </c>
      <c r="B15" s="34" t="s">
        <v>710</v>
      </c>
      <c r="C15" s="34" t="s">
        <v>677</v>
      </c>
      <c r="D15" s="34" t="s">
        <v>79</v>
      </c>
      <c r="E15" s="34" t="s">
        <v>9</v>
      </c>
      <c r="F15" s="34" t="s">
        <v>711</v>
      </c>
      <c r="G15" s="54">
        <v>1759886251</v>
      </c>
      <c r="H15" s="54" t="s">
        <v>229</v>
      </c>
      <c r="I15" s="54" t="s">
        <v>3514</v>
      </c>
      <c r="J15" s="34" t="s">
        <v>3421</v>
      </c>
      <c r="K15" s="43">
        <f>VLOOKUP(A15,'SSP_March''19'!$A$3:$L$1193,11,0)</f>
        <v>135000</v>
      </c>
      <c r="L15" s="43">
        <f>VLOOKUP(A15,'SSP_March''19'!$A$3:$L$1193,12,0)</f>
        <v>34930</v>
      </c>
      <c r="M15" s="44">
        <f t="shared" si="0"/>
        <v>0.25874074074074072</v>
      </c>
      <c r="N15" s="49">
        <f>ROUND(VLOOKUP(A15,'SSP_March''19'!$A$3:$N$1193,14,0),0)</f>
        <v>108283</v>
      </c>
      <c r="O15" s="44">
        <f t="shared" si="1"/>
        <v>0.80209629629629631</v>
      </c>
      <c r="P15" s="45">
        <f>VLOOKUP(A15,'SSP_March''19'!$A$3:$Q$1193,16,0)</f>
        <v>11</v>
      </c>
      <c r="Q15" s="34">
        <f>VLOOKUP(A15,'SSP_March''19'!$A$3:$Q$1193,17,0)</f>
        <v>0</v>
      </c>
      <c r="R15" s="35">
        <f t="shared" si="2"/>
        <v>0</v>
      </c>
      <c r="S15" s="49">
        <f>ROUND(VLOOKUP(A15,'SSP_March''19'!$A$3:$T$1193,19,0),0)</f>
        <v>0</v>
      </c>
      <c r="T15" s="44">
        <f>VLOOKUP(A15,'SSP_March''19'!$A$3:$T$1193,20,0)</f>
        <v>0</v>
      </c>
      <c r="U15" s="34">
        <f>VLOOKUP(A15,'SSP_March''19'!$A$3:$X$1193,21,0)</f>
        <v>1</v>
      </c>
      <c r="V15" s="34">
        <f>VLOOKUP(A15,'SSP_March''19'!$A$3:$X$1193,22,0)</f>
        <v>0</v>
      </c>
      <c r="W15" s="34">
        <f>VLOOKUP(A15,'SSP_March''19'!$A$3:$X$1193,23,0)</f>
        <v>0</v>
      </c>
      <c r="X15" s="34">
        <f>VLOOKUP(A15,'SSP_March''19'!$A$3:$X$1193,24,0)</f>
        <v>0</v>
      </c>
    </row>
    <row r="16" spans="1:24">
      <c r="A16" s="34" t="s">
        <v>685</v>
      </c>
      <c r="B16" s="34" t="s">
        <v>686</v>
      </c>
      <c r="C16" s="34" t="s">
        <v>677</v>
      </c>
      <c r="D16" s="34" t="s">
        <v>79</v>
      </c>
      <c r="E16" s="34" t="s">
        <v>9</v>
      </c>
      <c r="F16" s="34" t="s">
        <v>687</v>
      </c>
      <c r="G16" s="54">
        <v>1787203846</v>
      </c>
      <c r="H16" s="54" t="s">
        <v>229</v>
      </c>
      <c r="I16" s="54" t="s">
        <v>3514</v>
      </c>
      <c r="J16" s="34" t="s">
        <v>3421</v>
      </c>
      <c r="K16" s="43">
        <f>VLOOKUP(A16,'SSP_March''19'!$A$3:$L$1193,11,0)</f>
        <v>164188</v>
      </c>
      <c r="L16" s="43">
        <f>VLOOKUP(A16,'SSP_March''19'!$A$3:$L$1193,12,0)</f>
        <v>44330</v>
      </c>
      <c r="M16" s="44">
        <f t="shared" si="0"/>
        <v>0.26999537115988986</v>
      </c>
      <c r="N16" s="49">
        <f>ROUND(VLOOKUP(A16,'SSP_March''19'!$A$3:$N$1193,14,0),0)</f>
        <v>137423</v>
      </c>
      <c r="O16" s="44">
        <f t="shared" si="1"/>
        <v>0.83698565059565866</v>
      </c>
      <c r="P16" s="45">
        <f>VLOOKUP(A16,'SSP_March''19'!$A$3:$Q$1193,16,0)</f>
        <v>10</v>
      </c>
      <c r="Q16" s="34">
        <f>VLOOKUP(A16,'SSP_March''19'!$A$3:$Q$1193,17,0)</f>
        <v>2</v>
      </c>
      <c r="R16" s="35">
        <f t="shared" si="2"/>
        <v>0.2</v>
      </c>
      <c r="S16" s="49">
        <f>ROUND(VLOOKUP(A16,'SSP_March''19'!$A$3:$T$1193,19,0),0)</f>
        <v>6</v>
      </c>
      <c r="T16" s="44">
        <f>VLOOKUP(A16,'SSP_March''19'!$A$3:$T$1193,20,0)</f>
        <v>0.6</v>
      </c>
      <c r="U16" s="34">
        <f>VLOOKUP(A16,'SSP_March''19'!$A$3:$X$1193,21,0)</f>
        <v>1</v>
      </c>
      <c r="V16" s="34">
        <f>VLOOKUP(A16,'SSP_March''19'!$A$3:$X$1193,22,0)</f>
        <v>0</v>
      </c>
      <c r="W16" s="34">
        <f>VLOOKUP(A16,'SSP_March''19'!$A$3:$X$1193,23,0)</f>
        <v>0</v>
      </c>
      <c r="X16" s="34">
        <f>VLOOKUP(A16,'SSP_March''19'!$A$3:$X$1193,24,0)</f>
        <v>0</v>
      </c>
    </row>
    <row r="17" spans="1:24">
      <c r="A17" s="34" t="s">
        <v>2981</v>
      </c>
      <c r="B17" s="34" t="s">
        <v>2982</v>
      </c>
      <c r="C17" s="34" t="s">
        <v>677</v>
      </c>
      <c r="D17" s="34" t="s">
        <v>79</v>
      </c>
      <c r="E17" s="34" t="s">
        <v>9</v>
      </c>
      <c r="F17" s="34" t="s">
        <v>2983</v>
      </c>
      <c r="G17" s="54">
        <v>1721914367</v>
      </c>
      <c r="H17" s="54" t="s">
        <v>229</v>
      </c>
      <c r="I17" s="54" t="s">
        <v>3514</v>
      </c>
      <c r="J17" s="34" t="s">
        <v>3421</v>
      </c>
      <c r="K17" s="43">
        <f>VLOOKUP(A17,'SSP_March''19'!$A$3:$L$1193,11,0)</f>
        <v>130000</v>
      </c>
      <c r="L17" s="43">
        <f>VLOOKUP(A17,'SSP_March''19'!$A$3:$L$1193,12,0)</f>
        <v>24210</v>
      </c>
      <c r="M17" s="44">
        <f t="shared" si="0"/>
        <v>0.18623076923076923</v>
      </c>
      <c r="N17" s="49">
        <f>ROUND(VLOOKUP(A17,'SSP_March''19'!$A$3:$N$1193,14,0),0)</f>
        <v>75051</v>
      </c>
      <c r="O17" s="44">
        <f t="shared" si="1"/>
        <v>0.57731538461538456</v>
      </c>
      <c r="P17" s="45">
        <f>VLOOKUP(A17,'SSP_March''19'!$A$3:$Q$1193,16,0)</f>
        <v>10</v>
      </c>
      <c r="Q17" s="34">
        <f>VLOOKUP(A17,'SSP_March''19'!$A$3:$Q$1193,17,0)</f>
        <v>2</v>
      </c>
      <c r="R17" s="35">
        <f t="shared" si="2"/>
        <v>0.2</v>
      </c>
      <c r="S17" s="49">
        <f>ROUND(VLOOKUP(A17,'SSP_March''19'!$A$3:$T$1193,19,0),0)</f>
        <v>6</v>
      </c>
      <c r="T17" s="44">
        <f>VLOOKUP(A17,'SSP_March''19'!$A$3:$T$1193,20,0)</f>
        <v>0.6</v>
      </c>
      <c r="U17" s="34">
        <f>VLOOKUP(A17,'SSP_March''19'!$A$3:$X$1193,21,0)</f>
        <v>0</v>
      </c>
      <c r="V17" s="34">
        <f>VLOOKUP(A17,'SSP_March''19'!$A$3:$X$1193,22,0)</f>
        <v>0</v>
      </c>
      <c r="W17" s="34">
        <f>VLOOKUP(A17,'SSP_March''19'!$A$3:$X$1193,23,0)</f>
        <v>1</v>
      </c>
      <c r="X17" s="34">
        <f>VLOOKUP(A17,'SSP_March''19'!$A$3:$X$1193,24,0)</f>
        <v>0</v>
      </c>
    </row>
    <row r="18" spans="1:24">
      <c r="A18" s="34" t="s">
        <v>732</v>
      </c>
      <c r="B18" s="34" t="s">
        <v>733</v>
      </c>
      <c r="C18" s="34" t="s">
        <v>677</v>
      </c>
      <c r="D18" s="34" t="s">
        <v>79</v>
      </c>
      <c r="E18" s="34" t="s">
        <v>9</v>
      </c>
      <c r="F18" s="34" t="s">
        <v>734</v>
      </c>
      <c r="G18" s="54">
        <v>1761545426</v>
      </c>
      <c r="H18" s="54" t="s">
        <v>229</v>
      </c>
      <c r="I18" s="54" t="s">
        <v>3514</v>
      </c>
      <c r="J18" s="34" t="s">
        <v>3419</v>
      </c>
      <c r="K18" s="43">
        <f>VLOOKUP(A18,'SSP_March''19'!$A$3:$L$1193,11,0)</f>
        <v>159792</v>
      </c>
      <c r="L18" s="43">
        <f>VLOOKUP(A18,'SSP_March''19'!$A$3:$L$1193,12,0)</f>
        <v>64800</v>
      </c>
      <c r="M18" s="44">
        <f t="shared" si="0"/>
        <v>0.40552718534094323</v>
      </c>
      <c r="N18" s="49">
        <f>ROUND(VLOOKUP(A18,'SSP_March''19'!$A$3:$N$1193,14,0),0)</f>
        <v>200880</v>
      </c>
      <c r="O18" s="44">
        <f t="shared" si="1"/>
        <v>1.2571342745569241</v>
      </c>
      <c r="P18" s="45">
        <f>VLOOKUP(A18,'SSP_March''19'!$A$3:$Q$1193,16,0)</f>
        <v>10</v>
      </c>
      <c r="Q18" s="34">
        <f>VLOOKUP(A18,'SSP_March''19'!$A$3:$Q$1193,17,0)</f>
        <v>2</v>
      </c>
      <c r="R18" s="35">
        <f t="shared" si="2"/>
        <v>0.2</v>
      </c>
      <c r="S18" s="49">
        <f>ROUND(VLOOKUP(A18,'SSP_March''19'!$A$3:$T$1193,19,0),0)</f>
        <v>6</v>
      </c>
      <c r="T18" s="44">
        <f>VLOOKUP(A18,'SSP_March''19'!$A$3:$T$1193,20,0)</f>
        <v>0.6</v>
      </c>
      <c r="U18" s="34">
        <f>VLOOKUP(A18,'SSP_March''19'!$A$3:$X$1193,21,0)</f>
        <v>3</v>
      </c>
      <c r="V18" s="34">
        <f>VLOOKUP(A18,'SSP_March''19'!$A$3:$X$1193,22,0)</f>
        <v>0</v>
      </c>
      <c r="W18" s="34">
        <f>VLOOKUP(A18,'SSP_March''19'!$A$3:$X$1193,23,0)</f>
        <v>0</v>
      </c>
      <c r="X18" s="34">
        <f>VLOOKUP(A18,'SSP_March''19'!$A$3:$X$1193,24,0)</f>
        <v>0</v>
      </c>
    </row>
    <row r="19" spans="1:24">
      <c r="A19" s="34" t="s">
        <v>694</v>
      </c>
      <c r="B19" s="34" t="s">
        <v>695</v>
      </c>
      <c r="C19" s="34" t="s">
        <v>677</v>
      </c>
      <c r="D19" s="34" t="s">
        <v>79</v>
      </c>
      <c r="E19" s="34" t="s">
        <v>9</v>
      </c>
      <c r="F19" s="34" t="s">
        <v>696</v>
      </c>
      <c r="G19" s="54">
        <v>1751312121</v>
      </c>
      <c r="H19" s="54" t="s">
        <v>229</v>
      </c>
      <c r="I19" s="54" t="s">
        <v>3514</v>
      </c>
      <c r="J19" s="34" t="s">
        <v>3421</v>
      </c>
      <c r="K19" s="43">
        <f>VLOOKUP(A19,'SSP_March''19'!$A$3:$L$1193,11,0)</f>
        <v>159647</v>
      </c>
      <c r="L19" s="43">
        <f>VLOOKUP(A19,'SSP_March''19'!$A$3:$L$1193,12,0)</f>
        <v>10080</v>
      </c>
      <c r="M19" s="44">
        <f t="shared" si="0"/>
        <v>6.3139301083014396E-2</v>
      </c>
      <c r="N19" s="49">
        <f>ROUND(VLOOKUP(A19,'SSP_March''19'!$A$3:$N$1193,14,0),0)</f>
        <v>31248</v>
      </c>
      <c r="O19" s="44">
        <f t="shared" si="1"/>
        <v>0.19573183335734465</v>
      </c>
      <c r="P19" s="45">
        <f>VLOOKUP(A19,'SSP_March''19'!$A$3:$Q$1193,16,0)</f>
        <v>13</v>
      </c>
      <c r="Q19" s="34">
        <f>VLOOKUP(A19,'SSP_March''19'!$A$3:$Q$1193,17,0)</f>
        <v>0</v>
      </c>
      <c r="R19" s="35">
        <f t="shared" si="2"/>
        <v>0</v>
      </c>
      <c r="S19" s="49">
        <f>ROUND(VLOOKUP(A19,'SSP_March''19'!$A$3:$T$1193,19,0),0)</f>
        <v>0</v>
      </c>
      <c r="T19" s="44">
        <f>VLOOKUP(A19,'SSP_March''19'!$A$3:$T$1193,20,0)</f>
        <v>0</v>
      </c>
      <c r="U19" s="34">
        <f>VLOOKUP(A19,'SSP_March''19'!$A$3:$X$1193,21,0)</f>
        <v>1</v>
      </c>
      <c r="V19" s="34">
        <f>VLOOKUP(A19,'SSP_March''19'!$A$3:$X$1193,22,0)</f>
        <v>0</v>
      </c>
      <c r="W19" s="34">
        <f>VLOOKUP(A19,'SSP_March''19'!$A$3:$X$1193,23,0)</f>
        <v>0</v>
      </c>
      <c r="X19" s="34">
        <f>VLOOKUP(A19,'SSP_March''19'!$A$3:$X$1193,24,0)</f>
        <v>0</v>
      </c>
    </row>
    <row r="20" spans="1:24">
      <c r="A20" s="34" t="s">
        <v>723</v>
      </c>
      <c r="B20" s="34" t="s">
        <v>724</v>
      </c>
      <c r="C20" s="34" t="s">
        <v>677</v>
      </c>
      <c r="D20" s="34" t="s">
        <v>79</v>
      </c>
      <c r="E20" s="34" t="s">
        <v>9</v>
      </c>
      <c r="F20" s="34" t="s">
        <v>725</v>
      </c>
      <c r="G20" s="54">
        <v>1718775141</v>
      </c>
      <c r="H20" s="54" t="s">
        <v>229</v>
      </c>
      <c r="I20" s="54" t="s">
        <v>3514</v>
      </c>
      <c r="J20" s="34" t="s">
        <v>3419</v>
      </c>
      <c r="K20" s="43">
        <f>VLOOKUP(A20,'SSP_March''19'!$A$3:$L$1193,11,0)</f>
        <v>177811</v>
      </c>
      <c r="L20" s="43">
        <f>VLOOKUP(A20,'SSP_March''19'!$A$3:$L$1193,12,0)</f>
        <v>69970</v>
      </c>
      <c r="M20" s="44">
        <f t="shared" si="0"/>
        <v>0.39350771324608713</v>
      </c>
      <c r="N20" s="49">
        <f>ROUND(VLOOKUP(A20,'SSP_March''19'!$A$3:$N$1193,14,0),0)</f>
        <v>216907</v>
      </c>
      <c r="O20" s="44">
        <f t="shared" si="1"/>
        <v>1.21987391106287</v>
      </c>
      <c r="P20" s="45">
        <f>VLOOKUP(A20,'SSP_March''19'!$A$3:$Q$1193,16,0)</f>
        <v>11</v>
      </c>
      <c r="Q20" s="34">
        <f>VLOOKUP(A20,'SSP_March''19'!$A$3:$Q$1193,17,0)</f>
        <v>3</v>
      </c>
      <c r="R20" s="35">
        <f t="shared" si="2"/>
        <v>0.27272727272727271</v>
      </c>
      <c r="S20" s="49">
        <f>ROUND(VLOOKUP(A20,'SSP_March''19'!$A$3:$T$1193,19,0),0)</f>
        <v>9</v>
      </c>
      <c r="T20" s="44">
        <f>VLOOKUP(A20,'SSP_March''19'!$A$3:$T$1193,20,0)</f>
        <v>0.81818181818181823</v>
      </c>
      <c r="U20" s="34">
        <f>VLOOKUP(A20,'SSP_March''19'!$A$3:$X$1193,21,0)</f>
        <v>2</v>
      </c>
      <c r="V20" s="34">
        <f>VLOOKUP(A20,'SSP_March''19'!$A$3:$X$1193,22,0)</f>
        <v>0</v>
      </c>
      <c r="W20" s="34">
        <f>VLOOKUP(A20,'SSP_March''19'!$A$3:$X$1193,23,0)</f>
        <v>0</v>
      </c>
      <c r="X20" s="34">
        <f>VLOOKUP(A20,'SSP_March''19'!$A$3:$X$1193,24,0)</f>
        <v>0</v>
      </c>
    </row>
    <row r="21" spans="1:24">
      <c r="A21" s="34" t="s">
        <v>675</v>
      </c>
      <c r="B21" s="34" t="s">
        <v>676</v>
      </c>
      <c r="C21" s="34" t="s">
        <v>677</v>
      </c>
      <c r="D21" s="34" t="s">
        <v>79</v>
      </c>
      <c r="E21" s="34" t="s">
        <v>9</v>
      </c>
      <c r="F21" s="34" t="s">
        <v>678</v>
      </c>
      <c r="G21" s="54">
        <v>1721033023</v>
      </c>
      <c r="H21" s="54" t="s">
        <v>229</v>
      </c>
      <c r="I21" s="54" t="s">
        <v>3514</v>
      </c>
      <c r="J21" s="34" t="s">
        <v>3419</v>
      </c>
      <c r="K21" s="43">
        <f>VLOOKUP(A21,'SSP_March''19'!$A$3:$L$1193,11,0)</f>
        <v>165005</v>
      </c>
      <c r="L21" s="43">
        <f>VLOOKUP(A21,'SSP_March''19'!$A$3:$L$1193,12,0)</f>
        <v>62865</v>
      </c>
      <c r="M21" s="44">
        <f t="shared" si="0"/>
        <v>0.38098845489530619</v>
      </c>
      <c r="N21" s="49">
        <f>ROUND(VLOOKUP(A21,'SSP_March''19'!$A$3:$N$1193,14,0),0)</f>
        <v>194882</v>
      </c>
      <c r="O21" s="44">
        <f t="shared" si="1"/>
        <v>1.1810672403866549</v>
      </c>
      <c r="P21" s="45">
        <f>VLOOKUP(A21,'SSP_March''19'!$A$3:$Q$1193,16,0)</f>
        <v>10</v>
      </c>
      <c r="Q21" s="34">
        <f>VLOOKUP(A21,'SSP_March''19'!$A$3:$Q$1193,17,0)</f>
        <v>3</v>
      </c>
      <c r="R21" s="35">
        <f t="shared" si="2"/>
        <v>0.3</v>
      </c>
      <c r="S21" s="49">
        <f>ROUND(VLOOKUP(A21,'SSP_March''19'!$A$3:$T$1193,19,0),0)</f>
        <v>9</v>
      </c>
      <c r="T21" s="44">
        <f>VLOOKUP(A21,'SSP_March''19'!$A$3:$T$1193,20,0)</f>
        <v>0.9</v>
      </c>
      <c r="U21" s="34">
        <f>VLOOKUP(A21,'SSP_March''19'!$A$3:$X$1193,21,0)</f>
        <v>0</v>
      </c>
      <c r="V21" s="34">
        <f>VLOOKUP(A21,'SSP_March''19'!$A$3:$X$1193,22,0)</f>
        <v>1</v>
      </c>
      <c r="W21" s="34">
        <f>VLOOKUP(A21,'SSP_March''19'!$A$3:$X$1193,23,0)</f>
        <v>0</v>
      </c>
      <c r="X21" s="34">
        <f>VLOOKUP(A21,'SSP_March''19'!$A$3:$X$1193,24,0)</f>
        <v>0</v>
      </c>
    </row>
    <row r="22" spans="1:24">
      <c r="A22" s="34" t="s">
        <v>682</v>
      </c>
      <c r="B22" s="34" t="s">
        <v>683</v>
      </c>
      <c r="C22" s="34" t="s">
        <v>677</v>
      </c>
      <c r="D22" s="34" t="s">
        <v>79</v>
      </c>
      <c r="E22" s="34" t="s">
        <v>9</v>
      </c>
      <c r="F22" s="34" t="s">
        <v>684</v>
      </c>
      <c r="G22" s="54">
        <v>1732657022</v>
      </c>
      <c r="H22" s="54" t="s">
        <v>229</v>
      </c>
      <c r="I22" s="54" t="s">
        <v>3514</v>
      </c>
      <c r="J22" s="34" t="s">
        <v>3421</v>
      </c>
      <c r="K22" s="43">
        <f>VLOOKUP(A22,'SSP_March''19'!$A$3:$L$1193,11,0)</f>
        <v>142979</v>
      </c>
      <c r="L22" s="43">
        <f>VLOOKUP(A22,'SSP_March''19'!$A$3:$L$1193,12,0)</f>
        <v>36940</v>
      </c>
      <c r="M22" s="44">
        <f t="shared" si="0"/>
        <v>0.25835961924478418</v>
      </c>
      <c r="N22" s="49">
        <f>ROUND(VLOOKUP(A22,'SSP_March''19'!$A$3:$N$1193,14,0),0)</f>
        <v>114514</v>
      </c>
      <c r="O22" s="44">
        <f t="shared" si="1"/>
        <v>0.80091481965883105</v>
      </c>
      <c r="P22" s="45">
        <f>VLOOKUP(A22,'SSP_March''19'!$A$3:$Q$1193,16,0)</f>
        <v>10</v>
      </c>
      <c r="Q22" s="34">
        <f>VLOOKUP(A22,'SSP_March''19'!$A$3:$Q$1193,17,0)</f>
        <v>2</v>
      </c>
      <c r="R22" s="35">
        <f t="shared" si="2"/>
        <v>0.2</v>
      </c>
      <c r="S22" s="49">
        <f>ROUND(VLOOKUP(A22,'SSP_March''19'!$A$3:$T$1193,19,0),0)</f>
        <v>6</v>
      </c>
      <c r="T22" s="44">
        <f>VLOOKUP(A22,'SSP_March''19'!$A$3:$T$1193,20,0)</f>
        <v>0.6</v>
      </c>
      <c r="U22" s="34">
        <f>VLOOKUP(A22,'SSP_March''19'!$A$3:$X$1193,21,0)</f>
        <v>0</v>
      </c>
      <c r="V22" s="34">
        <f>VLOOKUP(A22,'SSP_March''19'!$A$3:$X$1193,22,0)</f>
        <v>0</v>
      </c>
      <c r="W22" s="34">
        <f>VLOOKUP(A22,'SSP_March''19'!$A$3:$X$1193,23,0)</f>
        <v>0</v>
      </c>
      <c r="X22" s="34">
        <f>VLOOKUP(A22,'SSP_March''19'!$A$3:$X$1193,24,0)</f>
        <v>1</v>
      </c>
    </row>
    <row r="23" spans="1:24">
      <c r="A23" s="34" t="s">
        <v>706</v>
      </c>
      <c r="B23" s="34" t="s">
        <v>707</v>
      </c>
      <c r="C23" s="34" t="s">
        <v>677</v>
      </c>
      <c r="D23" s="34" t="s">
        <v>79</v>
      </c>
      <c r="E23" s="34" t="s">
        <v>9</v>
      </c>
      <c r="F23" s="34" t="s">
        <v>708</v>
      </c>
      <c r="G23" s="54">
        <v>1711578644</v>
      </c>
      <c r="H23" s="54" t="s">
        <v>229</v>
      </c>
      <c r="I23" s="54" t="s">
        <v>3514</v>
      </c>
      <c r="J23" s="34" t="s">
        <v>3419</v>
      </c>
      <c r="K23" s="43">
        <f>VLOOKUP(A23,'SSP_March''19'!$A$3:$L$1193,11,0)</f>
        <v>194979</v>
      </c>
      <c r="L23" s="43">
        <f>VLOOKUP(A23,'SSP_March''19'!$A$3:$L$1193,12,0)</f>
        <v>44828</v>
      </c>
      <c r="M23" s="44">
        <f t="shared" si="0"/>
        <v>0.22991193923448167</v>
      </c>
      <c r="N23" s="49">
        <f>ROUND(VLOOKUP(A23,'SSP_March''19'!$A$3:$N$1193,14,0),0)</f>
        <v>138967</v>
      </c>
      <c r="O23" s="44">
        <f t="shared" si="1"/>
        <v>0.7127280373783843</v>
      </c>
      <c r="P23" s="45">
        <f>VLOOKUP(A23,'SSP_March''19'!$A$3:$Q$1193,16,0)</f>
        <v>11</v>
      </c>
      <c r="Q23" s="34">
        <f>VLOOKUP(A23,'SSP_March''19'!$A$3:$Q$1193,17,0)</f>
        <v>1</v>
      </c>
      <c r="R23" s="35">
        <f t="shared" si="2"/>
        <v>9.0909090909090912E-2</v>
      </c>
      <c r="S23" s="49">
        <f>ROUND(VLOOKUP(A23,'SSP_March''19'!$A$3:$T$1193,19,0),0)</f>
        <v>3</v>
      </c>
      <c r="T23" s="44">
        <f>VLOOKUP(A23,'SSP_March''19'!$A$3:$T$1193,20,0)</f>
        <v>0.27272727272727271</v>
      </c>
      <c r="U23" s="34">
        <f>VLOOKUP(A23,'SSP_March''19'!$A$3:$X$1193,21,0)</f>
        <v>1</v>
      </c>
      <c r="V23" s="34">
        <f>VLOOKUP(A23,'SSP_March''19'!$A$3:$X$1193,22,0)</f>
        <v>1</v>
      </c>
      <c r="W23" s="34">
        <f>VLOOKUP(A23,'SSP_March''19'!$A$3:$X$1193,23,0)</f>
        <v>0</v>
      </c>
      <c r="X23" s="34">
        <f>VLOOKUP(A23,'SSP_March''19'!$A$3:$X$1193,24,0)</f>
        <v>0</v>
      </c>
    </row>
    <row r="24" spans="1:24">
      <c r="A24" s="34" t="s">
        <v>3115</v>
      </c>
      <c r="B24" s="34" t="s">
        <v>3116</v>
      </c>
      <c r="C24" s="34" t="s">
        <v>677</v>
      </c>
      <c r="D24" s="34" t="s">
        <v>79</v>
      </c>
      <c r="E24" s="34" t="s">
        <v>9</v>
      </c>
      <c r="F24" s="34" t="s">
        <v>3117</v>
      </c>
      <c r="G24" s="54">
        <v>1719898008</v>
      </c>
      <c r="H24" s="54" t="s">
        <v>229</v>
      </c>
      <c r="I24" s="54" t="s">
        <v>3514</v>
      </c>
      <c r="J24" s="34" t="s">
        <v>3421</v>
      </c>
      <c r="K24" s="43">
        <f>VLOOKUP(A24,'SSP_March''19'!$A$3:$L$1193,11,0)</f>
        <v>130000</v>
      </c>
      <c r="L24" s="43">
        <f>VLOOKUP(A24,'SSP_March''19'!$A$3:$L$1193,12,0)</f>
        <v>21560</v>
      </c>
      <c r="M24" s="44">
        <f t="shared" si="0"/>
        <v>0.16584615384615384</v>
      </c>
      <c r="N24" s="49">
        <f>ROUND(VLOOKUP(A24,'SSP_March''19'!$A$3:$N$1193,14,0),0)</f>
        <v>66836</v>
      </c>
      <c r="O24" s="44">
        <f t="shared" si="1"/>
        <v>0.5141230769230769</v>
      </c>
      <c r="P24" s="45">
        <f>VLOOKUP(A24,'SSP_March''19'!$A$3:$Q$1193,16,0)</f>
        <v>10</v>
      </c>
      <c r="Q24" s="34">
        <f>VLOOKUP(A24,'SSP_March''19'!$A$3:$Q$1193,17,0)</f>
        <v>1</v>
      </c>
      <c r="R24" s="35">
        <f t="shared" si="2"/>
        <v>0.1</v>
      </c>
      <c r="S24" s="49">
        <f>ROUND(VLOOKUP(A24,'SSP_March''19'!$A$3:$T$1193,19,0),0)</f>
        <v>3</v>
      </c>
      <c r="T24" s="44">
        <f>VLOOKUP(A24,'SSP_March''19'!$A$3:$T$1193,20,0)</f>
        <v>0.3</v>
      </c>
      <c r="U24" s="34">
        <f>VLOOKUP(A24,'SSP_March''19'!$A$3:$X$1193,21,0)</f>
        <v>0</v>
      </c>
      <c r="V24" s="34">
        <f>VLOOKUP(A24,'SSP_March''19'!$A$3:$X$1193,22,0)</f>
        <v>1</v>
      </c>
      <c r="W24" s="34">
        <f>VLOOKUP(A24,'SSP_March''19'!$A$3:$X$1193,23,0)</f>
        <v>0</v>
      </c>
      <c r="X24" s="34">
        <f>VLOOKUP(A24,'SSP_March''19'!$A$3:$X$1193,24,0)</f>
        <v>0</v>
      </c>
    </row>
    <row r="25" spans="1:24">
      <c r="A25" s="34" t="s">
        <v>2978</v>
      </c>
      <c r="B25" s="34" t="s">
        <v>2979</v>
      </c>
      <c r="C25" s="34" t="s">
        <v>677</v>
      </c>
      <c r="D25" s="34" t="s">
        <v>79</v>
      </c>
      <c r="E25" s="34" t="s">
        <v>9</v>
      </c>
      <c r="F25" s="34" t="s">
        <v>2980</v>
      </c>
      <c r="G25" s="54">
        <v>1780003008</v>
      </c>
      <c r="H25" s="54" t="s">
        <v>229</v>
      </c>
      <c r="I25" s="54" t="s">
        <v>3514</v>
      </c>
      <c r="J25" s="34" t="s">
        <v>3421</v>
      </c>
      <c r="K25" s="43">
        <f>VLOOKUP(A25,'SSP_March''19'!$A$3:$L$1193,11,0)</f>
        <v>135000</v>
      </c>
      <c r="L25" s="43">
        <f>VLOOKUP(A25,'SSP_March''19'!$A$3:$L$1193,12,0)</f>
        <v>39880</v>
      </c>
      <c r="M25" s="44">
        <f t="shared" si="0"/>
        <v>0.2954074074074074</v>
      </c>
      <c r="N25" s="49">
        <f>ROUND(VLOOKUP(A25,'SSP_March''19'!$A$3:$N$1193,14,0),0)</f>
        <v>123628</v>
      </c>
      <c r="O25" s="44">
        <f t="shared" si="1"/>
        <v>0.915762962962963</v>
      </c>
      <c r="P25" s="45">
        <f>VLOOKUP(A25,'SSP_March''19'!$A$3:$Q$1193,16,0)</f>
        <v>10</v>
      </c>
      <c r="Q25" s="34">
        <f>VLOOKUP(A25,'SSP_March''19'!$A$3:$Q$1193,17,0)</f>
        <v>3</v>
      </c>
      <c r="R25" s="35">
        <f t="shared" si="2"/>
        <v>0.3</v>
      </c>
      <c r="S25" s="49">
        <f>ROUND(VLOOKUP(A25,'SSP_March''19'!$A$3:$T$1193,19,0),0)</f>
        <v>9</v>
      </c>
      <c r="T25" s="44">
        <f>VLOOKUP(A25,'SSP_March''19'!$A$3:$T$1193,20,0)</f>
        <v>0.9</v>
      </c>
      <c r="U25" s="34">
        <f>VLOOKUP(A25,'SSP_March''19'!$A$3:$X$1193,21,0)</f>
        <v>1</v>
      </c>
      <c r="V25" s="34">
        <f>VLOOKUP(A25,'SSP_March''19'!$A$3:$X$1193,22,0)</f>
        <v>1</v>
      </c>
      <c r="W25" s="34">
        <f>VLOOKUP(A25,'SSP_March''19'!$A$3:$X$1193,23,0)</f>
        <v>0</v>
      </c>
      <c r="X25" s="34">
        <f>VLOOKUP(A25,'SSP_March''19'!$A$3:$X$1193,24,0)</f>
        <v>0</v>
      </c>
    </row>
    <row r="26" spans="1:24">
      <c r="A26" s="34" t="s">
        <v>3118</v>
      </c>
      <c r="B26" s="34" t="s">
        <v>2307</v>
      </c>
      <c r="C26" s="34" t="s">
        <v>677</v>
      </c>
      <c r="D26" s="34" t="s">
        <v>79</v>
      </c>
      <c r="E26" s="34" t="s">
        <v>9</v>
      </c>
      <c r="F26" s="34" t="s">
        <v>3119</v>
      </c>
      <c r="G26" s="54">
        <v>1722037989</v>
      </c>
      <c r="H26" s="54" t="s">
        <v>229</v>
      </c>
      <c r="I26" s="54" t="s">
        <v>3514</v>
      </c>
      <c r="J26" s="34" t="s">
        <v>3421</v>
      </c>
      <c r="K26" s="43">
        <f>VLOOKUP(A26,'SSP_March''19'!$A$3:$L$1193,11,0)</f>
        <v>135000</v>
      </c>
      <c r="L26" s="43">
        <f>VLOOKUP(A26,'SSP_March''19'!$A$3:$L$1193,12,0)</f>
        <v>19420</v>
      </c>
      <c r="M26" s="44">
        <f t="shared" si="0"/>
        <v>0.14385185185185184</v>
      </c>
      <c r="N26" s="49">
        <f>ROUND(VLOOKUP(A26,'SSP_March''19'!$A$3:$N$1193,14,0),0)</f>
        <v>60202</v>
      </c>
      <c r="O26" s="44">
        <f t="shared" si="1"/>
        <v>0.44594074074074075</v>
      </c>
      <c r="P26" s="45">
        <f>VLOOKUP(A26,'SSP_March''19'!$A$3:$Q$1193,16,0)</f>
        <v>10</v>
      </c>
      <c r="Q26" s="34">
        <f>VLOOKUP(A26,'SSP_March''19'!$A$3:$Q$1193,17,0)</f>
        <v>2</v>
      </c>
      <c r="R26" s="35">
        <f t="shared" si="2"/>
        <v>0.2</v>
      </c>
      <c r="S26" s="49">
        <f>ROUND(VLOOKUP(A26,'SSP_March''19'!$A$3:$T$1193,19,0),0)</f>
        <v>6</v>
      </c>
      <c r="T26" s="44">
        <f>VLOOKUP(A26,'SSP_March''19'!$A$3:$T$1193,20,0)</f>
        <v>0.6</v>
      </c>
      <c r="U26" s="34">
        <f>VLOOKUP(A26,'SSP_March''19'!$A$3:$X$1193,21,0)</f>
        <v>0</v>
      </c>
      <c r="V26" s="34">
        <f>VLOOKUP(A26,'SSP_March''19'!$A$3:$X$1193,22,0)</f>
        <v>1</v>
      </c>
      <c r="W26" s="34">
        <f>VLOOKUP(A26,'SSP_March''19'!$A$3:$X$1193,23,0)</f>
        <v>0</v>
      </c>
      <c r="X26" s="34">
        <f>VLOOKUP(A26,'SSP_March''19'!$A$3:$X$1193,24,0)</f>
        <v>0</v>
      </c>
    </row>
    <row r="27" spans="1:24">
      <c r="A27" s="34" t="s">
        <v>822</v>
      </c>
      <c r="B27" s="34" t="s">
        <v>823</v>
      </c>
      <c r="C27" s="34" t="s">
        <v>98</v>
      </c>
      <c r="D27" s="34" t="s">
        <v>79</v>
      </c>
      <c r="E27" s="34" t="s">
        <v>9</v>
      </c>
      <c r="F27" s="34" t="s">
        <v>824</v>
      </c>
      <c r="G27" s="54">
        <v>1740547425</v>
      </c>
      <c r="H27" s="54" t="s">
        <v>229</v>
      </c>
      <c r="I27" s="54" t="s">
        <v>3514</v>
      </c>
      <c r="J27" s="34" t="s">
        <v>3421</v>
      </c>
      <c r="K27" s="43">
        <f>VLOOKUP(A27,'SSP_March''19'!$A$3:$L$1193,11,0)</f>
        <v>153287</v>
      </c>
      <c r="L27" s="43">
        <f>VLOOKUP(A27,'SSP_March''19'!$A$3:$L$1193,12,0)</f>
        <v>24900</v>
      </c>
      <c r="M27" s="44">
        <f t="shared" si="0"/>
        <v>0.16244038959598661</v>
      </c>
      <c r="N27" s="49">
        <f>ROUND(VLOOKUP(A27,'SSP_March''19'!$A$3:$N$1193,14,0),0)</f>
        <v>77190</v>
      </c>
      <c r="O27" s="44">
        <f t="shared" si="1"/>
        <v>0.50356520774755853</v>
      </c>
      <c r="P27" s="45">
        <f>VLOOKUP(A27,'SSP_March''19'!$A$3:$Q$1193,16,0)</f>
        <v>10</v>
      </c>
      <c r="Q27" s="34">
        <f>VLOOKUP(A27,'SSP_March''19'!$A$3:$Q$1193,17,0)</f>
        <v>0</v>
      </c>
      <c r="R27" s="35">
        <f t="shared" si="2"/>
        <v>0</v>
      </c>
      <c r="S27" s="49">
        <f>ROUND(VLOOKUP(A27,'SSP_March''19'!$A$3:$T$1193,19,0),0)</f>
        <v>0</v>
      </c>
      <c r="T27" s="44">
        <f>VLOOKUP(A27,'SSP_March''19'!$A$3:$T$1193,20,0)</f>
        <v>0</v>
      </c>
      <c r="U27" s="34">
        <f>VLOOKUP(A27,'SSP_March''19'!$A$3:$X$1193,21,0)</f>
        <v>0</v>
      </c>
      <c r="V27" s="34">
        <f>VLOOKUP(A27,'SSP_March''19'!$A$3:$X$1193,22,0)</f>
        <v>0</v>
      </c>
      <c r="W27" s="34">
        <f>VLOOKUP(A27,'SSP_March''19'!$A$3:$X$1193,23,0)</f>
        <v>0</v>
      </c>
      <c r="X27" s="34">
        <f>VLOOKUP(A27,'SSP_March''19'!$A$3:$X$1193,24,0)</f>
        <v>0</v>
      </c>
    </row>
    <row r="28" spans="1:24">
      <c r="A28" s="34" t="s">
        <v>747</v>
      </c>
      <c r="B28" s="34" t="s">
        <v>748</v>
      </c>
      <c r="C28" s="34" t="s">
        <v>98</v>
      </c>
      <c r="D28" s="34" t="s">
        <v>79</v>
      </c>
      <c r="E28" s="34" t="s">
        <v>9</v>
      </c>
      <c r="F28" s="34" t="s">
        <v>749</v>
      </c>
      <c r="G28" s="54">
        <v>1993574525</v>
      </c>
      <c r="H28" s="54" t="s">
        <v>229</v>
      </c>
      <c r="I28" s="54" t="s">
        <v>3514</v>
      </c>
      <c r="J28" s="34" t="s">
        <v>3419</v>
      </c>
      <c r="K28" s="43">
        <f>VLOOKUP(A28,'SSP_March''19'!$A$3:$L$1193,11,0)</f>
        <v>150109</v>
      </c>
      <c r="L28" s="43">
        <f>VLOOKUP(A28,'SSP_March''19'!$A$3:$L$1193,12,0)</f>
        <v>37549</v>
      </c>
      <c r="M28" s="44">
        <f t="shared" si="0"/>
        <v>0.25014489470984419</v>
      </c>
      <c r="N28" s="49">
        <f>ROUND(VLOOKUP(A28,'SSP_March''19'!$A$3:$N$1193,14,0),0)</f>
        <v>116402</v>
      </c>
      <c r="O28" s="44">
        <f t="shared" si="1"/>
        <v>0.7754498397830909</v>
      </c>
      <c r="P28" s="45">
        <f>VLOOKUP(A28,'SSP_March''19'!$A$3:$Q$1193,16,0)</f>
        <v>10</v>
      </c>
      <c r="Q28" s="34">
        <f>VLOOKUP(A28,'SSP_March''19'!$A$3:$Q$1193,17,0)</f>
        <v>3</v>
      </c>
      <c r="R28" s="35">
        <f t="shared" si="2"/>
        <v>0.3</v>
      </c>
      <c r="S28" s="49">
        <f>ROUND(VLOOKUP(A28,'SSP_March''19'!$A$3:$T$1193,19,0),0)</f>
        <v>9</v>
      </c>
      <c r="T28" s="44">
        <f>VLOOKUP(A28,'SSP_March''19'!$A$3:$T$1193,20,0)</f>
        <v>0.9</v>
      </c>
      <c r="U28" s="34">
        <f>VLOOKUP(A28,'SSP_March''19'!$A$3:$X$1193,21,0)</f>
        <v>0</v>
      </c>
      <c r="V28" s="34">
        <f>VLOOKUP(A28,'SSP_March''19'!$A$3:$X$1193,22,0)</f>
        <v>0</v>
      </c>
      <c r="W28" s="34">
        <f>VLOOKUP(A28,'SSP_March''19'!$A$3:$X$1193,23,0)</f>
        <v>0</v>
      </c>
      <c r="X28" s="34">
        <f>VLOOKUP(A28,'SSP_March''19'!$A$3:$X$1193,24,0)</f>
        <v>1</v>
      </c>
    </row>
    <row r="29" spans="1:24">
      <c r="A29" s="34" t="s">
        <v>757</v>
      </c>
      <c r="B29" s="34" t="s">
        <v>758</v>
      </c>
      <c r="C29" s="34" t="s">
        <v>98</v>
      </c>
      <c r="D29" s="34" t="s">
        <v>79</v>
      </c>
      <c r="E29" s="34" t="s">
        <v>9</v>
      </c>
      <c r="F29" s="34" t="s">
        <v>759</v>
      </c>
      <c r="G29" s="54">
        <v>1727968888</v>
      </c>
      <c r="H29" s="54" t="s">
        <v>229</v>
      </c>
      <c r="I29" s="54" t="s">
        <v>3518</v>
      </c>
      <c r="J29" s="34" t="s">
        <v>3419</v>
      </c>
      <c r="K29" s="43">
        <f>VLOOKUP(A29,'SSP_March''19'!$A$3:$L$1193,11,0)</f>
        <v>309593</v>
      </c>
      <c r="L29" s="43">
        <f>VLOOKUP(A29,'SSP_March''19'!$A$3:$L$1193,12,0)</f>
        <v>119445</v>
      </c>
      <c r="M29" s="44">
        <f t="shared" si="0"/>
        <v>0.38581298672773612</v>
      </c>
      <c r="N29" s="49">
        <f>ROUND(VLOOKUP(A29,'SSP_March''19'!$A$3:$N$1193,14,0),0)</f>
        <v>370280</v>
      </c>
      <c r="O29" s="44">
        <f t="shared" si="1"/>
        <v>1.1960218738795774</v>
      </c>
      <c r="P29" s="45">
        <f>VLOOKUP(A29,'SSP_March''19'!$A$3:$Q$1193,16,0)</f>
        <v>13</v>
      </c>
      <c r="Q29" s="34">
        <f>VLOOKUP(A29,'SSP_March''19'!$A$3:$Q$1193,17,0)</f>
        <v>9</v>
      </c>
      <c r="R29" s="35">
        <f t="shared" si="2"/>
        <v>0.69230769230769229</v>
      </c>
      <c r="S29" s="49">
        <f>ROUND(VLOOKUP(A29,'SSP_March''19'!$A$3:$T$1193,19,0),0)</f>
        <v>28</v>
      </c>
      <c r="T29" s="44">
        <f>VLOOKUP(A29,'SSP_March''19'!$A$3:$T$1193,20,0)</f>
        <v>2.1538461538461537</v>
      </c>
      <c r="U29" s="34">
        <f>VLOOKUP(A29,'SSP_March''19'!$A$3:$X$1193,21,0)</f>
        <v>1</v>
      </c>
      <c r="V29" s="34">
        <f>VLOOKUP(A29,'SSP_March''19'!$A$3:$X$1193,22,0)</f>
        <v>4</v>
      </c>
      <c r="W29" s="34">
        <f>VLOOKUP(A29,'SSP_March''19'!$A$3:$X$1193,23,0)</f>
        <v>0</v>
      </c>
      <c r="X29" s="34">
        <f>VLOOKUP(A29,'SSP_March''19'!$A$3:$X$1193,24,0)</f>
        <v>0</v>
      </c>
    </row>
    <row r="30" spans="1:24">
      <c r="A30" s="34" t="s">
        <v>669</v>
      </c>
      <c r="B30" s="34" t="s">
        <v>670</v>
      </c>
      <c r="C30" s="34" t="s">
        <v>98</v>
      </c>
      <c r="D30" s="34" t="s">
        <v>79</v>
      </c>
      <c r="E30" s="34" t="s">
        <v>9</v>
      </c>
      <c r="F30" s="34" t="s">
        <v>671</v>
      </c>
      <c r="G30" s="54">
        <v>1913732379</v>
      </c>
      <c r="H30" s="54" t="s">
        <v>229</v>
      </c>
      <c r="I30" s="54" t="s">
        <v>3514</v>
      </c>
      <c r="J30" s="34" t="s">
        <v>3421</v>
      </c>
      <c r="K30" s="43">
        <f>VLOOKUP(A30,'SSP_March''19'!$A$3:$L$1193,11,0)</f>
        <v>179956</v>
      </c>
      <c r="L30" s="43">
        <f>VLOOKUP(A30,'SSP_March''19'!$A$3:$L$1193,12,0)</f>
        <v>61999</v>
      </c>
      <c r="M30" s="44">
        <f t="shared" si="0"/>
        <v>0.34452310564804728</v>
      </c>
      <c r="N30" s="49">
        <f>ROUND(VLOOKUP(A30,'SSP_March''19'!$A$3:$N$1193,14,0),0)</f>
        <v>192197</v>
      </c>
      <c r="O30" s="44">
        <f t="shared" si="1"/>
        <v>1.0680221832003378</v>
      </c>
      <c r="P30" s="45">
        <f>VLOOKUP(A30,'SSP_March''19'!$A$3:$Q$1193,16,0)</f>
        <v>11</v>
      </c>
      <c r="Q30" s="34">
        <f>VLOOKUP(A30,'SSP_March''19'!$A$3:$Q$1193,17,0)</f>
        <v>2</v>
      </c>
      <c r="R30" s="35">
        <f t="shared" si="2"/>
        <v>0.18181818181818182</v>
      </c>
      <c r="S30" s="49">
        <f>ROUND(VLOOKUP(A30,'SSP_March''19'!$A$3:$T$1193,19,0),0)</f>
        <v>6</v>
      </c>
      <c r="T30" s="44">
        <f>VLOOKUP(A30,'SSP_March''19'!$A$3:$T$1193,20,0)</f>
        <v>0.54545454545454541</v>
      </c>
      <c r="U30" s="34">
        <f>VLOOKUP(A30,'SSP_March''19'!$A$3:$X$1193,21,0)</f>
        <v>2</v>
      </c>
      <c r="V30" s="34">
        <f>VLOOKUP(A30,'SSP_March''19'!$A$3:$X$1193,22,0)</f>
        <v>1</v>
      </c>
      <c r="W30" s="34">
        <f>VLOOKUP(A30,'SSP_March''19'!$A$3:$X$1193,23,0)</f>
        <v>0</v>
      </c>
      <c r="X30" s="34">
        <f>VLOOKUP(A30,'SSP_March''19'!$A$3:$X$1193,24,0)</f>
        <v>0</v>
      </c>
    </row>
    <row r="31" spans="1:24">
      <c r="A31" s="34" t="s">
        <v>797</v>
      </c>
      <c r="B31" s="34" t="s">
        <v>798</v>
      </c>
      <c r="C31" s="34" t="s">
        <v>98</v>
      </c>
      <c r="D31" s="34" t="s">
        <v>79</v>
      </c>
      <c r="E31" s="34" t="s">
        <v>9</v>
      </c>
      <c r="F31" s="34" t="s">
        <v>799</v>
      </c>
      <c r="G31" s="54">
        <v>1826470169</v>
      </c>
      <c r="H31" s="54" t="s">
        <v>229</v>
      </c>
      <c r="I31" s="54" t="s">
        <v>3514</v>
      </c>
      <c r="J31" s="34" t="s">
        <v>3515</v>
      </c>
      <c r="K31" s="43">
        <f>VLOOKUP(A31,'SSP_March''19'!$A$3:$L$1193,11,0)</f>
        <v>274960</v>
      </c>
      <c r="L31" s="43">
        <f>VLOOKUP(A31,'SSP_March''19'!$A$3:$L$1193,12,0)</f>
        <v>129520</v>
      </c>
      <c r="M31" s="44">
        <f t="shared" si="0"/>
        <v>0.47105033459412277</v>
      </c>
      <c r="N31" s="49">
        <f>ROUND(VLOOKUP(A31,'SSP_March''19'!$A$3:$N$1193,14,0),0)</f>
        <v>401512</v>
      </c>
      <c r="O31" s="44">
        <f t="shared" si="1"/>
        <v>1.4602560372417805</v>
      </c>
      <c r="P31" s="45">
        <f>VLOOKUP(A31,'SSP_March''19'!$A$3:$Q$1193,16,0)</f>
        <v>14</v>
      </c>
      <c r="Q31" s="34">
        <f>VLOOKUP(A31,'SSP_March''19'!$A$3:$Q$1193,17,0)</f>
        <v>7</v>
      </c>
      <c r="R31" s="35">
        <f t="shared" si="2"/>
        <v>0.5</v>
      </c>
      <c r="S31" s="49">
        <f>ROUND(VLOOKUP(A31,'SSP_March''19'!$A$3:$T$1193,19,0),0)</f>
        <v>22</v>
      </c>
      <c r="T31" s="44">
        <f>VLOOKUP(A31,'SSP_March''19'!$A$3:$T$1193,20,0)</f>
        <v>1.5714285714285714</v>
      </c>
      <c r="U31" s="34">
        <f>VLOOKUP(A31,'SSP_March''19'!$A$3:$X$1193,21,0)</f>
        <v>5</v>
      </c>
      <c r="V31" s="34">
        <f>VLOOKUP(A31,'SSP_March''19'!$A$3:$X$1193,22,0)</f>
        <v>3</v>
      </c>
      <c r="W31" s="34">
        <f>VLOOKUP(A31,'SSP_March''19'!$A$3:$X$1193,23,0)</f>
        <v>0</v>
      </c>
      <c r="X31" s="34">
        <f>VLOOKUP(A31,'SSP_March''19'!$A$3:$X$1193,24,0)</f>
        <v>0</v>
      </c>
    </row>
    <row r="32" spans="1:24">
      <c r="A32" s="34" t="s">
        <v>846</v>
      </c>
      <c r="B32" s="34" t="s">
        <v>847</v>
      </c>
      <c r="C32" s="34" t="s">
        <v>98</v>
      </c>
      <c r="D32" s="34" t="s">
        <v>79</v>
      </c>
      <c r="E32" s="34" t="s">
        <v>9</v>
      </c>
      <c r="F32" s="34" t="s">
        <v>848</v>
      </c>
      <c r="G32" s="54">
        <v>1711220235</v>
      </c>
      <c r="H32" s="54" t="s">
        <v>229</v>
      </c>
      <c r="I32" s="54" t="s">
        <v>3514</v>
      </c>
      <c r="J32" s="34" t="s">
        <v>3515</v>
      </c>
      <c r="K32" s="43">
        <f>VLOOKUP(A32,'SSP_March''19'!$A$3:$L$1193,11,0)</f>
        <v>130000</v>
      </c>
      <c r="L32" s="43">
        <f>VLOOKUP(A32,'SSP_March''19'!$A$3:$L$1193,12,0)</f>
        <v>21660</v>
      </c>
      <c r="M32" s="44">
        <f t="shared" si="0"/>
        <v>0.16661538461538461</v>
      </c>
      <c r="N32" s="49">
        <f>ROUND(VLOOKUP(A32,'SSP_March''19'!$A$3:$N$1193,14,0),0)</f>
        <v>67146</v>
      </c>
      <c r="O32" s="44">
        <f t="shared" si="1"/>
        <v>0.51650769230769233</v>
      </c>
      <c r="P32" s="45">
        <f>VLOOKUP(A32,'SSP_March''19'!$A$3:$Q$1193,16,0)</f>
        <v>10</v>
      </c>
      <c r="Q32" s="34">
        <f>VLOOKUP(A32,'SSP_March''19'!$A$3:$Q$1193,17,0)</f>
        <v>1</v>
      </c>
      <c r="R32" s="35">
        <f t="shared" si="2"/>
        <v>0.1</v>
      </c>
      <c r="S32" s="49">
        <f>ROUND(VLOOKUP(A32,'SSP_March''19'!$A$3:$T$1193,19,0),0)</f>
        <v>3</v>
      </c>
      <c r="T32" s="44">
        <f>VLOOKUP(A32,'SSP_March''19'!$A$3:$T$1193,20,0)</f>
        <v>0.3</v>
      </c>
      <c r="U32" s="34">
        <f>VLOOKUP(A32,'SSP_March''19'!$A$3:$X$1193,21,0)</f>
        <v>0</v>
      </c>
      <c r="V32" s="34">
        <f>VLOOKUP(A32,'SSP_March''19'!$A$3:$X$1193,22,0)</f>
        <v>0</v>
      </c>
      <c r="W32" s="34">
        <f>VLOOKUP(A32,'SSP_March''19'!$A$3:$X$1193,23,0)</f>
        <v>0</v>
      </c>
      <c r="X32" s="34">
        <f>VLOOKUP(A32,'SSP_March''19'!$A$3:$X$1193,24,0)</f>
        <v>0</v>
      </c>
    </row>
    <row r="33" spans="1:24">
      <c r="A33" s="34" t="s">
        <v>672</v>
      </c>
      <c r="B33" s="34" t="s">
        <v>673</v>
      </c>
      <c r="C33" s="34" t="s">
        <v>98</v>
      </c>
      <c r="D33" s="34" t="s">
        <v>79</v>
      </c>
      <c r="E33" s="34" t="s">
        <v>9</v>
      </c>
      <c r="F33" s="34" t="s">
        <v>674</v>
      </c>
      <c r="G33" s="54">
        <v>1928948169</v>
      </c>
      <c r="H33" s="54" t="s">
        <v>229</v>
      </c>
      <c r="I33" s="54" t="s">
        <v>3514</v>
      </c>
      <c r="J33" s="34" t="s">
        <v>3421</v>
      </c>
      <c r="K33" s="43">
        <f>VLOOKUP(A33,'SSP_March''19'!$A$3:$L$1193,11,0)</f>
        <v>178317</v>
      </c>
      <c r="L33" s="43">
        <f>VLOOKUP(A33,'SSP_March''19'!$A$3:$L$1193,12,0)</f>
        <v>51910</v>
      </c>
      <c r="M33" s="44">
        <f t="shared" si="0"/>
        <v>0.29111077463169521</v>
      </c>
      <c r="N33" s="49">
        <f>ROUND(VLOOKUP(A33,'SSP_March''19'!$A$3:$N$1193,14,0),0)</f>
        <v>160921</v>
      </c>
      <c r="O33" s="44">
        <f t="shared" si="1"/>
        <v>0.90244340135825529</v>
      </c>
      <c r="P33" s="45">
        <f>VLOOKUP(A33,'SSP_March''19'!$A$3:$Q$1193,16,0)</f>
        <v>10</v>
      </c>
      <c r="Q33" s="34">
        <f>VLOOKUP(A33,'SSP_March''19'!$A$3:$Q$1193,17,0)</f>
        <v>3</v>
      </c>
      <c r="R33" s="35">
        <f t="shared" si="2"/>
        <v>0.3</v>
      </c>
      <c r="S33" s="49">
        <f>ROUND(VLOOKUP(A33,'SSP_March''19'!$A$3:$T$1193,19,0),0)</f>
        <v>9</v>
      </c>
      <c r="T33" s="44">
        <f>VLOOKUP(A33,'SSP_March''19'!$A$3:$T$1193,20,0)</f>
        <v>0.9</v>
      </c>
      <c r="U33" s="34">
        <f>VLOOKUP(A33,'SSP_March''19'!$A$3:$X$1193,21,0)</f>
        <v>1</v>
      </c>
      <c r="V33" s="34">
        <f>VLOOKUP(A33,'SSP_March''19'!$A$3:$X$1193,22,0)</f>
        <v>0</v>
      </c>
      <c r="W33" s="34">
        <f>VLOOKUP(A33,'SSP_March''19'!$A$3:$X$1193,23,0)</f>
        <v>0</v>
      </c>
      <c r="X33" s="34">
        <f>VLOOKUP(A33,'SSP_March''19'!$A$3:$X$1193,24,0)</f>
        <v>0</v>
      </c>
    </row>
    <row r="34" spans="1:24">
      <c r="A34" s="75" t="s">
        <v>3640</v>
      </c>
      <c r="B34" s="75" t="s">
        <v>3641</v>
      </c>
      <c r="C34" s="75" t="s">
        <v>98</v>
      </c>
      <c r="D34" s="75" t="s">
        <v>79</v>
      </c>
      <c r="E34" s="75" t="s">
        <v>9</v>
      </c>
      <c r="F34" s="75" t="s">
        <v>3642</v>
      </c>
      <c r="G34" s="67">
        <v>1713827539</v>
      </c>
      <c r="H34" s="54" t="s">
        <v>229</v>
      </c>
      <c r="I34" s="54" t="s">
        <v>3514</v>
      </c>
      <c r="J34" s="34" t="s">
        <v>3421</v>
      </c>
      <c r="K34" s="43">
        <f>VLOOKUP(A34,'SSP_March''19'!$A$3:$L$1193,11,0)</f>
        <v>160000</v>
      </c>
      <c r="L34" s="43">
        <f>VLOOKUP(A34,'SSP_March''19'!$A$3:$L$1193,12,0)</f>
        <v>44088</v>
      </c>
      <c r="M34" s="44">
        <f t="shared" si="0"/>
        <v>0.27555000000000002</v>
      </c>
      <c r="N34" s="49">
        <f>ROUND(VLOOKUP(A34,'SSP_March''19'!$A$3:$N$1193,14,0),0)</f>
        <v>136673</v>
      </c>
      <c r="O34" s="44">
        <f t="shared" si="1"/>
        <v>0.85420624999999994</v>
      </c>
      <c r="P34" s="45">
        <f>VLOOKUP(A34,'SSP_March''19'!$A$3:$Q$1193,16,0)</f>
        <v>12</v>
      </c>
      <c r="Q34" s="34">
        <f>VLOOKUP(A34,'SSP_March''19'!$A$3:$Q$1193,17,0)</f>
        <v>0</v>
      </c>
      <c r="R34" s="35">
        <f t="shared" si="2"/>
        <v>0</v>
      </c>
      <c r="S34" s="49">
        <f>ROUND(VLOOKUP(A34,'SSP_March''19'!$A$3:$T$1193,19,0),0)</f>
        <v>0</v>
      </c>
      <c r="T34" s="44">
        <f>VLOOKUP(A34,'SSP_March''19'!$A$3:$T$1193,20,0)</f>
        <v>0</v>
      </c>
      <c r="U34" s="34">
        <f>VLOOKUP(A34,'SSP_March''19'!$A$3:$X$1193,21,0)</f>
        <v>0</v>
      </c>
      <c r="V34" s="34">
        <f>VLOOKUP(A34,'SSP_March''19'!$A$3:$X$1193,22,0)</f>
        <v>0</v>
      </c>
      <c r="W34" s="34">
        <f>VLOOKUP(A34,'SSP_March''19'!$A$3:$X$1193,23,0)</f>
        <v>0</v>
      </c>
      <c r="X34" s="34">
        <f>VLOOKUP(A34,'SSP_March''19'!$A$3:$X$1193,24,0)</f>
        <v>0</v>
      </c>
    </row>
    <row r="35" spans="1:24">
      <c r="A35" s="34" t="s">
        <v>2936</v>
      </c>
      <c r="B35" s="34" t="s">
        <v>2937</v>
      </c>
      <c r="C35" s="34" t="s">
        <v>96</v>
      </c>
      <c r="D35" s="34" t="s">
        <v>97</v>
      </c>
      <c r="E35" s="34" t="s">
        <v>9</v>
      </c>
      <c r="F35" s="34" t="s">
        <v>2938</v>
      </c>
      <c r="G35" s="54">
        <v>1749152530</v>
      </c>
      <c r="H35" s="54" t="s">
        <v>229</v>
      </c>
      <c r="I35" s="54" t="s">
        <v>3514</v>
      </c>
      <c r="J35" s="34" t="s">
        <v>3421</v>
      </c>
      <c r="K35" s="43">
        <f>VLOOKUP(A35,'SSP_March''19'!$A$3:$L$1193,11,0)</f>
        <v>130000</v>
      </c>
      <c r="L35" s="43">
        <f>VLOOKUP(A35,'SSP_March''19'!$A$3:$L$1193,12,0)</f>
        <v>32100</v>
      </c>
      <c r="M35" s="44">
        <f t="shared" ref="M35:M73" si="3">L35/K35</f>
        <v>0.24692307692307691</v>
      </c>
      <c r="N35" s="49">
        <f>ROUND(VLOOKUP(A35,'SSP_March''19'!$A$3:$N$1193,14,0),0)</f>
        <v>99510</v>
      </c>
      <c r="O35" s="44">
        <f t="shared" ref="O35:O73" si="4">N35/K35</f>
        <v>0.76546153846153842</v>
      </c>
      <c r="P35" s="45">
        <f>VLOOKUP(A35,'SSP_March''19'!$A$3:$Q$1193,16,0)</f>
        <v>10</v>
      </c>
      <c r="Q35" s="34">
        <f>VLOOKUP(A35,'SSP_March''19'!$A$3:$Q$1193,17,0)</f>
        <v>2</v>
      </c>
      <c r="R35" s="35">
        <f t="shared" ref="R35:R73" si="5">Q35/P35</f>
        <v>0.2</v>
      </c>
      <c r="S35" s="49">
        <f>ROUND(VLOOKUP(A35,'SSP_March''19'!$A$3:$T$1193,19,0),0)</f>
        <v>6</v>
      </c>
      <c r="T35" s="44">
        <f>VLOOKUP(A35,'SSP_March''19'!$A$3:$T$1193,20,0)</f>
        <v>0.6</v>
      </c>
      <c r="U35" s="34">
        <f>VLOOKUP(A35,'SSP_March''19'!$A$3:$X$1193,21,0)</f>
        <v>0</v>
      </c>
      <c r="V35" s="34">
        <f>VLOOKUP(A35,'SSP_March''19'!$A$3:$X$1193,22,0)</f>
        <v>0</v>
      </c>
      <c r="W35" s="34">
        <f>VLOOKUP(A35,'SSP_March''19'!$A$3:$X$1193,23,0)</f>
        <v>0</v>
      </c>
      <c r="X35" s="34">
        <f>VLOOKUP(A35,'SSP_March''19'!$A$3:$X$1193,24,0)</f>
        <v>1</v>
      </c>
    </row>
    <row r="36" spans="1:24">
      <c r="A36" s="34" t="s">
        <v>741</v>
      </c>
      <c r="B36" s="34" t="s">
        <v>742</v>
      </c>
      <c r="C36" s="34" t="s">
        <v>96</v>
      </c>
      <c r="D36" s="34" t="s">
        <v>97</v>
      </c>
      <c r="E36" s="34" t="s">
        <v>9</v>
      </c>
      <c r="F36" s="34" t="s">
        <v>743</v>
      </c>
      <c r="G36" s="54">
        <v>1723246584</v>
      </c>
      <c r="H36" s="54" t="s">
        <v>229</v>
      </c>
      <c r="I36" s="54" t="s">
        <v>3514</v>
      </c>
      <c r="J36" s="34" t="s">
        <v>3421</v>
      </c>
      <c r="K36" s="43">
        <f>VLOOKUP(A36,'SSP_March''19'!$A$3:$L$1193,11,0)</f>
        <v>130000</v>
      </c>
      <c r="L36" s="43">
        <f>VLOOKUP(A36,'SSP_March''19'!$A$3:$L$1193,12,0)</f>
        <v>27250</v>
      </c>
      <c r="M36" s="44">
        <f t="shared" si="3"/>
        <v>0.20961538461538462</v>
      </c>
      <c r="N36" s="49">
        <f>ROUND(VLOOKUP(A36,'SSP_March''19'!$A$3:$N$1193,14,0),0)</f>
        <v>84475</v>
      </c>
      <c r="O36" s="44">
        <f t="shared" si="4"/>
        <v>0.64980769230769231</v>
      </c>
      <c r="P36" s="45">
        <f>VLOOKUP(A36,'SSP_March''19'!$A$3:$Q$1193,16,0)</f>
        <v>10</v>
      </c>
      <c r="Q36" s="34">
        <f>VLOOKUP(A36,'SSP_March''19'!$A$3:$Q$1193,17,0)</f>
        <v>1</v>
      </c>
      <c r="R36" s="35">
        <f t="shared" si="5"/>
        <v>0.1</v>
      </c>
      <c r="S36" s="49">
        <f>ROUND(VLOOKUP(A36,'SSP_March''19'!$A$3:$T$1193,19,0),0)</f>
        <v>3</v>
      </c>
      <c r="T36" s="44">
        <f>VLOOKUP(A36,'SSP_March''19'!$A$3:$T$1193,20,0)</f>
        <v>0.3</v>
      </c>
      <c r="U36" s="34">
        <f>VLOOKUP(A36,'SSP_March''19'!$A$3:$X$1193,21,0)</f>
        <v>0</v>
      </c>
      <c r="V36" s="34">
        <f>VLOOKUP(A36,'SSP_March''19'!$A$3:$X$1193,22,0)</f>
        <v>0</v>
      </c>
      <c r="W36" s="34">
        <f>VLOOKUP(A36,'SSP_March''19'!$A$3:$X$1193,23,0)</f>
        <v>0</v>
      </c>
      <c r="X36" s="34">
        <f>VLOOKUP(A36,'SSP_March''19'!$A$3:$X$1193,24,0)</f>
        <v>0</v>
      </c>
    </row>
    <row r="37" spans="1:24">
      <c r="A37" s="34" t="s">
        <v>762</v>
      </c>
      <c r="B37" s="34" t="s">
        <v>763</v>
      </c>
      <c r="C37" s="34" t="s">
        <v>96</v>
      </c>
      <c r="D37" s="34" t="s">
        <v>97</v>
      </c>
      <c r="E37" s="34" t="s">
        <v>9</v>
      </c>
      <c r="F37" s="34" t="s">
        <v>764</v>
      </c>
      <c r="G37" s="54">
        <v>1729190349</v>
      </c>
      <c r="H37" s="54" t="s">
        <v>229</v>
      </c>
      <c r="I37" s="54" t="s">
        <v>3514</v>
      </c>
      <c r="J37" s="34" t="s">
        <v>3515</v>
      </c>
      <c r="K37" s="43">
        <f>VLOOKUP(A37,'SSP_March''19'!$A$3:$L$1193,11,0)</f>
        <v>130000</v>
      </c>
      <c r="L37" s="43">
        <f>VLOOKUP(A37,'SSP_March''19'!$A$3:$L$1193,12,0)</f>
        <v>66530</v>
      </c>
      <c r="M37" s="44">
        <f t="shared" si="3"/>
        <v>0.51176923076923075</v>
      </c>
      <c r="N37" s="49">
        <f>ROUND(VLOOKUP(A37,'SSP_March''19'!$A$3:$N$1193,14,0),0)</f>
        <v>206243</v>
      </c>
      <c r="O37" s="44">
        <f t="shared" si="4"/>
        <v>1.5864846153846155</v>
      </c>
      <c r="P37" s="45">
        <f>VLOOKUP(A37,'SSP_March''19'!$A$3:$Q$1193,16,0)</f>
        <v>10</v>
      </c>
      <c r="Q37" s="34">
        <f>VLOOKUP(A37,'SSP_March''19'!$A$3:$Q$1193,17,0)</f>
        <v>1</v>
      </c>
      <c r="R37" s="35">
        <f t="shared" si="5"/>
        <v>0.1</v>
      </c>
      <c r="S37" s="49">
        <f>ROUND(VLOOKUP(A37,'SSP_March''19'!$A$3:$T$1193,19,0),0)</f>
        <v>3</v>
      </c>
      <c r="T37" s="44">
        <f>VLOOKUP(A37,'SSP_March''19'!$A$3:$T$1193,20,0)</f>
        <v>0.3</v>
      </c>
      <c r="U37" s="34">
        <f>VLOOKUP(A37,'SSP_March''19'!$A$3:$X$1193,21,0)</f>
        <v>1</v>
      </c>
      <c r="V37" s="34">
        <f>VLOOKUP(A37,'SSP_March''19'!$A$3:$X$1193,22,0)</f>
        <v>0</v>
      </c>
      <c r="W37" s="34">
        <f>VLOOKUP(A37,'SSP_March''19'!$A$3:$X$1193,23,0)</f>
        <v>0</v>
      </c>
      <c r="X37" s="34">
        <f>VLOOKUP(A37,'SSP_March''19'!$A$3:$X$1193,24,0)</f>
        <v>1</v>
      </c>
    </row>
    <row r="38" spans="1:24">
      <c r="A38" s="34" t="s">
        <v>3296</v>
      </c>
      <c r="B38" s="34" t="s">
        <v>3297</v>
      </c>
      <c r="C38" s="34" t="s">
        <v>96</v>
      </c>
      <c r="D38" s="34" t="s">
        <v>97</v>
      </c>
      <c r="E38" s="34" t="s">
        <v>9</v>
      </c>
      <c r="F38" s="34" t="s">
        <v>3298</v>
      </c>
      <c r="G38" s="54">
        <v>1722303344</v>
      </c>
      <c r="H38" s="54" t="s">
        <v>229</v>
      </c>
      <c r="I38" s="54" t="s">
        <v>3514</v>
      </c>
      <c r="J38" s="34" t="s">
        <v>3421</v>
      </c>
      <c r="K38" s="43">
        <f>VLOOKUP(A38,'SSP_March''19'!$A$3:$L$1193,11,0)</f>
        <v>130000</v>
      </c>
      <c r="L38" s="43">
        <f>VLOOKUP(A38,'SSP_March''19'!$A$3:$L$1193,12,0)</f>
        <v>5690</v>
      </c>
      <c r="M38" s="44">
        <f t="shared" si="3"/>
        <v>4.3769230769230769E-2</v>
      </c>
      <c r="N38" s="49">
        <f>ROUND(VLOOKUP(A38,'SSP_March''19'!$A$3:$N$1193,14,0),0)</f>
        <v>17639</v>
      </c>
      <c r="O38" s="44">
        <f t="shared" si="4"/>
        <v>0.13568461538461538</v>
      </c>
      <c r="P38" s="45">
        <f>VLOOKUP(A38,'SSP_March''19'!$A$3:$Q$1193,16,0)</f>
        <v>10</v>
      </c>
      <c r="Q38" s="34">
        <f>VLOOKUP(A38,'SSP_March''19'!$A$3:$Q$1193,17,0)</f>
        <v>0</v>
      </c>
      <c r="R38" s="35">
        <f t="shared" si="5"/>
        <v>0</v>
      </c>
      <c r="S38" s="49">
        <f>ROUND(VLOOKUP(A38,'SSP_March''19'!$A$3:$T$1193,19,0),0)</f>
        <v>0</v>
      </c>
      <c r="T38" s="44">
        <f>VLOOKUP(A38,'SSP_March''19'!$A$3:$T$1193,20,0)</f>
        <v>0</v>
      </c>
      <c r="U38" s="34">
        <f>VLOOKUP(A38,'SSP_March''19'!$A$3:$X$1193,21,0)</f>
        <v>0</v>
      </c>
      <c r="V38" s="34">
        <f>VLOOKUP(A38,'SSP_March''19'!$A$3:$X$1193,22,0)</f>
        <v>0</v>
      </c>
      <c r="W38" s="34">
        <f>VLOOKUP(A38,'SSP_March''19'!$A$3:$X$1193,23,0)</f>
        <v>0</v>
      </c>
      <c r="X38" s="34">
        <f>VLOOKUP(A38,'SSP_March''19'!$A$3:$X$1193,24,0)</f>
        <v>0</v>
      </c>
    </row>
    <row r="39" spans="1:24">
      <c r="A39" s="34" t="s">
        <v>782</v>
      </c>
      <c r="B39" s="34" t="s">
        <v>783</v>
      </c>
      <c r="C39" s="34" t="s">
        <v>96</v>
      </c>
      <c r="D39" s="34" t="s">
        <v>97</v>
      </c>
      <c r="E39" s="34" t="s">
        <v>9</v>
      </c>
      <c r="F39" s="34" t="s">
        <v>784</v>
      </c>
      <c r="G39" s="54">
        <v>1785319898</v>
      </c>
      <c r="H39" s="54" t="s">
        <v>229</v>
      </c>
      <c r="I39" s="54" t="s">
        <v>3514</v>
      </c>
      <c r="J39" s="34" t="s">
        <v>3421</v>
      </c>
      <c r="K39" s="43">
        <f>VLOOKUP(A39,'SSP_March''19'!$A$3:$L$1193,11,0)</f>
        <v>130000</v>
      </c>
      <c r="L39" s="43">
        <f>VLOOKUP(A39,'SSP_March''19'!$A$3:$L$1193,12,0)</f>
        <v>0</v>
      </c>
      <c r="M39" s="44">
        <f t="shared" si="3"/>
        <v>0</v>
      </c>
      <c r="N39" s="49">
        <f>ROUND(VLOOKUP(A39,'SSP_March''19'!$A$3:$N$1193,14,0),0)</f>
        <v>0</v>
      </c>
      <c r="O39" s="44">
        <f t="shared" si="4"/>
        <v>0</v>
      </c>
      <c r="P39" s="45">
        <f>VLOOKUP(A39,'SSP_March''19'!$A$3:$Q$1193,16,0)</f>
        <v>10</v>
      </c>
      <c r="Q39" s="34">
        <f>VLOOKUP(A39,'SSP_March''19'!$A$3:$Q$1193,17,0)</f>
        <v>0</v>
      </c>
      <c r="R39" s="35">
        <f t="shared" si="5"/>
        <v>0</v>
      </c>
      <c r="S39" s="49">
        <f>ROUND(VLOOKUP(A39,'SSP_March''19'!$A$3:$T$1193,19,0),0)</f>
        <v>0</v>
      </c>
      <c r="T39" s="44">
        <f>VLOOKUP(A39,'SSP_March''19'!$A$3:$T$1193,20,0)</f>
        <v>0</v>
      </c>
      <c r="U39" s="34">
        <f>VLOOKUP(A39,'SSP_March''19'!$A$3:$X$1193,21,0)</f>
        <v>0</v>
      </c>
      <c r="V39" s="34">
        <f>VLOOKUP(A39,'SSP_March''19'!$A$3:$X$1193,22,0)</f>
        <v>0</v>
      </c>
      <c r="W39" s="34">
        <f>VLOOKUP(A39,'SSP_March''19'!$A$3:$X$1193,23,0)</f>
        <v>0</v>
      </c>
      <c r="X39" s="34">
        <f>VLOOKUP(A39,'SSP_March''19'!$A$3:$X$1193,24,0)</f>
        <v>0</v>
      </c>
    </row>
    <row r="40" spans="1:24">
      <c r="A40" s="34" t="s">
        <v>3299</v>
      </c>
      <c r="B40" s="34" t="s">
        <v>3300</v>
      </c>
      <c r="C40" s="34" t="s">
        <v>96</v>
      </c>
      <c r="D40" s="34" t="s">
        <v>97</v>
      </c>
      <c r="E40" s="34" t="s">
        <v>9</v>
      </c>
      <c r="F40" s="34" t="s">
        <v>3301</v>
      </c>
      <c r="G40" s="54">
        <v>1713738327</v>
      </c>
      <c r="H40" s="54" t="s">
        <v>229</v>
      </c>
      <c r="I40" s="54" t="s">
        <v>3514</v>
      </c>
      <c r="J40" s="34" t="s">
        <v>3421</v>
      </c>
      <c r="K40" s="43">
        <f>VLOOKUP(A40,'SSP_March''19'!$A$3:$L$1193,11,0)</f>
        <v>130000</v>
      </c>
      <c r="L40" s="43">
        <f>VLOOKUP(A40,'SSP_March''19'!$A$3:$L$1193,12,0)</f>
        <v>13780</v>
      </c>
      <c r="M40" s="44">
        <f t="shared" si="3"/>
        <v>0.106</v>
      </c>
      <c r="N40" s="49">
        <f>ROUND(VLOOKUP(A40,'SSP_March''19'!$A$3:$N$1193,14,0),0)</f>
        <v>42718</v>
      </c>
      <c r="O40" s="44">
        <f t="shared" si="4"/>
        <v>0.3286</v>
      </c>
      <c r="P40" s="45">
        <f>VLOOKUP(A40,'SSP_March''19'!$A$3:$Q$1193,16,0)</f>
        <v>10</v>
      </c>
      <c r="Q40" s="34">
        <f>VLOOKUP(A40,'SSP_March''19'!$A$3:$Q$1193,17,0)</f>
        <v>1</v>
      </c>
      <c r="R40" s="35">
        <f t="shared" si="5"/>
        <v>0.1</v>
      </c>
      <c r="S40" s="49">
        <f>ROUND(VLOOKUP(A40,'SSP_March''19'!$A$3:$T$1193,19,0),0)</f>
        <v>3</v>
      </c>
      <c r="T40" s="44">
        <f>VLOOKUP(A40,'SSP_March''19'!$A$3:$T$1193,20,0)</f>
        <v>0.3</v>
      </c>
      <c r="U40" s="34">
        <f>VLOOKUP(A40,'SSP_March''19'!$A$3:$X$1193,21,0)</f>
        <v>1</v>
      </c>
      <c r="V40" s="34">
        <f>VLOOKUP(A40,'SSP_March''19'!$A$3:$X$1193,22,0)</f>
        <v>0</v>
      </c>
      <c r="W40" s="34">
        <f>VLOOKUP(A40,'SSP_March''19'!$A$3:$X$1193,23,0)</f>
        <v>0</v>
      </c>
      <c r="X40" s="34">
        <f>VLOOKUP(A40,'SSP_March''19'!$A$3:$X$1193,24,0)</f>
        <v>0</v>
      </c>
    </row>
    <row r="41" spans="1:24">
      <c r="A41" s="34" t="s">
        <v>3185</v>
      </c>
      <c r="B41" s="34" t="s">
        <v>1272</v>
      </c>
      <c r="C41" s="34" t="s">
        <v>96</v>
      </c>
      <c r="D41" s="34" t="s">
        <v>97</v>
      </c>
      <c r="E41" s="34" t="s">
        <v>9</v>
      </c>
      <c r="F41" s="34" t="s">
        <v>3186</v>
      </c>
      <c r="G41" s="54">
        <v>1748971798</v>
      </c>
      <c r="H41" s="54" t="s">
        <v>229</v>
      </c>
      <c r="I41" s="54" t="s">
        <v>3514</v>
      </c>
      <c r="J41" s="34" t="s">
        <v>3421</v>
      </c>
      <c r="K41" s="43">
        <f>VLOOKUP(A41,'SSP_March''19'!$A$3:$L$1193,11,0)</f>
        <v>130000</v>
      </c>
      <c r="L41" s="43">
        <f>VLOOKUP(A41,'SSP_March''19'!$A$3:$L$1193,12,0)</f>
        <v>29460</v>
      </c>
      <c r="M41" s="44">
        <f t="shared" si="3"/>
        <v>0.22661538461538461</v>
      </c>
      <c r="N41" s="49">
        <f>ROUND(VLOOKUP(A41,'SSP_March''19'!$A$3:$N$1193,14,0),0)</f>
        <v>91326</v>
      </c>
      <c r="O41" s="44">
        <f t="shared" si="4"/>
        <v>0.70250769230769228</v>
      </c>
      <c r="P41" s="45">
        <f>VLOOKUP(A41,'SSP_March''19'!$A$3:$Q$1193,16,0)</f>
        <v>10</v>
      </c>
      <c r="Q41" s="34">
        <f>VLOOKUP(A41,'SSP_March''19'!$A$3:$Q$1193,17,0)</f>
        <v>3</v>
      </c>
      <c r="R41" s="35">
        <f t="shared" si="5"/>
        <v>0.3</v>
      </c>
      <c r="S41" s="49">
        <f>ROUND(VLOOKUP(A41,'SSP_March''19'!$A$3:$T$1193,19,0),0)</f>
        <v>9</v>
      </c>
      <c r="T41" s="44">
        <f>VLOOKUP(A41,'SSP_March''19'!$A$3:$T$1193,20,0)</f>
        <v>0.9</v>
      </c>
      <c r="U41" s="34">
        <f>VLOOKUP(A41,'SSP_March''19'!$A$3:$X$1193,21,0)</f>
        <v>0</v>
      </c>
      <c r="V41" s="34">
        <f>VLOOKUP(A41,'SSP_March''19'!$A$3:$X$1193,22,0)</f>
        <v>0</v>
      </c>
      <c r="W41" s="34">
        <f>VLOOKUP(A41,'SSP_March''19'!$A$3:$X$1193,23,0)</f>
        <v>0</v>
      </c>
      <c r="X41" s="34">
        <f>VLOOKUP(A41,'SSP_March''19'!$A$3:$X$1193,24,0)</f>
        <v>0</v>
      </c>
    </row>
    <row r="42" spans="1:24">
      <c r="A42" s="34" t="s">
        <v>3302</v>
      </c>
      <c r="B42" s="34" t="s">
        <v>3303</v>
      </c>
      <c r="C42" s="34" t="s">
        <v>96</v>
      </c>
      <c r="D42" s="34" t="s">
        <v>97</v>
      </c>
      <c r="E42" s="34" t="s">
        <v>9</v>
      </c>
      <c r="F42" s="34" t="s">
        <v>3304</v>
      </c>
      <c r="G42" s="54">
        <v>1750481144</v>
      </c>
      <c r="H42" s="54" t="s">
        <v>229</v>
      </c>
      <c r="I42" s="54" t="s">
        <v>3514</v>
      </c>
      <c r="J42" s="34" t="s">
        <v>3421</v>
      </c>
      <c r="K42" s="43">
        <f>VLOOKUP(A42,'SSP_March''19'!$A$3:$L$1193,11,0)</f>
        <v>130000</v>
      </c>
      <c r="L42" s="43">
        <f>VLOOKUP(A42,'SSP_March''19'!$A$3:$L$1193,12,0)</f>
        <v>38440</v>
      </c>
      <c r="M42" s="44">
        <f t="shared" si="3"/>
        <v>0.2956923076923077</v>
      </c>
      <c r="N42" s="49">
        <f>ROUND(VLOOKUP(A42,'SSP_March''19'!$A$3:$N$1193,14,0),0)</f>
        <v>119164</v>
      </c>
      <c r="O42" s="44">
        <f t="shared" si="4"/>
        <v>0.91664615384615389</v>
      </c>
      <c r="P42" s="45">
        <f>VLOOKUP(A42,'SSP_March''19'!$A$3:$Q$1193,16,0)</f>
        <v>10</v>
      </c>
      <c r="Q42" s="34">
        <f>VLOOKUP(A42,'SSP_March''19'!$A$3:$Q$1193,17,0)</f>
        <v>2</v>
      </c>
      <c r="R42" s="35">
        <f t="shared" si="5"/>
        <v>0.2</v>
      </c>
      <c r="S42" s="49">
        <f>ROUND(VLOOKUP(A42,'SSP_March''19'!$A$3:$T$1193,19,0),0)</f>
        <v>6</v>
      </c>
      <c r="T42" s="44">
        <f>VLOOKUP(A42,'SSP_March''19'!$A$3:$T$1193,20,0)</f>
        <v>0.6</v>
      </c>
      <c r="U42" s="34">
        <f>VLOOKUP(A42,'SSP_March''19'!$A$3:$X$1193,21,0)</f>
        <v>2</v>
      </c>
      <c r="V42" s="34">
        <f>VLOOKUP(A42,'SSP_March''19'!$A$3:$X$1193,22,0)</f>
        <v>0</v>
      </c>
      <c r="W42" s="34">
        <f>VLOOKUP(A42,'SSP_March''19'!$A$3:$X$1193,23,0)</f>
        <v>0</v>
      </c>
      <c r="X42" s="34">
        <f>VLOOKUP(A42,'SSP_March''19'!$A$3:$X$1193,24,0)</f>
        <v>0</v>
      </c>
    </row>
    <row r="43" spans="1:24">
      <c r="A43" s="34" t="s">
        <v>726</v>
      </c>
      <c r="B43" s="34" t="s">
        <v>727</v>
      </c>
      <c r="C43" s="34" t="s">
        <v>96</v>
      </c>
      <c r="D43" s="34" t="s">
        <v>97</v>
      </c>
      <c r="E43" s="34" t="s">
        <v>9</v>
      </c>
      <c r="F43" s="34" t="s">
        <v>728</v>
      </c>
      <c r="G43" s="54">
        <v>1788128128</v>
      </c>
      <c r="H43" s="54" t="s">
        <v>229</v>
      </c>
      <c r="I43" s="54" t="s">
        <v>3514</v>
      </c>
      <c r="J43" s="34" t="s">
        <v>3419</v>
      </c>
      <c r="K43" s="43">
        <f>VLOOKUP(A43,'SSP_March''19'!$A$3:$L$1193,11,0)</f>
        <v>130000</v>
      </c>
      <c r="L43" s="43">
        <f>VLOOKUP(A43,'SSP_March''19'!$A$3:$L$1193,12,0)</f>
        <v>25660</v>
      </c>
      <c r="M43" s="44">
        <f t="shared" si="3"/>
        <v>0.19738461538461538</v>
      </c>
      <c r="N43" s="49">
        <f>ROUND(VLOOKUP(A43,'SSP_March''19'!$A$3:$N$1193,14,0),0)</f>
        <v>79546</v>
      </c>
      <c r="O43" s="44">
        <f t="shared" si="4"/>
        <v>0.61189230769230774</v>
      </c>
      <c r="P43" s="45">
        <f>VLOOKUP(A43,'SSP_March''19'!$A$3:$Q$1193,16,0)</f>
        <v>10</v>
      </c>
      <c r="Q43" s="34">
        <f>VLOOKUP(A43,'SSP_March''19'!$A$3:$Q$1193,17,0)</f>
        <v>2</v>
      </c>
      <c r="R43" s="35">
        <f t="shared" si="5"/>
        <v>0.2</v>
      </c>
      <c r="S43" s="49">
        <f>ROUND(VLOOKUP(A43,'SSP_March''19'!$A$3:$T$1193,19,0),0)</f>
        <v>6</v>
      </c>
      <c r="T43" s="44">
        <f>VLOOKUP(A43,'SSP_March''19'!$A$3:$T$1193,20,0)</f>
        <v>0.6</v>
      </c>
      <c r="U43" s="34">
        <f>VLOOKUP(A43,'SSP_March''19'!$A$3:$X$1193,21,0)</f>
        <v>0</v>
      </c>
      <c r="V43" s="34">
        <f>VLOOKUP(A43,'SSP_March''19'!$A$3:$X$1193,22,0)</f>
        <v>1</v>
      </c>
      <c r="W43" s="34">
        <f>VLOOKUP(A43,'SSP_March''19'!$A$3:$X$1193,23,0)</f>
        <v>1</v>
      </c>
      <c r="X43" s="34">
        <f>VLOOKUP(A43,'SSP_March''19'!$A$3:$X$1193,24,0)</f>
        <v>0</v>
      </c>
    </row>
    <row r="44" spans="1:24">
      <c r="A44" s="34" t="s">
        <v>665</v>
      </c>
      <c r="B44" s="34" t="s">
        <v>666</v>
      </c>
      <c r="C44" s="34" t="s">
        <v>667</v>
      </c>
      <c r="D44" s="34" t="s">
        <v>97</v>
      </c>
      <c r="E44" s="34" t="s">
        <v>9</v>
      </c>
      <c r="F44" s="34" t="s">
        <v>668</v>
      </c>
      <c r="G44" s="54">
        <v>1750137332</v>
      </c>
      <c r="H44" s="54" t="s">
        <v>229</v>
      </c>
      <c r="I44" s="54" t="s">
        <v>3514</v>
      </c>
      <c r="J44" s="34" t="s">
        <v>3421</v>
      </c>
      <c r="K44" s="43">
        <f>VLOOKUP(A44,'SSP_March''19'!$A$3:$L$1193,11,0)</f>
        <v>197999</v>
      </c>
      <c r="L44" s="43">
        <f>VLOOKUP(A44,'SSP_March''19'!$A$3:$L$1193,12,0)</f>
        <v>17070</v>
      </c>
      <c r="M44" s="44">
        <f t="shared" si="3"/>
        <v>8.6212556629073886E-2</v>
      </c>
      <c r="N44" s="49">
        <f>ROUND(VLOOKUP(A44,'SSP_March''19'!$A$3:$N$1193,14,0),0)</f>
        <v>52917</v>
      </c>
      <c r="O44" s="44">
        <f t="shared" si="4"/>
        <v>0.26725892555012903</v>
      </c>
      <c r="P44" s="45">
        <f>VLOOKUP(A44,'SSP_March''19'!$A$3:$Q$1193,16,0)</f>
        <v>17</v>
      </c>
      <c r="Q44" s="34">
        <f>VLOOKUP(A44,'SSP_March''19'!$A$3:$Q$1193,17,0)</f>
        <v>1</v>
      </c>
      <c r="R44" s="35">
        <f t="shared" si="5"/>
        <v>5.8823529411764705E-2</v>
      </c>
      <c r="S44" s="49">
        <f>ROUND(VLOOKUP(A44,'SSP_March''19'!$A$3:$T$1193,19,0),0)</f>
        <v>3</v>
      </c>
      <c r="T44" s="44">
        <f>VLOOKUP(A44,'SSP_March''19'!$A$3:$T$1193,20,0)</f>
        <v>0.17647058823529413</v>
      </c>
      <c r="U44" s="34">
        <f>VLOOKUP(A44,'SSP_March''19'!$A$3:$X$1193,21,0)</f>
        <v>0</v>
      </c>
      <c r="V44" s="34">
        <f>VLOOKUP(A44,'SSP_March''19'!$A$3:$X$1193,22,0)</f>
        <v>1</v>
      </c>
      <c r="W44" s="34">
        <f>VLOOKUP(A44,'SSP_March''19'!$A$3:$X$1193,23,0)</f>
        <v>0</v>
      </c>
      <c r="X44" s="34">
        <f>VLOOKUP(A44,'SSP_March''19'!$A$3:$X$1193,24,0)</f>
        <v>0</v>
      </c>
    </row>
    <row r="45" spans="1:24">
      <c r="A45" s="34" t="s">
        <v>700</v>
      </c>
      <c r="B45" s="34" t="s">
        <v>701</v>
      </c>
      <c r="C45" s="34" t="s">
        <v>667</v>
      </c>
      <c r="D45" s="34" t="s">
        <v>97</v>
      </c>
      <c r="E45" s="34" t="s">
        <v>9</v>
      </c>
      <c r="F45" s="34" t="s">
        <v>702</v>
      </c>
      <c r="G45" s="54">
        <v>1740999949</v>
      </c>
      <c r="H45" s="54" t="s">
        <v>229</v>
      </c>
      <c r="I45" s="54" t="s">
        <v>3514</v>
      </c>
      <c r="J45" s="34" t="s">
        <v>3421</v>
      </c>
      <c r="K45" s="43">
        <f>VLOOKUP(A45,'SSP_March''19'!$A$3:$L$1193,11,0)</f>
        <v>130000</v>
      </c>
      <c r="L45" s="43">
        <f>VLOOKUP(A45,'SSP_March''19'!$A$3:$L$1193,12,0)</f>
        <v>23845</v>
      </c>
      <c r="M45" s="44">
        <f t="shared" si="3"/>
        <v>0.18342307692307691</v>
      </c>
      <c r="N45" s="49">
        <f>ROUND(VLOOKUP(A45,'SSP_March''19'!$A$3:$N$1193,14,0),0)</f>
        <v>73920</v>
      </c>
      <c r="O45" s="44">
        <f t="shared" si="4"/>
        <v>0.56861538461538463</v>
      </c>
      <c r="P45" s="45">
        <f>VLOOKUP(A45,'SSP_March''19'!$A$3:$Q$1193,16,0)</f>
        <v>10</v>
      </c>
      <c r="Q45" s="34">
        <f>VLOOKUP(A45,'SSP_March''19'!$A$3:$Q$1193,17,0)</f>
        <v>2</v>
      </c>
      <c r="R45" s="35">
        <f t="shared" si="5"/>
        <v>0.2</v>
      </c>
      <c r="S45" s="49">
        <f>ROUND(VLOOKUP(A45,'SSP_March''19'!$A$3:$T$1193,19,0),0)</f>
        <v>6</v>
      </c>
      <c r="T45" s="44">
        <f>VLOOKUP(A45,'SSP_March''19'!$A$3:$T$1193,20,0)</f>
        <v>0.6</v>
      </c>
      <c r="U45" s="34">
        <f>VLOOKUP(A45,'SSP_March''19'!$A$3:$X$1193,21,0)</f>
        <v>0</v>
      </c>
      <c r="V45" s="34">
        <f>VLOOKUP(A45,'SSP_March''19'!$A$3:$X$1193,22,0)</f>
        <v>1</v>
      </c>
      <c r="W45" s="34">
        <f>VLOOKUP(A45,'SSP_March''19'!$A$3:$X$1193,23,0)</f>
        <v>0</v>
      </c>
      <c r="X45" s="34">
        <f>VLOOKUP(A45,'SSP_March''19'!$A$3:$X$1193,24,0)</f>
        <v>0</v>
      </c>
    </row>
    <row r="46" spans="1:24">
      <c r="A46" s="34" t="s">
        <v>721</v>
      </c>
      <c r="B46" s="34" t="s">
        <v>667</v>
      </c>
      <c r="C46" s="34" t="s">
        <v>667</v>
      </c>
      <c r="D46" s="34" t="s">
        <v>97</v>
      </c>
      <c r="E46" s="34" t="s">
        <v>9</v>
      </c>
      <c r="F46" s="34" t="s">
        <v>722</v>
      </c>
      <c r="G46" s="54">
        <v>1740602929</v>
      </c>
      <c r="H46" s="54" t="s">
        <v>229</v>
      </c>
      <c r="I46" s="54" t="s">
        <v>3514</v>
      </c>
      <c r="J46" s="34" t="s">
        <v>3421</v>
      </c>
      <c r="K46" s="43">
        <f>VLOOKUP(A46,'SSP_March''19'!$A$3:$L$1193,11,0)</f>
        <v>247148</v>
      </c>
      <c r="L46" s="43">
        <f>VLOOKUP(A46,'SSP_March''19'!$A$3:$L$1193,12,0)</f>
        <v>76465</v>
      </c>
      <c r="M46" s="44">
        <f t="shared" si="3"/>
        <v>0.30938951559389516</v>
      </c>
      <c r="N46" s="49">
        <f>ROUND(VLOOKUP(A46,'SSP_March''19'!$A$3:$N$1193,14,0),0)</f>
        <v>237042</v>
      </c>
      <c r="O46" s="44">
        <f t="shared" si="4"/>
        <v>0.95910952142036354</v>
      </c>
      <c r="P46" s="45">
        <f>VLOOKUP(A46,'SSP_March''19'!$A$3:$Q$1193,16,0)</f>
        <v>15</v>
      </c>
      <c r="Q46" s="34">
        <f>VLOOKUP(A46,'SSP_March''19'!$A$3:$Q$1193,17,0)</f>
        <v>5</v>
      </c>
      <c r="R46" s="35">
        <f t="shared" si="5"/>
        <v>0.33333333333333331</v>
      </c>
      <c r="S46" s="49">
        <f>ROUND(VLOOKUP(A46,'SSP_March''19'!$A$3:$T$1193,19,0),0)</f>
        <v>16</v>
      </c>
      <c r="T46" s="44">
        <f>VLOOKUP(A46,'SSP_March''19'!$A$3:$T$1193,20,0)</f>
        <v>1.0666666666666667</v>
      </c>
      <c r="U46" s="34">
        <f>VLOOKUP(A46,'SSP_March''19'!$A$3:$X$1193,21,0)</f>
        <v>1</v>
      </c>
      <c r="V46" s="34">
        <f>VLOOKUP(A46,'SSP_March''19'!$A$3:$X$1193,22,0)</f>
        <v>0</v>
      </c>
      <c r="W46" s="34">
        <f>VLOOKUP(A46,'SSP_March''19'!$A$3:$X$1193,23,0)</f>
        <v>1</v>
      </c>
      <c r="X46" s="34">
        <f>VLOOKUP(A46,'SSP_March''19'!$A$3:$X$1193,24,0)</f>
        <v>0</v>
      </c>
    </row>
    <row r="47" spans="1:24">
      <c r="A47" s="34" t="s">
        <v>3305</v>
      </c>
      <c r="B47" s="34" t="s">
        <v>296</v>
      </c>
      <c r="C47" s="34" t="s">
        <v>667</v>
      </c>
      <c r="D47" s="34" t="s">
        <v>97</v>
      </c>
      <c r="E47" s="34" t="s">
        <v>9</v>
      </c>
      <c r="F47" s="34" t="s">
        <v>1760</v>
      </c>
      <c r="G47" s="54">
        <v>1736044874</v>
      </c>
      <c r="H47" s="54" t="s">
        <v>229</v>
      </c>
      <c r="I47" s="54" t="s">
        <v>3514</v>
      </c>
      <c r="J47" s="34" t="s">
        <v>3421</v>
      </c>
      <c r="K47" s="43">
        <f>VLOOKUP(A47,'SSP_March''19'!$A$3:$L$1193,11,0)</f>
        <v>130000</v>
      </c>
      <c r="L47" s="43">
        <f>VLOOKUP(A47,'SSP_March''19'!$A$3:$L$1193,12,0)</f>
        <v>17520</v>
      </c>
      <c r="M47" s="44">
        <f t="shared" ref="M47:M53" si="6">L47/K47</f>
        <v>0.13476923076923078</v>
      </c>
      <c r="N47" s="49">
        <f>ROUND(VLOOKUP(A47,'SSP_March''19'!$A$3:$N$1193,14,0),0)</f>
        <v>54312</v>
      </c>
      <c r="O47" s="44">
        <f t="shared" ref="O47:O53" si="7">N47/K47</f>
        <v>0.41778461538461537</v>
      </c>
      <c r="P47" s="45">
        <f>VLOOKUP(A47,'SSP_March''19'!$A$3:$Q$1193,16,0)</f>
        <v>10</v>
      </c>
      <c r="Q47" s="34">
        <f>VLOOKUP(A47,'SSP_March''19'!$A$3:$Q$1193,17,0)</f>
        <v>1</v>
      </c>
      <c r="R47" s="35">
        <f t="shared" ref="R47:R53" si="8">Q47/P47</f>
        <v>0.1</v>
      </c>
      <c r="S47" s="49">
        <f>ROUND(VLOOKUP(A47,'SSP_March''19'!$A$3:$T$1193,19,0),0)</f>
        <v>3</v>
      </c>
      <c r="T47" s="44">
        <f>VLOOKUP(A47,'SSP_March''19'!$A$3:$T$1193,20,0)</f>
        <v>0.3</v>
      </c>
      <c r="U47" s="34">
        <f>VLOOKUP(A47,'SSP_March''19'!$A$3:$X$1193,21,0)</f>
        <v>1</v>
      </c>
      <c r="V47" s="34">
        <f>VLOOKUP(A47,'SSP_March''19'!$A$3:$X$1193,22,0)</f>
        <v>0</v>
      </c>
      <c r="W47" s="34">
        <f>VLOOKUP(A47,'SSP_March''19'!$A$3:$X$1193,23,0)</f>
        <v>0</v>
      </c>
      <c r="X47" s="34">
        <f>VLOOKUP(A47,'SSP_March''19'!$A$3:$X$1193,24,0)</f>
        <v>0</v>
      </c>
    </row>
    <row r="48" spans="1:24">
      <c r="A48" s="34" t="s">
        <v>2977</v>
      </c>
      <c r="B48" s="34" t="s">
        <v>1485</v>
      </c>
      <c r="C48" s="34" t="s">
        <v>755</v>
      </c>
      <c r="D48" s="34" t="s">
        <v>194</v>
      </c>
      <c r="E48" s="34" t="s">
        <v>9</v>
      </c>
      <c r="F48" s="34" t="s">
        <v>1759</v>
      </c>
      <c r="G48" s="54">
        <v>1758353149</v>
      </c>
      <c r="H48" s="54" t="s">
        <v>229</v>
      </c>
      <c r="I48" s="54" t="s">
        <v>3514</v>
      </c>
      <c r="J48" s="34" t="s">
        <v>3421</v>
      </c>
      <c r="K48" s="43">
        <f>VLOOKUP(A48,'SSP_March''19'!$A$3:$L$1193,11,0)</f>
        <v>130000</v>
      </c>
      <c r="L48" s="43">
        <f>VLOOKUP(A48,'SSP_March''19'!$A$3:$L$1193,12,0)</f>
        <v>19820</v>
      </c>
      <c r="M48" s="44">
        <f t="shared" si="6"/>
        <v>0.15246153846153845</v>
      </c>
      <c r="N48" s="49">
        <f>ROUND(VLOOKUP(A48,'SSP_March''19'!$A$3:$N$1193,14,0),0)</f>
        <v>61442</v>
      </c>
      <c r="O48" s="44">
        <f t="shared" si="7"/>
        <v>0.47263076923076924</v>
      </c>
      <c r="P48" s="45">
        <f>VLOOKUP(A48,'SSP_March''19'!$A$3:$Q$1193,16,0)</f>
        <v>10</v>
      </c>
      <c r="Q48" s="34">
        <f>VLOOKUP(A48,'SSP_March''19'!$A$3:$Q$1193,17,0)</f>
        <v>2</v>
      </c>
      <c r="R48" s="35">
        <f t="shared" si="8"/>
        <v>0.2</v>
      </c>
      <c r="S48" s="49">
        <f>ROUND(VLOOKUP(A48,'SSP_March''19'!$A$3:$T$1193,19,0),0)</f>
        <v>6</v>
      </c>
      <c r="T48" s="44">
        <f>VLOOKUP(A48,'SSP_March''19'!$A$3:$T$1193,20,0)</f>
        <v>0.6</v>
      </c>
      <c r="U48" s="34">
        <f>VLOOKUP(A48,'SSP_March''19'!$A$3:$X$1193,21,0)</f>
        <v>0</v>
      </c>
      <c r="V48" s="34">
        <f>VLOOKUP(A48,'SSP_March''19'!$A$3:$X$1193,22,0)</f>
        <v>0</v>
      </c>
      <c r="W48" s="34">
        <f>VLOOKUP(A48,'SSP_March''19'!$A$3:$X$1193,23,0)</f>
        <v>0</v>
      </c>
      <c r="X48" s="34">
        <f>VLOOKUP(A48,'SSP_March''19'!$A$3:$X$1193,24,0)</f>
        <v>0</v>
      </c>
    </row>
    <row r="49" spans="1:24">
      <c r="A49" s="34" t="s">
        <v>753</v>
      </c>
      <c r="B49" s="34" t="s">
        <v>754</v>
      </c>
      <c r="C49" s="34" t="s">
        <v>755</v>
      </c>
      <c r="D49" s="34" t="s">
        <v>194</v>
      </c>
      <c r="E49" s="34" t="s">
        <v>9</v>
      </c>
      <c r="F49" s="34" t="s">
        <v>756</v>
      </c>
      <c r="G49" s="54">
        <v>1712447735</v>
      </c>
      <c r="H49" s="54" t="s">
        <v>229</v>
      </c>
      <c r="I49" s="54" t="s">
        <v>3514</v>
      </c>
      <c r="J49" s="34" t="s">
        <v>3515</v>
      </c>
      <c r="K49" s="43">
        <f>VLOOKUP(A49,'SSP_March''19'!$A$3:$L$1193,11,0)</f>
        <v>130000</v>
      </c>
      <c r="L49" s="43">
        <f>VLOOKUP(A49,'SSP_March''19'!$A$3:$L$1193,12,0)</f>
        <v>9380</v>
      </c>
      <c r="M49" s="44">
        <f t="shared" si="6"/>
        <v>7.2153846153846152E-2</v>
      </c>
      <c r="N49" s="49">
        <f>ROUND(VLOOKUP(A49,'SSP_March''19'!$A$3:$N$1193,14,0),0)</f>
        <v>29078</v>
      </c>
      <c r="O49" s="44">
        <f t="shared" si="7"/>
        <v>0.22367692307692308</v>
      </c>
      <c r="P49" s="45">
        <f>VLOOKUP(A49,'SSP_March''19'!$A$3:$Q$1193,16,0)</f>
        <v>10</v>
      </c>
      <c r="Q49" s="34">
        <f>VLOOKUP(A49,'SSP_March''19'!$A$3:$Q$1193,17,0)</f>
        <v>1</v>
      </c>
      <c r="R49" s="35">
        <f t="shared" si="8"/>
        <v>0.1</v>
      </c>
      <c r="S49" s="49">
        <f>ROUND(VLOOKUP(A49,'SSP_March''19'!$A$3:$T$1193,19,0),0)</f>
        <v>3</v>
      </c>
      <c r="T49" s="44">
        <f>VLOOKUP(A49,'SSP_March''19'!$A$3:$T$1193,20,0)</f>
        <v>0.3</v>
      </c>
      <c r="U49" s="34">
        <f>VLOOKUP(A49,'SSP_March''19'!$A$3:$X$1193,21,0)</f>
        <v>0</v>
      </c>
      <c r="V49" s="34">
        <f>VLOOKUP(A49,'SSP_March''19'!$A$3:$X$1193,22,0)</f>
        <v>1</v>
      </c>
      <c r="W49" s="34">
        <f>VLOOKUP(A49,'SSP_March''19'!$A$3:$X$1193,23,0)</f>
        <v>0</v>
      </c>
      <c r="X49" s="34">
        <f>VLOOKUP(A49,'SSP_March''19'!$A$3:$X$1193,24,0)</f>
        <v>0</v>
      </c>
    </row>
    <row r="50" spans="1:24">
      <c r="A50" s="34" t="s">
        <v>803</v>
      </c>
      <c r="B50" s="34" t="s">
        <v>804</v>
      </c>
      <c r="C50" s="34" t="s">
        <v>755</v>
      </c>
      <c r="D50" s="34" t="s">
        <v>194</v>
      </c>
      <c r="E50" s="34" t="s">
        <v>9</v>
      </c>
      <c r="F50" s="34" t="s">
        <v>805</v>
      </c>
      <c r="G50" s="54">
        <v>1710176564</v>
      </c>
      <c r="H50" s="54" t="s">
        <v>229</v>
      </c>
      <c r="I50" s="54" t="s">
        <v>3514</v>
      </c>
      <c r="J50" s="34" t="s">
        <v>3419</v>
      </c>
      <c r="K50" s="43">
        <f>VLOOKUP(A50,'SSP_March''19'!$A$3:$L$1193,11,0)</f>
        <v>130000</v>
      </c>
      <c r="L50" s="43">
        <f>VLOOKUP(A50,'SSP_March''19'!$A$3:$L$1193,12,0)</f>
        <v>40030</v>
      </c>
      <c r="M50" s="44">
        <f t="shared" si="6"/>
        <v>0.30792307692307691</v>
      </c>
      <c r="N50" s="49">
        <f>ROUND(VLOOKUP(A50,'SSP_March''19'!$A$3:$N$1193,14,0),0)</f>
        <v>124093</v>
      </c>
      <c r="O50" s="44">
        <f t="shared" si="7"/>
        <v>0.95456153846153846</v>
      </c>
      <c r="P50" s="45">
        <f>VLOOKUP(A50,'SSP_March''19'!$A$3:$Q$1193,16,0)</f>
        <v>10</v>
      </c>
      <c r="Q50" s="34">
        <f>VLOOKUP(A50,'SSP_March''19'!$A$3:$Q$1193,17,0)</f>
        <v>2</v>
      </c>
      <c r="R50" s="35">
        <f t="shared" si="8"/>
        <v>0.2</v>
      </c>
      <c r="S50" s="49">
        <f>ROUND(VLOOKUP(A50,'SSP_March''19'!$A$3:$T$1193,19,0),0)</f>
        <v>6</v>
      </c>
      <c r="T50" s="44">
        <f>VLOOKUP(A50,'SSP_March''19'!$A$3:$T$1193,20,0)</f>
        <v>0.6</v>
      </c>
      <c r="U50" s="34">
        <f>VLOOKUP(A50,'SSP_March''19'!$A$3:$X$1193,21,0)</f>
        <v>1</v>
      </c>
      <c r="V50" s="34">
        <f>VLOOKUP(A50,'SSP_March''19'!$A$3:$X$1193,22,0)</f>
        <v>0</v>
      </c>
      <c r="W50" s="34">
        <f>VLOOKUP(A50,'SSP_March''19'!$A$3:$X$1193,23,0)</f>
        <v>0</v>
      </c>
      <c r="X50" s="34">
        <f>VLOOKUP(A50,'SSP_March''19'!$A$3:$X$1193,24,0)</f>
        <v>0</v>
      </c>
    </row>
    <row r="51" spans="1:24">
      <c r="A51" s="34" t="s">
        <v>3306</v>
      </c>
      <c r="B51" s="34" t="s">
        <v>3307</v>
      </c>
      <c r="C51" s="34" t="s">
        <v>204</v>
      </c>
      <c r="D51" s="34" t="s">
        <v>194</v>
      </c>
      <c r="E51" s="34" t="s">
        <v>9</v>
      </c>
      <c r="F51" s="34" t="s">
        <v>3308</v>
      </c>
      <c r="G51" s="54">
        <v>1764645959</v>
      </c>
      <c r="H51" s="54" t="s">
        <v>229</v>
      </c>
      <c r="I51" s="54" t="s">
        <v>3514</v>
      </c>
      <c r="J51" s="34" t="s">
        <v>3421</v>
      </c>
      <c r="K51" s="43">
        <f>VLOOKUP(A51,'SSP_March''19'!$A$3:$L$1193,11,0)</f>
        <v>130000</v>
      </c>
      <c r="L51" s="43">
        <f>VLOOKUP(A51,'SSP_March''19'!$A$3:$L$1193,12,0)</f>
        <v>31735</v>
      </c>
      <c r="M51" s="44">
        <f t="shared" si="6"/>
        <v>0.24411538461538462</v>
      </c>
      <c r="N51" s="49">
        <f>ROUND(VLOOKUP(A51,'SSP_March''19'!$A$3:$N$1193,14,0),0)</f>
        <v>98379</v>
      </c>
      <c r="O51" s="44">
        <f t="shared" si="7"/>
        <v>0.75676153846153849</v>
      </c>
      <c r="P51" s="45">
        <f>VLOOKUP(A51,'SSP_March''19'!$A$3:$Q$1193,16,0)</f>
        <v>10</v>
      </c>
      <c r="Q51" s="34">
        <f>VLOOKUP(A51,'SSP_March''19'!$A$3:$Q$1193,17,0)</f>
        <v>3</v>
      </c>
      <c r="R51" s="35">
        <f t="shared" si="8"/>
        <v>0.3</v>
      </c>
      <c r="S51" s="49">
        <f>ROUND(VLOOKUP(A51,'SSP_March''19'!$A$3:$T$1193,19,0),0)</f>
        <v>9</v>
      </c>
      <c r="T51" s="44">
        <f>VLOOKUP(A51,'SSP_March''19'!$A$3:$T$1193,20,0)</f>
        <v>0.9</v>
      </c>
      <c r="U51" s="34">
        <f>VLOOKUP(A51,'SSP_March''19'!$A$3:$X$1193,21,0)</f>
        <v>0</v>
      </c>
      <c r="V51" s="34">
        <f>VLOOKUP(A51,'SSP_March''19'!$A$3:$X$1193,22,0)</f>
        <v>1</v>
      </c>
      <c r="W51" s="34">
        <f>VLOOKUP(A51,'SSP_March''19'!$A$3:$X$1193,23,0)</f>
        <v>0</v>
      </c>
      <c r="X51" s="34">
        <f>VLOOKUP(A51,'SSP_March''19'!$A$3:$X$1193,24,0)</f>
        <v>0</v>
      </c>
    </row>
    <row r="52" spans="1:24">
      <c r="A52" s="34" t="s">
        <v>806</v>
      </c>
      <c r="B52" s="34" t="s">
        <v>807</v>
      </c>
      <c r="C52" s="34" t="s">
        <v>204</v>
      </c>
      <c r="D52" s="34" t="s">
        <v>194</v>
      </c>
      <c r="E52" s="34" t="s">
        <v>9</v>
      </c>
      <c r="F52" s="34" t="s">
        <v>808</v>
      </c>
      <c r="G52" s="54">
        <v>1712599802</v>
      </c>
      <c r="H52" s="54" t="s">
        <v>229</v>
      </c>
      <c r="I52" s="54" t="s">
        <v>3518</v>
      </c>
      <c r="J52" s="34" t="s">
        <v>3419</v>
      </c>
      <c r="K52" s="43">
        <f>VLOOKUP(A52,'SSP_March''19'!$A$3:$L$1193,11,0)</f>
        <v>385488</v>
      </c>
      <c r="L52" s="43">
        <f>VLOOKUP(A52,'SSP_March''19'!$A$3:$L$1193,12,0)</f>
        <v>93520</v>
      </c>
      <c r="M52" s="44">
        <f t="shared" si="6"/>
        <v>0.24260158552276595</v>
      </c>
      <c r="N52" s="49">
        <f>ROUND(VLOOKUP(A52,'SSP_March''19'!$A$3:$N$1193,14,0),0)</f>
        <v>289912</v>
      </c>
      <c r="O52" s="44">
        <f t="shared" si="7"/>
        <v>0.7520649151205745</v>
      </c>
      <c r="P52" s="45">
        <f>VLOOKUP(A52,'SSP_March''19'!$A$3:$Q$1193,16,0)</f>
        <v>32</v>
      </c>
      <c r="Q52" s="34">
        <f>VLOOKUP(A52,'SSP_March''19'!$A$3:$Q$1193,17,0)</f>
        <v>10</v>
      </c>
      <c r="R52" s="35">
        <f t="shared" si="8"/>
        <v>0.3125</v>
      </c>
      <c r="S52" s="49">
        <f>ROUND(VLOOKUP(A52,'SSP_March''19'!$A$3:$T$1193,19,0),0)</f>
        <v>31</v>
      </c>
      <c r="T52" s="44">
        <f>VLOOKUP(A52,'SSP_March''19'!$A$3:$T$1193,20,0)</f>
        <v>0.96875</v>
      </c>
      <c r="U52" s="34">
        <f>VLOOKUP(A52,'SSP_March''19'!$A$3:$X$1193,21,0)</f>
        <v>0</v>
      </c>
      <c r="V52" s="34">
        <f>VLOOKUP(A52,'SSP_March''19'!$A$3:$X$1193,22,0)</f>
        <v>4</v>
      </c>
      <c r="W52" s="34">
        <f>VLOOKUP(A52,'SSP_March''19'!$A$3:$X$1193,23,0)</f>
        <v>0</v>
      </c>
      <c r="X52" s="34">
        <f>VLOOKUP(A52,'SSP_March''19'!$A$3:$X$1193,24,0)</f>
        <v>0</v>
      </c>
    </row>
    <row r="53" spans="1:24">
      <c r="A53" s="34" t="s">
        <v>3489</v>
      </c>
      <c r="B53" s="34" t="s">
        <v>3490</v>
      </c>
      <c r="C53" s="34" t="s">
        <v>204</v>
      </c>
      <c r="D53" s="34" t="s">
        <v>194</v>
      </c>
      <c r="E53" s="34" t="s">
        <v>9</v>
      </c>
      <c r="F53" s="34" t="s">
        <v>3491</v>
      </c>
      <c r="G53" s="54">
        <v>1713685848</v>
      </c>
      <c r="H53" s="54" t="s">
        <v>229</v>
      </c>
      <c r="I53" s="54" t="s">
        <v>3514</v>
      </c>
      <c r="J53" s="34" t="s">
        <v>3421</v>
      </c>
      <c r="K53" s="43">
        <f>VLOOKUP(A53,'SSP_March''19'!$A$3:$L$1193,11,0)</f>
        <v>130000</v>
      </c>
      <c r="L53" s="43">
        <f>VLOOKUP(A53,'SSP_March''19'!$A$3:$L$1193,12,0)</f>
        <v>66060</v>
      </c>
      <c r="M53" s="44">
        <f t="shared" si="6"/>
        <v>0.50815384615384618</v>
      </c>
      <c r="N53" s="49">
        <f>ROUND(VLOOKUP(A53,'SSP_March''19'!$A$3:$N$1193,14,0),0)</f>
        <v>204786</v>
      </c>
      <c r="O53" s="44">
        <f t="shared" si="7"/>
        <v>1.575276923076923</v>
      </c>
      <c r="P53" s="45">
        <f>VLOOKUP(A53,'SSP_March''19'!$A$3:$Q$1193,16,0)</f>
        <v>10</v>
      </c>
      <c r="Q53" s="34">
        <f>VLOOKUP(A53,'SSP_March''19'!$A$3:$Q$1193,17,0)</f>
        <v>1</v>
      </c>
      <c r="R53" s="35">
        <f t="shared" si="8"/>
        <v>0.1</v>
      </c>
      <c r="S53" s="49">
        <f>ROUND(VLOOKUP(A53,'SSP_March''19'!$A$3:$T$1193,19,0),0)</f>
        <v>3</v>
      </c>
      <c r="T53" s="44">
        <f>VLOOKUP(A53,'SSP_March''19'!$A$3:$T$1193,20,0)</f>
        <v>0.3</v>
      </c>
      <c r="U53" s="34">
        <f>VLOOKUP(A53,'SSP_March''19'!$A$3:$X$1193,21,0)</f>
        <v>2</v>
      </c>
      <c r="V53" s="34">
        <f>VLOOKUP(A53,'SSP_March''19'!$A$3:$X$1193,22,0)</f>
        <v>1</v>
      </c>
      <c r="W53" s="34">
        <f>VLOOKUP(A53,'SSP_March''19'!$A$3:$X$1193,23,0)</f>
        <v>0</v>
      </c>
      <c r="X53" s="34">
        <f>VLOOKUP(A53,'SSP_March''19'!$A$3:$X$1193,24,0)</f>
        <v>0</v>
      </c>
    </row>
    <row r="54" spans="1:24">
      <c r="A54" s="34" t="s">
        <v>3400</v>
      </c>
      <c r="B54" s="34" t="s">
        <v>3401</v>
      </c>
      <c r="C54" s="34" t="s">
        <v>204</v>
      </c>
      <c r="D54" s="34" t="s">
        <v>194</v>
      </c>
      <c r="E54" s="34" t="s">
        <v>9</v>
      </c>
      <c r="F54" s="34" t="s">
        <v>3399</v>
      </c>
      <c r="G54" s="54">
        <v>1726798150</v>
      </c>
      <c r="H54" s="54" t="s">
        <v>229</v>
      </c>
      <c r="I54" s="54" t="s">
        <v>3514</v>
      </c>
      <c r="J54" s="34" t="s">
        <v>3421</v>
      </c>
      <c r="K54" s="43">
        <f>VLOOKUP(A54,'SSP_March''19'!$A$3:$L$1193,11,0)</f>
        <v>204724</v>
      </c>
      <c r="L54" s="43">
        <f>VLOOKUP(A54,'SSP_March''19'!$A$3:$L$1193,12,0)</f>
        <v>55649</v>
      </c>
      <c r="M54" s="44">
        <f t="shared" si="3"/>
        <v>0.27182450518747192</v>
      </c>
      <c r="N54" s="49">
        <f>ROUND(VLOOKUP(A54,'SSP_March''19'!$A$3:$N$1193,14,0),0)</f>
        <v>172512</v>
      </c>
      <c r="O54" s="44">
        <f t="shared" si="4"/>
        <v>0.84265645454367832</v>
      </c>
      <c r="P54" s="45">
        <f>VLOOKUP(A54,'SSP_March''19'!$A$3:$Q$1193,16,0)</f>
        <v>10</v>
      </c>
      <c r="Q54" s="34">
        <f>VLOOKUP(A54,'SSP_March''19'!$A$3:$Q$1193,17,0)</f>
        <v>0</v>
      </c>
      <c r="R54" s="35">
        <f t="shared" si="5"/>
        <v>0</v>
      </c>
      <c r="S54" s="49">
        <f>ROUND(VLOOKUP(A54,'SSP_March''19'!$A$3:$T$1193,19,0),0)</f>
        <v>0</v>
      </c>
      <c r="T54" s="44">
        <f>VLOOKUP(A54,'SSP_March''19'!$A$3:$T$1193,20,0)</f>
        <v>0</v>
      </c>
      <c r="U54" s="34">
        <f>VLOOKUP(A54,'SSP_March''19'!$A$3:$X$1193,21,0)</f>
        <v>0</v>
      </c>
      <c r="V54" s="34">
        <f>VLOOKUP(A54,'SSP_March''19'!$A$3:$X$1193,22,0)</f>
        <v>0</v>
      </c>
      <c r="W54" s="34">
        <f>VLOOKUP(A54,'SSP_March''19'!$A$3:$X$1193,23,0)</f>
        <v>0</v>
      </c>
      <c r="X54" s="34">
        <f>VLOOKUP(A54,'SSP_March''19'!$A$3:$X$1193,24,0)</f>
        <v>0</v>
      </c>
    </row>
    <row r="55" spans="1:24">
      <c r="A55" s="34" t="s">
        <v>3403</v>
      </c>
      <c r="B55" s="34" t="s">
        <v>3404</v>
      </c>
      <c r="C55" s="34" t="s">
        <v>204</v>
      </c>
      <c r="D55" s="34" t="s">
        <v>194</v>
      </c>
      <c r="E55" s="34" t="s">
        <v>9</v>
      </c>
      <c r="F55" s="34" t="s">
        <v>3402</v>
      </c>
      <c r="G55" s="54">
        <v>1712824612</v>
      </c>
      <c r="H55" s="54" t="s">
        <v>229</v>
      </c>
      <c r="I55" s="54" t="s">
        <v>3514</v>
      </c>
      <c r="J55" s="34" t="s">
        <v>3421</v>
      </c>
      <c r="K55" s="43">
        <f>VLOOKUP(A55,'SSP_March''19'!$A$3:$L$1193,11,0)</f>
        <v>130000</v>
      </c>
      <c r="L55" s="43">
        <f>VLOOKUP(A55,'SSP_March''19'!$A$3:$L$1193,12,0)</f>
        <v>41880</v>
      </c>
      <c r="M55" s="44">
        <f t="shared" si="3"/>
        <v>0.32215384615384618</v>
      </c>
      <c r="N55" s="49">
        <f>ROUND(VLOOKUP(A55,'SSP_March''19'!$A$3:$N$1193,14,0),0)</f>
        <v>129828</v>
      </c>
      <c r="O55" s="44">
        <f t="shared" si="4"/>
        <v>0.99867692307692313</v>
      </c>
      <c r="P55" s="45">
        <f>VLOOKUP(A55,'SSP_March''19'!$A$3:$Q$1193,16,0)</f>
        <v>10</v>
      </c>
      <c r="Q55" s="34">
        <f>VLOOKUP(A55,'SSP_March''19'!$A$3:$Q$1193,17,0)</f>
        <v>4</v>
      </c>
      <c r="R55" s="35">
        <f t="shared" si="5"/>
        <v>0.4</v>
      </c>
      <c r="S55" s="49">
        <f>ROUND(VLOOKUP(A55,'SSP_March''19'!$A$3:$T$1193,19,0),0)</f>
        <v>12</v>
      </c>
      <c r="T55" s="44">
        <f>VLOOKUP(A55,'SSP_March''19'!$A$3:$T$1193,20,0)</f>
        <v>1.2</v>
      </c>
      <c r="U55" s="34">
        <f>VLOOKUP(A55,'SSP_March''19'!$A$3:$X$1193,21,0)</f>
        <v>0</v>
      </c>
      <c r="V55" s="34">
        <f>VLOOKUP(A55,'SSP_March''19'!$A$3:$X$1193,22,0)</f>
        <v>2</v>
      </c>
      <c r="W55" s="34">
        <f>VLOOKUP(A55,'SSP_March''19'!$A$3:$X$1193,23,0)</f>
        <v>0</v>
      </c>
      <c r="X55" s="34">
        <f>VLOOKUP(A55,'SSP_March''19'!$A$3:$X$1193,24,0)</f>
        <v>0</v>
      </c>
    </row>
    <row r="56" spans="1:24">
      <c r="A56" s="34" t="s">
        <v>3309</v>
      </c>
      <c r="B56" s="34" t="s">
        <v>3310</v>
      </c>
      <c r="C56" s="34" t="s">
        <v>204</v>
      </c>
      <c r="D56" s="34" t="s">
        <v>194</v>
      </c>
      <c r="E56" s="34" t="s">
        <v>9</v>
      </c>
      <c r="F56" s="34" t="s">
        <v>3311</v>
      </c>
      <c r="G56" s="54">
        <v>1733581777</v>
      </c>
      <c r="H56" s="54" t="s">
        <v>229</v>
      </c>
      <c r="I56" s="54" t="s">
        <v>3514</v>
      </c>
      <c r="J56" s="34" t="s">
        <v>3421</v>
      </c>
      <c r="K56" s="43">
        <f>VLOOKUP(A56,'SSP_March''19'!$A$3:$L$1193,11,0)</f>
        <v>130000</v>
      </c>
      <c r="L56" s="43">
        <f>VLOOKUP(A56,'SSP_March''19'!$A$3:$L$1193,12,0)</f>
        <v>10890</v>
      </c>
      <c r="M56" s="44">
        <f t="shared" si="3"/>
        <v>8.3769230769230763E-2</v>
      </c>
      <c r="N56" s="49">
        <f>ROUND(VLOOKUP(A56,'SSP_March''19'!$A$3:$N$1193,14,0),0)</f>
        <v>33759</v>
      </c>
      <c r="O56" s="44">
        <f t="shared" si="4"/>
        <v>0.2596846153846154</v>
      </c>
      <c r="P56" s="45">
        <f>VLOOKUP(A56,'SSP_March''19'!$A$3:$Q$1193,16,0)</f>
        <v>10</v>
      </c>
      <c r="Q56" s="34">
        <f>VLOOKUP(A56,'SSP_March''19'!$A$3:$Q$1193,17,0)</f>
        <v>1</v>
      </c>
      <c r="R56" s="35">
        <f t="shared" si="5"/>
        <v>0.1</v>
      </c>
      <c r="S56" s="49">
        <f>ROUND(VLOOKUP(A56,'SSP_March''19'!$A$3:$T$1193,19,0),0)</f>
        <v>3</v>
      </c>
      <c r="T56" s="44">
        <f>VLOOKUP(A56,'SSP_March''19'!$A$3:$T$1193,20,0)</f>
        <v>0.3</v>
      </c>
      <c r="U56" s="34">
        <f>VLOOKUP(A56,'SSP_March''19'!$A$3:$X$1193,21,0)</f>
        <v>0</v>
      </c>
      <c r="V56" s="34">
        <f>VLOOKUP(A56,'SSP_March''19'!$A$3:$X$1193,22,0)</f>
        <v>0</v>
      </c>
      <c r="W56" s="34">
        <f>VLOOKUP(A56,'SSP_March''19'!$A$3:$X$1193,23,0)</f>
        <v>0</v>
      </c>
      <c r="X56" s="34">
        <f>VLOOKUP(A56,'SSP_March''19'!$A$3:$X$1193,24,0)</f>
        <v>0</v>
      </c>
    </row>
    <row r="57" spans="1:24">
      <c r="A57" s="34" t="s">
        <v>785</v>
      </c>
      <c r="B57" s="34" t="s">
        <v>786</v>
      </c>
      <c r="C57" s="34" t="s">
        <v>204</v>
      </c>
      <c r="D57" s="34" t="s">
        <v>194</v>
      </c>
      <c r="E57" s="34" t="s">
        <v>9</v>
      </c>
      <c r="F57" s="34" t="s">
        <v>787</v>
      </c>
      <c r="G57" s="54">
        <v>1759287036</v>
      </c>
      <c r="H57" s="54" t="s">
        <v>229</v>
      </c>
      <c r="I57" s="54" t="s">
        <v>3514</v>
      </c>
      <c r="J57" s="34" t="s">
        <v>3419</v>
      </c>
      <c r="K57" s="43">
        <f>VLOOKUP(A57,'SSP_March''19'!$A$3:$L$1193,11,0)</f>
        <v>130000</v>
      </c>
      <c r="L57" s="43">
        <f>VLOOKUP(A57,'SSP_March''19'!$A$3:$L$1193,12,0)</f>
        <v>15980</v>
      </c>
      <c r="M57" s="44">
        <f t="shared" si="3"/>
        <v>0.12292307692307693</v>
      </c>
      <c r="N57" s="49">
        <f>ROUND(VLOOKUP(A57,'SSP_March''19'!$A$3:$N$1193,14,0),0)</f>
        <v>49538</v>
      </c>
      <c r="O57" s="44">
        <f t="shared" si="4"/>
        <v>0.38106153846153845</v>
      </c>
      <c r="P57" s="45">
        <f>VLOOKUP(A57,'SSP_March''19'!$A$3:$Q$1193,16,0)</f>
        <v>10</v>
      </c>
      <c r="Q57" s="34">
        <f>VLOOKUP(A57,'SSP_March''19'!$A$3:$Q$1193,17,0)</f>
        <v>2</v>
      </c>
      <c r="R57" s="35">
        <f t="shared" si="5"/>
        <v>0.2</v>
      </c>
      <c r="S57" s="49">
        <f>ROUND(VLOOKUP(A57,'SSP_March''19'!$A$3:$T$1193,19,0),0)</f>
        <v>6</v>
      </c>
      <c r="T57" s="44">
        <f>VLOOKUP(A57,'SSP_March''19'!$A$3:$T$1193,20,0)</f>
        <v>0.6</v>
      </c>
      <c r="U57" s="34">
        <f>VLOOKUP(A57,'SSP_March''19'!$A$3:$X$1193,21,0)</f>
        <v>0</v>
      </c>
      <c r="V57" s="34">
        <f>VLOOKUP(A57,'SSP_March''19'!$A$3:$X$1193,22,0)</f>
        <v>0</v>
      </c>
      <c r="W57" s="34">
        <f>VLOOKUP(A57,'SSP_March''19'!$A$3:$X$1193,23,0)</f>
        <v>0</v>
      </c>
      <c r="X57" s="34">
        <f>VLOOKUP(A57,'SSP_March''19'!$A$3:$X$1193,24,0)</f>
        <v>0</v>
      </c>
    </row>
    <row r="58" spans="1:24">
      <c r="A58" s="34" t="s">
        <v>839</v>
      </c>
      <c r="B58" s="34" t="s">
        <v>840</v>
      </c>
      <c r="C58" s="34" t="s">
        <v>204</v>
      </c>
      <c r="D58" s="34" t="s">
        <v>194</v>
      </c>
      <c r="E58" s="34" t="s">
        <v>9</v>
      </c>
      <c r="F58" s="34" t="s">
        <v>841</v>
      </c>
      <c r="G58" s="54">
        <v>1774642236</v>
      </c>
      <c r="H58" s="54" t="s">
        <v>229</v>
      </c>
      <c r="I58" s="54" t="s">
        <v>3514</v>
      </c>
      <c r="J58" s="34" t="s">
        <v>3419</v>
      </c>
      <c r="K58" s="43">
        <f>VLOOKUP(A58,'SSP_March''19'!$A$3:$L$1193,11,0)</f>
        <v>151005</v>
      </c>
      <c r="L58" s="43">
        <f>VLOOKUP(A58,'SSP_March''19'!$A$3:$L$1193,12,0)</f>
        <v>34340</v>
      </c>
      <c r="M58" s="44">
        <f t="shared" si="3"/>
        <v>0.22740968842091322</v>
      </c>
      <c r="N58" s="49">
        <f>ROUND(VLOOKUP(A58,'SSP_March''19'!$A$3:$N$1193,14,0),0)</f>
        <v>106454</v>
      </c>
      <c r="O58" s="44">
        <f t="shared" si="4"/>
        <v>0.70497003410483094</v>
      </c>
      <c r="P58" s="45">
        <f>VLOOKUP(A58,'SSP_March''19'!$A$3:$Q$1193,16,0)</f>
        <v>10</v>
      </c>
      <c r="Q58" s="34">
        <f>VLOOKUP(A58,'SSP_March''19'!$A$3:$Q$1193,17,0)</f>
        <v>2</v>
      </c>
      <c r="R58" s="35">
        <f t="shared" si="5"/>
        <v>0.2</v>
      </c>
      <c r="S58" s="49">
        <f>ROUND(VLOOKUP(A58,'SSP_March''19'!$A$3:$T$1193,19,0),0)</f>
        <v>6</v>
      </c>
      <c r="T58" s="44">
        <f>VLOOKUP(A58,'SSP_March''19'!$A$3:$T$1193,20,0)</f>
        <v>0.6</v>
      </c>
      <c r="U58" s="34">
        <f>VLOOKUP(A58,'SSP_March''19'!$A$3:$X$1193,21,0)</f>
        <v>0</v>
      </c>
      <c r="V58" s="34">
        <f>VLOOKUP(A58,'SSP_March''19'!$A$3:$X$1193,22,0)</f>
        <v>0</v>
      </c>
      <c r="W58" s="34">
        <f>VLOOKUP(A58,'SSP_March''19'!$A$3:$X$1193,23,0)</f>
        <v>1</v>
      </c>
      <c r="X58" s="34">
        <f>VLOOKUP(A58,'SSP_March''19'!$A$3:$X$1193,24,0)</f>
        <v>1</v>
      </c>
    </row>
    <row r="59" spans="1:24">
      <c r="A59" s="34" t="s">
        <v>760</v>
      </c>
      <c r="B59" s="34" t="s">
        <v>81</v>
      </c>
      <c r="C59" s="34" t="s">
        <v>81</v>
      </c>
      <c r="D59" s="34" t="s">
        <v>9</v>
      </c>
      <c r="E59" s="34" t="s">
        <v>9</v>
      </c>
      <c r="F59" s="34" t="s">
        <v>761</v>
      </c>
      <c r="G59" s="54">
        <v>1712340396</v>
      </c>
      <c r="H59" s="54" t="s">
        <v>229</v>
      </c>
      <c r="I59" s="54" t="s">
        <v>3514</v>
      </c>
      <c r="J59" s="34" t="s">
        <v>3419</v>
      </c>
      <c r="K59" s="43">
        <f>VLOOKUP(A59,'SSP_March''19'!$A$3:$L$1193,11,0)</f>
        <v>180000</v>
      </c>
      <c r="L59" s="43">
        <f>VLOOKUP(A59,'SSP_March''19'!$A$3:$L$1193,12,0)</f>
        <v>58100</v>
      </c>
      <c r="M59" s="44">
        <f t="shared" si="3"/>
        <v>0.32277777777777777</v>
      </c>
      <c r="N59" s="49">
        <f>ROUND(VLOOKUP(A59,'SSP_March''19'!$A$3:$N$1193,14,0),0)</f>
        <v>180110</v>
      </c>
      <c r="O59" s="44">
        <f t="shared" si="4"/>
        <v>1.0006111111111111</v>
      </c>
      <c r="P59" s="45">
        <f>VLOOKUP(A59,'SSP_March''19'!$A$3:$Q$1193,16,0)</f>
        <v>12</v>
      </c>
      <c r="Q59" s="34">
        <f>VLOOKUP(A59,'SSP_March''19'!$A$3:$Q$1193,17,0)</f>
        <v>4</v>
      </c>
      <c r="R59" s="35">
        <f t="shared" si="5"/>
        <v>0.33333333333333331</v>
      </c>
      <c r="S59" s="49">
        <f>ROUND(VLOOKUP(A59,'SSP_March''19'!$A$3:$T$1193,19,0),0)</f>
        <v>12</v>
      </c>
      <c r="T59" s="44">
        <f>VLOOKUP(A59,'SSP_March''19'!$A$3:$T$1193,20,0)</f>
        <v>1</v>
      </c>
      <c r="U59" s="34">
        <f>VLOOKUP(A59,'SSP_March''19'!$A$3:$X$1193,21,0)</f>
        <v>0</v>
      </c>
      <c r="V59" s="34">
        <f>VLOOKUP(A59,'SSP_March''19'!$A$3:$X$1193,22,0)</f>
        <v>4</v>
      </c>
      <c r="W59" s="34">
        <f>VLOOKUP(A59,'SSP_March''19'!$A$3:$X$1193,23,0)</f>
        <v>0</v>
      </c>
      <c r="X59" s="34">
        <f>VLOOKUP(A59,'SSP_March''19'!$A$3:$X$1193,24,0)</f>
        <v>0</v>
      </c>
    </row>
    <row r="60" spans="1:24">
      <c r="A60" s="34" t="s">
        <v>777</v>
      </c>
      <c r="B60" s="34" t="s">
        <v>214</v>
      </c>
      <c r="C60" s="34" t="s">
        <v>81</v>
      </c>
      <c r="D60" s="34" t="s">
        <v>9</v>
      </c>
      <c r="E60" s="34" t="s">
        <v>9</v>
      </c>
      <c r="F60" s="34" t="s">
        <v>778</v>
      </c>
      <c r="G60" s="54">
        <v>1767096666</v>
      </c>
      <c r="H60" s="54" t="s">
        <v>229</v>
      </c>
      <c r="I60" s="54" t="s">
        <v>3514</v>
      </c>
      <c r="J60" s="34" t="s">
        <v>3421</v>
      </c>
      <c r="K60" s="43">
        <f>VLOOKUP(A60,'SSP_March''19'!$A$3:$L$1193,11,0)</f>
        <v>130000</v>
      </c>
      <c r="L60" s="43">
        <f>VLOOKUP(A60,'SSP_March''19'!$A$3:$L$1193,12,0)</f>
        <v>17060</v>
      </c>
      <c r="M60" s="44">
        <f t="shared" si="3"/>
        <v>0.13123076923076923</v>
      </c>
      <c r="N60" s="49">
        <f>ROUND(VLOOKUP(A60,'SSP_March''19'!$A$3:$N$1193,14,0),0)</f>
        <v>52886</v>
      </c>
      <c r="O60" s="44">
        <f t="shared" si="4"/>
        <v>0.40681538461538463</v>
      </c>
      <c r="P60" s="45">
        <f>VLOOKUP(A60,'SSP_March''19'!$A$3:$Q$1193,16,0)</f>
        <v>10</v>
      </c>
      <c r="Q60" s="34">
        <f>VLOOKUP(A60,'SSP_March''19'!$A$3:$Q$1193,17,0)</f>
        <v>0</v>
      </c>
      <c r="R60" s="35">
        <f t="shared" si="5"/>
        <v>0</v>
      </c>
      <c r="S60" s="49">
        <f>ROUND(VLOOKUP(A60,'SSP_March''19'!$A$3:$T$1193,19,0),0)</f>
        <v>0</v>
      </c>
      <c r="T60" s="44">
        <f>VLOOKUP(A60,'SSP_March''19'!$A$3:$T$1193,20,0)</f>
        <v>0</v>
      </c>
      <c r="U60" s="34">
        <f>VLOOKUP(A60,'SSP_March''19'!$A$3:$X$1193,21,0)</f>
        <v>0</v>
      </c>
      <c r="V60" s="34">
        <f>VLOOKUP(A60,'SSP_March''19'!$A$3:$X$1193,22,0)</f>
        <v>0</v>
      </c>
      <c r="W60" s="34">
        <f>VLOOKUP(A60,'SSP_March''19'!$A$3:$X$1193,23,0)</f>
        <v>0</v>
      </c>
      <c r="X60" s="34">
        <f>VLOOKUP(A60,'SSP_March''19'!$A$3:$X$1193,24,0)</f>
        <v>0</v>
      </c>
    </row>
    <row r="61" spans="1:24">
      <c r="A61" s="34" t="s">
        <v>765</v>
      </c>
      <c r="B61" s="34" t="s">
        <v>766</v>
      </c>
      <c r="C61" s="34" t="s">
        <v>81</v>
      </c>
      <c r="D61" s="34" t="s">
        <v>9</v>
      </c>
      <c r="E61" s="34" t="s">
        <v>9</v>
      </c>
      <c r="F61" s="34" t="s">
        <v>767</v>
      </c>
      <c r="G61" s="54">
        <v>1713724225</v>
      </c>
      <c r="H61" s="54" t="s">
        <v>229</v>
      </c>
      <c r="I61" s="54" t="s">
        <v>3514</v>
      </c>
      <c r="J61" s="34" t="s">
        <v>3419</v>
      </c>
      <c r="K61" s="43">
        <f>VLOOKUP(A61,'SSP_March''19'!$A$3:$L$1193,11,0)</f>
        <v>130000</v>
      </c>
      <c r="L61" s="43">
        <f>VLOOKUP(A61,'SSP_March''19'!$A$3:$L$1193,12,0)</f>
        <v>64780</v>
      </c>
      <c r="M61" s="44">
        <f t="shared" si="3"/>
        <v>0.49830769230769228</v>
      </c>
      <c r="N61" s="49">
        <f>ROUND(VLOOKUP(A61,'SSP_March''19'!$A$3:$N$1193,14,0),0)</f>
        <v>200818</v>
      </c>
      <c r="O61" s="44">
        <f t="shared" si="4"/>
        <v>1.5447538461538461</v>
      </c>
      <c r="P61" s="45">
        <f>VLOOKUP(A61,'SSP_March''19'!$A$3:$Q$1193,16,0)</f>
        <v>10</v>
      </c>
      <c r="Q61" s="34">
        <f>VLOOKUP(A61,'SSP_March''19'!$A$3:$Q$1193,17,0)</f>
        <v>2</v>
      </c>
      <c r="R61" s="35">
        <f t="shared" si="5"/>
        <v>0.2</v>
      </c>
      <c r="S61" s="49">
        <f>ROUND(VLOOKUP(A61,'SSP_March''19'!$A$3:$T$1193,19,0),0)</f>
        <v>6</v>
      </c>
      <c r="T61" s="44">
        <f>VLOOKUP(A61,'SSP_March''19'!$A$3:$T$1193,20,0)</f>
        <v>0.6</v>
      </c>
      <c r="U61" s="34">
        <f>VLOOKUP(A61,'SSP_March''19'!$A$3:$X$1193,21,0)</f>
        <v>1</v>
      </c>
      <c r="V61" s="34">
        <f>VLOOKUP(A61,'SSP_March''19'!$A$3:$X$1193,22,0)</f>
        <v>1</v>
      </c>
      <c r="W61" s="34">
        <f>VLOOKUP(A61,'SSP_March''19'!$A$3:$X$1193,23,0)</f>
        <v>0</v>
      </c>
      <c r="X61" s="34">
        <f>VLOOKUP(A61,'SSP_March''19'!$A$3:$X$1193,24,0)</f>
        <v>0</v>
      </c>
    </row>
    <row r="62" spans="1:24">
      <c r="A62" s="34" t="s">
        <v>833</v>
      </c>
      <c r="B62" s="34" t="s">
        <v>834</v>
      </c>
      <c r="C62" s="34" t="s">
        <v>81</v>
      </c>
      <c r="D62" s="34" t="s">
        <v>9</v>
      </c>
      <c r="E62" s="34" t="s">
        <v>9</v>
      </c>
      <c r="F62" s="34" t="s">
        <v>835</v>
      </c>
      <c r="G62" s="54" t="s">
        <v>836</v>
      </c>
      <c r="H62" s="54" t="s">
        <v>229</v>
      </c>
      <c r="I62" s="54" t="s">
        <v>3514</v>
      </c>
      <c r="J62" s="34" t="s">
        <v>3419</v>
      </c>
      <c r="K62" s="43">
        <f>VLOOKUP(A62,'SSP_March''19'!$A$3:$L$1193,11,0)</f>
        <v>130000</v>
      </c>
      <c r="L62" s="43">
        <f>VLOOKUP(A62,'SSP_March''19'!$A$3:$L$1193,12,0)</f>
        <v>10030</v>
      </c>
      <c r="M62" s="44">
        <f t="shared" si="3"/>
        <v>7.7153846153846156E-2</v>
      </c>
      <c r="N62" s="49">
        <f>ROUND(VLOOKUP(A62,'SSP_March''19'!$A$3:$N$1193,14,0),0)</f>
        <v>31093</v>
      </c>
      <c r="O62" s="44">
        <f t="shared" si="4"/>
        <v>0.23917692307692306</v>
      </c>
      <c r="P62" s="45">
        <f>VLOOKUP(A62,'SSP_March''19'!$A$3:$Q$1193,16,0)</f>
        <v>10</v>
      </c>
      <c r="Q62" s="34">
        <f>VLOOKUP(A62,'SSP_March''19'!$A$3:$Q$1193,17,0)</f>
        <v>0</v>
      </c>
      <c r="R62" s="35">
        <f t="shared" si="5"/>
        <v>0</v>
      </c>
      <c r="S62" s="49">
        <f>ROUND(VLOOKUP(A62,'SSP_March''19'!$A$3:$T$1193,19,0),0)</f>
        <v>0</v>
      </c>
      <c r="T62" s="44">
        <f>VLOOKUP(A62,'SSP_March''19'!$A$3:$T$1193,20,0)</f>
        <v>0</v>
      </c>
      <c r="U62" s="34">
        <f>VLOOKUP(A62,'SSP_March''19'!$A$3:$X$1193,21,0)</f>
        <v>0</v>
      </c>
      <c r="V62" s="34">
        <f>VLOOKUP(A62,'SSP_March''19'!$A$3:$X$1193,22,0)</f>
        <v>0</v>
      </c>
      <c r="W62" s="34">
        <f>VLOOKUP(A62,'SSP_March''19'!$A$3:$X$1193,23,0)</f>
        <v>0</v>
      </c>
      <c r="X62" s="34">
        <f>VLOOKUP(A62,'SSP_March''19'!$A$3:$X$1193,24,0)</f>
        <v>0</v>
      </c>
    </row>
    <row r="63" spans="1:24">
      <c r="A63" s="34" t="s">
        <v>744</v>
      </c>
      <c r="B63" s="34" t="s">
        <v>745</v>
      </c>
      <c r="C63" s="34" t="s">
        <v>81</v>
      </c>
      <c r="D63" s="34" t="s">
        <v>9</v>
      </c>
      <c r="E63" s="34" t="s">
        <v>9</v>
      </c>
      <c r="F63" s="34" t="s">
        <v>746</v>
      </c>
      <c r="G63" s="54">
        <v>1709016804</v>
      </c>
      <c r="H63" s="54" t="s">
        <v>229</v>
      </c>
      <c r="I63" s="54" t="s">
        <v>3514</v>
      </c>
      <c r="J63" s="34" t="s">
        <v>3419</v>
      </c>
      <c r="K63" s="43">
        <f>VLOOKUP(A63,'SSP_March''19'!$A$3:$L$1193,11,0)</f>
        <v>130000</v>
      </c>
      <c r="L63" s="43">
        <f>VLOOKUP(A63,'SSP_March''19'!$A$3:$L$1193,12,0)</f>
        <v>16178</v>
      </c>
      <c r="M63" s="44">
        <f t="shared" si="3"/>
        <v>0.12444615384615385</v>
      </c>
      <c r="N63" s="49">
        <f>ROUND(VLOOKUP(A63,'SSP_March''19'!$A$3:$N$1193,14,0),0)</f>
        <v>50152</v>
      </c>
      <c r="O63" s="44">
        <f t="shared" si="4"/>
        <v>0.38578461538461539</v>
      </c>
      <c r="P63" s="45">
        <f>VLOOKUP(A63,'SSP_March''19'!$A$3:$Q$1193,16,0)</f>
        <v>10</v>
      </c>
      <c r="Q63" s="34">
        <f>VLOOKUP(A63,'SSP_March''19'!$A$3:$Q$1193,17,0)</f>
        <v>0</v>
      </c>
      <c r="R63" s="35">
        <f t="shared" si="5"/>
        <v>0</v>
      </c>
      <c r="S63" s="49">
        <f>ROUND(VLOOKUP(A63,'SSP_March''19'!$A$3:$T$1193,19,0),0)</f>
        <v>0</v>
      </c>
      <c r="T63" s="44">
        <f>VLOOKUP(A63,'SSP_March''19'!$A$3:$T$1193,20,0)</f>
        <v>0</v>
      </c>
      <c r="U63" s="34">
        <f>VLOOKUP(A63,'SSP_March''19'!$A$3:$X$1193,21,0)</f>
        <v>0</v>
      </c>
      <c r="V63" s="34">
        <f>VLOOKUP(A63,'SSP_March''19'!$A$3:$X$1193,22,0)</f>
        <v>0</v>
      </c>
      <c r="W63" s="34">
        <f>VLOOKUP(A63,'SSP_March''19'!$A$3:$X$1193,23,0)</f>
        <v>0</v>
      </c>
      <c r="X63" s="34">
        <f>VLOOKUP(A63,'SSP_March''19'!$A$3:$X$1193,24,0)</f>
        <v>0</v>
      </c>
    </row>
    <row r="64" spans="1:24">
      <c r="A64" s="34" t="s">
        <v>3492</v>
      </c>
      <c r="B64" s="34" t="s">
        <v>3493</v>
      </c>
      <c r="C64" s="34" t="s">
        <v>81</v>
      </c>
      <c r="D64" s="34" t="s">
        <v>9</v>
      </c>
      <c r="E64" s="34" t="s">
        <v>9</v>
      </c>
      <c r="F64" s="34" t="s">
        <v>3494</v>
      </c>
      <c r="G64" s="54">
        <v>1761000500</v>
      </c>
      <c r="H64" s="54" t="s">
        <v>229</v>
      </c>
      <c r="I64" s="54" t="s">
        <v>3514</v>
      </c>
      <c r="J64" s="34" t="s">
        <v>3419</v>
      </c>
      <c r="K64" s="43">
        <f>VLOOKUP(A64,'SSP_March''19'!$A$3:$L$1193,11,0)</f>
        <v>150000</v>
      </c>
      <c r="L64" s="43">
        <f>VLOOKUP(A64,'SSP_March''19'!$A$3:$L$1193,12,0)</f>
        <v>70510</v>
      </c>
      <c r="M64" s="44">
        <f t="shared" si="3"/>
        <v>0.47006666666666669</v>
      </c>
      <c r="N64" s="49">
        <f>ROUND(VLOOKUP(A64,'SSP_March''19'!$A$3:$N$1193,14,0),0)</f>
        <v>218581</v>
      </c>
      <c r="O64" s="44">
        <f t="shared" si="4"/>
        <v>1.4572066666666668</v>
      </c>
      <c r="P64" s="45">
        <f>VLOOKUP(A64,'SSP_March''19'!$A$3:$Q$1193,16,0)</f>
        <v>12</v>
      </c>
      <c r="Q64" s="34">
        <f>VLOOKUP(A64,'SSP_March''19'!$A$3:$Q$1193,17,0)</f>
        <v>7</v>
      </c>
      <c r="R64" s="35">
        <f t="shared" si="5"/>
        <v>0.58333333333333337</v>
      </c>
      <c r="S64" s="49">
        <f>ROUND(VLOOKUP(A64,'SSP_March''19'!$A$3:$T$1193,19,0),0)</f>
        <v>22</v>
      </c>
      <c r="T64" s="44">
        <f>VLOOKUP(A64,'SSP_March''19'!$A$3:$T$1193,20,0)</f>
        <v>1.8333333333333333</v>
      </c>
      <c r="U64" s="34">
        <f>VLOOKUP(A64,'SSP_March''19'!$A$3:$X$1193,21,0)</f>
        <v>0</v>
      </c>
      <c r="V64" s="34">
        <f>VLOOKUP(A64,'SSP_March''19'!$A$3:$X$1193,22,0)</f>
        <v>1</v>
      </c>
      <c r="W64" s="34">
        <f>VLOOKUP(A64,'SSP_March''19'!$A$3:$X$1193,23,0)</f>
        <v>0</v>
      </c>
      <c r="X64" s="34">
        <f>VLOOKUP(A64,'SSP_March''19'!$A$3:$X$1193,24,0)</f>
        <v>0</v>
      </c>
    </row>
    <row r="65" spans="1:24">
      <c r="A65" s="34" t="s">
        <v>3312</v>
      </c>
      <c r="B65" s="34" t="s">
        <v>430</v>
      </c>
      <c r="C65" s="34" t="s">
        <v>81</v>
      </c>
      <c r="D65" s="34" t="s">
        <v>9</v>
      </c>
      <c r="E65" s="34" t="s">
        <v>9</v>
      </c>
      <c r="F65" s="34" t="s">
        <v>3313</v>
      </c>
      <c r="G65" s="54">
        <v>1711952508</v>
      </c>
      <c r="H65" s="54" t="s">
        <v>229</v>
      </c>
      <c r="I65" s="54" t="s">
        <v>3514</v>
      </c>
      <c r="J65" s="34" t="s">
        <v>3421</v>
      </c>
      <c r="K65" s="43">
        <f>VLOOKUP(A65,'SSP_March''19'!$A$3:$L$1193,11,0)</f>
        <v>130000</v>
      </c>
      <c r="L65" s="43">
        <f>VLOOKUP(A65,'SSP_March''19'!$A$3:$L$1193,12,0)</f>
        <v>61775</v>
      </c>
      <c r="M65" s="44">
        <f t="shared" si="3"/>
        <v>0.47519230769230769</v>
      </c>
      <c r="N65" s="49">
        <f>ROUND(VLOOKUP(A65,'SSP_March''19'!$A$3:$N$1193,14,0),0)</f>
        <v>191503</v>
      </c>
      <c r="O65" s="44">
        <f t="shared" si="4"/>
        <v>1.4731000000000001</v>
      </c>
      <c r="P65" s="45">
        <f>VLOOKUP(A65,'SSP_March''19'!$A$3:$Q$1193,16,0)</f>
        <v>10</v>
      </c>
      <c r="Q65" s="34">
        <f>VLOOKUP(A65,'SSP_March''19'!$A$3:$Q$1193,17,0)</f>
        <v>3</v>
      </c>
      <c r="R65" s="35">
        <f t="shared" si="5"/>
        <v>0.3</v>
      </c>
      <c r="S65" s="49">
        <f>ROUND(VLOOKUP(A65,'SSP_March''19'!$A$3:$T$1193,19,0),0)</f>
        <v>9</v>
      </c>
      <c r="T65" s="44">
        <f>VLOOKUP(A65,'SSP_March''19'!$A$3:$T$1193,20,0)</f>
        <v>0.9</v>
      </c>
      <c r="U65" s="34">
        <f>VLOOKUP(A65,'SSP_March''19'!$A$3:$X$1193,21,0)</f>
        <v>1</v>
      </c>
      <c r="V65" s="34">
        <f>VLOOKUP(A65,'SSP_March''19'!$A$3:$X$1193,22,0)</f>
        <v>0</v>
      </c>
      <c r="W65" s="34">
        <f>VLOOKUP(A65,'SSP_March''19'!$A$3:$X$1193,23,0)</f>
        <v>0</v>
      </c>
      <c r="X65" s="34">
        <f>VLOOKUP(A65,'SSP_March''19'!$A$3:$X$1193,24,0)</f>
        <v>0</v>
      </c>
    </row>
    <row r="66" spans="1:24">
      <c r="A66" s="34" t="s">
        <v>3422</v>
      </c>
      <c r="B66" s="34" t="s">
        <v>3423</v>
      </c>
      <c r="C66" s="34" t="s">
        <v>81</v>
      </c>
      <c r="D66" s="34" t="s">
        <v>9</v>
      </c>
      <c r="E66" s="34" t="s">
        <v>9</v>
      </c>
      <c r="F66" s="34" t="s">
        <v>3424</v>
      </c>
      <c r="G66" s="54">
        <v>1713311711</v>
      </c>
      <c r="H66" s="54" t="s">
        <v>229</v>
      </c>
      <c r="I66" s="54" t="s">
        <v>3514</v>
      </c>
      <c r="J66" s="34" t="s">
        <v>3419</v>
      </c>
      <c r="K66" s="43">
        <f>VLOOKUP(A66,'SSP_March''19'!$A$3:$L$1193,11,0)</f>
        <v>250000</v>
      </c>
      <c r="L66" s="43">
        <f>VLOOKUP(A66,'SSP_March''19'!$A$3:$L$1193,12,0)</f>
        <v>58754</v>
      </c>
      <c r="M66" s="44">
        <f t="shared" si="3"/>
        <v>0.235016</v>
      </c>
      <c r="N66" s="49">
        <f>ROUND(VLOOKUP(A66,'SSP_March''19'!$A$3:$N$1193,14,0),0)</f>
        <v>182137</v>
      </c>
      <c r="O66" s="44">
        <f t="shared" si="4"/>
        <v>0.72854799999999997</v>
      </c>
      <c r="P66" s="45">
        <f>VLOOKUP(A66,'SSP_March''19'!$A$3:$Q$1193,16,0)</f>
        <v>15</v>
      </c>
      <c r="Q66" s="34">
        <f>VLOOKUP(A66,'SSP_March''19'!$A$3:$Q$1193,17,0)</f>
        <v>4</v>
      </c>
      <c r="R66" s="35">
        <f t="shared" si="5"/>
        <v>0.26666666666666666</v>
      </c>
      <c r="S66" s="49">
        <f>ROUND(VLOOKUP(A66,'SSP_March''19'!$A$3:$T$1193,19,0),0)</f>
        <v>12</v>
      </c>
      <c r="T66" s="44">
        <f>VLOOKUP(A66,'SSP_March''19'!$A$3:$T$1193,20,0)</f>
        <v>0.8</v>
      </c>
      <c r="U66" s="34">
        <f>VLOOKUP(A66,'SSP_March''19'!$A$3:$X$1193,21,0)</f>
        <v>0</v>
      </c>
      <c r="V66" s="34">
        <f>VLOOKUP(A66,'SSP_March''19'!$A$3:$X$1193,22,0)</f>
        <v>0</v>
      </c>
      <c r="W66" s="34">
        <f>VLOOKUP(A66,'SSP_March''19'!$A$3:$X$1193,23,0)</f>
        <v>0</v>
      </c>
      <c r="X66" s="34">
        <f>VLOOKUP(A66,'SSP_March''19'!$A$3:$X$1193,24,0)</f>
        <v>0</v>
      </c>
    </row>
    <row r="67" spans="1:24">
      <c r="A67" s="34" t="s">
        <v>812</v>
      </c>
      <c r="B67" s="34" t="s">
        <v>813</v>
      </c>
      <c r="C67" s="34" t="s">
        <v>81</v>
      </c>
      <c r="D67" s="34" t="s">
        <v>9</v>
      </c>
      <c r="E67" s="34" t="s">
        <v>9</v>
      </c>
      <c r="F67" s="34" t="s">
        <v>814</v>
      </c>
      <c r="G67" s="54">
        <v>1747560666</v>
      </c>
      <c r="H67" s="54" t="s">
        <v>229</v>
      </c>
      <c r="I67" s="54" t="s">
        <v>3514</v>
      </c>
      <c r="J67" s="34" t="s">
        <v>3515</v>
      </c>
      <c r="K67" s="43">
        <f>VLOOKUP(A67,'SSP_March''19'!$A$3:$L$1193,11,0)</f>
        <v>150000</v>
      </c>
      <c r="L67" s="43">
        <f>VLOOKUP(A67,'SSP_March''19'!$A$3:$L$1193,12,0)</f>
        <v>42780</v>
      </c>
      <c r="M67" s="44">
        <f t="shared" si="3"/>
        <v>0.28520000000000001</v>
      </c>
      <c r="N67" s="49">
        <f>ROUND(VLOOKUP(A67,'SSP_March''19'!$A$3:$N$1193,14,0),0)</f>
        <v>132618</v>
      </c>
      <c r="O67" s="44">
        <f t="shared" si="4"/>
        <v>0.88412000000000002</v>
      </c>
      <c r="P67" s="45">
        <f>VLOOKUP(A67,'SSP_March''19'!$A$3:$Q$1193,16,0)</f>
        <v>10</v>
      </c>
      <c r="Q67" s="34">
        <f>VLOOKUP(A67,'SSP_March''19'!$A$3:$Q$1193,17,0)</f>
        <v>3</v>
      </c>
      <c r="R67" s="35">
        <f t="shared" si="5"/>
        <v>0.3</v>
      </c>
      <c r="S67" s="49">
        <f>ROUND(VLOOKUP(A67,'SSP_March''19'!$A$3:$T$1193,19,0),0)</f>
        <v>9</v>
      </c>
      <c r="T67" s="44">
        <f>VLOOKUP(A67,'SSP_March''19'!$A$3:$T$1193,20,0)</f>
        <v>0.9</v>
      </c>
      <c r="U67" s="34">
        <f>VLOOKUP(A67,'SSP_March''19'!$A$3:$X$1193,21,0)</f>
        <v>0</v>
      </c>
      <c r="V67" s="34">
        <f>VLOOKUP(A67,'SSP_March''19'!$A$3:$X$1193,22,0)</f>
        <v>2</v>
      </c>
      <c r="W67" s="34">
        <f>VLOOKUP(A67,'SSP_March''19'!$A$3:$X$1193,23,0)</f>
        <v>0</v>
      </c>
      <c r="X67" s="34">
        <f>VLOOKUP(A67,'SSP_March''19'!$A$3:$X$1193,24,0)</f>
        <v>0</v>
      </c>
    </row>
    <row r="68" spans="1:24">
      <c r="A68" s="34" t="s">
        <v>718</v>
      </c>
      <c r="B68" s="34" t="s">
        <v>719</v>
      </c>
      <c r="C68" s="34" t="s">
        <v>180</v>
      </c>
      <c r="D68" s="34" t="s">
        <v>181</v>
      </c>
      <c r="E68" s="34" t="s">
        <v>9</v>
      </c>
      <c r="F68" s="34" t="s">
        <v>720</v>
      </c>
      <c r="G68" s="54">
        <v>1720545501</v>
      </c>
      <c r="H68" s="54" t="s">
        <v>229</v>
      </c>
      <c r="I68" s="54" t="s">
        <v>3514</v>
      </c>
      <c r="J68" s="34" t="s">
        <v>3421</v>
      </c>
      <c r="K68" s="43">
        <f>VLOOKUP(A68,'SSP_March''19'!$A$3:$L$1193,11,0)</f>
        <v>160000</v>
      </c>
      <c r="L68" s="43">
        <f>VLOOKUP(A68,'SSP_March''19'!$A$3:$L$1193,12,0)</f>
        <v>51110</v>
      </c>
      <c r="M68" s="44">
        <f t="shared" si="3"/>
        <v>0.31943749999999999</v>
      </c>
      <c r="N68" s="49">
        <f>ROUND(VLOOKUP(A68,'SSP_March''19'!$A$3:$N$1193,14,0),0)</f>
        <v>158441</v>
      </c>
      <c r="O68" s="44">
        <f t="shared" si="4"/>
        <v>0.99025624999999995</v>
      </c>
      <c r="P68" s="45">
        <f>VLOOKUP(A68,'SSP_March''19'!$A$3:$Q$1193,16,0)</f>
        <v>10</v>
      </c>
      <c r="Q68" s="34">
        <f>VLOOKUP(A68,'SSP_March''19'!$A$3:$Q$1193,17,0)</f>
        <v>4</v>
      </c>
      <c r="R68" s="35">
        <f t="shared" si="5"/>
        <v>0.4</v>
      </c>
      <c r="S68" s="49">
        <f>ROUND(VLOOKUP(A68,'SSP_March''19'!$A$3:$T$1193,19,0),0)</f>
        <v>12</v>
      </c>
      <c r="T68" s="44">
        <f>VLOOKUP(A68,'SSP_March''19'!$A$3:$T$1193,20,0)</f>
        <v>1.2</v>
      </c>
      <c r="U68" s="34">
        <f>VLOOKUP(A68,'SSP_March''19'!$A$3:$X$1193,21,0)</f>
        <v>0</v>
      </c>
      <c r="V68" s="34">
        <f>VLOOKUP(A68,'SSP_March''19'!$A$3:$X$1193,22,0)</f>
        <v>0</v>
      </c>
      <c r="W68" s="34">
        <f>VLOOKUP(A68,'SSP_March''19'!$A$3:$X$1193,23,0)</f>
        <v>0</v>
      </c>
      <c r="X68" s="34">
        <f>VLOOKUP(A68,'SSP_March''19'!$A$3:$X$1193,24,0)</f>
        <v>0</v>
      </c>
    </row>
    <row r="69" spans="1:24">
      <c r="A69" s="34" t="s">
        <v>791</v>
      </c>
      <c r="B69" s="34" t="s">
        <v>792</v>
      </c>
      <c r="C69" s="34" t="s">
        <v>180</v>
      </c>
      <c r="D69" s="34" t="s">
        <v>181</v>
      </c>
      <c r="E69" s="34" t="s">
        <v>9</v>
      </c>
      <c r="F69" s="34" t="s">
        <v>793</v>
      </c>
      <c r="G69" s="54">
        <v>1730957378</v>
      </c>
      <c r="H69" s="54" t="s">
        <v>229</v>
      </c>
      <c r="I69" s="54" t="s">
        <v>3514</v>
      </c>
      <c r="J69" s="34" t="s">
        <v>3419</v>
      </c>
      <c r="K69" s="43">
        <f>VLOOKUP(A69,'SSP_March''19'!$A$3:$L$1193,11,0)</f>
        <v>165810</v>
      </c>
      <c r="L69" s="43">
        <f>VLOOKUP(A69,'SSP_March''19'!$A$3:$L$1193,12,0)</f>
        <v>86600</v>
      </c>
      <c r="M69" s="44">
        <f t="shared" si="3"/>
        <v>0.52228454254870027</v>
      </c>
      <c r="N69" s="49">
        <f>ROUND(VLOOKUP(A69,'SSP_March''19'!$A$3:$N$1193,14,0),0)</f>
        <v>268460</v>
      </c>
      <c r="O69" s="44">
        <f t="shared" si="4"/>
        <v>1.619082081900971</v>
      </c>
      <c r="P69" s="45">
        <f>VLOOKUP(A69,'SSP_March''19'!$A$3:$Q$1193,16,0)</f>
        <v>10</v>
      </c>
      <c r="Q69" s="34">
        <f>VLOOKUP(A69,'SSP_March''19'!$A$3:$Q$1193,17,0)</f>
        <v>4</v>
      </c>
      <c r="R69" s="35">
        <f t="shared" si="5"/>
        <v>0.4</v>
      </c>
      <c r="S69" s="49">
        <f>ROUND(VLOOKUP(A69,'SSP_March''19'!$A$3:$T$1193,19,0),0)</f>
        <v>12</v>
      </c>
      <c r="T69" s="44">
        <f>VLOOKUP(A69,'SSP_March''19'!$A$3:$T$1193,20,0)</f>
        <v>1.2</v>
      </c>
      <c r="U69" s="34">
        <f>VLOOKUP(A69,'SSP_March''19'!$A$3:$X$1193,21,0)</f>
        <v>3</v>
      </c>
      <c r="V69" s="34">
        <f>VLOOKUP(A69,'SSP_March''19'!$A$3:$X$1193,22,0)</f>
        <v>2</v>
      </c>
      <c r="W69" s="34">
        <f>VLOOKUP(A69,'SSP_March''19'!$A$3:$X$1193,23,0)</f>
        <v>0</v>
      </c>
      <c r="X69" s="34">
        <f>VLOOKUP(A69,'SSP_March''19'!$A$3:$X$1193,24,0)</f>
        <v>0</v>
      </c>
    </row>
    <row r="70" spans="1:24">
      <c r="A70" s="34" t="s">
        <v>679</v>
      </c>
      <c r="B70" s="34" t="s">
        <v>680</v>
      </c>
      <c r="C70" s="34" t="s">
        <v>180</v>
      </c>
      <c r="D70" s="34" t="s">
        <v>181</v>
      </c>
      <c r="E70" s="34" t="s">
        <v>9</v>
      </c>
      <c r="F70" s="34" t="s">
        <v>681</v>
      </c>
      <c r="G70" s="54">
        <v>1751241868</v>
      </c>
      <c r="H70" s="54" t="s">
        <v>229</v>
      </c>
      <c r="I70" s="54" t="s">
        <v>3514</v>
      </c>
      <c r="J70" s="34" t="s">
        <v>3421</v>
      </c>
      <c r="K70" s="43">
        <f>VLOOKUP(A70,'SSP_March''19'!$A$3:$L$1193,11,0)</f>
        <v>130000</v>
      </c>
      <c r="L70" s="43">
        <f>VLOOKUP(A70,'SSP_March''19'!$A$3:$L$1193,12,0)</f>
        <v>23110</v>
      </c>
      <c r="M70" s="44">
        <f t="shared" si="3"/>
        <v>0.17776923076923076</v>
      </c>
      <c r="N70" s="49">
        <f>ROUND(VLOOKUP(A70,'SSP_March''19'!$A$3:$N$1193,14,0),0)</f>
        <v>71641</v>
      </c>
      <c r="O70" s="44">
        <f t="shared" si="4"/>
        <v>0.55108461538461539</v>
      </c>
      <c r="P70" s="45">
        <f>VLOOKUP(A70,'SSP_March''19'!$A$3:$Q$1193,16,0)</f>
        <v>10</v>
      </c>
      <c r="Q70" s="34">
        <f>VLOOKUP(A70,'SSP_March''19'!$A$3:$Q$1193,17,0)</f>
        <v>1</v>
      </c>
      <c r="R70" s="35">
        <f t="shared" si="5"/>
        <v>0.1</v>
      </c>
      <c r="S70" s="49">
        <f>ROUND(VLOOKUP(A70,'SSP_March''19'!$A$3:$T$1193,19,0),0)</f>
        <v>3</v>
      </c>
      <c r="T70" s="44">
        <f>VLOOKUP(A70,'SSP_March''19'!$A$3:$T$1193,20,0)</f>
        <v>0.3</v>
      </c>
      <c r="U70" s="34">
        <f>VLOOKUP(A70,'SSP_March''19'!$A$3:$X$1193,21,0)</f>
        <v>0</v>
      </c>
      <c r="V70" s="34">
        <f>VLOOKUP(A70,'SSP_March''19'!$A$3:$X$1193,22,0)</f>
        <v>1</v>
      </c>
      <c r="W70" s="34">
        <f>VLOOKUP(A70,'SSP_March''19'!$A$3:$X$1193,23,0)</f>
        <v>0</v>
      </c>
      <c r="X70" s="34">
        <f>VLOOKUP(A70,'SSP_March''19'!$A$3:$X$1193,24,0)</f>
        <v>0</v>
      </c>
    </row>
    <row r="71" spans="1:24">
      <c r="A71" s="34" t="s">
        <v>768</v>
      </c>
      <c r="B71" s="34" t="s">
        <v>769</v>
      </c>
      <c r="C71" s="34" t="s">
        <v>180</v>
      </c>
      <c r="D71" s="34" t="s">
        <v>181</v>
      </c>
      <c r="E71" s="34" t="s">
        <v>9</v>
      </c>
      <c r="F71" s="34" t="s">
        <v>770</v>
      </c>
      <c r="G71" s="54">
        <v>1729189560</v>
      </c>
      <c r="H71" s="54" t="s">
        <v>229</v>
      </c>
      <c r="I71" s="54" t="s">
        <v>3514</v>
      </c>
      <c r="J71" s="34" t="s">
        <v>3419</v>
      </c>
      <c r="K71" s="43">
        <f>VLOOKUP(A71,'SSP_March''19'!$A$3:$L$1193,11,0)</f>
        <v>130000</v>
      </c>
      <c r="L71" s="43">
        <f>VLOOKUP(A71,'SSP_March''19'!$A$3:$L$1193,12,0)</f>
        <v>60390</v>
      </c>
      <c r="M71" s="44">
        <f t="shared" si="3"/>
        <v>0.46453846153846151</v>
      </c>
      <c r="N71" s="49">
        <f>ROUND(VLOOKUP(A71,'SSP_March''19'!$A$3:$N$1193,14,0),0)</f>
        <v>187209</v>
      </c>
      <c r="O71" s="44">
        <f t="shared" si="4"/>
        <v>1.4400692307692309</v>
      </c>
      <c r="P71" s="45">
        <f>VLOOKUP(A71,'SSP_March''19'!$A$3:$Q$1193,16,0)</f>
        <v>10</v>
      </c>
      <c r="Q71" s="34">
        <f>VLOOKUP(A71,'SSP_March''19'!$A$3:$Q$1193,17,0)</f>
        <v>4</v>
      </c>
      <c r="R71" s="35">
        <f t="shared" si="5"/>
        <v>0.4</v>
      </c>
      <c r="S71" s="49">
        <f>ROUND(VLOOKUP(A71,'SSP_March''19'!$A$3:$T$1193,19,0),0)</f>
        <v>12</v>
      </c>
      <c r="T71" s="44">
        <f>VLOOKUP(A71,'SSP_March''19'!$A$3:$T$1193,20,0)</f>
        <v>1.2</v>
      </c>
      <c r="U71" s="34">
        <f>VLOOKUP(A71,'SSP_March''19'!$A$3:$X$1193,21,0)</f>
        <v>0</v>
      </c>
      <c r="V71" s="34">
        <f>VLOOKUP(A71,'SSP_March''19'!$A$3:$X$1193,22,0)</f>
        <v>3</v>
      </c>
      <c r="W71" s="34">
        <f>VLOOKUP(A71,'SSP_March''19'!$A$3:$X$1193,23,0)</f>
        <v>0</v>
      </c>
      <c r="X71" s="34">
        <f>VLOOKUP(A71,'SSP_March''19'!$A$3:$X$1193,24,0)</f>
        <v>0</v>
      </c>
    </row>
    <row r="72" spans="1:24">
      <c r="A72" s="34" t="s">
        <v>712</v>
      </c>
      <c r="B72" s="34" t="s">
        <v>713</v>
      </c>
      <c r="C72" s="34" t="s">
        <v>180</v>
      </c>
      <c r="D72" s="34" t="s">
        <v>181</v>
      </c>
      <c r="E72" s="34" t="s">
        <v>9</v>
      </c>
      <c r="F72" s="34" t="s">
        <v>714</v>
      </c>
      <c r="G72" s="54">
        <v>1757800411</v>
      </c>
      <c r="H72" s="54" t="s">
        <v>229</v>
      </c>
      <c r="I72" s="54" t="s">
        <v>3514</v>
      </c>
      <c r="J72" s="34" t="s">
        <v>3419</v>
      </c>
      <c r="K72" s="43">
        <f>VLOOKUP(A72,'SSP_March''19'!$A$3:$L$1193,11,0)</f>
        <v>210000</v>
      </c>
      <c r="L72" s="43">
        <f>VLOOKUP(A72,'SSP_March''19'!$A$3:$L$1193,12,0)</f>
        <v>51019</v>
      </c>
      <c r="M72" s="44">
        <f t="shared" si="3"/>
        <v>0.24294761904761905</v>
      </c>
      <c r="N72" s="49">
        <f>ROUND(VLOOKUP(A72,'SSP_March''19'!$A$3:$N$1193,14,0),0)</f>
        <v>158159</v>
      </c>
      <c r="O72" s="44">
        <f t="shared" si="4"/>
        <v>0.75313809523809527</v>
      </c>
      <c r="P72" s="45">
        <f>VLOOKUP(A72,'SSP_March''19'!$A$3:$Q$1193,16,0)</f>
        <v>10</v>
      </c>
      <c r="Q72" s="34">
        <f>VLOOKUP(A72,'SSP_March''19'!$A$3:$Q$1193,17,0)</f>
        <v>2</v>
      </c>
      <c r="R72" s="35">
        <f t="shared" si="5"/>
        <v>0.2</v>
      </c>
      <c r="S72" s="49">
        <f>ROUND(VLOOKUP(A72,'SSP_March''19'!$A$3:$T$1193,19,0),0)</f>
        <v>6</v>
      </c>
      <c r="T72" s="44">
        <f>VLOOKUP(A72,'SSP_March''19'!$A$3:$T$1193,20,0)</f>
        <v>0.6</v>
      </c>
      <c r="U72" s="34">
        <f>VLOOKUP(A72,'SSP_March''19'!$A$3:$X$1193,21,0)</f>
        <v>1</v>
      </c>
      <c r="V72" s="34">
        <f>VLOOKUP(A72,'SSP_March''19'!$A$3:$X$1193,22,0)</f>
        <v>1</v>
      </c>
      <c r="W72" s="34">
        <f>VLOOKUP(A72,'SSP_March''19'!$A$3:$X$1193,23,0)</f>
        <v>1</v>
      </c>
      <c r="X72" s="34">
        <f>VLOOKUP(A72,'SSP_March''19'!$A$3:$X$1193,24,0)</f>
        <v>0</v>
      </c>
    </row>
    <row r="73" spans="1:24">
      <c r="A73" s="34" t="s">
        <v>774</v>
      </c>
      <c r="B73" s="34" t="s">
        <v>775</v>
      </c>
      <c r="C73" s="34" t="s">
        <v>180</v>
      </c>
      <c r="D73" s="34" t="s">
        <v>181</v>
      </c>
      <c r="E73" s="34" t="s">
        <v>9</v>
      </c>
      <c r="F73" s="34" t="s">
        <v>776</v>
      </c>
      <c r="G73" s="54">
        <v>1862580268</v>
      </c>
      <c r="H73" s="54" t="s">
        <v>229</v>
      </c>
      <c r="I73" s="54" t="s">
        <v>3514</v>
      </c>
      <c r="J73" s="34" t="s">
        <v>3421</v>
      </c>
      <c r="K73" s="43">
        <f>VLOOKUP(A73,'SSP_March''19'!$A$3:$L$1193,11,0)</f>
        <v>155349</v>
      </c>
      <c r="L73" s="43">
        <f>VLOOKUP(A73,'SSP_March''19'!$A$3:$L$1193,12,0)</f>
        <v>53710</v>
      </c>
      <c r="M73" s="44">
        <f t="shared" si="3"/>
        <v>0.34573766165215097</v>
      </c>
      <c r="N73" s="49">
        <f>ROUND(VLOOKUP(A73,'SSP_March''19'!$A$3:$N$1193,14,0),0)</f>
        <v>166501</v>
      </c>
      <c r="O73" s="44">
        <f t="shared" si="4"/>
        <v>1.0717867511216679</v>
      </c>
      <c r="P73" s="45">
        <f>VLOOKUP(A73,'SSP_March''19'!$A$3:$Q$1193,16,0)</f>
        <v>10</v>
      </c>
      <c r="Q73" s="34">
        <f>VLOOKUP(A73,'SSP_March''19'!$A$3:$Q$1193,17,0)</f>
        <v>5</v>
      </c>
      <c r="R73" s="35">
        <f t="shared" si="5"/>
        <v>0.5</v>
      </c>
      <c r="S73" s="49">
        <f>ROUND(VLOOKUP(A73,'SSP_March''19'!$A$3:$T$1193,19,0),0)</f>
        <v>16</v>
      </c>
      <c r="T73" s="44">
        <f>VLOOKUP(A73,'SSP_March''19'!$A$3:$T$1193,20,0)</f>
        <v>1.6</v>
      </c>
      <c r="U73" s="34">
        <f>VLOOKUP(A73,'SSP_March''19'!$A$3:$X$1193,21,0)</f>
        <v>0</v>
      </c>
      <c r="V73" s="34">
        <f>VLOOKUP(A73,'SSP_March''19'!$A$3:$X$1193,22,0)</f>
        <v>2</v>
      </c>
      <c r="W73" s="34">
        <f>VLOOKUP(A73,'SSP_March''19'!$A$3:$X$1193,23,0)</f>
        <v>0</v>
      </c>
      <c r="X73" s="34">
        <f>VLOOKUP(A73,'SSP_March''19'!$A$3:$X$1193,24,0)</f>
        <v>0</v>
      </c>
    </row>
    <row r="74" spans="1:24">
      <c r="A74" s="34" t="s">
        <v>3110</v>
      </c>
      <c r="B74" s="34" t="s">
        <v>3111</v>
      </c>
      <c r="C74" s="34" t="s">
        <v>180</v>
      </c>
      <c r="D74" s="34" t="s">
        <v>181</v>
      </c>
      <c r="E74" s="34" t="s">
        <v>9</v>
      </c>
      <c r="F74" s="34" t="s">
        <v>3112</v>
      </c>
      <c r="G74" s="54">
        <v>1752026460</v>
      </c>
      <c r="H74" s="54" t="s">
        <v>229</v>
      </c>
      <c r="I74" s="54" t="s">
        <v>3518</v>
      </c>
      <c r="J74" s="34" t="s">
        <v>3421</v>
      </c>
      <c r="K74" s="43">
        <f>VLOOKUP(A74,'SSP_March''19'!$A$3:$L$1193,11,0)</f>
        <v>340000</v>
      </c>
      <c r="L74" s="43">
        <f>VLOOKUP(A74,'SSP_March''19'!$A$3:$L$1193,12,0)</f>
        <v>137829</v>
      </c>
      <c r="M74" s="44">
        <f t="shared" ref="M74:M84" si="9">L74/K74</f>
        <v>0.40537941176470588</v>
      </c>
      <c r="N74" s="49">
        <f>ROUND(VLOOKUP(A74,'SSP_March''19'!$A$3:$N$1193,14,0),0)</f>
        <v>427270</v>
      </c>
      <c r="O74" s="44">
        <f t="shared" ref="O74:O84" si="10">N74/K74</f>
        <v>1.2566764705882354</v>
      </c>
      <c r="P74" s="45">
        <f>VLOOKUP(A74,'SSP_March''19'!$A$3:$Q$1193,16,0)</f>
        <v>20</v>
      </c>
      <c r="Q74" s="34">
        <f>VLOOKUP(A74,'SSP_March''19'!$A$3:$Q$1193,17,0)</f>
        <v>11</v>
      </c>
      <c r="R74" s="35">
        <f t="shared" ref="R74:R84" si="11">Q74/P74</f>
        <v>0.55000000000000004</v>
      </c>
      <c r="S74" s="49">
        <f>ROUND(VLOOKUP(A74,'SSP_March''19'!$A$3:$T$1193,19,0),0)</f>
        <v>34</v>
      </c>
      <c r="T74" s="44">
        <f>VLOOKUP(A74,'SSP_March''19'!$A$3:$T$1193,20,0)</f>
        <v>1.7</v>
      </c>
      <c r="U74" s="34">
        <f>VLOOKUP(A74,'SSP_March''19'!$A$3:$X$1193,21,0)</f>
        <v>0</v>
      </c>
      <c r="V74" s="34">
        <f>VLOOKUP(A74,'SSP_March''19'!$A$3:$X$1193,22,0)</f>
        <v>5</v>
      </c>
      <c r="W74" s="34">
        <f>VLOOKUP(A74,'SSP_March''19'!$A$3:$X$1193,23,0)</f>
        <v>0</v>
      </c>
      <c r="X74" s="34">
        <f>VLOOKUP(A74,'SSP_March''19'!$A$3:$X$1193,24,0)</f>
        <v>0</v>
      </c>
    </row>
    <row r="75" spans="1:24">
      <c r="A75" s="34" t="s">
        <v>788</v>
      </c>
      <c r="B75" s="34" t="s">
        <v>789</v>
      </c>
      <c r="C75" s="34" t="s">
        <v>180</v>
      </c>
      <c r="D75" s="34" t="s">
        <v>181</v>
      </c>
      <c r="E75" s="34" t="s">
        <v>9</v>
      </c>
      <c r="F75" s="34" t="s">
        <v>790</v>
      </c>
      <c r="G75" s="54">
        <v>1719418244</v>
      </c>
      <c r="H75" s="54" t="s">
        <v>229</v>
      </c>
      <c r="I75" s="54" t="s">
        <v>3514</v>
      </c>
      <c r="J75" s="34" t="s">
        <v>3421</v>
      </c>
      <c r="K75" s="43">
        <f>VLOOKUP(A75,'SSP_March''19'!$A$3:$L$1193,11,0)</f>
        <v>280000</v>
      </c>
      <c r="L75" s="43">
        <f>VLOOKUP(A75,'SSP_March''19'!$A$3:$L$1193,12,0)</f>
        <v>105020</v>
      </c>
      <c r="M75" s="44">
        <f t="shared" si="9"/>
        <v>0.37507142857142856</v>
      </c>
      <c r="N75" s="49">
        <f>ROUND(VLOOKUP(A75,'SSP_March''19'!$A$3:$N$1193,14,0),0)</f>
        <v>325562</v>
      </c>
      <c r="O75" s="44">
        <f t="shared" si="10"/>
        <v>1.1627214285714285</v>
      </c>
      <c r="P75" s="45">
        <f>VLOOKUP(A75,'SSP_March''19'!$A$3:$Q$1193,16,0)</f>
        <v>15</v>
      </c>
      <c r="Q75" s="34">
        <f>VLOOKUP(A75,'SSP_March''19'!$A$3:$Q$1193,17,0)</f>
        <v>8</v>
      </c>
      <c r="R75" s="35">
        <f t="shared" si="11"/>
        <v>0.53333333333333333</v>
      </c>
      <c r="S75" s="49">
        <f>ROUND(VLOOKUP(A75,'SSP_March''19'!$A$3:$T$1193,19,0),0)</f>
        <v>25</v>
      </c>
      <c r="T75" s="44">
        <f>VLOOKUP(A75,'SSP_March''19'!$A$3:$T$1193,20,0)</f>
        <v>1.6666666666666667</v>
      </c>
      <c r="U75" s="34">
        <f>VLOOKUP(A75,'SSP_March''19'!$A$3:$X$1193,21,0)</f>
        <v>3</v>
      </c>
      <c r="V75" s="34">
        <f>VLOOKUP(A75,'SSP_March''19'!$A$3:$X$1193,22,0)</f>
        <v>2</v>
      </c>
      <c r="W75" s="34">
        <f>VLOOKUP(A75,'SSP_March''19'!$A$3:$X$1193,23,0)</f>
        <v>0</v>
      </c>
      <c r="X75" s="34">
        <f>VLOOKUP(A75,'SSP_March''19'!$A$3:$X$1193,24,0)</f>
        <v>0</v>
      </c>
    </row>
    <row r="76" spans="1:24">
      <c r="A76" s="34" t="s">
        <v>715</v>
      </c>
      <c r="B76" s="34" t="s">
        <v>716</v>
      </c>
      <c r="C76" s="34" t="s">
        <v>180</v>
      </c>
      <c r="D76" s="34" t="s">
        <v>181</v>
      </c>
      <c r="E76" s="34" t="s">
        <v>9</v>
      </c>
      <c r="F76" s="34" t="s">
        <v>717</v>
      </c>
      <c r="G76" s="54">
        <v>1740021002</v>
      </c>
      <c r="H76" s="54" t="s">
        <v>229</v>
      </c>
      <c r="I76" s="54" t="s">
        <v>3514</v>
      </c>
      <c r="J76" s="34" t="s">
        <v>3419</v>
      </c>
      <c r="K76" s="43">
        <f>VLOOKUP(A76,'SSP_March''19'!$A$3:$L$1193,11,0)</f>
        <v>270032</v>
      </c>
      <c r="L76" s="43">
        <f>VLOOKUP(A76,'SSP_March''19'!$A$3:$L$1193,12,0)</f>
        <v>113608</v>
      </c>
      <c r="M76" s="44">
        <f t="shared" si="9"/>
        <v>0.42072050719914678</v>
      </c>
      <c r="N76" s="49">
        <f>ROUND(VLOOKUP(A76,'SSP_March''19'!$A$3:$N$1193,14,0),0)</f>
        <v>352185</v>
      </c>
      <c r="O76" s="44">
        <f t="shared" si="10"/>
        <v>1.3042343129703147</v>
      </c>
      <c r="P76" s="45">
        <f>VLOOKUP(A76,'SSP_March''19'!$A$3:$Q$1193,16,0)</f>
        <v>19</v>
      </c>
      <c r="Q76" s="34">
        <f>VLOOKUP(A76,'SSP_March''19'!$A$3:$Q$1193,17,0)</f>
        <v>3</v>
      </c>
      <c r="R76" s="35">
        <f t="shared" si="11"/>
        <v>0.15789473684210525</v>
      </c>
      <c r="S76" s="49">
        <f>ROUND(VLOOKUP(A76,'SSP_March''19'!$A$3:$T$1193,19,0),0)</f>
        <v>9</v>
      </c>
      <c r="T76" s="44">
        <f>VLOOKUP(A76,'SSP_March''19'!$A$3:$T$1193,20,0)</f>
        <v>0.47368421052631576</v>
      </c>
      <c r="U76" s="34">
        <f>VLOOKUP(A76,'SSP_March''19'!$A$3:$X$1193,21,0)</f>
        <v>1</v>
      </c>
      <c r="V76" s="34">
        <f>VLOOKUP(A76,'SSP_March''19'!$A$3:$X$1193,22,0)</f>
        <v>0</v>
      </c>
      <c r="W76" s="34">
        <f>VLOOKUP(A76,'SSP_March''19'!$A$3:$X$1193,23,0)</f>
        <v>0</v>
      </c>
      <c r="X76" s="34">
        <f>VLOOKUP(A76,'SSP_March''19'!$A$3:$X$1193,24,0)</f>
        <v>0</v>
      </c>
    </row>
    <row r="77" spans="1:24">
      <c r="A77" s="34" t="s">
        <v>703</v>
      </c>
      <c r="B77" s="34" t="s">
        <v>704</v>
      </c>
      <c r="C77" s="34" t="s">
        <v>180</v>
      </c>
      <c r="D77" s="34" t="s">
        <v>181</v>
      </c>
      <c r="E77" s="34" t="s">
        <v>9</v>
      </c>
      <c r="F77" s="34" t="s">
        <v>705</v>
      </c>
      <c r="G77" s="54">
        <v>1726257257</v>
      </c>
      <c r="H77" s="54" t="s">
        <v>229</v>
      </c>
      <c r="I77" s="54" t="s">
        <v>3514</v>
      </c>
      <c r="J77" s="34" t="s">
        <v>3421</v>
      </c>
      <c r="K77" s="43">
        <f>VLOOKUP(A77,'SSP_March''19'!$A$3:$L$1193,11,0)</f>
        <v>157182</v>
      </c>
      <c r="L77" s="43">
        <f>VLOOKUP(A77,'SSP_March''19'!$A$3:$L$1193,12,0)</f>
        <v>29340</v>
      </c>
      <c r="M77" s="44">
        <f t="shared" si="9"/>
        <v>0.18666259495362064</v>
      </c>
      <c r="N77" s="49">
        <f>ROUND(VLOOKUP(A77,'SSP_March''19'!$A$3:$N$1193,14,0),0)</f>
        <v>90954</v>
      </c>
      <c r="O77" s="44">
        <f t="shared" si="10"/>
        <v>0.57865404435622403</v>
      </c>
      <c r="P77" s="45">
        <f>VLOOKUP(A77,'SSP_March''19'!$A$3:$Q$1193,16,0)</f>
        <v>10</v>
      </c>
      <c r="Q77" s="34">
        <f>VLOOKUP(A77,'SSP_March''19'!$A$3:$Q$1193,17,0)</f>
        <v>0</v>
      </c>
      <c r="R77" s="35">
        <f t="shared" si="11"/>
        <v>0</v>
      </c>
      <c r="S77" s="49">
        <f>ROUND(VLOOKUP(A77,'SSP_March''19'!$A$3:$T$1193,19,0),0)</f>
        <v>0</v>
      </c>
      <c r="T77" s="44">
        <f>VLOOKUP(A77,'SSP_March''19'!$A$3:$T$1193,20,0)</f>
        <v>0</v>
      </c>
      <c r="U77" s="34">
        <f>VLOOKUP(A77,'SSP_March''19'!$A$3:$X$1193,21,0)</f>
        <v>1</v>
      </c>
      <c r="V77" s="34">
        <f>VLOOKUP(A77,'SSP_March''19'!$A$3:$X$1193,22,0)</f>
        <v>0</v>
      </c>
      <c r="W77" s="34">
        <f>VLOOKUP(A77,'SSP_March''19'!$A$3:$X$1193,23,0)</f>
        <v>0</v>
      </c>
      <c r="X77" s="34">
        <f>VLOOKUP(A77,'SSP_March''19'!$A$3:$X$1193,24,0)</f>
        <v>0</v>
      </c>
    </row>
    <row r="78" spans="1:24">
      <c r="A78" s="34" t="s">
        <v>3113</v>
      </c>
      <c r="B78" s="34" t="s">
        <v>3114</v>
      </c>
      <c r="C78" s="34" t="s">
        <v>180</v>
      </c>
      <c r="D78" s="34" t="s">
        <v>181</v>
      </c>
      <c r="E78" s="34" t="s">
        <v>9</v>
      </c>
      <c r="F78" s="34" t="s">
        <v>1255</v>
      </c>
      <c r="G78" s="54">
        <v>1717796774</v>
      </c>
      <c r="H78" s="54" t="s">
        <v>229</v>
      </c>
      <c r="I78" s="54" t="s">
        <v>3514</v>
      </c>
      <c r="J78" s="34" t="s">
        <v>3421</v>
      </c>
      <c r="K78" s="43">
        <f>VLOOKUP(A78,'SSP_March''19'!$A$3:$L$1193,11,0)</f>
        <v>180000</v>
      </c>
      <c r="L78" s="43">
        <f>VLOOKUP(A78,'SSP_March''19'!$A$3:$L$1193,12,0)</f>
        <v>128350</v>
      </c>
      <c r="M78" s="44">
        <f t="shared" si="9"/>
        <v>0.71305555555555555</v>
      </c>
      <c r="N78" s="49">
        <f>ROUND(VLOOKUP(A78,'SSP_March''19'!$A$3:$N$1193,14,0),0)</f>
        <v>397885</v>
      </c>
      <c r="O78" s="44">
        <f t="shared" si="10"/>
        <v>2.2104722222222222</v>
      </c>
      <c r="P78" s="45">
        <f>VLOOKUP(A78,'SSP_March''19'!$A$3:$Q$1193,16,0)</f>
        <v>10</v>
      </c>
      <c r="Q78" s="34">
        <f>VLOOKUP(A78,'SSP_March''19'!$A$3:$Q$1193,17,0)</f>
        <v>7</v>
      </c>
      <c r="R78" s="35">
        <f t="shared" si="11"/>
        <v>0.7</v>
      </c>
      <c r="S78" s="49">
        <f>ROUND(VLOOKUP(A78,'SSP_March''19'!$A$3:$T$1193,19,0),0)</f>
        <v>22</v>
      </c>
      <c r="T78" s="44">
        <f>VLOOKUP(A78,'SSP_March''19'!$A$3:$T$1193,20,0)</f>
        <v>2.2000000000000002</v>
      </c>
      <c r="U78" s="34">
        <f>VLOOKUP(A78,'SSP_March''19'!$A$3:$X$1193,21,0)</f>
        <v>4</v>
      </c>
      <c r="V78" s="34">
        <f>VLOOKUP(A78,'SSP_March''19'!$A$3:$X$1193,22,0)</f>
        <v>2</v>
      </c>
      <c r="W78" s="34">
        <f>VLOOKUP(A78,'SSP_March''19'!$A$3:$X$1193,23,0)</f>
        <v>0</v>
      </c>
      <c r="X78" s="34">
        <f>VLOOKUP(A78,'SSP_March''19'!$A$3:$X$1193,24,0)</f>
        <v>0</v>
      </c>
    </row>
    <row r="79" spans="1:24">
      <c r="A79" s="34" t="s">
        <v>800</v>
      </c>
      <c r="B79" s="34" t="s">
        <v>801</v>
      </c>
      <c r="C79" s="34" t="s">
        <v>183</v>
      </c>
      <c r="D79" s="34" t="s">
        <v>181</v>
      </c>
      <c r="E79" s="34" t="s">
        <v>9</v>
      </c>
      <c r="F79" s="34" t="s">
        <v>802</v>
      </c>
      <c r="G79" s="54">
        <v>1710974736</v>
      </c>
      <c r="H79" s="54" t="s">
        <v>229</v>
      </c>
      <c r="I79" s="54" t="s">
        <v>3514</v>
      </c>
      <c r="J79" s="34" t="s">
        <v>3421</v>
      </c>
      <c r="K79" s="43">
        <f>VLOOKUP(A79,'SSP_March''19'!$A$3:$L$1193,11,0)</f>
        <v>130000</v>
      </c>
      <c r="L79" s="43">
        <f>VLOOKUP(A79,'SSP_March''19'!$A$3:$L$1193,12,0)</f>
        <v>5690</v>
      </c>
      <c r="M79" s="44">
        <f t="shared" si="9"/>
        <v>4.3769230769230769E-2</v>
      </c>
      <c r="N79" s="49">
        <f>ROUND(VLOOKUP(A79,'SSP_March''19'!$A$3:$N$1193,14,0),0)</f>
        <v>17639</v>
      </c>
      <c r="O79" s="44">
        <f t="shared" si="10"/>
        <v>0.13568461538461538</v>
      </c>
      <c r="P79" s="45">
        <f>VLOOKUP(A79,'SSP_March''19'!$A$3:$Q$1193,16,0)</f>
        <v>10</v>
      </c>
      <c r="Q79" s="34">
        <f>VLOOKUP(A79,'SSP_March''19'!$A$3:$Q$1193,17,0)</f>
        <v>0</v>
      </c>
      <c r="R79" s="35">
        <f t="shared" si="11"/>
        <v>0</v>
      </c>
      <c r="S79" s="49">
        <f>ROUND(VLOOKUP(A79,'SSP_March''19'!$A$3:$T$1193,19,0),0)</f>
        <v>0</v>
      </c>
      <c r="T79" s="44">
        <f>VLOOKUP(A79,'SSP_March''19'!$A$3:$T$1193,20,0)</f>
        <v>0</v>
      </c>
      <c r="U79" s="34">
        <f>VLOOKUP(A79,'SSP_March''19'!$A$3:$X$1193,21,0)</f>
        <v>0</v>
      </c>
      <c r="V79" s="34">
        <f>VLOOKUP(A79,'SSP_March''19'!$A$3:$X$1193,22,0)</f>
        <v>0</v>
      </c>
      <c r="W79" s="34">
        <f>VLOOKUP(A79,'SSP_March''19'!$A$3:$X$1193,23,0)</f>
        <v>0</v>
      </c>
      <c r="X79" s="34">
        <f>VLOOKUP(A79,'SSP_March''19'!$A$3:$X$1193,24,0)</f>
        <v>0</v>
      </c>
    </row>
    <row r="80" spans="1:24">
      <c r="A80" s="34" t="s">
        <v>738</v>
      </c>
      <c r="B80" s="34" t="s">
        <v>739</v>
      </c>
      <c r="C80" s="34" t="s">
        <v>183</v>
      </c>
      <c r="D80" s="34" t="s">
        <v>181</v>
      </c>
      <c r="E80" s="34" t="s">
        <v>9</v>
      </c>
      <c r="F80" s="34" t="s">
        <v>740</v>
      </c>
      <c r="G80" s="54">
        <v>1742558833</v>
      </c>
      <c r="H80" s="54" t="s">
        <v>229</v>
      </c>
      <c r="I80" s="54" t="s">
        <v>3514</v>
      </c>
      <c r="J80" s="34" t="s">
        <v>3421</v>
      </c>
      <c r="K80" s="43">
        <f>VLOOKUP(A80,'SSP_March''19'!$A$3:$L$1193,11,0)</f>
        <v>130000</v>
      </c>
      <c r="L80" s="43">
        <f>VLOOKUP(A80,'SSP_March''19'!$A$3:$L$1193,12,0)</f>
        <v>8480</v>
      </c>
      <c r="M80" s="44">
        <f t="shared" si="9"/>
        <v>6.5230769230769231E-2</v>
      </c>
      <c r="N80" s="49">
        <f>ROUND(VLOOKUP(A80,'SSP_March''19'!$A$3:$N$1193,14,0),0)</f>
        <v>26288</v>
      </c>
      <c r="O80" s="44">
        <f t="shared" si="10"/>
        <v>0.2022153846153846</v>
      </c>
      <c r="P80" s="45">
        <f>VLOOKUP(A80,'SSP_March''19'!$A$3:$Q$1193,16,0)</f>
        <v>10</v>
      </c>
      <c r="Q80" s="34">
        <f>VLOOKUP(A80,'SSP_March''19'!$A$3:$Q$1193,17,0)</f>
        <v>0</v>
      </c>
      <c r="R80" s="35">
        <f t="shared" si="11"/>
        <v>0</v>
      </c>
      <c r="S80" s="49">
        <f>ROUND(VLOOKUP(A80,'SSP_March''19'!$A$3:$T$1193,19,0),0)</f>
        <v>0</v>
      </c>
      <c r="T80" s="44">
        <f>VLOOKUP(A80,'SSP_March''19'!$A$3:$T$1193,20,0)</f>
        <v>0</v>
      </c>
      <c r="U80" s="34">
        <f>VLOOKUP(A80,'SSP_March''19'!$A$3:$X$1193,21,0)</f>
        <v>0</v>
      </c>
      <c r="V80" s="34">
        <f>VLOOKUP(A80,'SSP_March''19'!$A$3:$X$1193,22,0)</f>
        <v>0</v>
      </c>
      <c r="W80" s="34">
        <f>VLOOKUP(A80,'SSP_March''19'!$A$3:$X$1193,23,0)</f>
        <v>0</v>
      </c>
      <c r="X80" s="34">
        <f>VLOOKUP(A80,'SSP_March''19'!$A$3:$X$1193,24,0)</f>
        <v>0</v>
      </c>
    </row>
    <row r="81" spans="1:24">
      <c r="A81" s="34" t="s">
        <v>842</v>
      </c>
      <c r="B81" s="34" t="s">
        <v>843</v>
      </c>
      <c r="C81" s="34" t="s">
        <v>183</v>
      </c>
      <c r="D81" s="34" t="s">
        <v>181</v>
      </c>
      <c r="E81" s="34" t="s">
        <v>9</v>
      </c>
      <c r="F81" s="34" t="s">
        <v>844</v>
      </c>
      <c r="G81" s="54">
        <v>1747929498</v>
      </c>
      <c r="H81" s="54" t="s">
        <v>229</v>
      </c>
      <c r="I81" s="54" t="s">
        <v>3514</v>
      </c>
      <c r="J81" s="34" t="s">
        <v>3421</v>
      </c>
      <c r="K81" s="43">
        <f>VLOOKUP(A81,'SSP_March''19'!$A$3:$L$1193,11,0)</f>
        <v>130000</v>
      </c>
      <c r="L81" s="43">
        <f>VLOOKUP(A81,'SSP_March''19'!$A$3:$L$1193,12,0)</f>
        <v>49265</v>
      </c>
      <c r="M81" s="44">
        <f t="shared" si="9"/>
        <v>0.37896153846153846</v>
      </c>
      <c r="N81" s="49">
        <f>ROUND(VLOOKUP(A81,'SSP_March''19'!$A$3:$N$1193,14,0),0)</f>
        <v>152722</v>
      </c>
      <c r="O81" s="44">
        <f t="shared" si="10"/>
        <v>1.1747846153846153</v>
      </c>
      <c r="P81" s="45">
        <f>VLOOKUP(A81,'SSP_March''19'!$A$3:$Q$1193,16,0)</f>
        <v>10</v>
      </c>
      <c r="Q81" s="34">
        <f>VLOOKUP(A81,'SSP_March''19'!$A$3:$Q$1193,17,0)</f>
        <v>4</v>
      </c>
      <c r="R81" s="35">
        <f t="shared" si="11"/>
        <v>0.4</v>
      </c>
      <c r="S81" s="49">
        <f>ROUND(VLOOKUP(A81,'SSP_March''19'!$A$3:$T$1193,19,0),0)</f>
        <v>12</v>
      </c>
      <c r="T81" s="44">
        <f>VLOOKUP(A81,'SSP_March''19'!$A$3:$T$1193,20,0)</f>
        <v>1.2</v>
      </c>
      <c r="U81" s="34">
        <f>VLOOKUP(A81,'SSP_March''19'!$A$3:$X$1193,21,0)</f>
        <v>1</v>
      </c>
      <c r="V81" s="34">
        <f>VLOOKUP(A81,'SSP_March''19'!$A$3:$X$1193,22,0)</f>
        <v>1</v>
      </c>
      <c r="W81" s="34">
        <f>VLOOKUP(A81,'SSP_March''19'!$A$3:$X$1193,23,0)</f>
        <v>0</v>
      </c>
      <c r="X81" s="34">
        <f>VLOOKUP(A81,'SSP_March''19'!$A$3:$X$1193,24,0)</f>
        <v>1</v>
      </c>
    </row>
    <row r="82" spans="1:24">
      <c r="A82" s="34" t="s">
        <v>697</v>
      </c>
      <c r="B82" s="34" t="s">
        <v>698</v>
      </c>
      <c r="C82" s="34" t="s">
        <v>183</v>
      </c>
      <c r="D82" s="34" t="s">
        <v>181</v>
      </c>
      <c r="E82" s="34" t="s">
        <v>9</v>
      </c>
      <c r="F82" s="34" t="s">
        <v>699</v>
      </c>
      <c r="G82" s="54">
        <v>1711352074</v>
      </c>
      <c r="H82" s="54" t="s">
        <v>229</v>
      </c>
      <c r="I82" s="54" t="s">
        <v>3518</v>
      </c>
      <c r="J82" s="34" t="s">
        <v>3419</v>
      </c>
      <c r="K82" s="43">
        <f>VLOOKUP(A82,'SSP_March''19'!$A$3:$L$1193,11,0)</f>
        <v>481574</v>
      </c>
      <c r="L82" s="43">
        <f>VLOOKUP(A82,'SSP_March''19'!$A$3:$L$1193,12,0)</f>
        <v>153818</v>
      </c>
      <c r="M82" s="44">
        <f t="shared" si="9"/>
        <v>0.31940677860515726</v>
      </c>
      <c r="N82" s="49">
        <f>ROUND(VLOOKUP(A82,'SSP_March''19'!$A$3:$N$1193,14,0),0)</f>
        <v>476836</v>
      </c>
      <c r="O82" s="44">
        <f t="shared" si="10"/>
        <v>0.99016142898080051</v>
      </c>
      <c r="P82" s="45">
        <f>VLOOKUP(A82,'SSP_March''19'!$A$3:$Q$1193,16,0)</f>
        <v>24</v>
      </c>
      <c r="Q82" s="34">
        <f>VLOOKUP(A82,'SSP_March''19'!$A$3:$Q$1193,17,0)</f>
        <v>4</v>
      </c>
      <c r="R82" s="35">
        <f t="shared" si="11"/>
        <v>0.16666666666666666</v>
      </c>
      <c r="S82" s="49">
        <f>ROUND(VLOOKUP(A82,'SSP_March''19'!$A$3:$T$1193,19,0),0)</f>
        <v>12</v>
      </c>
      <c r="T82" s="44">
        <f>VLOOKUP(A82,'SSP_March''19'!$A$3:$T$1193,20,0)</f>
        <v>0.5</v>
      </c>
      <c r="U82" s="34">
        <f>VLOOKUP(A82,'SSP_March''19'!$A$3:$X$1193,21,0)</f>
        <v>4</v>
      </c>
      <c r="V82" s="34">
        <f>VLOOKUP(A82,'SSP_March''19'!$A$3:$X$1193,22,0)</f>
        <v>1</v>
      </c>
      <c r="W82" s="34">
        <f>VLOOKUP(A82,'SSP_March''19'!$A$3:$X$1193,23,0)</f>
        <v>0</v>
      </c>
      <c r="X82" s="34">
        <f>VLOOKUP(A82,'SSP_March''19'!$A$3:$X$1193,24,0)</f>
        <v>0</v>
      </c>
    </row>
    <row r="83" spans="1:24">
      <c r="A83" s="34" t="s">
        <v>794</v>
      </c>
      <c r="B83" s="34" t="s">
        <v>795</v>
      </c>
      <c r="C83" s="34" t="s">
        <v>183</v>
      </c>
      <c r="D83" s="34" t="s">
        <v>181</v>
      </c>
      <c r="E83" s="34" t="s">
        <v>9</v>
      </c>
      <c r="F83" s="34" t="s">
        <v>796</v>
      </c>
      <c r="G83" s="54">
        <v>1757834897</v>
      </c>
      <c r="H83" s="54" t="s">
        <v>229</v>
      </c>
      <c r="I83" s="54" t="s">
        <v>3514</v>
      </c>
      <c r="J83" s="34" t="s">
        <v>3421</v>
      </c>
      <c r="K83" s="43">
        <f>VLOOKUP(A83,'SSP_March''19'!$A$3:$L$1193,11,0)</f>
        <v>130000</v>
      </c>
      <c r="L83" s="43">
        <f>VLOOKUP(A83,'SSP_March''19'!$A$3:$L$1193,12,0)</f>
        <v>39590</v>
      </c>
      <c r="M83" s="44">
        <f t="shared" si="9"/>
        <v>0.30453846153846154</v>
      </c>
      <c r="N83" s="49">
        <f>ROUND(VLOOKUP(A83,'SSP_March''19'!$A$3:$N$1193,14,0),0)</f>
        <v>122729</v>
      </c>
      <c r="O83" s="44">
        <f t="shared" si="10"/>
        <v>0.94406923076923077</v>
      </c>
      <c r="P83" s="45">
        <f>VLOOKUP(A83,'SSP_March''19'!$A$3:$Q$1193,16,0)</f>
        <v>10</v>
      </c>
      <c r="Q83" s="34">
        <f>VLOOKUP(A83,'SSP_March''19'!$A$3:$Q$1193,17,0)</f>
        <v>3</v>
      </c>
      <c r="R83" s="35">
        <f t="shared" si="11"/>
        <v>0.3</v>
      </c>
      <c r="S83" s="49">
        <f>ROUND(VLOOKUP(A83,'SSP_March''19'!$A$3:$T$1193,19,0),0)</f>
        <v>9</v>
      </c>
      <c r="T83" s="44">
        <f>VLOOKUP(A83,'SSP_March''19'!$A$3:$T$1193,20,0)</f>
        <v>0.9</v>
      </c>
      <c r="U83" s="34">
        <f>VLOOKUP(A83,'SSP_March''19'!$A$3:$X$1193,21,0)</f>
        <v>2</v>
      </c>
      <c r="V83" s="34">
        <f>VLOOKUP(A83,'SSP_March''19'!$A$3:$X$1193,22,0)</f>
        <v>2</v>
      </c>
      <c r="W83" s="34">
        <f>VLOOKUP(A83,'SSP_March''19'!$A$3:$X$1193,23,0)</f>
        <v>0</v>
      </c>
      <c r="X83" s="34">
        <f>VLOOKUP(A83,'SSP_March''19'!$A$3:$X$1193,24,0)</f>
        <v>0</v>
      </c>
    </row>
    <row r="84" spans="1:24">
      <c r="A84" s="34" t="s">
        <v>692</v>
      </c>
      <c r="B84" s="34" t="s">
        <v>217</v>
      </c>
      <c r="C84" s="34" t="s">
        <v>183</v>
      </c>
      <c r="D84" s="34" t="s">
        <v>181</v>
      </c>
      <c r="E84" s="34" t="s">
        <v>9</v>
      </c>
      <c r="F84" s="34" t="s">
        <v>693</v>
      </c>
      <c r="G84" s="54">
        <v>1786811941</v>
      </c>
      <c r="H84" s="54" t="s">
        <v>229</v>
      </c>
      <c r="I84" s="54" t="s">
        <v>3518</v>
      </c>
      <c r="J84" s="34" t="s">
        <v>3419</v>
      </c>
      <c r="K84" s="43">
        <f>VLOOKUP(A84,'SSP_March''19'!$A$3:$L$1193,11,0)</f>
        <v>383604</v>
      </c>
      <c r="L84" s="43">
        <f>VLOOKUP(A84,'SSP_March''19'!$A$3:$L$1193,12,0)</f>
        <v>95505</v>
      </c>
      <c r="M84" s="44">
        <f t="shared" si="9"/>
        <v>0.24896768542559514</v>
      </c>
      <c r="N84" s="49">
        <f>ROUND(VLOOKUP(A84,'SSP_March''19'!$A$3:$N$1193,14,0),0)</f>
        <v>296066</v>
      </c>
      <c r="O84" s="44">
        <f t="shared" si="10"/>
        <v>0.77180112824683789</v>
      </c>
      <c r="P84" s="45">
        <f>VLOOKUP(A84,'SSP_March''19'!$A$3:$Q$1193,16,0)</f>
        <v>23</v>
      </c>
      <c r="Q84" s="34">
        <f>VLOOKUP(A84,'SSP_March''19'!$A$3:$Q$1193,17,0)</f>
        <v>3</v>
      </c>
      <c r="R84" s="35">
        <f t="shared" si="11"/>
        <v>0.13043478260869565</v>
      </c>
      <c r="S84" s="49">
        <f>ROUND(VLOOKUP(A84,'SSP_March''19'!$A$3:$T$1193,19,0),0)</f>
        <v>9</v>
      </c>
      <c r="T84" s="44">
        <f>VLOOKUP(A84,'SSP_March''19'!$A$3:$T$1193,20,0)</f>
        <v>0.39130434782608697</v>
      </c>
      <c r="U84" s="34">
        <f>VLOOKUP(A84,'SSP_March''19'!$A$3:$X$1193,21,0)</f>
        <v>4</v>
      </c>
      <c r="V84" s="34">
        <f>VLOOKUP(A84,'SSP_March''19'!$A$3:$X$1193,22,0)</f>
        <v>1</v>
      </c>
      <c r="W84" s="34">
        <f>VLOOKUP(A84,'SSP_March''19'!$A$3:$X$1193,23,0)</f>
        <v>0</v>
      </c>
      <c r="X84" s="34">
        <f>VLOOKUP(A84,'SSP_March''19'!$A$3:$X$1193,24,0)</f>
        <v>0</v>
      </c>
    </row>
    <row r="85" spans="1:24">
      <c r="A85" s="34" t="s">
        <v>3187</v>
      </c>
      <c r="B85" s="34" t="s">
        <v>82</v>
      </c>
      <c r="C85" s="34" t="s">
        <v>183</v>
      </c>
      <c r="D85" s="34" t="s">
        <v>181</v>
      </c>
      <c r="E85" s="34" t="s">
        <v>9</v>
      </c>
      <c r="F85" s="34" t="s">
        <v>2833</v>
      </c>
      <c r="G85" s="54">
        <v>1772025916</v>
      </c>
      <c r="H85" s="54" t="s">
        <v>229</v>
      </c>
      <c r="I85" s="54" t="s">
        <v>3514</v>
      </c>
      <c r="J85" s="34" t="s">
        <v>3421</v>
      </c>
      <c r="K85" s="43">
        <f>VLOOKUP(A85,'SSP_March''19'!$A$3:$L$1193,11,0)</f>
        <v>150000</v>
      </c>
      <c r="L85" s="43">
        <f>VLOOKUP(A85,'SSP_March''19'!$A$3:$L$1193,12,0)</f>
        <v>56535</v>
      </c>
      <c r="M85" s="44">
        <f t="shared" ref="M85:M87" si="12">L85/K85</f>
        <v>0.37690000000000001</v>
      </c>
      <c r="N85" s="49">
        <f>ROUND(VLOOKUP(A85,'SSP_March''19'!$A$3:$N$1193,14,0),0)</f>
        <v>175259</v>
      </c>
      <c r="O85" s="44">
        <f t="shared" ref="O85:O87" si="13">N85/K85</f>
        <v>1.1683933333333334</v>
      </c>
      <c r="P85" s="45">
        <f>VLOOKUP(A85,'SSP_March''19'!$A$3:$Q$1193,16,0)</f>
        <v>10</v>
      </c>
      <c r="Q85" s="34">
        <f>VLOOKUP(A85,'SSP_March''19'!$A$3:$Q$1193,17,0)</f>
        <v>2</v>
      </c>
      <c r="R85" s="35">
        <f t="shared" ref="R85:R87" si="14">Q85/P85</f>
        <v>0.2</v>
      </c>
      <c r="S85" s="49">
        <f>ROUND(VLOOKUP(A85,'SSP_March''19'!$A$3:$T$1193,19,0),0)</f>
        <v>6</v>
      </c>
      <c r="T85" s="44">
        <f>VLOOKUP(A85,'SSP_March''19'!$A$3:$T$1193,20,0)</f>
        <v>0.6</v>
      </c>
      <c r="U85" s="34">
        <f>VLOOKUP(A85,'SSP_March''19'!$A$3:$X$1193,21,0)</f>
        <v>2</v>
      </c>
      <c r="V85" s="34">
        <f>VLOOKUP(A85,'SSP_March''19'!$A$3:$X$1193,22,0)</f>
        <v>1</v>
      </c>
      <c r="W85" s="34">
        <f>VLOOKUP(A85,'SSP_March''19'!$A$3:$X$1193,23,0)</f>
        <v>0</v>
      </c>
      <c r="X85" s="34">
        <f>VLOOKUP(A85,'SSP_March''19'!$A$3:$X$1193,24,0)</f>
        <v>0</v>
      </c>
    </row>
    <row r="86" spans="1:24">
      <c r="A86" s="34" t="s">
        <v>3406</v>
      </c>
      <c r="B86" s="34" t="s">
        <v>3407</v>
      </c>
      <c r="C86" s="34" t="s">
        <v>183</v>
      </c>
      <c r="D86" s="34" t="s">
        <v>181</v>
      </c>
      <c r="E86" s="34" t="s">
        <v>9</v>
      </c>
      <c r="F86" s="34" t="s">
        <v>3405</v>
      </c>
      <c r="G86" s="54">
        <v>1740569777</v>
      </c>
      <c r="H86" s="54" t="s">
        <v>229</v>
      </c>
      <c r="I86" s="54" t="s">
        <v>3514</v>
      </c>
      <c r="J86" s="34" t="s">
        <v>3421</v>
      </c>
      <c r="K86" s="43">
        <f>VLOOKUP(A86,'SSP_March''19'!$A$3:$L$1193,11,0)</f>
        <v>130000</v>
      </c>
      <c r="L86" s="43">
        <f>VLOOKUP(A86,'SSP_March''19'!$A$3:$L$1193,12,0)</f>
        <v>32090</v>
      </c>
      <c r="M86" s="44">
        <f t="shared" si="12"/>
        <v>0.24684615384615385</v>
      </c>
      <c r="N86" s="49">
        <f>ROUND(VLOOKUP(A86,'SSP_March''19'!$A$3:$N$1193,14,0),0)</f>
        <v>99479</v>
      </c>
      <c r="O86" s="44">
        <f t="shared" si="13"/>
        <v>0.76522307692307689</v>
      </c>
      <c r="P86" s="45">
        <f>VLOOKUP(A86,'SSP_March''19'!$A$3:$Q$1193,16,0)</f>
        <v>10</v>
      </c>
      <c r="Q86" s="34">
        <f>VLOOKUP(A86,'SSP_March''19'!$A$3:$Q$1193,17,0)</f>
        <v>0</v>
      </c>
      <c r="R86" s="35">
        <f t="shared" si="14"/>
        <v>0</v>
      </c>
      <c r="S86" s="49">
        <f>ROUND(VLOOKUP(A86,'SSP_March''19'!$A$3:$T$1193,19,0),0)</f>
        <v>0</v>
      </c>
      <c r="T86" s="44">
        <f>VLOOKUP(A86,'SSP_March''19'!$A$3:$T$1193,20,0)</f>
        <v>0</v>
      </c>
      <c r="U86" s="34">
        <f>VLOOKUP(A86,'SSP_March''19'!$A$3:$X$1193,21,0)</f>
        <v>3</v>
      </c>
      <c r="V86" s="34">
        <f>VLOOKUP(A86,'SSP_March''19'!$A$3:$X$1193,22,0)</f>
        <v>0</v>
      </c>
      <c r="W86" s="34">
        <f>VLOOKUP(A86,'SSP_March''19'!$A$3:$X$1193,23,0)</f>
        <v>0</v>
      </c>
      <c r="X86" s="34">
        <f>VLOOKUP(A86,'SSP_March''19'!$A$3:$X$1193,24,0)</f>
        <v>0</v>
      </c>
    </row>
    <row r="87" spans="1:24">
      <c r="A87" s="34" t="s">
        <v>729</v>
      </c>
      <c r="B87" s="34" t="s">
        <v>730</v>
      </c>
      <c r="C87" s="34" t="s">
        <v>183</v>
      </c>
      <c r="D87" s="34" t="s">
        <v>181</v>
      </c>
      <c r="E87" s="34" t="s">
        <v>9</v>
      </c>
      <c r="F87" s="34" t="s">
        <v>731</v>
      </c>
      <c r="G87" s="54">
        <v>1791938924</v>
      </c>
      <c r="H87" s="54" t="s">
        <v>229</v>
      </c>
      <c r="I87" s="54" t="s">
        <v>3514</v>
      </c>
      <c r="J87" s="34" t="s">
        <v>3421</v>
      </c>
      <c r="K87" s="43">
        <f>VLOOKUP(A87,'SSP_March''19'!$A$3:$L$1193,11,0)</f>
        <v>130000</v>
      </c>
      <c r="L87" s="43">
        <f>VLOOKUP(A87,'SSP_March''19'!$A$3:$L$1193,12,0)</f>
        <v>37740</v>
      </c>
      <c r="M87" s="44">
        <f t="shared" si="12"/>
        <v>0.29030769230769232</v>
      </c>
      <c r="N87" s="49">
        <f>ROUND(VLOOKUP(A87,'SSP_March''19'!$A$3:$N$1193,14,0),0)</f>
        <v>116994</v>
      </c>
      <c r="O87" s="44">
        <f t="shared" si="13"/>
        <v>0.8999538461538461</v>
      </c>
      <c r="P87" s="45">
        <f>VLOOKUP(A87,'SSP_March''19'!$A$3:$Q$1193,16,0)</f>
        <v>10</v>
      </c>
      <c r="Q87" s="34">
        <f>VLOOKUP(A87,'SSP_March''19'!$A$3:$Q$1193,17,0)</f>
        <v>2</v>
      </c>
      <c r="R87" s="35">
        <f t="shared" si="14"/>
        <v>0.2</v>
      </c>
      <c r="S87" s="49">
        <f>ROUND(VLOOKUP(A87,'SSP_March''19'!$A$3:$T$1193,19,0),0)</f>
        <v>6</v>
      </c>
      <c r="T87" s="44">
        <f>VLOOKUP(A87,'SSP_March''19'!$A$3:$T$1193,20,0)</f>
        <v>0.6</v>
      </c>
      <c r="U87" s="34">
        <f>VLOOKUP(A87,'SSP_March''19'!$A$3:$X$1193,21,0)</f>
        <v>1</v>
      </c>
      <c r="V87" s="34">
        <f>VLOOKUP(A87,'SSP_March''19'!$A$3:$X$1193,22,0)</f>
        <v>1</v>
      </c>
      <c r="W87" s="34">
        <f>VLOOKUP(A87,'SSP_March''19'!$A$3:$X$1193,23,0)</f>
        <v>0</v>
      </c>
      <c r="X87" s="34">
        <f>VLOOKUP(A87,'SSP_March''19'!$A$3:$X$1193,24,0)</f>
        <v>0</v>
      </c>
    </row>
  </sheetData>
  <conditionalFormatting sqref="A274:A1048576">
    <cfRule type="duplicateValues" dxfId="6" priority="32"/>
  </conditionalFormatting>
  <conditionalFormatting sqref="A2">
    <cfRule type="duplicateValues" dxfId="5" priority="30"/>
  </conditionalFormatting>
  <conditionalFormatting sqref="A2">
    <cfRule type="duplicateValues" dxfId="4" priority="28"/>
    <cfRule type="duplicateValues" priority="29"/>
  </conditionalFormatting>
  <conditionalFormatting sqref="A2">
    <cfRule type="duplicateValues" dxfId="3" priority="27"/>
  </conditionalFormatting>
  <conditionalFormatting sqref="A2">
    <cfRule type="duplicateValues" dxfId="2" priority="31"/>
  </conditionalFormatting>
  <conditionalFormatting sqref="A2">
    <cfRule type="duplicateValues" dxfId="1" priority="26"/>
  </conditionalFormatting>
  <conditionalFormatting sqref="A3:A87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Interface</vt:lpstr>
      <vt:lpstr>CurrentUser</vt:lpstr>
      <vt:lpstr>Summary!Print_Area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Tahsinul Islam</dc:creator>
  <cp:lastModifiedBy>Prokas Kumar Datta</cp:lastModifiedBy>
  <cp:lastPrinted>2019-02-24T06:02:31Z</cp:lastPrinted>
  <dcterms:created xsi:type="dcterms:W3CDTF">2017-08-07T05:52:54Z</dcterms:created>
  <dcterms:modified xsi:type="dcterms:W3CDTF">2019-03-11T04:53:17Z</dcterms:modified>
</cp:coreProperties>
</file>