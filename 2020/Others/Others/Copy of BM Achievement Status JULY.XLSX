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ld Laptop Data\D Drive\ALL_Report\2020\Daily Report\BM Achievement Status\JULY'20\bm29\"/>
    </mc:Choice>
  </mc:AlternateContent>
  <bookViews>
    <workbookView xWindow="0" yWindow="0" windowWidth="20490" windowHeight="7755" tabRatio="728"/>
  </bookViews>
  <sheets>
    <sheet name="HOME" sheetId="13" r:id="rId1"/>
    <sheet name="Dealer Wise" sheetId="5" r:id="rId2"/>
    <sheet name="Sheet2" sheetId="12" state="hidden" r:id="rId3"/>
    <sheet name="Region Wise" sheetId="6" r:id="rId4"/>
    <sheet name="Zone Wise" sheetId="7" r:id="rId5"/>
    <sheet name="DSR" sheetId="11" r:id="rId6"/>
    <sheet name="JAN+FEB+MAR+MAY+JUNE" sheetId="16" state="hidden" r:id="rId7"/>
    <sheet name="JAN+FEB+MAY+JUNE " sheetId="18" state="hidden" r:id="rId8"/>
    <sheet name="Sheet1" sheetId="10" state="hidden" r:id="rId9"/>
  </sheets>
  <definedNames>
    <definedName name="_xlnm._FilterDatabase" localSheetId="1" hidden="1">'Dealer Wise'!$A$3:$Q$125</definedName>
    <definedName name="_xlnm._FilterDatabase" localSheetId="5" hidden="1">DSR!$A$5:$P$536</definedName>
    <definedName name="_xlnm._FilterDatabase" localSheetId="6" hidden="1">'JAN+FEB+MAR+MAY+JUNE'!$A$4:$AD$4</definedName>
    <definedName name="_xlnm._FilterDatabase" localSheetId="7" hidden="1">'JAN+FEB+MAY+JUNE '!$A$4:$Z$128</definedName>
    <definedName name="_xlnm._FilterDatabase" localSheetId="8" hidden="1">Sheet1!$A$1:$D$1</definedName>
    <definedName name="_xlnm._FilterDatabase" localSheetId="4" hidden="1">'Zone Wise'!$B$3:$P$45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6" i="11" l="1"/>
  <c r="L536" i="11" s="1"/>
  <c r="K536" i="11"/>
  <c r="M536" i="11" s="1"/>
  <c r="N536" i="11" l="1"/>
  <c r="E125" i="5"/>
  <c r="Q2" i="5" l="1"/>
  <c r="U6" i="18" l="1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U122" i="18"/>
  <c r="U123" i="18"/>
  <c r="U124" i="18"/>
  <c r="U125" i="18"/>
  <c r="U126" i="18"/>
  <c r="U127" i="18"/>
  <c r="V51" i="18"/>
  <c r="V106" i="18"/>
  <c r="W106" i="18" s="1"/>
  <c r="W51" i="18"/>
  <c r="X51" i="18"/>
  <c r="X106" i="18"/>
  <c r="F125" i="5" l="1"/>
  <c r="R109" i="18"/>
  <c r="V109" i="18" s="1"/>
  <c r="R114" i="18"/>
  <c r="R52" i="18"/>
  <c r="V52" i="18" s="1"/>
  <c r="R27" i="18"/>
  <c r="R36" i="18"/>
  <c r="R5" i="18"/>
  <c r="V5" i="18" s="1"/>
  <c r="R33" i="18"/>
  <c r="R31" i="18"/>
  <c r="V31" i="18" s="1"/>
  <c r="R9" i="18"/>
  <c r="R22" i="18"/>
  <c r="V22" i="18" s="1"/>
  <c r="W22" i="18" s="1"/>
  <c r="R23" i="18"/>
  <c r="V23" i="18" s="1"/>
  <c r="W23" i="18" s="1"/>
  <c r="R25" i="18"/>
  <c r="R7" i="18"/>
  <c r="V7" i="18" s="1"/>
  <c r="W7" i="18" s="1"/>
  <c r="R44" i="18"/>
  <c r="R124" i="18"/>
  <c r="V124" i="18" s="1"/>
  <c r="R126" i="18"/>
  <c r="R105" i="18"/>
  <c r="R86" i="18"/>
  <c r="V86" i="18" s="1"/>
  <c r="R81" i="18"/>
  <c r="V81" i="18" s="1"/>
  <c r="R84" i="18"/>
  <c r="V84" i="18" s="1"/>
  <c r="R96" i="18"/>
  <c r="R91" i="18"/>
  <c r="V91" i="18" s="1"/>
  <c r="R100" i="18"/>
  <c r="R48" i="18"/>
  <c r="V48" i="18" s="1"/>
  <c r="R69" i="18"/>
  <c r="V69" i="18" s="1"/>
  <c r="R71" i="18"/>
  <c r="V71" i="18" s="1"/>
  <c r="R70" i="18"/>
  <c r="V70" i="18" s="1"/>
  <c r="R46" i="18"/>
  <c r="V46" i="18" s="1"/>
  <c r="R72" i="18"/>
  <c r="V72" i="18" s="1"/>
  <c r="R127" i="18"/>
  <c r="U5" i="18"/>
  <c r="Q128" i="18"/>
  <c r="N128" i="18"/>
  <c r="M128" i="18"/>
  <c r="J128" i="18"/>
  <c r="I128" i="18"/>
  <c r="F128" i="18"/>
  <c r="E128" i="18"/>
  <c r="O127" i="18"/>
  <c r="P127" i="18" s="1"/>
  <c r="K127" i="18"/>
  <c r="L127" i="18" s="1"/>
  <c r="G127" i="18"/>
  <c r="H127" i="18" s="1"/>
  <c r="O126" i="18"/>
  <c r="P126" i="18" s="1"/>
  <c r="K126" i="18"/>
  <c r="L126" i="18" s="1"/>
  <c r="G126" i="18"/>
  <c r="H126" i="18" s="1"/>
  <c r="R125" i="18"/>
  <c r="V125" i="18" s="1"/>
  <c r="O125" i="18"/>
  <c r="P125" i="18" s="1"/>
  <c r="K125" i="18"/>
  <c r="L125" i="18" s="1"/>
  <c r="G125" i="18"/>
  <c r="H125" i="18" s="1"/>
  <c r="O124" i="18"/>
  <c r="P124" i="18" s="1"/>
  <c r="K124" i="18"/>
  <c r="L124" i="18" s="1"/>
  <c r="G124" i="18"/>
  <c r="H124" i="18" s="1"/>
  <c r="R123" i="18"/>
  <c r="O123" i="18"/>
  <c r="P123" i="18" s="1"/>
  <c r="K123" i="18"/>
  <c r="L123" i="18" s="1"/>
  <c r="G123" i="18"/>
  <c r="H123" i="18" s="1"/>
  <c r="R122" i="18"/>
  <c r="O122" i="18"/>
  <c r="P122" i="18" s="1"/>
  <c r="K122" i="18"/>
  <c r="L122" i="18" s="1"/>
  <c r="G122" i="18"/>
  <c r="H122" i="18" s="1"/>
  <c r="R121" i="18"/>
  <c r="O121" i="18"/>
  <c r="P121" i="18" s="1"/>
  <c r="K121" i="18"/>
  <c r="L121" i="18" s="1"/>
  <c r="G121" i="18"/>
  <c r="H121" i="18" s="1"/>
  <c r="R120" i="18"/>
  <c r="V120" i="18" s="1"/>
  <c r="O120" i="18"/>
  <c r="P120" i="18" s="1"/>
  <c r="K120" i="18"/>
  <c r="L120" i="18" s="1"/>
  <c r="G120" i="18"/>
  <c r="H120" i="18" s="1"/>
  <c r="R119" i="18"/>
  <c r="O119" i="18"/>
  <c r="P119" i="18" s="1"/>
  <c r="K119" i="18"/>
  <c r="L119" i="18" s="1"/>
  <c r="G119" i="18"/>
  <c r="H119" i="18" s="1"/>
  <c r="O118" i="18"/>
  <c r="P118" i="18" s="1"/>
  <c r="K118" i="18"/>
  <c r="L118" i="18" s="1"/>
  <c r="G118" i="18"/>
  <c r="H118" i="18" s="1"/>
  <c r="O117" i="18"/>
  <c r="P117" i="18" s="1"/>
  <c r="K117" i="18"/>
  <c r="L117" i="18" s="1"/>
  <c r="G117" i="18"/>
  <c r="H117" i="18" s="1"/>
  <c r="R116" i="18"/>
  <c r="V116" i="18" s="1"/>
  <c r="O116" i="18"/>
  <c r="P116" i="18" s="1"/>
  <c r="K116" i="18"/>
  <c r="L116" i="18" s="1"/>
  <c r="G116" i="18"/>
  <c r="H116" i="18" s="1"/>
  <c r="R115" i="18"/>
  <c r="O115" i="18"/>
  <c r="P115" i="18" s="1"/>
  <c r="K115" i="18"/>
  <c r="L115" i="18" s="1"/>
  <c r="G115" i="18"/>
  <c r="H115" i="18" s="1"/>
  <c r="O114" i="18"/>
  <c r="P114" i="18" s="1"/>
  <c r="K114" i="18"/>
  <c r="L114" i="18" s="1"/>
  <c r="G114" i="18"/>
  <c r="H114" i="18" s="1"/>
  <c r="R113" i="18"/>
  <c r="V113" i="18" s="1"/>
  <c r="O113" i="18"/>
  <c r="P113" i="18" s="1"/>
  <c r="K113" i="18"/>
  <c r="L113" i="18" s="1"/>
  <c r="G113" i="18"/>
  <c r="H113" i="18" s="1"/>
  <c r="R112" i="18"/>
  <c r="V112" i="18" s="1"/>
  <c r="O112" i="18"/>
  <c r="P112" i="18" s="1"/>
  <c r="K112" i="18"/>
  <c r="L112" i="18" s="1"/>
  <c r="G112" i="18"/>
  <c r="H112" i="18" s="1"/>
  <c r="O111" i="18"/>
  <c r="P111" i="18" s="1"/>
  <c r="K111" i="18"/>
  <c r="L111" i="18" s="1"/>
  <c r="G111" i="18"/>
  <c r="H111" i="18" s="1"/>
  <c r="R110" i="18"/>
  <c r="O110" i="18"/>
  <c r="P110" i="18" s="1"/>
  <c r="K110" i="18"/>
  <c r="L110" i="18" s="1"/>
  <c r="G110" i="18"/>
  <c r="H110" i="18" s="1"/>
  <c r="O109" i="18"/>
  <c r="P109" i="18" s="1"/>
  <c r="K109" i="18"/>
  <c r="L109" i="18" s="1"/>
  <c r="G109" i="18"/>
  <c r="H109" i="18" s="1"/>
  <c r="R108" i="18"/>
  <c r="O108" i="18"/>
  <c r="P108" i="18" s="1"/>
  <c r="K108" i="18"/>
  <c r="L108" i="18" s="1"/>
  <c r="G108" i="18"/>
  <c r="H108" i="18" s="1"/>
  <c r="R107" i="18"/>
  <c r="V107" i="18" s="1"/>
  <c r="O107" i="18"/>
  <c r="P107" i="18" s="1"/>
  <c r="K107" i="18"/>
  <c r="L107" i="18" s="1"/>
  <c r="G107" i="18"/>
  <c r="H107" i="18" s="1"/>
  <c r="S106" i="18"/>
  <c r="T106" i="18" s="1"/>
  <c r="O106" i="18"/>
  <c r="P106" i="18" s="1"/>
  <c r="K106" i="18"/>
  <c r="L106" i="18" s="1"/>
  <c r="G106" i="18"/>
  <c r="H106" i="18" s="1"/>
  <c r="O105" i="18"/>
  <c r="P105" i="18" s="1"/>
  <c r="K105" i="18"/>
  <c r="L105" i="18" s="1"/>
  <c r="G105" i="18"/>
  <c r="H105" i="18" s="1"/>
  <c r="R104" i="18"/>
  <c r="O104" i="18"/>
  <c r="P104" i="18" s="1"/>
  <c r="K104" i="18"/>
  <c r="L104" i="18" s="1"/>
  <c r="G104" i="18"/>
  <c r="H104" i="18" s="1"/>
  <c r="O103" i="18"/>
  <c r="P103" i="18" s="1"/>
  <c r="K103" i="18"/>
  <c r="L103" i="18" s="1"/>
  <c r="G103" i="18"/>
  <c r="H103" i="18" s="1"/>
  <c r="O102" i="18"/>
  <c r="P102" i="18" s="1"/>
  <c r="K102" i="18"/>
  <c r="L102" i="18" s="1"/>
  <c r="G102" i="18"/>
  <c r="H102" i="18" s="1"/>
  <c r="R101" i="18"/>
  <c r="O101" i="18"/>
  <c r="P101" i="18" s="1"/>
  <c r="K101" i="18"/>
  <c r="L101" i="18" s="1"/>
  <c r="G101" i="18"/>
  <c r="H101" i="18" s="1"/>
  <c r="O100" i="18"/>
  <c r="P100" i="18" s="1"/>
  <c r="K100" i="18"/>
  <c r="L100" i="18" s="1"/>
  <c r="G100" i="18"/>
  <c r="H100" i="18" s="1"/>
  <c r="R99" i="18"/>
  <c r="O99" i="18"/>
  <c r="P99" i="18" s="1"/>
  <c r="K99" i="18"/>
  <c r="L99" i="18" s="1"/>
  <c r="G99" i="18"/>
  <c r="H99" i="18" s="1"/>
  <c r="R98" i="18"/>
  <c r="O98" i="18"/>
  <c r="P98" i="18" s="1"/>
  <c r="K98" i="18"/>
  <c r="L98" i="18" s="1"/>
  <c r="G98" i="18"/>
  <c r="H98" i="18" s="1"/>
  <c r="O97" i="18"/>
  <c r="P97" i="18" s="1"/>
  <c r="K97" i="18"/>
  <c r="L97" i="18" s="1"/>
  <c r="G97" i="18"/>
  <c r="H97" i="18" s="1"/>
  <c r="O96" i="18"/>
  <c r="P96" i="18" s="1"/>
  <c r="K96" i="18"/>
  <c r="L96" i="18" s="1"/>
  <c r="G96" i="18"/>
  <c r="H96" i="18" s="1"/>
  <c r="R95" i="18"/>
  <c r="O95" i="18"/>
  <c r="P95" i="18" s="1"/>
  <c r="K95" i="18"/>
  <c r="L95" i="18" s="1"/>
  <c r="G95" i="18"/>
  <c r="H95" i="18" s="1"/>
  <c r="R94" i="18"/>
  <c r="V94" i="18" s="1"/>
  <c r="O94" i="18"/>
  <c r="P94" i="18" s="1"/>
  <c r="K94" i="18"/>
  <c r="L94" i="18" s="1"/>
  <c r="G94" i="18"/>
  <c r="H94" i="18" s="1"/>
  <c r="R93" i="18"/>
  <c r="V93" i="18" s="1"/>
  <c r="O93" i="18"/>
  <c r="P93" i="18" s="1"/>
  <c r="K93" i="18"/>
  <c r="L93" i="18" s="1"/>
  <c r="G93" i="18"/>
  <c r="H93" i="18" s="1"/>
  <c r="O92" i="18"/>
  <c r="P92" i="18" s="1"/>
  <c r="K92" i="18"/>
  <c r="L92" i="18" s="1"/>
  <c r="G92" i="18"/>
  <c r="H92" i="18" s="1"/>
  <c r="O91" i="18"/>
  <c r="P91" i="18" s="1"/>
  <c r="K91" i="18"/>
  <c r="L91" i="18" s="1"/>
  <c r="G91" i="18"/>
  <c r="H91" i="18" s="1"/>
  <c r="R90" i="18"/>
  <c r="V90" i="18" s="1"/>
  <c r="O90" i="18"/>
  <c r="P90" i="18" s="1"/>
  <c r="K90" i="18"/>
  <c r="L90" i="18" s="1"/>
  <c r="G90" i="18"/>
  <c r="H90" i="18" s="1"/>
  <c r="R89" i="18"/>
  <c r="V89" i="18" s="1"/>
  <c r="O89" i="18"/>
  <c r="P89" i="18" s="1"/>
  <c r="K89" i="18"/>
  <c r="L89" i="18" s="1"/>
  <c r="G89" i="18"/>
  <c r="H89" i="18" s="1"/>
  <c r="R88" i="18"/>
  <c r="V88" i="18" s="1"/>
  <c r="O88" i="18"/>
  <c r="P88" i="18" s="1"/>
  <c r="K88" i="18"/>
  <c r="L88" i="18" s="1"/>
  <c r="G88" i="18"/>
  <c r="H88" i="18" s="1"/>
  <c r="O87" i="18"/>
  <c r="P87" i="18" s="1"/>
  <c r="K87" i="18"/>
  <c r="L87" i="18" s="1"/>
  <c r="G87" i="18"/>
  <c r="H87" i="18" s="1"/>
  <c r="O86" i="18"/>
  <c r="P86" i="18" s="1"/>
  <c r="K86" i="18"/>
  <c r="L86" i="18" s="1"/>
  <c r="G86" i="18"/>
  <c r="H86" i="18" s="1"/>
  <c r="R85" i="18"/>
  <c r="V85" i="18" s="1"/>
  <c r="O85" i="18"/>
  <c r="P85" i="18" s="1"/>
  <c r="K85" i="18"/>
  <c r="L85" i="18" s="1"/>
  <c r="G85" i="18"/>
  <c r="H85" i="18" s="1"/>
  <c r="O84" i="18"/>
  <c r="P84" i="18" s="1"/>
  <c r="K84" i="18"/>
  <c r="L84" i="18" s="1"/>
  <c r="G84" i="18"/>
  <c r="H84" i="18" s="1"/>
  <c r="R83" i="18"/>
  <c r="V83" i="18" s="1"/>
  <c r="O83" i="18"/>
  <c r="P83" i="18" s="1"/>
  <c r="K83" i="18"/>
  <c r="L83" i="18" s="1"/>
  <c r="G83" i="18"/>
  <c r="H83" i="18" s="1"/>
  <c r="O82" i="18"/>
  <c r="P82" i="18" s="1"/>
  <c r="K82" i="18"/>
  <c r="L82" i="18" s="1"/>
  <c r="G82" i="18"/>
  <c r="H82" i="18" s="1"/>
  <c r="O81" i="18"/>
  <c r="P81" i="18" s="1"/>
  <c r="K81" i="18"/>
  <c r="L81" i="18" s="1"/>
  <c r="G81" i="18"/>
  <c r="H81" i="18" s="1"/>
  <c r="R80" i="18"/>
  <c r="V80" i="18" s="1"/>
  <c r="O80" i="18"/>
  <c r="P80" i="18" s="1"/>
  <c r="K80" i="18"/>
  <c r="L80" i="18" s="1"/>
  <c r="G80" i="18"/>
  <c r="H80" i="18" s="1"/>
  <c r="O79" i="18"/>
  <c r="P79" i="18" s="1"/>
  <c r="K79" i="18"/>
  <c r="L79" i="18" s="1"/>
  <c r="G79" i="18"/>
  <c r="H79" i="18" s="1"/>
  <c r="R78" i="18"/>
  <c r="V78" i="18" s="1"/>
  <c r="O78" i="18"/>
  <c r="P78" i="18" s="1"/>
  <c r="K78" i="18"/>
  <c r="L78" i="18" s="1"/>
  <c r="G78" i="18"/>
  <c r="H78" i="18" s="1"/>
  <c r="R77" i="18"/>
  <c r="V77" i="18" s="1"/>
  <c r="O77" i="18"/>
  <c r="P77" i="18" s="1"/>
  <c r="K77" i="18"/>
  <c r="L77" i="18" s="1"/>
  <c r="G77" i="18"/>
  <c r="H77" i="18" s="1"/>
  <c r="R76" i="18"/>
  <c r="V76" i="18" s="1"/>
  <c r="O76" i="18"/>
  <c r="P76" i="18" s="1"/>
  <c r="K76" i="18"/>
  <c r="L76" i="18" s="1"/>
  <c r="G76" i="18"/>
  <c r="H76" i="18" s="1"/>
  <c r="R75" i="18"/>
  <c r="V75" i="18" s="1"/>
  <c r="O75" i="18"/>
  <c r="P75" i="18" s="1"/>
  <c r="K75" i="18"/>
  <c r="L75" i="18" s="1"/>
  <c r="G75" i="18"/>
  <c r="H75" i="18" s="1"/>
  <c r="O74" i="18"/>
  <c r="P74" i="18" s="1"/>
  <c r="K74" i="18"/>
  <c r="L74" i="18" s="1"/>
  <c r="G74" i="18"/>
  <c r="H74" i="18" s="1"/>
  <c r="R73" i="18"/>
  <c r="V73" i="18" s="1"/>
  <c r="O73" i="18"/>
  <c r="P73" i="18" s="1"/>
  <c r="K73" i="18"/>
  <c r="L73" i="18" s="1"/>
  <c r="G73" i="18"/>
  <c r="H73" i="18" s="1"/>
  <c r="O72" i="18"/>
  <c r="P72" i="18" s="1"/>
  <c r="K72" i="18"/>
  <c r="L72" i="18" s="1"/>
  <c r="G72" i="18"/>
  <c r="H72" i="18" s="1"/>
  <c r="O71" i="18"/>
  <c r="P71" i="18" s="1"/>
  <c r="K71" i="18"/>
  <c r="L71" i="18" s="1"/>
  <c r="G71" i="18"/>
  <c r="H71" i="18" s="1"/>
  <c r="O70" i="18"/>
  <c r="P70" i="18" s="1"/>
  <c r="K70" i="18"/>
  <c r="L70" i="18" s="1"/>
  <c r="G70" i="18"/>
  <c r="H70" i="18" s="1"/>
  <c r="O69" i="18"/>
  <c r="P69" i="18" s="1"/>
  <c r="K69" i="18"/>
  <c r="L69" i="18" s="1"/>
  <c r="G69" i="18"/>
  <c r="H69" i="18" s="1"/>
  <c r="O68" i="18"/>
  <c r="P68" i="18" s="1"/>
  <c r="K68" i="18"/>
  <c r="L68" i="18" s="1"/>
  <c r="G68" i="18"/>
  <c r="H68" i="18" s="1"/>
  <c r="R67" i="18"/>
  <c r="V67" i="18" s="1"/>
  <c r="O67" i="18"/>
  <c r="P67" i="18" s="1"/>
  <c r="K67" i="18"/>
  <c r="L67" i="18" s="1"/>
  <c r="G67" i="18"/>
  <c r="H67" i="18" s="1"/>
  <c r="O66" i="18"/>
  <c r="P66" i="18" s="1"/>
  <c r="K66" i="18"/>
  <c r="L66" i="18" s="1"/>
  <c r="G66" i="18"/>
  <c r="H66" i="18" s="1"/>
  <c r="O65" i="18"/>
  <c r="P65" i="18" s="1"/>
  <c r="K65" i="18"/>
  <c r="L65" i="18" s="1"/>
  <c r="G65" i="18"/>
  <c r="H65" i="18" s="1"/>
  <c r="R64" i="18"/>
  <c r="V64" i="18" s="1"/>
  <c r="O64" i="18"/>
  <c r="P64" i="18" s="1"/>
  <c r="K64" i="18"/>
  <c r="L64" i="18" s="1"/>
  <c r="G64" i="18"/>
  <c r="H64" i="18" s="1"/>
  <c r="R63" i="18"/>
  <c r="V63" i="18" s="1"/>
  <c r="O63" i="18"/>
  <c r="P63" i="18" s="1"/>
  <c r="K63" i="18"/>
  <c r="L63" i="18" s="1"/>
  <c r="G63" i="18"/>
  <c r="H63" i="18" s="1"/>
  <c r="R62" i="18"/>
  <c r="V62" i="18" s="1"/>
  <c r="O62" i="18"/>
  <c r="P62" i="18" s="1"/>
  <c r="K62" i="18"/>
  <c r="L62" i="18" s="1"/>
  <c r="G62" i="18"/>
  <c r="H62" i="18" s="1"/>
  <c r="R61" i="18"/>
  <c r="V61" i="18" s="1"/>
  <c r="O61" i="18"/>
  <c r="P61" i="18" s="1"/>
  <c r="K61" i="18"/>
  <c r="L61" i="18" s="1"/>
  <c r="G61" i="18"/>
  <c r="H61" i="18" s="1"/>
  <c r="R60" i="18"/>
  <c r="V60" i="18" s="1"/>
  <c r="O60" i="18"/>
  <c r="P60" i="18" s="1"/>
  <c r="K60" i="18"/>
  <c r="L60" i="18" s="1"/>
  <c r="G60" i="18"/>
  <c r="H60" i="18" s="1"/>
  <c r="R59" i="18"/>
  <c r="V59" i="18" s="1"/>
  <c r="O59" i="18"/>
  <c r="P59" i="18" s="1"/>
  <c r="K59" i="18"/>
  <c r="L59" i="18" s="1"/>
  <c r="G59" i="18"/>
  <c r="H59" i="18" s="1"/>
  <c r="R58" i="18"/>
  <c r="V58" i="18" s="1"/>
  <c r="O58" i="18"/>
  <c r="P58" i="18" s="1"/>
  <c r="K58" i="18"/>
  <c r="L58" i="18" s="1"/>
  <c r="G58" i="18"/>
  <c r="H58" i="18" s="1"/>
  <c r="R57" i="18"/>
  <c r="V57" i="18" s="1"/>
  <c r="O57" i="18"/>
  <c r="P57" i="18" s="1"/>
  <c r="K57" i="18"/>
  <c r="L57" i="18" s="1"/>
  <c r="G57" i="18"/>
  <c r="H57" i="18" s="1"/>
  <c r="R56" i="18"/>
  <c r="V56" i="18" s="1"/>
  <c r="O56" i="18"/>
  <c r="P56" i="18" s="1"/>
  <c r="K56" i="18"/>
  <c r="L56" i="18" s="1"/>
  <c r="G56" i="18"/>
  <c r="H56" i="18" s="1"/>
  <c r="R55" i="18"/>
  <c r="V55" i="18" s="1"/>
  <c r="O55" i="18"/>
  <c r="P55" i="18" s="1"/>
  <c r="K55" i="18"/>
  <c r="L55" i="18" s="1"/>
  <c r="G55" i="18"/>
  <c r="H55" i="18" s="1"/>
  <c r="R54" i="18"/>
  <c r="V54" i="18" s="1"/>
  <c r="O54" i="18"/>
  <c r="P54" i="18" s="1"/>
  <c r="K54" i="18"/>
  <c r="L54" i="18" s="1"/>
  <c r="G54" i="18"/>
  <c r="H54" i="18" s="1"/>
  <c r="O53" i="18"/>
  <c r="P53" i="18" s="1"/>
  <c r="K53" i="18"/>
  <c r="L53" i="18" s="1"/>
  <c r="G53" i="18"/>
  <c r="H53" i="18" s="1"/>
  <c r="O52" i="18"/>
  <c r="P52" i="18" s="1"/>
  <c r="K52" i="18"/>
  <c r="L52" i="18" s="1"/>
  <c r="G52" i="18"/>
  <c r="H52" i="18" s="1"/>
  <c r="S51" i="18"/>
  <c r="T51" i="18" s="1"/>
  <c r="O51" i="18"/>
  <c r="P51" i="18" s="1"/>
  <c r="K51" i="18"/>
  <c r="L51" i="18" s="1"/>
  <c r="G51" i="18"/>
  <c r="H51" i="18" s="1"/>
  <c r="R50" i="18"/>
  <c r="V50" i="18" s="1"/>
  <c r="O50" i="18"/>
  <c r="P50" i="18" s="1"/>
  <c r="K50" i="18"/>
  <c r="L50" i="18" s="1"/>
  <c r="G50" i="18"/>
  <c r="H50" i="18" s="1"/>
  <c r="R49" i="18"/>
  <c r="O49" i="18"/>
  <c r="P49" i="18" s="1"/>
  <c r="K49" i="18"/>
  <c r="L49" i="18" s="1"/>
  <c r="G49" i="18"/>
  <c r="H49" i="18" s="1"/>
  <c r="O48" i="18"/>
  <c r="P48" i="18" s="1"/>
  <c r="K48" i="18"/>
  <c r="L48" i="18" s="1"/>
  <c r="G48" i="18"/>
  <c r="H48" i="18" s="1"/>
  <c r="R47" i="18"/>
  <c r="V47" i="18" s="1"/>
  <c r="O47" i="18"/>
  <c r="P47" i="18" s="1"/>
  <c r="K47" i="18"/>
  <c r="L47" i="18" s="1"/>
  <c r="G47" i="18"/>
  <c r="H47" i="18" s="1"/>
  <c r="O46" i="18"/>
  <c r="P46" i="18" s="1"/>
  <c r="K46" i="18"/>
  <c r="L46" i="18" s="1"/>
  <c r="G46" i="18"/>
  <c r="H46" i="18" s="1"/>
  <c r="O45" i="18"/>
  <c r="P45" i="18" s="1"/>
  <c r="K45" i="18"/>
  <c r="L45" i="18" s="1"/>
  <c r="G45" i="18"/>
  <c r="H45" i="18" s="1"/>
  <c r="O44" i="18"/>
  <c r="P44" i="18" s="1"/>
  <c r="K44" i="18"/>
  <c r="L44" i="18" s="1"/>
  <c r="G44" i="18"/>
  <c r="H44" i="18" s="1"/>
  <c r="R43" i="18"/>
  <c r="V43" i="18" s="1"/>
  <c r="O43" i="18"/>
  <c r="P43" i="18" s="1"/>
  <c r="K43" i="18"/>
  <c r="L43" i="18" s="1"/>
  <c r="G43" i="18"/>
  <c r="H43" i="18" s="1"/>
  <c r="R42" i="18"/>
  <c r="V42" i="18" s="1"/>
  <c r="O42" i="18"/>
  <c r="P42" i="18" s="1"/>
  <c r="K42" i="18"/>
  <c r="L42" i="18" s="1"/>
  <c r="G42" i="18"/>
  <c r="H42" i="18" s="1"/>
  <c r="R41" i="18"/>
  <c r="O41" i="18"/>
  <c r="P41" i="18" s="1"/>
  <c r="K41" i="18"/>
  <c r="L41" i="18" s="1"/>
  <c r="G41" i="18"/>
  <c r="H41" i="18" s="1"/>
  <c r="R40" i="18"/>
  <c r="O40" i="18"/>
  <c r="P40" i="18" s="1"/>
  <c r="K40" i="18"/>
  <c r="L40" i="18" s="1"/>
  <c r="G40" i="18"/>
  <c r="H40" i="18" s="1"/>
  <c r="R39" i="18"/>
  <c r="V39" i="18" s="1"/>
  <c r="O39" i="18"/>
  <c r="P39" i="18" s="1"/>
  <c r="K39" i="18"/>
  <c r="L39" i="18" s="1"/>
  <c r="G39" i="18"/>
  <c r="H39" i="18" s="1"/>
  <c r="O38" i="18"/>
  <c r="P38" i="18" s="1"/>
  <c r="K38" i="18"/>
  <c r="L38" i="18" s="1"/>
  <c r="G38" i="18"/>
  <c r="H38" i="18" s="1"/>
  <c r="O37" i="18"/>
  <c r="P37" i="18" s="1"/>
  <c r="K37" i="18"/>
  <c r="L37" i="18" s="1"/>
  <c r="G37" i="18"/>
  <c r="H37" i="18" s="1"/>
  <c r="O36" i="18"/>
  <c r="P36" i="18" s="1"/>
  <c r="K36" i="18"/>
  <c r="L36" i="18" s="1"/>
  <c r="G36" i="18"/>
  <c r="H36" i="18" s="1"/>
  <c r="O35" i="18"/>
  <c r="P35" i="18" s="1"/>
  <c r="K35" i="18"/>
  <c r="L35" i="18" s="1"/>
  <c r="G35" i="18"/>
  <c r="H35" i="18" s="1"/>
  <c r="R34" i="18"/>
  <c r="V34" i="18" s="1"/>
  <c r="O34" i="18"/>
  <c r="P34" i="18" s="1"/>
  <c r="K34" i="18"/>
  <c r="L34" i="18" s="1"/>
  <c r="G34" i="18"/>
  <c r="H34" i="18" s="1"/>
  <c r="O33" i="18"/>
  <c r="P33" i="18" s="1"/>
  <c r="K33" i="18"/>
  <c r="L33" i="18" s="1"/>
  <c r="G33" i="18"/>
  <c r="H33" i="18" s="1"/>
  <c r="R32" i="18"/>
  <c r="O32" i="18"/>
  <c r="P32" i="18" s="1"/>
  <c r="K32" i="18"/>
  <c r="L32" i="18" s="1"/>
  <c r="G32" i="18"/>
  <c r="H32" i="18" s="1"/>
  <c r="O31" i="18"/>
  <c r="P31" i="18" s="1"/>
  <c r="K31" i="18"/>
  <c r="L31" i="18" s="1"/>
  <c r="G31" i="18"/>
  <c r="H31" i="18" s="1"/>
  <c r="O30" i="18"/>
  <c r="P30" i="18" s="1"/>
  <c r="K30" i="18"/>
  <c r="L30" i="18" s="1"/>
  <c r="G30" i="18"/>
  <c r="H30" i="18" s="1"/>
  <c r="R29" i="18"/>
  <c r="O29" i="18"/>
  <c r="P29" i="18" s="1"/>
  <c r="K29" i="18"/>
  <c r="L29" i="18" s="1"/>
  <c r="G29" i="18"/>
  <c r="H29" i="18" s="1"/>
  <c r="O28" i="18"/>
  <c r="P28" i="18" s="1"/>
  <c r="K28" i="18"/>
  <c r="L28" i="18" s="1"/>
  <c r="G28" i="18"/>
  <c r="H28" i="18" s="1"/>
  <c r="O27" i="18"/>
  <c r="P27" i="18" s="1"/>
  <c r="K27" i="18"/>
  <c r="L27" i="18" s="1"/>
  <c r="G27" i="18"/>
  <c r="H27" i="18" s="1"/>
  <c r="O26" i="18"/>
  <c r="P26" i="18" s="1"/>
  <c r="K26" i="18"/>
  <c r="L26" i="18" s="1"/>
  <c r="G26" i="18"/>
  <c r="H26" i="18" s="1"/>
  <c r="O25" i="18"/>
  <c r="P25" i="18" s="1"/>
  <c r="K25" i="18"/>
  <c r="L25" i="18" s="1"/>
  <c r="G25" i="18"/>
  <c r="H25" i="18" s="1"/>
  <c r="R24" i="18"/>
  <c r="O24" i="18"/>
  <c r="P24" i="18" s="1"/>
  <c r="K24" i="18"/>
  <c r="L24" i="18" s="1"/>
  <c r="G24" i="18"/>
  <c r="H24" i="18" s="1"/>
  <c r="O23" i="18"/>
  <c r="P23" i="18" s="1"/>
  <c r="K23" i="18"/>
  <c r="L23" i="18" s="1"/>
  <c r="G23" i="18"/>
  <c r="H23" i="18" s="1"/>
  <c r="O22" i="18"/>
  <c r="P22" i="18" s="1"/>
  <c r="K22" i="18"/>
  <c r="L22" i="18" s="1"/>
  <c r="G22" i="18"/>
  <c r="H22" i="18" s="1"/>
  <c r="R21" i="18"/>
  <c r="V21" i="18" s="1"/>
  <c r="W21" i="18" s="1"/>
  <c r="O21" i="18"/>
  <c r="P21" i="18" s="1"/>
  <c r="K21" i="18"/>
  <c r="L21" i="18" s="1"/>
  <c r="G21" i="18"/>
  <c r="H21" i="18" s="1"/>
  <c r="R20" i="18"/>
  <c r="O20" i="18"/>
  <c r="P20" i="18" s="1"/>
  <c r="K20" i="18"/>
  <c r="L20" i="18" s="1"/>
  <c r="G20" i="18"/>
  <c r="H20" i="18" s="1"/>
  <c r="R19" i="18"/>
  <c r="V19" i="18" s="1"/>
  <c r="W19" i="18" s="1"/>
  <c r="O19" i="18"/>
  <c r="P19" i="18" s="1"/>
  <c r="K19" i="18"/>
  <c r="L19" i="18" s="1"/>
  <c r="G19" i="18"/>
  <c r="H19" i="18" s="1"/>
  <c r="O18" i="18"/>
  <c r="P18" i="18" s="1"/>
  <c r="K18" i="18"/>
  <c r="L18" i="18" s="1"/>
  <c r="G18" i="18"/>
  <c r="H18" i="18" s="1"/>
  <c r="R17" i="18"/>
  <c r="O17" i="18"/>
  <c r="P17" i="18" s="1"/>
  <c r="K17" i="18"/>
  <c r="L17" i="18" s="1"/>
  <c r="G17" i="18"/>
  <c r="H17" i="18" s="1"/>
  <c r="R16" i="18"/>
  <c r="O16" i="18"/>
  <c r="P16" i="18" s="1"/>
  <c r="K16" i="18"/>
  <c r="L16" i="18" s="1"/>
  <c r="G16" i="18"/>
  <c r="H16" i="18" s="1"/>
  <c r="R15" i="18"/>
  <c r="V15" i="18" s="1"/>
  <c r="W15" i="18" s="1"/>
  <c r="O15" i="18"/>
  <c r="P15" i="18" s="1"/>
  <c r="K15" i="18"/>
  <c r="L15" i="18" s="1"/>
  <c r="G15" i="18"/>
  <c r="H15" i="18" s="1"/>
  <c r="R14" i="18"/>
  <c r="V14" i="18" s="1"/>
  <c r="W14" i="18" s="1"/>
  <c r="O14" i="18"/>
  <c r="P14" i="18" s="1"/>
  <c r="K14" i="18"/>
  <c r="L14" i="18" s="1"/>
  <c r="G14" i="18"/>
  <c r="H14" i="18" s="1"/>
  <c r="R13" i="18"/>
  <c r="O13" i="18"/>
  <c r="P13" i="18" s="1"/>
  <c r="K13" i="18"/>
  <c r="L13" i="18" s="1"/>
  <c r="G13" i="18"/>
  <c r="H13" i="18" s="1"/>
  <c r="R12" i="18"/>
  <c r="O12" i="18"/>
  <c r="P12" i="18" s="1"/>
  <c r="K12" i="18"/>
  <c r="L12" i="18" s="1"/>
  <c r="G12" i="18"/>
  <c r="H12" i="18" s="1"/>
  <c r="R11" i="18"/>
  <c r="V11" i="18" s="1"/>
  <c r="W11" i="18" s="1"/>
  <c r="O11" i="18"/>
  <c r="P11" i="18" s="1"/>
  <c r="K11" i="18"/>
  <c r="L11" i="18" s="1"/>
  <c r="G11" i="18"/>
  <c r="H11" i="18" s="1"/>
  <c r="R10" i="18"/>
  <c r="V10" i="18" s="1"/>
  <c r="W10" i="18" s="1"/>
  <c r="O10" i="18"/>
  <c r="P10" i="18" s="1"/>
  <c r="K10" i="18"/>
  <c r="L10" i="18" s="1"/>
  <c r="G10" i="18"/>
  <c r="H10" i="18" s="1"/>
  <c r="O9" i="18"/>
  <c r="P9" i="18" s="1"/>
  <c r="K9" i="18"/>
  <c r="L9" i="18" s="1"/>
  <c r="G9" i="18"/>
  <c r="H9" i="18" s="1"/>
  <c r="R8" i="18"/>
  <c r="O8" i="18"/>
  <c r="P8" i="18" s="1"/>
  <c r="K8" i="18"/>
  <c r="L8" i="18" s="1"/>
  <c r="G8" i="18"/>
  <c r="H8" i="18" s="1"/>
  <c r="O7" i="18"/>
  <c r="P7" i="18" s="1"/>
  <c r="K7" i="18"/>
  <c r="L7" i="18" s="1"/>
  <c r="G7" i="18"/>
  <c r="H7" i="18" s="1"/>
  <c r="R6" i="18"/>
  <c r="V6" i="18" s="1"/>
  <c r="W6" i="18" s="1"/>
  <c r="O6" i="18"/>
  <c r="P6" i="18" s="1"/>
  <c r="K6" i="18"/>
  <c r="L6" i="18" s="1"/>
  <c r="G6" i="18"/>
  <c r="H6" i="18" s="1"/>
  <c r="O5" i="18"/>
  <c r="P5" i="18" s="1"/>
  <c r="K5" i="18"/>
  <c r="L5" i="18" s="1"/>
  <c r="G5" i="18"/>
  <c r="H5" i="18" s="1"/>
  <c r="Y2" i="18"/>
  <c r="X7" i="18" l="1"/>
  <c r="Y7" i="18" s="1"/>
  <c r="X5" i="18"/>
  <c r="S12" i="18"/>
  <c r="T12" i="18" s="1"/>
  <c r="V12" i="18"/>
  <c r="W12" i="18" s="1"/>
  <c r="S17" i="18"/>
  <c r="T17" i="18" s="1"/>
  <c r="V17" i="18"/>
  <c r="W17" i="18" s="1"/>
  <c r="W54" i="18"/>
  <c r="X54" i="18"/>
  <c r="X55" i="18"/>
  <c r="Y55" i="18" s="1"/>
  <c r="W55" i="18"/>
  <c r="X56" i="18"/>
  <c r="W56" i="18"/>
  <c r="W57" i="18"/>
  <c r="X57" i="18"/>
  <c r="Y57" i="18" s="1"/>
  <c r="W58" i="18"/>
  <c r="X58" i="18"/>
  <c r="Y58" i="18" s="1"/>
  <c r="W59" i="18"/>
  <c r="X59" i="18"/>
  <c r="Y59" i="18" s="1"/>
  <c r="W60" i="18"/>
  <c r="X60" i="18"/>
  <c r="X61" i="18"/>
  <c r="Y61" i="18" s="1"/>
  <c r="W61" i="18"/>
  <c r="W62" i="18"/>
  <c r="X62" i="18"/>
  <c r="Y62" i="18" s="1"/>
  <c r="W63" i="18"/>
  <c r="X63" i="18"/>
  <c r="Y63" i="18" s="1"/>
  <c r="X64" i="18"/>
  <c r="W64" i="18"/>
  <c r="W75" i="18"/>
  <c r="X75" i="18"/>
  <c r="W76" i="18"/>
  <c r="X76" i="18"/>
  <c r="W77" i="18"/>
  <c r="X77" i="18"/>
  <c r="W78" i="18"/>
  <c r="X78" i="18"/>
  <c r="W85" i="18"/>
  <c r="X85" i="18"/>
  <c r="X93" i="18"/>
  <c r="W93" i="18"/>
  <c r="W94" i="18"/>
  <c r="X94" i="18"/>
  <c r="S95" i="18"/>
  <c r="T95" i="18" s="1"/>
  <c r="V95" i="18"/>
  <c r="X112" i="18"/>
  <c r="W112" i="18"/>
  <c r="X113" i="18"/>
  <c r="W113" i="18"/>
  <c r="X125" i="18"/>
  <c r="W125" i="18"/>
  <c r="S127" i="18"/>
  <c r="T127" i="18" s="1"/>
  <c r="V127" i="18"/>
  <c r="X71" i="18"/>
  <c r="W71" i="18"/>
  <c r="W91" i="18"/>
  <c r="X91" i="18"/>
  <c r="W86" i="18"/>
  <c r="X86" i="18"/>
  <c r="S44" i="18"/>
  <c r="T44" i="18" s="1"/>
  <c r="V44" i="18"/>
  <c r="S114" i="18"/>
  <c r="T114" i="18" s="1"/>
  <c r="V114" i="18"/>
  <c r="S32" i="18"/>
  <c r="T32" i="18" s="1"/>
  <c r="V32" i="18"/>
  <c r="X80" i="18"/>
  <c r="W80" i="18"/>
  <c r="W70" i="18"/>
  <c r="X70" i="18"/>
  <c r="W124" i="18"/>
  <c r="X124" i="18"/>
  <c r="W52" i="18"/>
  <c r="X52" i="18"/>
  <c r="S8" i="18"/>
  <c r="T8" i="18" s="1"/>
  <c r="V8" i="18"/>
  <c r="W8" i="18" s="1"/>
  <c r="S29" i="18"/>
  <c r="T29" i="18" s="1"/>
  <c r="V29" i="18"/>
  <c r="W83" i="18"/>
  <c r="X83" i="18"/>
  <c r="S101" i="18"/>
  <c r="T101" i="18" s="1"/>
  <c r="V101" i="18"/>
  <c r="S110" i="18"/>
  <c r="T110" i="18" s="1"/>
  <c r="V110" i="18"/>
  <c r="S119" i="18"/>
  <c r="T119" i="18" s="1"/>
  <c r="V119" i="18"/>
  <c r="X120" i="18"/>
  <c r="W120" i="18"/>
  <c r="S121" i="18"/>
  <c r="T121" i="18" s="1"/>
  <c r="V121" i="18"/>
  <c r="S122" i="18"/>
  <c r="T122" i="18" s="1"/>
  <c r="V122" i="18"/>
  <c r="S123" i="18"/>
  <c r="T123" i="18" s="1"/>
  <c r="V123" i="18"/>
  <c r="X72" i="18"/>
  <c r="W72" i="18"/>
  <c r="X69" i="18"/>
  <c r="W69" i="18"/>
  <c r="S96" i="18"/>
  <c r="T96" i="18" s="1"/>
  <c r="V96" i="18"/>
  <c r="S105" i="18"/>
  <c r="T105" i="18" s="1"/>
  <c r="V105" i="18"/>
  <c r="S9" i="18"/>
  <c r="T9" i="18" s="1"/>
  <c r="V9" i="18"/>
  <c r="W9" i="18" s="1"/>
  <c r="S36" i="18"/>
  <c r="T36" i="18" s="1"/>
  <c r="V36" i="18"/>
  <c r="X109" i="18"/>
  <c r="W109" i="18"/>
  <c r="S20" i="18"/>
  <c r="T20" i="18" s="1"/>
  <c r="V20" i="18"/>
  <c r="W20" i="18" s="1"/>
  <c r="W47" i="18"/>
  <c r="X47" i="18"/>
  <c r="Y47" i="18" s="1"/>
  <c r="S104" i="18"/>
  <c r="T104" i="18" s="1"/>
  <c r="V104" i="18"/>
  <c r="S115" i="18"/>
  <c r="T115" i="18" s="1"/>
  <c r="V115" i="18"/>
  <c r="W116" i="18"/>
  <c r="X116" i="18"/>
  <c r="S100" i="18"/>
  <c r="T100" i="18" s="1"/>
  <c r="V100" i="18"/>
  <c r="X81" i="18"/>
  <c r="W81" i="18"/>
  <c r="S33" i="18"/>
  <c r="T33" i="18" s="1"/>
  <c r="V33" i="18"/>
  <c r="S13" i="18"/>
  <c r="T13" i="18" s="1"/>
  <c r="V13" i="18"/>
  <c r="W13" i="18" s="1"/>
  <c r="S16" i="18"/>
  <c r="T16" i="18" s="1"/>
  <c r="V16" i="18"/>
  <c r="W16" i="18" s="1"/>
  <c r="S24" i="18"/>
  <c r="T24" i="18" s="1"/>
  <c r="V24" i="18"/>
  <c r="W24" i="18" s="1"/>
  <c r="W73" i="18"/>
  <c r="X73" i="18"/>
  <c r="W34" i="18"/>
  <c r="X34" i="18"/>
  <c r="Y34" i="18" s="1"/>
  <c r="X39" i="18"/>
  <c r="Y39" i="18" s="1"/>
  <c r="W39" i="18"/>
  <c r="S40" i="18"/>
  <c r="T40" i="18" s="1"/>
  <c r="V40" i="18"/>
  <c r="S41" i="18"/>
  <c r="T41" i="18" s="1"/>
  <c r="V41" i="18"/>
  <c r="W42" i="18"/>
  <c r="X42" i="18"/>
  <c r="Y42" i="18" s="1"/>
  <c r="W43" i="18"/>
  <c r="X43" i="18"/>
  <c r="Y43" i="18" s="1"/>
  <c r="S49" i="18"/>
  <c r="T49" i="18" s="1"/>
  <c r="V49" i="18"/>
  <c r="W50" i="18"/>
  <c r="X50" i="18"/>
  <c r="W67" i="18"/>
  <c r="X67" i="18"/>
  <c r="Y67" i="18" s="1"/>
  <c r="X88" i="18"/>
  <c r="W88" i="18"/>
  <c r="W89" i="18"/>
  <c r="X89" i="18"/>
  <c r="W90" i="18"/>
  <c r="X90" i="18"/>
  <c r="S98" i="18"/>
  <c r="T98" i="18" s="1"/>
  <c r="V98" i="18"/>
  <c r="S99" i="18"/>
  <c r="T99" i="18" s="1"/>
  <c r="V99" i="18"/>
  <c r="X107" i="18"/>
  <c r="W107" i="18"/>
  <c r="S108" i="18"/>
  <c r="T108" i="18" s="1"/>
  <c r="V108" i="18"/>
  <c r="W46" i="18"/>
  <c r="X46" i="18"/>
  <c r="X48" i="18"/>
  <c r="Y48" i="18" s="1"/>
  <c r="W48" i="18"/>
  <c r="W84" i="18"/>
  <c r="X84" i="18"/>
  <c r="S126" i="18"/>
  <c r="T126" i="18" s="1"/>
  <c r="V126" i="18"/>
  <c r="S25" i="18"/>
  <c r="T25" i="18" s="1"/>
  <c r="V25" i="18"/>
  <c r="W31" i="18"/>
  <c r="X31" i="18"/>
  <c r="Y31" i="18" s="1"/>
  <c r="S27" i="18"/>
  <c r="T27" i="18" s="1"/>
  <c r="V27" i="18"/>
  <c r="X23" i="18"/>
  <c r="Y23" i="18" s="1"/>
  <c r="X22" i="18"/>
  <c r="Y22" i="18" s="1"/>
  <c r="X19" i="18"/>
  <c r="Y19" i="18" s="1"/>
  <c r="X15" i="18"/>
  <c r="Y15" i="18" s="1"/>
  <c r="X11" i="18"/>
  <c r="Y11" i="18" s="1"/>
  <c r="U128" i="18"/>
  <c r="X14" i="18"/>
  <c r="Y14" i="18" s="1"/>
  <c r="X10" i="18"/>
  <c r="Y10" i="18" s="1"/>
  <c r="X6" i="18"/>
  <c r="Y6" i="18" s="1"/>
  <c r="X21" i="18"/>
  <c r="Y21" i="18" s="1"/>
  <c r="Y51" i="18"/>
  <c r="Y5" i="18"/>
  <c r="S19" i="18"/>
  <c r="T19" i="18" s="1"/>
  <c r="S10" i="18"/>
  <c r="T10" i="18" s="1"/>
  <c r="S48" i="18"/>
  <c r="T48" i="18" s="1"/>
  <c r="S14" i="18"/>
  <c r="T14" i="18" s="1"/>
  <c r="S22" i="18"/>
  <c r="T22" i="18" s="1"/>
  <c r="S43" i="18"/>
  <c r="T43" i="18" s="1"/>
  <c r="W5" i="18"/>
  <c r="S47" i="18"/>
  <c r="T47" i="18" s="1"/>
  <c r="S52" i="18"/>
  <c r="T52" i="18" s="1"/>
  <c r="S54" i="18"/>
  <c r="T54" i="18" s="1"/>
  <c r="S55" i="18"/>
  <c r="T55" i="18" s="1"/>
  <c r="S56" i="18"/>
  <c r="T56" i="18" s="1"/>
  <c r="S57" i="18"/>
  <c r="T57" i="18" s="1"/>
  <c r="S58" i="18"/>
  <c r="T58" i="18" s="1"/>
  <c r="S59" i="18"/>
  <c r="T59" i="18" s="1"/>
  <c r="S60" i="18"/>
  <c r="T60" i="18" s="1"/>
  <c r="S61" i="18"/>
  <c r="T61" i="18" s="1"/>
  <c r="S62" i="18"/>
  <c r="T62" i="18" s="1"/>
  <c r="S63" i="18"/>
  <c r="T63" i="18" s="1"/>
  <c r="S64" i="18"/>
  <c r="T64" i="18" s="1"/>
  <c r="S67" i="18"/>
  <c r="T67" i="18" s="1"/>
  <c r="S34" i="18"/>
  <c r="T34" i="18" s="1"/>
  <c r="S42" i="18"/>
  <c r="T42" i="18" s="1"/>
  <c r="S7" i="18"/>
  <c r="T7" i="18" s="1"/>
  <c r="S6" i="18"/>
  <c r="T6" i="18" s="1"/>
  <c r="S11" i="18"/>
  <c r="T11" i="18" s="1"/>
  <c r="S15" i="18"/>
  <c r="T15" i="18" s="1"/>
  <c r="S23" i="18"/>
  <c r="T23" i="18" s="1"/>
  <c r="S31" i="18"/>
  <c r="T31" i="18" s="1"/>
  <c r="S39" i="18"/>
  <c r="T39" i="18" s="1"/>
  <c r="S46" i="18"/>
  <c r="T46" i="18" s="1"/>
  <c r="S81" i="18"/>
  <c r="T81" i="18" s="1"/>
  <c r="S71" i="18"/>
  <c r="T71" i="18" s="1"/>
  <c r="S112" i="18"/>
  <c r="T112" i="18" s="1"/>
  <c r="S5" i="18"/>
  <c r="T5" i="18" s="1"/>
  <c r="S69" i="18"/>
  <c r="T69" i="18" s="1"/>
  <c r="S77" i="18"/>
  <c r="T77" i="18" s="1"/>
  <c r="S85" i="18"/>
  <c r="T85" i="18" s="1"/>
  <c r="S93" i="18"/>
  <c r="T93" i="18" s="1"/>
  <c r="S73" i="18"/>
  <c r="T73" i="18" s="1"/>
  <c r="S89" i="18"/>
  <c r="T89" i="18" s="1"/>
  <c r="S50" i="18"/>
  <c r="T50" i="18" s="1"/>
  <c r="S75" i="18"/>
  <c r="T75" i="18" s="1"/>
  <c r="S83" i="18"/>
  <c r="T83" i="18" s="1"/>
  <c r="S91" i="18"/>
  <c r="T91" i="18" s="1"/>
  <c r="S107" i="18"/>
  <c r="T107" i="18" s="1"/>
  <c r="S21" i="18"/>
  <c r="T21" i="18" s="1"/>
  <c r="S70" i="18"/>
  <c r="T70" i="18" s="1"/>
  <c r="S72" i="18"/>
  <c r="T72" i="18" s="1"/>
  <c r="S76" i="18"/>
  <c r="T76" i="18" s="1"/>
  <c r="S78" i="18"/>
  <c r="T78" i="18" s="1"/>
  <c r="S80" i="18"/>
  <c r="T80" i="18" s="1"/>
  <c r="S84" i="18"/>
  <c r="T84" i="18" s="1"/>
  <c r="S86" i="18"/>
  <c r="T86" i="18" s="1"/>
  <c r="S88" i="18"/>
  <c r="T88" i="18" s="1"/>
  <c r="S90" i="18"/>
  <c r="T90" i="18" s="1"/>
  <c r="S94" i="18"/>
  <c r="T94" i="18" s="1"/>
  <c r="S109" i="18"/>
  <c r="T109" i="18" s="1"/>
  <c r="S125" i="18"/>
  <c r="T125" i="18" s="1"/>
  <c r="S113" i="18"/>
  <c r="T113" i="18" s="1"/>
  <c r="S124" i="18"/>
  <c r="T124" i="18" s="1"/>
  <c r="Y106" i="18"/>
  <c r="S120" i="18"/>
  <c r="T120" i="18" s="1"/>
  <c r="S116" i="18"/>
  <c r="T116" i="18" s="1"/>
  <c r="Z51" i="16"/>
  <c r="Z106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Y51" i="16"/>
  <c r="Y52" i="16"/>
  <c r="Y53" i="16"/>
  <c r="Y54" i="16"/>
  <c r="Y55" i="16"/>
  <c r="Y56" i="16"/>
  <c r="Y57" i="16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Y98" i="16"/>
  <c r="Y99" i="16"/>
  <c r="Y100" i="16"/>
  <c r="Y101" i="16"/>
  <c r="Y102" i="16"/>
  <c r="Y103" i="16"/>
  <c r="Y104" i="16"/>
  <c r="Y105" i="16"/>
  <c r="Y106" i="16"/>
  <c r="Y107" i="16"/>
  <c r="Y108" i="16"/>
  <c r="Y109" i="16"/>
  <c r="Y110" i="16"/>
  <c r="Y111" i="16"/>
  <c r="Y112" i="16"/>
  <c r="Y113" i="16"/>
  <c r="Y114" i="16"/>
  <c r="Y115" i="16"/>
  <c r="Y116" i="16"/>
  <c r="Y117" i="16"/>
  <c r="Y118" i="16"/>
  <c r="Y119" i="16"/>
  <c r="Y120" i="16"/>
  <c r="Y121" i="16"/>
  <c r="Y122" i="16"/>
  <c r="Y123" i="16"/>
  <c r="Y124" i="16"/>
  <c r="Y125" i="16"/>
  <c r="Y126" i="16"/>
  <c r="Y127" i="16"/>
  <c r="W51" i="16"/>
  <c r="X51" i="16" s="1"/>
  <c r="W106" i="16"/>
  <c r="X106" i="16" s="1"/>
  <c r="V113" i="16"/>
  <c r="W113" i="16" s="1"/>
  <c r="X113" i="16" s="1"/>
  <c r="V115" i="16"/>
  <c r="Z115" i="16" s="1"/>
  <c r="V114" i="16"/>
  <c r="W114" i="16" s="1"/>
  <c r="X114" i="16" s="1"/>
  <c r="V112" i="16"/>
  <c r="W112" i="16" s="1"/>
  <c r="X112" i="16" s="1"/>
  <c r="V111" i="16"/>
  <c r="W111" i="16" s="1"/>
  <c r="X111" i="16" s="1"/>
  <c r="V110" i="16"/>
  <c r="W110" i="16" s="1"/>
  <c r="X110" i="16" s="1"/>
  <c r="V108" i="16"/>
  <c r="W108" i="16" s="1"/>
  <c r="X108" i="16" s="1"/>
  <c r="V109" i="16"/>
  <c r="W109" i="16" s="1"/>
  <c r="X109" i="16" s="1"/>
  <c r="V126" i="16"/>
  <c r="W126" i="16" s="1"/>
  <c r="X126" i="16" s="1"/>
  <c r="V125" i="16"/>
  <c r="W125" i="16" s="1"/>
  <c r="X125" i="16" s="1"/>
  <c r="V124" i="16"/>
  <c r="W124" i="16" s="1"/>
  <c r="X124" i="16" s="1"/>
  <c r="V123" i="16"/>
  <c r="Z123" i="16" s="1"/>
  <c r="V122" i="16"/>
  <c r="W122" i="16" s="1"/>
  <c r="X122" i="16" s="1"/>
  <c r="V120" i="16"/>
  <c r="W120" i="16" s="1"/>
  <c r="X120" i="16" s="1"/>
  <c r="V119" i="16"/>
  <c r="Z119" i="16" s="1"/>
  <c r="V118" i="16"/>
  <c r="W118" i="16" s="1"/>
  <c r="X118" i="16" s="1"/>
  <c r="V103" i="16"/>
  <c r="W103" i="16" s="1"/>
  <c r="X103" i="16" s="1"/>
  <c r="V102" i="16"/>
  <c r="W102" i="16" s="1"/>
  <c r="X102" i="16" s="1"/>
  <c r="V101" i="16"/>
  <c r="W101" i="16" s="1"/>
  <c r="X101" i="16" s="1"/>
  <c r="V121" i="16"/>
  <c r="W121" i="16" s="1"/>
  <c r="X121" i="16" s="1"/>
  <c r="V117" i="16"/>
  <c r="W117" i="16" s="1"/>
  <c r="X117" i="16" s="1"/>
  <c r="V116" i="16"/>
  <c r="W116" i="16" s="1"/>
  <c r="X116" i="16" s="1"/>
  <c r="V107" i="16"/>
  <c r="W107" i="16" s="1"/>
  <c r="X107" i="16" s="1"/>
  <c r="V61" i="16"/>
  <c r="W61" i="16" s="1"/>
  <c r="X61" i="16" s="1"/>
  <c r="V60" i="16"/>
  <c r="W60" i="16" s="1"/>
  <c r="X60" i="16" s="1"/>
  <c r="V59" i="16"/>
  <c r="W59" i="16" s="1"/>
  <c r="X59" i="16" s="1"/>
  <c r="V58" i="16"/>
  <c r="W58" i="16" s="1"/>
  <c r="X58" i="16" s="1"/>
  <c r="V57" i="16"/>
  <c r="W57" i="16" s="1"/>
  <c r="X57" i="16" s="1"/>
  <c r="V56" i="16"/>
  <c r="W56" i="16" s="1"/>
  <c r="X56" i="16" s="1"/>
  <c r="V55" i="16"/>
  <c r="Z55" i="16" s="1"/>
  <c r="V54" i="16"/>
  <c r="W54" i="16" s="1"/>
  <c r="X54" i="16" s="1"/>
  <c r="V53" i="16"/>
  <c r="W53" i="16" s="1"/>
  <c r="X53" i="16" s="1"/>
  <c r="V52" i="16"/>
  <c r="W52" i="16" s="1"/>
  <c r="X52" i="16" s="1"/>
  <c r="V49" i="16"/>
  <c r="W49" i="16" s="1"/>
  <c r="X49" i="16" s="1"/>
  <c r="V127" i="16"/>
  <c r="W127" i="16" s="1"/>
  <c r="X127" i="16" s="1"/>
  <c r="V105" i="16"/>
  <c r="W105" i="16" s="1"/>
  <c r="X105" i="16" s="1"/>
  <c r="V104" i="16"/>
  <c r="W104" i="16" s="1"/>
  <c r="X104" i="16" s="1"/>
  <c r="V96" i="16"/>
  <c r="W96" i="16" s="1"/>
  <c r="X96" i="16" s="1"/>
  <c r="V88" i="16"/>
  <c r="W88" i="16" s="1"/>
  <c r="X88" i="16" s="1"/>
  <c r="V87" i="16"/>
  <c r="Z87" i="16" s="1"/>
  <c r="V86" i="16"/>
  <c r="W86" i="16" s="1"/>
  <c r="X86" i="16" s="1"/>
  <c r="V85" i="16"/>
  <c r="W85" i="16" s="1"/>
  <c r="X85" i="16" s="1"/>
  <c r="V50" i="16"/>
  <c r="W50" i="16" s="1"/>
  <c r="X50" i="16" s="1"/>
  <c r="V41" i="16"/>
  <c r="W41" i="16" s="1"/>
  <c r="X41" i="16" s="1"/>
  <c r="V40" i="16"/>
  <c r="W40" i="16" s="1"/>
  <c r="X40" i="16" s="1"/>
  <c r="V38" i="16"/>
  <c r="W38" i="16" s="1"/>
  <c r="X38" i="16" s="1"/>
  <c r="V36" i="16"/>
  <c r="W36" i="16" s="1"/>
  <c r="X36" i="16" s="1"/>
  <c r="V35" i="16"/>
  <c r="W35" i="16" s="1"/>
  <c r="X35" i="16" s="1"/>
  <c r="V32" i="16"/>
  <c r="W32" i="16" s="1"/>
  <c r="X32" i="16" s="1"/>
  <c r="V6" i="16"/>
  <c r="W6" i="16" s="1"/>
  <c r="X6" i="16" s="1"/>
  <c r="V7" i="16"/>
  <c r="W7" i="16" s="1"/>
  <c r="X7" i="16" s="1"/>
  <c r="V8" i="16"/>
  <c r="W8" i="16" s="1"/>
  <c r="X8" i="16" s="1"/>
  <c r="V9" i="16"/>
  <c r="W9" i="16" s="1"/>
  <c r="X9" i="16" s="1"/>
  <c r="V10" i="16"/>
  <c r="W10" i="16" s="1"/>
  <c r="X10" i="16" s="1"/>
  <c r="V11" i="16"/>
  <c r="Z11" i="16" s="1"/>
  <c r="V12" i="16"/>
  <c r="W12" i="16" s="1"/>
  <c r="X12" i="16" s="1"/>
  <c r="V13" i="16"/>
  <c r="W13" i="16" s="1"/>
  <c r="X13" i="16" s="1"/>
  <c r="V14" i="16"/>
  <c r="W14" i="16" s="1"/>
  <c r="X14" i="16" s="1"/>
  <c r="V15" i="16"/>
  <c r="W15" i="16" s="1"/>
  <c r="X15" i="16" s="1"/>
  <c r="V16" i="16"/>
  <c r="W16" i="16" s="1"/>
  <c r="X16" i="16" s="1"/>
  <c r="V17" i="16"/>
  <c r="W17" i="16" s="1"/>
  <c r="X17" i="16" s="1"/>
  <c r="V18" i="16"/>
  <c r="W18" i="16" s="1"/>
  <c r="X18" i="16" s="1"/>
  <c r="V19" i="16"/>
  <c r="W19" i="16" s="1"/>
  <c r="X19" i="16" s="1"/>
  <c r="V20" i="16"/>
  <c r="W20" i="16" s="1"/>
  <c r="X20" i="16" s="1"/>
  <c r="V21" i="16"/>
  <c r="W21" i="16" s="1"/>
  <c r="X21" i="16" s="1"/>
  <c r="V22" i="16"/>
  <c r="W22" i="16" s="1"/>
  <c r="X22" i="16" s="1"/>
  <c r="V23" i="16"/>
  <c r="W23" i="16" s="1"/>
  <c r="X23" i="16" s="1"/>
  <c r="V24" i="16"/>
  <c r="W24" i="16" s="1"/>
  <c r="X24" i="16" s="1"/>
  <c r="V25" i="16"/>
  <c r="W25" i="16" s="1"/>
  <c r="X25" i="16" s="1"/>
  <c r="V26" i="16"/>
  <c r="W26" i="16" s="1"/>
  <c r="X26" i="16" s="1"/>
  <c r="V27" i="16"/>
  <c r="Z27" i="16" s="1"/>
  <c r="V28" i="16"/>
  <c r="W28" i="16" s="1"/>
  <c r="X28" i="16" s="1"/>
  <c r="V29" i="16"/>
  <c r="W29" i="16" s="1"/>
  <c r="X29" i="16" s="1"/>
  <c r="V30" i="16"/>
  <c r="W30" i="16" s="1"/>
  <c r="X30" i="16" s="1"/>
  <c r="V31" i="16"/>
  <c r="W31" i="16" s="1"/>
  <c r="X31" i="16" s="1"/>
  <c r="V33" i="16"/>
  <c r="W33" i="16" s="1"/>
  <c r="X33" i="16" s="1"/>
  <c r="V34" i="16"/>
  <c r="W34" i="16" s="1"/>
  <c r="X34" i="16" s="1"/>
  <c r="V37" i="16"/>
  <c r="W37" i="16" s="1"/>
  <c r="X37" i="16" s="1"/>
  <c r="V39" i="16"/>
  <c r="W39" i="16" s="1"/>
  <c r="X39" i="16" s="1"/>
  <c r="V42" i="16"/>
  <c r="W42" i="16" s="1"/>
  <c r="X42" i="16" s="1"/>
  <c r="V43" i="16"/>
  <c r="W43" i="16" s="1"/>
  <c r="X43" i="16" s="1"/>
  <c r="V44" i="16"/>
  <c r="W44" i="16" s="1"/>
  <c r="X44" i="16" s="1"/>
  <c r="V45" i="16"/>
  <c r="W45" i="16" s="1"/>
  <c r="X45" i="16" s="1"/>
  <c r="V46" i="16"/>
  <c r="W46" i="16" s="1"/>
  <c r="X46" i="16" s="1"/>
  <c r="V47" i="16"/>
  <c r="W47" i="16" s="1"/>
  <c r="X47" i="16" s="1"/>
  <c r="V48" i="16"/>
  <c r="W48" i="16" s="1"/>
  <c r="X48" i="16" s="1"/>
  <c r="V62" i="16"/>
  <c r="W62" i="16" s="1"/>
  <c r="X62" i="16" s="1"/>
  <c r="V63" i="16"/>
  <c r="W63" i="16" s="1"/>
  <c r="X63" i="16" s="1"/>
  <c r="V64" i="16"/>
  <c r="W64" i="16" s="1"/>
  <c r="X64" i="16" s="1"/>
  <c r="V65" i="16"/>
  <c r="W65" i="16" s="1"/>
  <c r="X65" i="16" s="1"/>
  <c r="V66" i="16"/>
  <c r="W66" i="16" s="1"/>
  <c r="X66" i="16" s="1"/>
  <c r="V67" i="16"/>
  <c r="Z67" i="16" s="1"/>
  <c r="V68" i="16"/>
  <c r="W68" i="16" s="1"/>
  <c r="X68" i="16" s="1"/>
  <c r="V69" i="16"/>
  <c r="W69" i="16" s="1"/>
  <c r="X69" i="16" s="1"/>
  <c r="V70" i="16"/>
  <c r="W70" i="16" s="1"/>
  <c r="X70" i="16" s="1"/>
  <c r="V71" i="16"/>
  <c r="Z71" i="16" s="1"/>
  <c r="V72" i="16"/>
  <c r="W72" i="16" s="1"/>
  <c r="X72" i="16" s="1"/>
  <c r="V73" i="16"/>
  <c r="W73" i="16" s="1"/>
  <c r="X73" i="16" s="1"/>
  <c r="V74" i="16"/>
  <c r="W74" i="16" s="1"/>
  <c r="X74" i="16" s="1"/>
  <c r="V75" i="16"/>
  <c r="W75" i="16" s="1"/>
  <c r="X75" i="16" s="1"/>
  <c r="V76" i="16"/>
  <c r="W76" i="16" s="1"/>
  <c r="X76" i="16" s="1"/>
  <c r="V77" i="16"/>
  <c r="W77" i="16" s="1"/>
  <c r="X77" i="16" s="1"/>
  <c r="V78" i="16"/>
  <c r="W78" i="16" s="1"/>
  <c r="X78" i="16" s="1"/>
  <c r="V79" i="16"/>
  <c r="W79" i="16" s="1"/>
  <c r="X79" i="16" s="1"/>
  <c r="V80" i="16"/>
  <c r="W80" i="16" s="1"/>
  <c r="X80" i="16" s="1"/>
  <c r="V81" i="16"/>
  <c r="W81" i="16" s="1"/>
  <c r="X81" i="16" s="1"/>
  <c r="V82" i="16"/>
  <c r="W82" i="16" s="1"/>
  <c r="X82" i="16" s="1"/>
  <c r="V83" i="16"/>
  <c r="Z83" i="16" s="1"/>
  <c r="V84" i="16"/>
  <c r="W84" i="16" s="1"/>
  <c r="X84" i="16" s="1"/>
  <c r="V89" i="16"/>
  <c r="W89" i="16" s="1"/>
  <c r="X89" i="16" s="1"/>
  <c r="V90" i="16"/>
  <c r="W90" i="16" s="1"/>
  <c r="X90" i="16" s="1"/>
  <c r="V91" i="16"/>
  <c r="W91" i="16" s="1"/>
  <c r="X91" i="16" s="1"/>
  <c r="V92" i="16"/>
  <c r="W92" i="16" s="1"/>
  <c r="X92" i="16" s="1"/>
  <c r="V93" i="16"/>
  <c r="W93" i="16" s="1"/>
  <c r="X93" i="16" s="1"/>
  <c r="V94" i="16"/>
  <c r="W94" i="16" s="1"/>
  <c r="X94" i="16" s="1"/>
  <c r="V95" i="16"/>
  <c r="W95" i="16" s="1"/>
  <c r="X95" i="16" s="1"/>
  <c r="V97" i="16"/>
  <c r="W97" i="16" s="1"/>
  <c r="X97" i="16" s="1"/>
  <c r="V98" i="16"/>
  <c r="W98" i="16" s="1"/>
  <c r="X98" i="16" s="1"/>
  <c r="V99" i="16"/>
  <c r="Z99" i="16" s="1"/>
  <c r="V100" i="16"/>
  <c r="W100" i="16" s="1"/>
  <c r="X100" i="16" s="1"/>
  <c r="V5" i="16"/>
  <c r="W5" i="16" s="1"/>
  <c r="X5" i="16" s="1"/>
  <c r="U128" i="16"/>
  <c r="W126" i="18" l="1"/>
  <c r="X126" i="18"/>
  <c r="Y126" i="18" s="1"/>
  <c r="X41" i="18"/>
  <c r="Y41" i="18" s="1"/>
  <c r="W41" i="18"/>
  <c r="X33" i="18"/>
  <c r="Y33" i="18" s="1"/>
  <c r="W33" i="18"/>
  <c r="X96" i="18"/>
  <c r="Y96" i="18" s="1"/>
  <c r="W96" i="18"/>
  <c r="W122" i="18"/>
  <c r="X122" i="18"/>
  <c r="Y122" i="18" s="1"/>
  <c r="W110" i="18"/>
  <c r="X110" i="18"/>
  <c r="Y110" i="18" s="1"/>
  <c r="W114" i="18"/>
  <c r="X114" i="18"/>
  <c r="Y114" i="18" s="1"/>
  <c r="X99" i="18"/>
  <c r="Y99" i="18" s="1"/>
  <c r="W99" i="18"/>
  <c r="X115" i="18"/>
  <c r="Y115" i="18" s="1"/>
  <c r="W115" i="18"/>
  <c r="X27" i="18"/>
  <c r="Y27" i="18" s="1"/>
  <c r="W27" i="18"/>
  <c r="W25" i="18"/>
  <c r="X25" i="18"/>
  <c r="Y25" i="18" s="1"/>
  <c r="W98" i="18"/>
  <c r="X98" i="18"/>
  <c r="Y98" i="18" s="1"/>
  <c r="X49" i="18"/>
  <c r="Y49" i="18" s="1"/>
  <c r="W49" i="18"/>
  <c r="X40" i="18"/>
  <c r="Y40" i="18" s="1"/>
  <c r="W40" i="18"/>
  <c r="W104" i="18"/>
  <c r="X104" i="18"/>
  <c r="Y104" i="18" s="1"/>
  <c r="W36" i="18"/>
  <c r="X36" i="18"/>
  <c r="Y36" i="18" s="1"/>
  <c r="X105" i="18"/>
  <c r="Y105" i="18" s="1"/>
  <c r="W105" i="18"/>
  <c r="X123" i="18"/>
  <c r="Y123" i="18" s="1"/>
  <c r="W123" i="18"/>
  <c r="X121" i="18"/>
  <c r="Y121" i="18" s="1"/>
  <c r="W121" i="18"/>
  <c r="X119" i="18"/>
  <c r="Y119" i="18" s="1"/>
  <c r="W119" i="18"/>
  <c r="X101" i="18"/>
  <c r="Y101" i="18" s="1"/>
  <c r="W101" i="18"/>
  <c r="W29" i="18"/>
  <c r="X29" i="18"/>
  <c r="Y29" i="18" s="1"/>
  <c r="X32" i="18"/>
  <c r="Y32" i="18" s="1"/>
  <c r="W32" i="18"/>
  <c r="W44" i="18"/>
  <c r="X44" i="18"/>
  <c r="Y44" i="18" s="1"/>
  <c r="X127" i="18"/>
  <c r="Y127" i="18" s="1"/>
  <c r="W127" i="18"/>
  <c r="X95" i="18"/>
  <c r="Y95" i="18" s="1"/>
  <c r="W95" i="18"/>
  <c r="W108" i="18"/>
  <c r="X108" i="18"/>
  <c r="Y108" i="18" s="1"/>
  <c r="W100" i="18"/>
  <c r="X100" i="18"/>
  <c r="Y100" i="18" s="1"/>
  <c r="X20" i="18"/>
  <c r="Y20" i="18" s="1"/>
  <c r="X17" i="18"/>
  <c r="Y17" i="18" s="1"/>
  <c r="X8" i="18"/>
  <c r="Y8" i="18" s="1"/>
  <c r="X24" i="18"/>
  <c r="Y24" i="18" s="1"/>
  <c r="X12" i="18"/>
  <c r="Y12" i="18" s="1"/>
  <c r="X9" i="18"/>
  <c r="Y9" i="18" s="1"/>
  <c r="X16" i="18"/>
  <c r="Y16" i="18" s="1"/>
  <c r="X13" i="18"/>
  <c r="Y13" i="18" s="1"/>
  <c r="Y64" i="18"/>
  <c r="Y54" i="18"/>
  <c r="Y52" i="18"/>
  <c r="Y56" i="18"/>
  <c r="Y60" i="18"/>
  <c r="Z72" i="16"/>
  <c r="Z56" i="16"/>
  <c r="Z92" i="16"/>
  <c r="Z44" i="16"/>
  <c r="W123" i="16"/>
  <c r="X123" i="16" s="1"/>
  <c r="Z20" i="16"/>
  <c r="W115" i="16"/>
  <c r="X115" i="16" s="1"/>
  <c r="W55" i="16"/>
  <c r="X55" i="16" s="1"/>
  <c r="Z120" i="16"/>
  <c r="Z104" i="16"/>
  <c r="Z84" i="16"/>
  <c r="Z68" i="16"/>
  <c r="Z52" i="16"/>
  <c r="Z40" i="16"/>
  <c r="Z16" i="16"/>
  <c r="Z116" i="16"/>
  <c r="Z100" i="16"/>
  <c r="Z80" i="16"/>
  <c r="Z64" i="16"/>
  <c r="Z28" i="16"/>
  <c r="Z12" i="16"/>
  <c r="W71" i="16"/>
  <c r="X71" i="16" s="1"/>
  <c r="W87" i="16"/>
  <c r="X87" i="16" s="1"/>
  <c r="Z112" i="16"/>
  <c r="Z96" i="16"/>
  <c r="Z76" i="16"/>
  <c r="Z60" i="16"/>
  <c r="Z48" i="16"/>
  <c r="Z24" i="16"/>
  <c r="Z8" i="16"/>
  <c r="Z32" i="16"/>
  <c r="Z36" i="16"/>
  <c r="W119" i="16"/>
  <c r="X119" i="16" s="1"/>
  <c r="W99" i="16"/>
  <c r="X99" i="16" s="1"/>
  <c r="W83" i="16"/>
  <c r="X83" i="16" s="1"/>
  <c r="W67" i="16"/>
  <c r="X67" i="16" s="1"/>
  <c r="W27" i="16"/>
  <c r="X27" i="16" s="1"/>
  <c r="W11" i="16"/>
  <c r="X11" i="16" s="1"/>
  <c r="Z127" i="16"/>
  <c r="Z111" i="16"/>
  <c r="Z107" i="16"/>
  <c r="Z103" i="16"/>
  <c r="Z95" i="16"/>
  <c r="Z91" i="16"/>
  <c r="Z79" i="16"/>
  <c r="Z75" i="16"/>
  <c r="Z63" i="16"/>
  <c r="Z59" i="16"/>
  <c r="Z47" i="16"/>
  <c r="Z43" i="16"/>
  <c r="Z39" i="16"/>
  <c r="Z35" i="16"/>
  <c r="Z31" i="16"/>
  <c r="Z23" i="16"/>
  <c r="Z19" i="16"/>
  <c r="Z15" i="16"/>
  <c r="Z7" i="16"/>
  <c r="Z126" i="16"/>
  <c r="Z122" i="16"/>
  <c r="Z118" i="16"/>
  <c r="Z114" i="16"/>
  <c r="Z110" i="16"/>
  <c r="Z102" i="16"/>
  <c r="Z98" i="16"/>
  <c r="Z94" i="16"/>
  <c r="Z90" i="16"/>
  <c r="Z86" i="16"/>
  <c r="Z82" i="16"/>
  <c r="Z78" i="16"/>
  <c r="Z74" i="16"/>
  <c r="Z70" i="16"/>
  <c r="Z66" i="16"/>
  <c r="Z62" i="16"/>
  <c r="Z58" i="16"/>
  <c r="Z54" i="16"/>
  <c r="Z50" i="16"/>
  <c r="Z46" i="16"/>
  <c r="Z42" i="16"/>
  <c r="Z38" i="16"/>
  <c r="Z34" i="16"/>
  <c r="Z30" i="16"/>
  <c r="Z26" i="16"/>
  <c r="Z22" i="16"/>
  <c r="Z18" i="16"/>
  <c r="Z14" i="16"/>
  <c r="Z10" i="16"/>
  <c r="Z6" i="16"/>
  <c r="Z124" i="16"/>
  <c r="Z108" i="16"/>
  <c r="Z88" i="16"/>
  <c r="Z125" i="16"/>
  <c r="Z121" i="16"/>
  <c r="Z117" i="16"/>
  <c r="Z113" i="16"/>
  <c r="Z109" i="16"/>
  <c r="Z105" i="16"/>
  <c r="Z101" i="16"/>
  <c r="Z97" i="16"/>
  <c r="Z93" i="16"/>
  <c r="Z89" i="16"/>
  <c r="Z85" i="16"/>
  <c r="Z81" i="16"/>
  <c r="Z77" i="16"/>
  <c r="Z73" i="16"/>
  <c r="Z69" i="16"/>
  <c r="Z65" i="16"/>
  <c r="Z61" i="16"/>
  <c r="Z57" i="16"/>
  <c r="Z53" i="16"/>
  <c r="Z49" i="16"/>
  <c r="Z45" i="16"/>
  <c r="Z41" i="16"/>
  <c r="Z37" i="16"/>
  <c r="Z33" i="16"/>
  <c r="Z29" i="16"/>
  <c r="Z25" i="16"/>
  <c r="Z21" i="16"/>
  <c r="Z17" i="16"/>
  <c r="Z13" i="16"/>
  <c r="Z9" i="16"/>
  <c r="Y120" i="18"/>
  <c r="Y113" i="18"/>
  <c r="Y107" i="18"/>
  <c r="Y91" i="18"/>
  <c r="Y75" i="18"/>
  <c r="Y85" i="18"/>
  <c r="Y69" i="18"/>
  <c r="Y116" i="18"/>
  <c r="Y90" i="18"/>
  <c r="Y78" i="18"/>
  <c r="Y73" i="18"/>
  <c r="Y124" i="18"/>
  <c r="Y125" i="18"/>
  <c r="Y109" i="18"/>
  <c r="Y88" i="18"/>
  <c r="Y84" i="18"/>
  <c r="Y80" i="18"/>
  <c r="Y76" i="18"/>
  <c r="Y72" i="18"/>
  <c r="Y50" i="18"/>
  <c r="Y89" i="18"/>
  <c r="Y112" i="18"/>
  <c r="Y46" i="18"/>
  <c r="Y94" i="18"/>
  <c r="Y86" i="18"/>
  <c r="Y70" i="18"/>
  <c r="Y83" i="18"/>
  <c r="Y93" i="18"/>
  <c r="Y77" i="18"/>
  <c r="Y71" i="18"/>
  <c r="Y81" i="18"/>
  <c r="V128" i="16"/>
  <c r="S6" i="16"/>
  <c r="T6" i="16" s="1"/>
  <c r="S10" i="16"/>
  <c r="T10" i="16" s="1"/>
  <c r="S14" i="16"/>
  <c r="T14" i="16" s="1"/>
  <c r="S18" i="16"/>
  <c r="T18" i="16" s="1"/>
  <c r="S22" i="16"/>
  <c r="T22" i="16" s="1"/>
  <c r="S26" i="16"/>
  <c r="T26" i="16" s="1"/>
  <c r="S30" i="16"/>
  <c r="T30" i="16" s="1"/>
  <c r="S34" i="16"/>
  <c r="T34" i="16" s="1"/>
  <c r="S38" i="16"/>
  <c r="T38" i="16" s="1"/>
  <c r="S42" i="16"/>
  <c r="T42" i="16" s="1"/>
  <c r="S46" i="16"/>
  <c r="T46" i="16" s="1"/>
  <c r="S50" i="16"/>
  <c r="T50" i="16" s="1"/>
  <c r="S54" i="16"/>
  <c r="T54" i="16" s="1"/>
  <c r="S58" i="16"/>
  <c r="T58" i="16" s="1"/>
  <c r="S62" i="16"/>
  <c r="T62" i="16" s="1"/>
  <c r="S66" i="16"/>
  <c r="T66" i="16" s="1"/>
  <c r="S70" i="16"/>
  <c r="T70" i="16" s="1"/>
  <c r="S74" i="16"/>
  <c r="T74" i="16" s="1"/>
  <c r="S78" i="16"/>
  <c r="T78" i="16" s="1"/>
  <c r="S82" i="16"/>
  <c r="T82" i="16" s="1"/>
  <c r="S86" i="16"/>
  <c r="T86" i="16" s="1"/>
  <c r="S90" i="16"/>
  <c r="T90" i="16" s="1"/>
  <c r="S94" i="16"/>
  <c r="T94" i="16" s="1"/>
  <c r="S98" i="16"/>
  <c r="T98" i="16" s="1"/>
  <c r="S102" i="16"/>
  <c r="T102" i="16" s="1"/>
  <c r="S106" i="16"/>
  <c r="T106" i="16" s="1"/>
  <c r="R128" i="16"/>
  <c r="S7" i="16"/>
  <c r="T7" i="16" s="1"/>
  <c r="S8" i="16"/>
  <c r="T8" i="16" s="1"/>
  <c r="S9" i="16"/>
  <c r="T9" i="16" s="1"/>
  <c r="S11" i="16"/>
  <c r="T11" i="16" s="1"/>
  <c r="S12" i="16"/>
  <c r="T12" i="16" s="1"/>
  <c r="S13" i="16"/>
  <c r="T13" i="16" s="1"/>
  <c r="S15" i="16"/>
  <c r="T15" i="16" s="1"/>
  <c r="S16" i="16"/>
  <c r="T16" i="16" s="1"/>
  <c r="S17" i="16"/>
  <c r="T17" i="16" s="1"/>
  <c r="S19" i="16"/>
  <c r="T19" i="16" s="1"/>
  <c r="S20" i="16"/>
  <c r="T20" i="16" s="1"/>
  <c r="S21" i="16"/>
  <c r="T21" i="16" s="1"/>
  <c r="S23" i="16"/>
  <c r="T23" i="16" s="1"/>
  <c r="S24" i="16"/>
  <c r="T24" i="16" s="1"/>
  <c r="S25" i="16"/>
  <c r="T25" i="16" s="1"/>
  <c r="S27" i="16"/>
  <c r="T27" i="16" s="1"/>
  <c r="S28" i="16"/>
  <c r="T28" i="16" s="1"/>
  <c r="S29" i="16"/>
  <c r="T29" i="16" s="1"/>
  <c r="S31" i="16"/>
  <c r="T31" i="16" s="1"/>
  <c r="S32" i="16"/>
  <c r="T32" i="16" s="1"/>
  <c r="S33" i="16"/>
  <c r="T33" i="16" s="1"/>
  <c r="S35" i="16"/>
  <c r="T35" i="16" s="1"/>
  <c r="S36" i="16"/>
  <c r="T36" i="16" s="1"/>
  <c r="S37" i="16"/>
  <c r="T37" i="16" s="1"/>
  <c r="S39" i="16"/>
  <c r="T39" i="16" s="1"/>
  <c r="S40" i="16"/>
  <c r="T40" i="16" s="1"/>
  <c r="S41" i="16"/>
  <c r="T41" i="16" s="1"/>
  <c r="S43" i="16"/>
  <c r="T43" i="16" s="1"/>
  <c r="S44" i="16"/>
  <c r="T44" i="16" s="1"/>
  <c r="S45" i="16"/>
  <c r="T45" i="16" s="1"/>
  <c r="S47" i="16"/>
  <c r="T47" i="16" s="1"/>
  <c r="S48" i="16"/>
  <c r="T48" i="16" s="1"/>
  <c r="S49" i="16"/>
  <c r="T49" i="16" s="1"/>
  <c r="S51" i="16"/>
  <c r="T51" i="16" s="1"/>
  <c r="S52" i="16"/>
  <c r="T52" i="16" s="1"/>
  <c r="S53" i="16"/>
  <c r="T53" i="16" s="1"/>
  <c r="S55" i="16"/>
  <c r="T55" i="16" s="1"/>
  <c r="S56" i="16"/>
  <c r="T56" i="16" s="1"/>
  <c r="S57" i="16"/>
  <c r="T57" i="16" s="1"/>
  <c r="S59" i="16"/>
  <c r="T59" i="16" s="1"/>
  <c r="S60" i="16"/>
  <c r="T60" i="16" s="1"/>
  <c r="S61" i="16"/>
  <c r="T61" i="16" s="1"/>
  <c r="S63" i="16"/>
  <c r="T63" i="16" s="1"/>
  <c r="S64" i="16"/>
  <c r="T64" i="16" s="1"/>
  <c r="S65" i="16"/>
  <c r="T65" i="16" s="1"/>
  <c r="S67" i="16"/>
  <c r="T67" i="16" s="1"/>
  <c r="S68" i="16"/>
  <c r="T68" i="16" s="1"/>
  <c r="S69" i="16"/>
  <c r="T69" i="16" s="1"/>
  <c r="S71" i="16"/>
  <c r="T71" i="16" s="1"/>
  <c r="S72" i="16"/>
  <c r="T72" i="16" s="1"/>
  <c r="S73" i="16"/>
  <c r="T73" i="16" s="1"/>
  <c r="S75" i="16"/>
  <c r="T75" i="16" s="1"/>
  <c r="S76" i="16"/>
  <c r="T76" i="16" s="1"/>
  <c r="S77" i="16"/>
  <c r="T77" i="16" s="1"/>
  <c r="S79" i="16"/>
  <c r="T79" i="16" s="1"/>
  <c r="S80" i="16"/>
  <c r="T80" i="16" s="1"/>
  <c r="S81" i="16"/>
  <c r="T81" i="16" s="1"/>
  <c r="S83" i="16"/>
  <c r="T83" i="16" s="1"/>
  <c r="S84" i="16"/>
  <c r="T84" i="16" s="1"/>
  <c r="S85" i="16"/>
  <c r="T85" i="16" s="1"/>
  <c r="S87" i="16"/>
  <c r="T87" i="16" s="1"/>
  <c r="S88" i="16"/>
  <c r="T88" i="16" s="1"/>
  <c r="S89" i="16"/>
  <c r="T89" i="16" s="1"/>
  <c r="S91" i="16"/>
  <c r="T91" i="16" s="1"/>
  <c r="S92" i="16"/>
  <c r="T92" i="16" s="1"/>
  <c r="S93" i="16"/>
  <c r="T93" i="16" s="1"/>
  <c r="S95" i="16"/>
  <c r="T95" i="16" s="1"/>
  <c r="S96" i="16"/>
  <c r="T96" i="16" s="1"/>
  <c r="S97" i="16"/>
  <c r="T97" i="16" s="1"/>
  <c r="S99" i="16"/>
  <c r="T99" i="16" s="1"/>
  <c r="S100" i="16"/>
  <c r="T100" i="16" s="1"/>
  <c r="S101" i="16"/>
  <c r="T101" i="16" s="1"/>
  <c r="S103" i="16"/>
  <c r="T103" i="16" s="1"/>
  <c r="S104" i="16"/>
  <c r="T104" i="16" s="1"/>
  <c r="S105" i="16"/>
  <c r="T105" i="16" s="1"/>
  <c r="S107" i="16"/>
  <c r="T107" i="16" s="1"/>
  <c r="S108" i="16"/>
  <c r="T108" i="16" s="1"/>
  <c r="S109" i="16"/>
  <c r="T109" i="16" s="1"/>
  <c r="S110" i="16"/>
  <c r="T110" i="16" s="1"/>
  <c r="S111" i="16"/>
  <c r="T111" i="16" s="1"/>
  <c r="S112" i="16"/>
  <c r="T112" i="16" s="1"/>
  <c r="S113" i="16"/>
  <c r="T113" i="16" s="1"/>
  <c r="S114" i="16"/>
  <c r="T114" i="16" s="1"/>
  <c r="S115" i="16"/>
  <c r="T115" i="16" s="1"/>
  <c r="S116" i="16"/>
  <c r="T116" i="16" s="1"/>
  <c r="S117" i="16"/>
  <c r="T117" i="16" s="1"/>
  <c r="S118" i="16"/>
  <c r="T118" i="16" s="1"/>
  <c r="S119" i="16"/>
  <c r="T119" i="16" s="1"/>
  <c r="S120" i="16"/>
  <c r="T120" i="16" s="1"/>
  <c r="S121" i="16"/>
  <c r="T121" i="16" s="1"/>
  <c r="S122" i="16"/>
  <c r="T122" i="16" s="1"/>
  <c r="S123" i="16"/>
  <c r="T123" i="16" s="1"/>
  <c r="S124" i="16"/>
  <c r="T124" i="16" s="1"/>
  <c r="S125" i="16"/>
  <c r="T125" i="16" s="1"/>
  <c r="S126" i="16"/>
  <c r="T126" i="16" s="1"/>
  <c r="S127" i="16"/>
  <c r="T127" i="16" s="1"/>
  <c r="S5" i="16"/>
  <c r="T5" i="16" s="1"/>
  <c r="Q128" i="16" l="1"/>
  <c r="K107" i="16"/>
  <c r="L107" i="16" s="1"/>
  <c r="G107" i="16"/>
  <c r="H107" i="16" s="1"/>
  <c r="Z5" i="16"/>
  <c r="Y5" i="16"/>
  <c r="AB5" i="16" s="1"/>
  <c r="AC2" i="16"/>
  <c r="M128" i="16"/>
  <c r="J128" i="16"/>
  <c r="I128" i="16"/>
  <c r="F128" i="16"/>
  <c r="E128" i="16"/>
  <c r="O127" i="16"/>
  <c r="P127" i="16" s="1"/>
  <c r="K127" i="16"/>
  <c r="L127" i="16" s="1"/>
  <c r="G127" i="16"/>
  <c r="H127" i="16" s="1"/>
  <c r="K126" i="16"/>
  <c r="L126" i="16" s="1"/>
  <c r="G126" i="16"/>
  <c r="H126" i="16" s="1"/>
  <c r="O125" i="16"/>
  <c r="P125" i="16" s="1"/>
  <c r="K125" i="16"/>
  <c r="L125" i="16" s="1"/>
  <c r="G125" i="16"/>
  <c r="H125" i="16" s="1"/>
  <c r="O124" i="16"/>
  <c r="P124" i="16" s="1"/>
  <c r="K124" i="16"/>
  <c r="L124" i="16" s="1"/>
  <c r="G124" i="16"/>
  <c r="H124" i="16" s="1"/>
  <c r="O123" i="16"/>
  <c r="P123" i="16" s="1"/>
  <c r="K123" i="16"/>
  <c r="L123" i="16" s="1"/>
  <c r="G123" i="16"/>
  <c r="H123" i="16" s="1"/>
  <c r="O122" i="16"/>
  <c r="P122" i="16" s="1"/>
  <c r="K122" i="16"/>
  <c r="L122" i="16" s="1"/>
  <c r="G122" i="16"/>
  <c r="H122" i="16" s="1"/>
  <c r="O121" i="16"/>
  <c r="P121" i="16" s="1"/>
  <c r="K121" i="16"/>
  <c r="L121" i="16" s="1"/>
  <c r="G121" i="16"/>
  <c r="H121" i="16" s="1"/>
  <c r="O120" i="16"/>
  <c r="P120" i="16" s="1"/>
  <c r="K120" i="16"/>
  <c r="L120" i="16" s="1"/>
  <c r="G120" i="16"/>
  <c r="H120" i="16" s="1"/>
  <c r="O119" i="16"/>
  <c r="P119" i="16" s="1"/>
  <c r="K119" i="16"/>
  <c r="L119" i="16" s="1"/>
  <c r="G119" i="16"/>
  <c r="H119" i="16" s="1"/>
  <c r="O118" i="16"/>
  <c r="P118" i="16" s="1"/>
  <c r="K118" i="16"/>
  <c r="L118" i="16" s="1"/>
  <c r="G118" i="16"/>
  <c r="H118" i="16" s="1"/>
  <c r="O117" i="16"/>
  <c r="P117" i="16" s="1"/>
  <c r="K117" i="16"/>
  <c r="L117" i="16" s="1"/>
  <c r="G117" i="16"/>
  <c r="H117" i="16" s="1"/>
  <c r="O116" i="16"/>
  <c r="P116" i="16" s="1"/>
  <c r="K116" i="16"/>
  <c r="L116" i="16" s="1"/>
  <c r="G116" i="16"/>
  <c r="H116" i="16" s="1"/>
  <c r="O115" i="16"/>
  <c r="P115" i="16" s="1"/>
  <c r="K115" i="16"/>
  <c r="L115" i="16" s="1"/>
  <c r="G115" i="16"/>
  <c r="H115" i="16" s="1"/>
  <c r="O114" i="16"/>
  <c r="P114" i="16" s="1"/>
  <c r="K114" i="16"/>
  <c r="L114" i="16" s="1"/>
  <c r="G114" i="16"/>
  <c r="H114" i="16" s="1"/>
  <c r="O113" i="16"/>
  <c r="P113" i="16" s="1"/>
  <c r="K113" i="16"/>
  <c r="L113" i="16" s="1"/>
  <c r="G113" i="16"/>
  <c r="H113" i="16" s="1"/>
  <c r="O112" i="16"/>
  <c r="P112" i="16" s="1"/>
  <c r="K112" i="16"/>
  <c r="L112" i="16" s="1"/>
  <c r="G112" i="16"/>
  <c r="H112" i="16" s="1"/>
  <c r="O111" i="16"/>
  <c r="P111" i="16" s="1"/>
  <c r="K111" i="16"/>
  <c r="L111" i="16" s="1"/>
  <c r="G111" i="16"/>
  <c r="H111" i="16" s="1"/>
  <c r="O110" i="16"/>
  <c r="P110" i="16" s="1"/>
  <c r="K110" i="16"/>
  <c r="L110" i="16" s="1"/>
  <c r="G110" i="16"/>
  <c r="H110" i="16" s="1"/>
  <c r="O109" i="16"/>
  <c r="P109" i="16" s="1"/>
  <c r="K109" i="16"/>
  <c r="L109" i="16" s="1"/>
  <c r="G109" i="16"/>
  <c r="H109" i="16" s="1"/>
  <c r="O108" i="16"/>
  <c r="P108" i="16" s="1"/>
  <c r="K108" i="16"/>
  <c r="L108" i="16" s="1"/>
  <c r="G108" i="16"/>
  <c r="H108" i="16" s="1"/>
  <c r="O106" i="16"/>
  <c r="P106" i="16" s="1"/>
  <c r="K106" i="16"/>
  <c r="L106" i="16" s="1"/>
  <c r="G106" i="16"/>
  <c r="H106" i="16" s="1"/>
  <c r="O105" i="16"/>
  <c r="P105" i="16" s="1"/>
  <c r="K105" i="16"/>
  <c r="L105" i="16" s="1"/>
  <c r="G105" i="16"/>
  <c r="H105" i="16" s="1"/>
  <c r="K104" i="16"/>
  <c r="L104" i="16" s="1"/>
  <c r="G104" i="16"/>
  <c r="H104" i="16" s="1"/>
  <c r="K103" i="16"/>
  <c r="L103" i="16" s="1"/>
  <c r="G103" i="16"/>
  <c r="H103" i="16" s="1"/>
  <c r="O102" i="16"/>
  <c r="P102" i="16" s="1"/>
  <c r="K102" i="16"/>
  <c r="L102" i="16" s="1"/>
  <c r="G102" i="16"/>
  <c r="H102" i="16" s="1"/>
  <c r="O101" i="16"/>
  <c r="P101" i="16" s="1"/>
  <c r="K101" i="16"/>
  <c r="L101" i="16" s="1"/>
  <c r="G101" i="16"/>
  <c r="H101" i="16" s="1"/>
  <c r="K100" i="16"/>
  <c r="L100" i="16" s="1"/>
  <c r="G100" i="16"/>
  <c r="H100" i="16" s="1"/>
  <c r="K99" i="16"/>
  <c r="L99" i="16" s="1"/>
  <c r="G99" i="16"/>
  <c r="H99" i="16" s="1"/>
  <c r="O98" i="16"/>
  <c r="P98" i="16" s="1"/>
  <c r="K98" i="16"/>
  <c r="L98" i="16" s="1"/>
  <c r="G98" i="16"/>
  <c r="H98" i="16" s="1"/>
  <c r="O97" i="16"/>
  <c r="P97" i="16" s="1"/>
  <c r="K97" i="16"/>
  <c r="L97" i="16" s="1"/>
  <c r="G97" i="16"/>
  <c r="H97" i="16" s="1"/>
  <c r="K96" i="16"/>
  <c r="L96" i="16" s="1"/>
  <c r="G96" i="16"/>
  <c r="H96" i="16" s="1"/>
  <c r="K95" i="16"/>
  <c r="L95" i="16" s="1"/>
  <c r="G95" i="16"/>
  <c r="H95" i="16" s="1"/>
  <c r="O94" i="16"/>
  <c r="P94" i="16" s="1"/>
  <c r="K94" i="16"/>
  <c r="L94" i="16" s="1"/>
  <c r="G94" i="16"/>
  <c r="H94" i="16" s="1"/>
  <c r="O93" i="16"/>
  <c r="P93" i="16" s="1"/>
  <c r="K93" i="16"/>
  <c r="L93" i="16" s="1"/>
  <c r="G93" i="16"/>
  <c r="H93" i="16" s="1"/>
  <c r="K92" i="16"/>
  <c r="L92" i="16" s="1"/>
  <c r="G92" i="16"/>
  <c r="H92" i="16" s="1"/>
  <c r="K91" i="16"/>
  <c r="L91" i="16" s="1"/>
  <c r="G91" i="16"/>
  <c r="H91" i="16" s="1"/>
  <c r="O90" i="16"/>
  <c r="P90" i="16" s="1"/>
  <c r="K90" i="16"/>
  <c r="L90" i="16" s="1"/>
  <c r="G90" i="16"/>
  <c r="H90" i="16" s="1"/>
  <c r="O89" i="16"/>
  <c r="P89" i="16" s="1"/>
  <c r="K89" i="16"/>
  <c r="L89" i="16" s="1"/>
  <c r="G89" i="16"/>
  <c r="H89" i="16" s="1"/>
  <c r="K88" i="16"/>
  <c r="L88" i="16" s="1"/>
  <c r="G88" i="16"/>
  <c r="H88" i="16" s="1"/>
  <c r="K87" i="16"/>
  <c r="L87" i="16" s="1"/>
  <c r="G87" i="16"/>
  <c r="H87" i="16" s="1"/>
  <c r="O86" i="16"/>
  <c r="P86" i="16" s="1"/>
  <c r="K86" i="16"/>
  <c r="L86" i="16" s="1"/>
  <c r="G86" i="16"/>
  <c r="H86" i="16" s="1"/>
  <c r="O85" i="16"/>
  <c r="P85" i="16" s="1"/>
  <c r="K85" i="16"/>
  <c r="L85" i="16" s="1"/>
  <c r="G85" i="16"/>
  <c r="H85" i="16" s="1"/>
  <c r="K84" i="16"/>
  <c r="L84" i="16" s="1"/>
  <c r="G84" i="16"/>
  <c r="H84" i="16" s="1"/>
  <c r="K83" i="16"/>
  <c r="L83" i="16" s="1"/>
  <c r="G83" i="16"/>
  <c r="H83" i="16" s="1"/>
  <c r="O82" i="16"/>
  <c r="P82" i="16" s="1"/>
  <c r="K82" i="16"/>
  <c r="L82" i="16" s="1"/>
  <c r="G82" i="16"/>
  <c r="H82" i="16" s="1"/>
  <c r="O81" i="16"/>
  <c r="P81" i="16" s="1"/>
  <c r="K81" i="16"/>
  <c r="L81" i="16" s="1"/>
  <c r="G81" i="16"/>
  <c r="H81" i="16" s="1"/>
  <c r="K80" i="16"/>
  <c r="L80" i="16" s="1"/>
  <c r="G80" i="16"/>
  <c r="H80" i="16" s="1"/>
  <c r="K79" i="16"/>
  <c r="L79" i="16" s="1"/>
  <c r="G79" i="16"/>
  <c r="H79" i="16" s="1"/>
  <c r="O78" i="16"/>
  <c r="P78" i="16" s="1"/>
  <c r="K78" i="16"/>
  <c r="L78" i="16" s="1"/>
  <c r="G78" i="16"/>
  <c r="H78" i="16" s="1"/>
  <c r="O77" i="16"/>
  <c r="P77" i="16" s="1"/>
  <c r="K77" i="16"/>
  <c r="L77" i="16" s="1"/>
  <c r="G77" i="16"/>
  <c r="H77" i="16" s="1"/>
  <c r="K76" i="16"/>
  <c r="L76" i="16" s="1"/>
  <c r="G76" i="16"/>
  <c r="H76" i="16" s="1"/>
  <c r="K75" i="16"/>
  <c r="L75" i="16" s="1"/>
  <c r="G75" i="16"/>
  <c r="H75" i="16" s="1"/>
  <c r="O74" i="16"/>
  <c r="P74" i="16" s="1"/>
  <c r="K74" i="16"/>
  <c r="L74" i="16" s="1"/>
  <c r="G74" i="16"/>
  <c r="H74" i="16" s="1"/>
  <c r="O73" i="16"/>
  <c r="P73" i="16" s="1"/>
  <c r="K73" i="16"/>
  <c r="L73" i="16" s="1"/>
  <c r="G73" i="16"/>
  <c r="H73" i="16" s="1"/>
  <c r="K72" i="16"/>
  <c r="L72" i="16" s="1"/>
  <c r="G72" i="16"/>
  <c r="H72" i="16" s="1"/>
  <c r="K71" i="16"/>
  <c r="L71" i="16" s="1"/>
  <c r="G71" i="16"/>
  <c r="H71" i="16" s="1"/>
  <c r="O70" i="16"/>
  <c r="P70" i="16" s="1"/>
  <c r="K70" i="16"/>
  <c r="L70" i="16" s="1"/>
  <c r="G70" i="16"/>
  <c r="H70" i="16" s="1"/>
  <c r="K69" i="16"/>
  <c r="L69" i="16" s="1"/>
  <c r="G69" i="16"/>
  <c r="H69" i="16" s="1"/>
  <c r="O68" i="16"/>
  <c r="P68" i="16" s="1"/>
  <c r="K68" i="16"/>
  <c r="L68" i="16" s="1"/>
  <c r="G68" i="16"/>
  <c r="H68" i="16" s="1"/>
  <c r="K67" i="16"/>
  <c r="L67" i="16" s="1"/>
  <c r="G67" i="16"/>
  <c r="H67" i="16" s="1"/>
  <c r="O66" i="16"/>
  <c r="P66" i="16" s="1"/>
  <c r="K66" i="16"/>
  <c r="L66" i="16" s="1"/>
  <c r="G66" i="16"/>
  <c r="H66" i="16" s="1"/>
  <c r="K65" i="16"/>
  <c r="L65" i="16" s="1"/>
  <c r="G65" i="16"/>
  <c r="H65" i="16" s="1"/>
  <c r="O64" i="16"/>
  <c r="P64" i="16" s="1"/>
  <c r="K64" i="16"/>
  <c r="L64" i="16" s="1"/>
  <c r="G64" i="16"/>
  <c r="H64" i="16" s="1"/>
  <c r="K63" i="16"/>
  <c r="L63" i="16" s="1"/>
  <c r="G63" i="16"/>
  <c r="H63" i="16" s="1"/>
  <c r="O62" i="16"/>
  <c r="P62" i="16" s="1"/>
  <c r="K62" i="16"/>
  <c r="L62" i="16" s="1"/>
  <c r="G62" i="16"/>
  <c r="H62" i="16" s="1"/>
  <c r="K61" i="16"/>
  <c r="L61" i="16" s="1"/>
  <c r="G61" i="16"/>
  <c r="H61" i="16" s="1"/>
  <c r="O60" i="16"/>
  <c r="P60" i="16" s="1"/>
  <c r="K60" i="16"/>
  <c r="L60" i="16" s="1"/>
  <c r="G60" i="16"/>
  <c r="H60" i="16" s="1"/>
  <c r="K59" i="16"/>
  <c r="L59" i="16" s="1"/>
  <c r="G59" i="16"/>
  <c r="H59" i="16" s="1"/>
  <c r="O58" i="16"/>
  <c r="P58" i="16" s="1"/>
  <c r="K58" i="16"/>
  <c r="L58" i="16" s="1"/>
  <c r="G58" i="16"/>
  <c r="H58" i="16" s="1"/>
  <c r="K57" i="16"/>
  <c r="L57" i="16" s="1"/>
  <c r="G57" i="16"/>
  <c r="H57" i="16" s="1"/>
  <c r="O56" i="16"/>
  <c r="P56" i="16" s="1"/>
  <c r="K56" i="16"/>
  <c r="L56" i="16" s="1"/>
  <c r="G56" i="16"/>
  <c r="H56" i="16" s="1"/>
  <c r="K55" i="16"/>
  <c r="L55" i="16" s="1"/>
  <c r="G55" i="16"/>
  <c r="H55" i="16" s="1"/>
  <c r="O54" i="16"/>
  <c r="P54" i="16" s="1"/>
  <c r="K54" i="16"/>
  <c r="L54" i="16" s="1"/>
  <c r="G54" i="16"/>
  <c r="H54" i="16" s="1"/>
  <c r="K53" i="16"/>
  <c r="L53" i="16" s="1"/>
  <c r="G53" i="16"/>
  <c r="H53" i="16" s="1"/>
  <c r="O52" i="16"/>
  <c r="P52" i="16" s="1"/>
  <c r="K52" i="16"/>
  <c r="L52" i="16" s="1"/>
  <c r="H52" i="16"/>
  <c r="G52" i="16"/>
  <c r="K51" i="16"/>
  <c r="L51" i="16" s="1"/>
  <c r="G51" i="16"/>
  <c r="H51" i="16" s="1"/>
  <c r="O50" i="16"/>
  <c r="P50" i="16" s="1"/>
  <c r="K50" i="16"/>
  <c r="L50" i="16" s="1"/>
  <c r="G50" i="16"/>
  <c r="H50" i="16" s="1"/>
  <c r="K49" i="16"/>
  <c r="L49" i="16" s="1"/>
  <c r="G49" i="16"/>
  <c r="H49" i="16" s="1"/>
  <c r="O48" i="16"/>
  <c r="P48" i="16" s="1"/>
  <c r="K48" i="16"/>
  <c r="L48" i="16" s="1"/>
  <c r="G48" i="16"/>
  <c r="H48" i="16" s="1"/>
  <c r="K47" i="16"/>
  <c r="L47" i="16" s="1"/>
  <c r="G47" i="16"/>
  <c r="H47" i="16" s="1"/>
  <c r="O46" i="16"/>
  <c r="P46" i="16" s="1"/>
  <c r="K46" i="16"/>
  <c r="L46" i="16" s="1"/>
  <c r="G46" i="16"/>
  <c r="H46" i="16" s="1"/>
  <c r="K45" i="16"/>
  <c r="L45" i="16" s="1"/>
  <c r="G45" i="16"/>
  <c r="H45" i="16" s="1"/>
  <c r="O44" i="16"/>
  <c r="P44" i="16" s="1"/>
  <c r="K44" i="16"/>
  <c r="L44" i="16" s="1"/>
  <c r="G44" i="16"/>
  <c r="H44" i="16" s="1"/>
  <c r="K43" i="16"/>
  <c r="L43" i="16" s="1"/>
  <c r="G43" i="16"/>
  <c r="H43" i="16" s="1"/>
  <c r="O42" i="16"/>
  <c r="P42" i="16" s="1"/>
  <c r="K42" i="16"/>
  <c r="L42" i="16" s="1"/>
  <c r="G42" i="16"/>
  <c r="H42" i="16" s="1"/>
  <c r="K41" i="16"/>
  <c r="L41" i="16" s="1"/>
  <c r="G41" i="16"/>
  <c r="H41" i="16" s="1"/>
  <c r="O40" i="16"/>
  <c r="P40" i="16" s="1"/>
  <c r="K40" i="16"/>
  <c r="L40" i="16" s="1"/>
  <c r="G40" i="16"/>
  <c r="H40" i="16" s="1"/>
  <c r="K39" i="16"/>
  <c r="L39" i="16" s="1"/>
  <c r="G39" i="16"/>
  <c r="H39" i="16" s="1"/>
  <c r="O38" i="16"/>
  <c r="P38" i="16" s="1"/>
  <c r="K38" i="16"/>
  <c r="L38" i="16" s="1"/>
  <c r="G38" i="16"/>
  <c r="H38" i="16" s="1"/>
  <c r="K37" i="16"/>
  <c r="L37" i="16" s="1"/>
  <c r="G37" i="16"/>
  <c r="H37" i="16" s="1"/>
  <c r="O36" i="16"/>
  <c r="P36" i="16" s="1"/>
  <c r="K36" i="16"/>
  <c r="L36" i="16" s="1"/>
  <c r="G36" i="16"/>
  <c r="H36" i="16" s="1"/>
  <c r="K35" i="16"/>
  <c r="L35" i="16" s="1"/>
  <c r="G35" i="16"/>
  <c r="H35" i="16" s="1"/>
  <c r="O34" i="16"/>
  <c r="P34" i="16" s="1"/>
  <c r="K34" i="16"/>
  <c r="L34" i="16" s="1"/>
  <c r="G34" i="16"/>
  <c r="H34" i="16" s="1"/>
  <c r="K33" i="16"/>
  <c r="L33" i="16" s="1"/>
  <c r="G33" i="16"/>
  <c r="H33" i="16" s="1"/>
  <c r="O32" i="16"/>
  <c r="P32" i="16" s="1"/>
  <c r="K32" i="16"/>
  <c r="L32" i="16" s="1"/>
  <c r="G32" i="16"/>
  <c r="H32" i="16" s="1"/>
  <c r="K31" i="16"/>
  <c r="L31" i="16" s="1"/>
  <c r="G31" i="16"/>
  <c r="H31" i="16" s="1"/>
  <c r="O30" i="16"/>
  <c r="P30" i="16" s="1"/>
  <c r="K30" i="16"/>
  <c r="L30" i="16" s="1"/>
  <c r="G30" i="16"/>
  <c r="H30" i="16" s="1"/>
  <c r="K29" i="16"/>
  <c r="L29" i="16" s="1"/>
  <c r="G29" i="16"/>
  <c r="H29" i="16" s="1"/>
  <c r="O28" i="16"/>
  <c r="P28" i="16" s="1"/>
  <c r="K28" i="16"/>
  <c r="L28" i="16" s="1"/>
  <c r="G28" i="16"/>
  <c r="H28" i="16" s="1"/>
  <c r="O27" i="16"/>
  <c r="P27" i="16" s="1"/>
  <c r="K27" i="16"/>
  <c r="L27" i="16" s="1"/>
  <c r="G27" i="16"/>
  <c r="H27" i="16" s="1"/>
  <c r="O26" i="16"/>
  <c r="P26" i="16" s="1"/>
  <c r="K26" i="16"/>
  <c r="L26" i="16" s="1"/>
  <c r="G26" i="16"/>
  <c r="H26" i="16" s="1"/>
  <c r="K25" i="16"/>
  <c r="L25" i="16" s="1"/>
  <c r="G25" i="16"/>
  <c r="H25" i="16" s="1"/>
  <c r="O24" i="16"/>
  <c r="P24" i="16" s="1"/>
  <c r="K24" i="16"/>
  <c r="L24" i="16" s="1"/>
  <c r="G24" i="16"/>
  <c r="H24" i="16" s="1"/>
  <c r="O23" i="16"/>
  <c r="P23" i="16" s="1"/>
  <c r="K23" i="16"/>
  <c r="L23" i="16" s="1"/>
  <c r="G23" i="16"/>
  <c r="H23" i="16" s="1"/>
  <c r="O22" i="16"/>
  <c r="P22" i="16" s="1"/>
  <c r="K22" i="16"/>
  <c r="L22" i="16" s="1"/>
  <c r="G22" i="16"/>
  <c r="H22" i="16" s="1"/>
  <c r="K21" i="16"/>
  <c r="L21" i="16" s="1"/>
  <c r="G21" i="16"/>
  <c r="H21" i="16" s="1"/>
  <c r="O20" i="16"/>
  <c r="P20" i="16" s="1"/>
  <c r="K20" i="16"/>
  <c r="L20" i="16" s="1"/>
  <c r="G20" i="16"/>
  <c r="H20" i="16" s="1"/>
  <c r="O19" i="16"/>
  <c r="P19" i="16" s="1"/>
  <c r="K19" i="16"/>
  <c r="L19" i="16" s="1"/>
  <c r="G19" i="16"/>
  <c r="H19" i="16" s="1"/>
  <c r="O18" i="16"/>
  <c r="P18" i="16" s="1"/>
  <c r="K18" i="16"/>
  <c r="L18" i="16" s="1"/>
  <c r="G18" i="16"/>
  <c r="H18" i="16" s="1"/>
  <c r="K17" i="16"/>
  <c r="L17" i="16" s="1"/>
  <c r="G17" i="16"/>
  <c r="H17" i="16" s="1"/>
  <c r="O16" i="16"/>
  <c r="P16" i="16" s="1"/>
  <c r="K16" i="16"/>
  <c r="L16" i="16" s="1"/>
  <c r="G16" i="16"/>
  <c r="H16" i="16" s="1"/>
  <c r="O15" i="16"/>
  <c r="P15" i="16" s="1"/>
  <c r="K15" i="16"/>
  <c r="L15" i="16" s="1"/>
  <c r="G15" i="16"/>
  <c r="H15" i="16" s="1"/>
  <c r="K14" i="16"/>
  <c r="L14" i="16" s="1"/>
  <c r="G14" i="16"/>
  <c r="H14" i="16" s="1"/>
  <c r="K13" i="16"/>
  <c r="L13" i="16" s="1"/>
  <c r="G13" i="16"/>
  <c r="H13" i="16" s="1"/>
  <c r="K12" i="16"/>
  <c r="L12" i="16" s="1"/>
  <c r="G12" i="16"/>
  <c r="H12" i="16" s="1"/>
  <c r="O11" i="16"/>
  <c r="P11" i="16" s="1"/>
  <c r="K11" i="16"/>
  <c r="L11" i="16" s="1"/>
  <c r="G11" i="16"/>
  <c r="H11" i="16" s="1"/>
  <c r="K10" i="16"/>
  <c r="L10" i="16" s="1"/>
  <c r="G10" i="16"/>
  <c r="H10" i="16" s="1"/>
  <c r="K9" i="16"/>
  <c r="L9" i="16" s="1"/>
  <c r="G9" i="16"/>
  <c r="H9" i="16" s="1"/>
  <c r="K8" i="16"/>
  <c r="L8" i="16" s="1"/>
  <c r="G8" i="16"/>
  <c r="H8" i="16" s="1"/>
  <c r="K7" i="16"/>
  <c r="L7" i="16" s="1"/>
  <c r="G7" i="16"/>
  <c r="H7" i="16" s="1"/>
  <c r="K6" i="16"/>
  <c r="L6" i="16" s="1"/>
  <c r="G6" i="16"/>
  <c r="H6" i="16" s="1"/>
  <c r="K5" i="16"/>
  <c r="L5" i="16" s="1"/>
  <c r="G5" i="16"/>
  <c r="H5" i="16" s="1"/>
  <c r="AB53" i="16" l="1"/>
  <c r="AC53" i="16" s="1"/>
  <c r="AB29" i="16"/>
  <c r="AC29" i="16" s="1"/>
  <c r="AB107" i="16"/>
  <c r="AC107" i="16" s="1"/>
  <c r="AA39" i="16"/>
  <c r="AA107" i="16"/>
  <c r="AA14" i="16"/>
  <c r="AA126" i="16"/>
  <c r="AB61" i="16"/>
  <c r="AC61" i="16" s="1"/>
  <c r="AA6" i="16"/>
  <c r="AA9" i="16"/>
  <c r="AA12" i="16"/>
  <c r="AB31" i="16"/>
  <c r="AC31" i="16" s="1"/>
  <c r="AB43" i="16"/>
  <c r="AC43" i="16" s="1"/>
  <c r="AB67" i="16"/>
  <c r="AC67" i="16" s="1"/>
  <c r="AA95" i="16"/>
  <c r="AA103" i="16"/>
  <c r="AB55" i="16"/>
  <c r="AC55" i="16" s="1"/>
  <c r="AA99" i="16"/>
  <c r="AA7" i="16"/>
  <c r="AB49" i="16"/>
  <c r="AC49" i="16" s="1"/>
  <c r="O57" i="16"/>
  <c r="P57" i="16" s="1"/>
  <c r="AA93" i="16"/>
  <c r="AA105" i="16"/>
  <c r="O41" i="16"/>
  <c r="P41" i="16" s="1"/>
  <c r="O59" i="16"/>
  <c r="P59" i="16" s="1"/>
  <c r="O5" i="16"/>
  <c r="P5" i="16" s="1"/>
  <c r="O87" i="16"/>
  <c r="P87" i="16" s="1"/>
  <c r="AB91" i="16"/>
  <c r="AC91" i="16" s="1"/>
  <c r="AA18" i="16"/>
  <c r="O37" i="16"/>
  <c r="P37" i="16" s="1"/>
  <c r="AB41" i="16"/>
  <c r="AC41" i="16" s="1"/>
  <c r="AB44" i="16"/>
  <c r="AC44" i="16" s="1"/>
  <c r="O45" i="16"/>
  <c r="P45" i="16" s="1"/>
  <c r="O13" i="16"/>
  <c r="P13" i="16" s="1"/>
  <c r="O21" i="16"/>
  <c r="P21" i="16" s="1"/>
  <c r="O35" i="16"/>
  <c r="P35" i="16" s="1"/>
  <c r="O47" i="16"/>
  <c r="P47" i="16" s="1"/>
  <c r="O63" i="16"/>
  <c r="P63" i="16" s="1"/>
  <c r="O69" i="16"/>
  <c r="P69" i="16" s="1"/>
  <c r="AB77" i="16"/>
  <c r="AC77" i="16" s="1"/>
  <c r="AB30" i="16"/>
  <c r="AC30" i="16" s="1"/>
  <c r="AA53" i="16"/>
  <c r="AC5" i="16"/>
  <c r="O7" i="16"/>
  <c r="P7" i="16" s="1"/>
  <c r="AA11" i="16"/>
  <c r="AB13" i="16"/>
  <c r="AC13" i="16" s="1"/>
  <c r="AA26" i="16"/>
  <c r="O33" i="16"/>
  <c r="P33" i="16" s="1"/>
  <c r="O43" i="16"/>
  <c r="P43" i="16" s="1"/>
  <c r="O51" i="16"/>
  <c r="P51" i="16" s="1"/>
  <c r="O65" i="16"/>
  <c r="P65" i="16" s="1"/>
  <c r="AA81" i="16"/>
  <c r="AB95" i="16"/>
  <c r="AC95" i="16" s="1"/>
  <c r="O103" i="16"/>
  <c r="P103" i="16" s="1"/>
  <c r="AB33" i="16"/>
  <c r="AC33" i="16" s="1"/>
  <c r="AA65" i="16"/>
  <c r="AB89" i="16"/>
  <c r="AC89" i="16" s="1"/>
  <c r="AB87" i="16"/>
  <c r="AC87" i="16" s="1"/>
  <c r="O91" i="16"/>
  <c r="P91" i="16" s="1"/>
  <c r="AB7" i="16"/>
  <c r="AC7" i="16" s="1"/>
  <c r="O9" i="16"/>
  <c r="P9" i="16" s="1"/>
  <c r="AA13" i="16"/>
  <c r="O17" i="16"/>
  <c r="P17" i="16" s="1"/>
  <c r="O31" i="16"/>
  <c r="P31" i="16" s="1"/>
  <c r="O49" i="16"/>
  <c r="P49" i="16" s="1"/>
  <c r="O55" i="16"/>
  <c r="P55" i="16" s="1"/>
  <c r="O61" i="16"/>
  <c r="P61" i="16" s="1"/>
  <c r="O99" i="16"/>
  <c r="P99" i="16" s="1"/>
  <c r="AA10" i="16"/>
  <c r="AB36" i="16"/>
  <c r="AC36" i="16" s="1"/>
  <c r="AA41" i="16"/>
  <c r="AB45" i="16"/>
  <c r="AC45" i="16" s="1"/>
  <c r="AB46" i="16"/>
  <c r="AC46" i="16" s="1"/>
  <c r="AA49" i="16"/>
  <c r="AB51" i="16"/>
  <c r="AC51" i="16" s="1"/>
  <c r="AA55" i="16"/>
  <c r="AB57" i="16"/>
  <c r="AC57" i="16" s="1"/>
  <c r="AA61" i="16"/>
  <c r="AB63" i="16"/>
  <c r="AC63" i="16" s="1"/>
  <c r="AB69" i="16"/>
  <c r="AC69" i="16" s="1"/>
  <c r="AB73" i="16"/>
  <c r="AC73" i="16" s="1"/>
  <c r="AA87" i="16"/>
  <c r="AB97" i="16"/>
  <c r="AC97" i="16" s="1"/>
  <c r="AB99" i="16"/>
  <c r="AC99" i="16" s="1"/>
  <c r="AB126" i="16"/>
  <c r="AC126" i="16" s="1"/>
  <c r="AA5" i="16"/>
  <c r="O25" i="16"/>
  <c r="P25" i="16" s="1"/>
  <c r="AA8" i="16"/>
  <c r="AB9" i="16"/>
  <c r="AC9" i="16" s="1"/>
  <c r="AA22" i="16"/>
  <c r="AB28" i="16"/>
  <c r="AC28" i="16" s="1"/>
  <c r="O29" i="16"/>
  <c r="P29" i="16" s="1"/>
  <c r="AA33" i="16"/>
  <c r="AB35" i="16"/>
  <c r="AC35" i="16" s="1"/>
  <c r="AB37" i="16"/>
  <c r="AC37" i="16" s="1"/>
  <c r="AA38" i="16"/>
  <c r="O39" i="16"/>
  <c r="P39" i="16" s="1"/>
  <c r="AB47" i="16"/>
  <c r="AC47" i="16" s="1"/>
  <c r="O53" i="16"/>
  <c r="P53" i="16" s="1"/>
  <c r="AA57" i="16"/>
  <c r="AB59" i="16"/>
  <c r="AC59" i="16" s="1"/>
  <c r="AA63" i="16"/>
  <c r="AB65" i="16"/>
  <c r="AC65" i="16" s="1"/>
  <c r="O67" i="16"/>
  <c r="P67" i="16" s="1"/>
  <c r="AA69" i="16"/>
  <c r="AB85" i="16"/>
  <c r="AC85" i="16" s="1"/>
  <c r="AA91" i="16"/>
  <c r="O95" i="16"/>
  <c r="P95" i="16" s="1"/>
  <c r="AA101" i="16"/>
  <c r="AB103" i="16"/>
  <c r="AC103" i="16" s="1"/>
  <c r="AB17" i="16"/>
  <c r="AC17" i="16" s="1"/>
  <c r="AA17" i="16"/>
  <c r="AA25" i="16"/>
  <c r="AB25" i="16"/>
  <c r="AC25" i="16" s="1"/>
  <c r="AB21" i="16"/>
  <c r="AC21" i="16" s="1"/>
  <c r="AA21" i="16"/>
  <c r="AA31" i="16"/>
  <c r="AA47" i="16"/>
  <c r="O8" i="16"/>
  <c r="P8" i="16" s="1"/>
  <c r="O12" i="16"/>
  <c r="P12" i="16" s="1"/>
  <c r="AA29" i="16"/>
  <c r="AA37" i="16"/>
  <c r="AB39" i="16"/>
  <c r="AC39" i="16" s="1"/>
  <c r="AA45" i="16"/>
  <c r="O76" i="16"/>
  <c r="P76" i="16" s="1"/>
  <c r="O83" i="16"/>
  <c r="P83" i="16" s="1"/>
  <c r="O92" i="16"/>
  <c r="P92" i="16" s="1"/>
  <c r="O71" i="16"/>
  <c r="P71" i="16" s="1"/>
  <c r="O96" i="16"/>
  <c r="P96" i="16" s="1"/>
  <c r="O10" i="16"/>
  <c r="P10" i="16" s="1"/>
  <c r="O14" i="16"/>
  <c r="P14" i="16" s="1"/>
  <c r="N128" i="16"/>
  <c r="AB6" i="16"/>
  <c r="AC6" i="16" s="1"/>
  <c r="AB8" i="16"/>
  <c r="AC8" i="16" s="1"/>
  <c r="AB10" i="16"/>
  <c r="AC10" i="16" s="1"/>
  <c r="AB12" i="16"/>
  <c r="AC12" i="16" s="1"/>
  <c r="AB14" i="16"/>
  <c r="AC14" i="16" s="1"/>
  <c r="AA35" i="16"/>
  <c r="AA43" i="16"/>
  <c r="O72" i="16"/>
  <c r="P72" i="16" s="1"/>
  <c r="O79" i="16"/>
  <c r="P79" i="16" s="1"/>
  <c r="O88" i="16"/>
  <c r="P88" i="16" s="1"/>
  <c r="O104" i="16"/>
  <c r="P104" i="16" s="1"/>
  <c r="O80" i="16"/>
  <c r="P80" i="16" s="1"/>
  <c r="O6" i="16"/>
  <c r="P6" i="16" s="1"/>
  <c r="AA51" i="16"/>
  <c r="AA59" i="16"/>
  <c r="AA67" i="16"/>
  <c r="O75" i="16"/>
  <c r="P75" i="16" s="1"/>
  <c r="O84" i="16"/>
  <c r="P84" i="16" s="1"/>
  <c r="O100" i="16"/>
  <c r="P100" i="16" s="1"/>
  <c r="AA70" i="16"/>
  <c r="AA74" i="16"/>
  <c r="AA78" i="16"/>
  <c r="AA82" i="16"/>
  <c r="O126" i="16"/>
  <c r="P126" i="16" s="1"/>
  <c r="AA127" i="16"/>
  <c r="AB93" i="16" l="1"/>
  <c r="AC93" i="16" s="1"/>
  <c r="AB11" i="16"/>
  <c r="AC11" i="16" s="1"/>
  <c r="AA28" i="16"/>
  <c r="AB105" i="16"/>
  <c r="AC105" i="16" s="1"/>
  <c r="AB26" i="16"/>
  <c r="AC26" i="16" s="1"/>
  <c r="AA30" i="16"/>
  <c r="AA89" i="16"/>
  <c r="AA44" i="16"/>
  <c r="AA77" i="16"/>
  <c r="AB101" i="16"/>
  <c r="AC101" i="16" s="1"/>
  <c r="AA46" i="16"/>
  <c r="AA73" i="16"/>
  <c r="AB38" i="16"/>
  <c r="AC38" i="16" s="1"/>
  <c r="AA85" i="16"/>
  <c r="AB18" i="16"/>
  <c r="AC18" i="16" s="1"/>
  <c r="AA36" i="16"/>
  <c r="AB81" i="16"/>
  <c r="AC81" i="16" s="1"/>
  <c r="AA97" i="16"/>
  <c r="AB22" i="16"/>
  <c r="AC22" i="16" s="1"/>
  <c r="AA108" i="16"/>
  <c r="AB108" i="16"/>
  <c r="AC108" i="16" s="1"/>
  <c r="AB52" i="16"/>
  <c r="AC52" i="16" s="1"/>
  <c r="AA52" i="16"/>
  <c r="AA115" i="16"/>
  <c r="AB115" i="16"/>
  <c r="AC115" i="16" s="1"/>
  <c r="AB58" i="16"/>
  <c r="AC58" i="16" s="1"/>
  <c r="AA58" i="16"/>
  <c r="AA75" i="16"/>
  <c r="AB75" i="16"/>
  <c r="AC75" i="16" s="1"/>
  <c r="AB40" i="16"/>
  <c r="AC40" i="16" s="1"/>
  <c r="AA40" i="16"/>
  <c r="AA88" i="16"/>
  <c r="AB88" i="16"/>
  <c r="AC88" i="16" s="1"/>
  <c r="AB34" i="16"/>
  <c r="AC34" i="16" s="1"/>
  <c r="AA34" i="16"/>
  <c r="AA96" i="16"/>
  <c r="AB96" i="16"/>
  <c r="AC96" i="16" s="1"/>
  <c r="AA92" i="16"/>
  <c r="AB92" i="16"/>
  <c r="AC92" i="16" s="1"/>
  <c r="AB27" i="16"/>
  <c r="AC27" i="16" s="1"/>
  <c r="AA27" i="16"/>
  <c r="AB19" i="16"/>
  <c r="AC19" i="16" s="1"/>
  <c r="AA19" i="16"/>
  <c r="AA124" i="16"/>
  <c r="AB124" i="16"/>
  <c r="AC124" i="16" s="1"/>
  <c r="AA116" i="16"/>
  <c r="AB116" i="16"/>
  <c r="AC116" i="16" s="1"/>
  <c r="AA94" i="16"/>
  <c r="AB94" i="16"/>
  <c r="AC94" i="16" s="1"/>
  <c r="AB78" i="16"/>
  <c r="AC78" i="16" s="1"/>
  <c r="AA80" i="16"/>
  <c r="AB80" i="16"/>
  <c r="AC80" i="16" s="1"/>
  <c r="AA79" i="16"/>
  <c r="AB79" i="16"/>
  <c r="AC79" i="16" s="1"/>
  <c r="AA83" i="16"/>
  <c r="AB83" i="16"/>
  <c r="AC83" i="16" s="1"/>
  <c r="AA119" i="16"/>
  <c r="AB119" i="16"/>
  <c r="AC119" i="16" s="1"/>
  <c r="AA111" i="16"/>
  <c r="AB111" i="16"/>
  <c r="AC111" i="16" s="1"/>
  <c r="AA90" i="16"/>
  <c r="AB90" i="16"/>
  <c r="AC90" i="16" s="1"/>
  <c r="AB68" i="16"/>
  <c r="AC68" i="16" s="1"/>
  <c r="AA68" i="16"/>
  <c r="AB50" i="16"/>
  <c r="AC50" i="16" s="1"/>
  <c r="AA50" i="16"/>
  <c r="AA114" i="16"/>
  <c r="AB114" i="16"/>
  <c r="AC114" i="16" s="1"/>
  <c r="AA102" i="16"/>
  <c r="AB102" i="16"/>
  <c r="AC102" i="16" s="1"/>
  <c r="AB70" i="16"/>
  <c r="AC70" i="16" s="1"/>
  <c r="AB64" i="16"/>
  <c r="AC64" i="16" s="1"/>
  <c r="AA64" i="16"/>
  <c r="AB56" i="16"/>
  <c r="AC56" i="16" s="1"/>
  <c r="AA56" i="16"/>
  <c r="AB48" i="16"/>
  <c r="AC48" i="16" s="1"/>
  <c r="AA48" i="16"/>
  <c r="AB32" i="16"/>
  <c r="AC32" i="16" s="1"/>
  <c r="AA32" i="16"/>
  <c r="AA104" i="16"/>
  <c r="AB104" i="16"/>
  <c r="AC104" i="16" s="1"/>
  <c r="AA72" i="16"/>
  <c r="AB72" i="16"/>
  <c r="AC72" i="16" s="1"/>
  <c r="AA24" i="16"/>
  <c r="AB24" i="16"/>
  <c r="AC24" i="16" s="1"/>
  <c r="AA76" i="16"/>
  <c r="AB76" i="16"/>
  <c r="AC76" i="16" s="1"/>
  <c r="AA120" i="16"/>
  <c r="AB120" i="16"/>
  <c r="AC120" i="16" s="1"/>
  <c r="AA112" i="16"/>
  <c r="AB112" i="16"/>
  <c r="AC112" i="16" s="1"/>
  <c r="AB60" i="16"/>
  <c r="AC60" i="16" s="1"/>
  <c r="AA60" i="16"/>
  <c r="AA100" i="16"/>
  <c r="AB100" i="16"/>
  <c r="AC100" i="16" s="1"/>
  <c r="AA16" i="16"/>
  <c r="AB16" i="16"/>
  <c r="AC16" i="16" s="1"/>
  <c r="AA123" i="16"/>
  <c r="AB123" i="16"/>
  <c r="AC123" i="16" s="1"/>
  <c r="AA106" i="16"/>
  <c r="AB106" i="16"/>
  <c r="AC106" i="16" s="1"/>
  <c r="AB74" i="16"/>
  <c r="AC74" i="16" s="1"/>
  <c r="AA122" i="16"/>
  <c r="AB122" i="16"/>
  <c r="AC122" i="16" s="1"/>
  <c r="AA118" i="16"/>
  <c r="AB118" i="16"/>
  <c r="AC118" i="16" s="1"/>
  <c r="AA110" i="16"/>
  <c r="AB110" i="16"/>
  <c r="AC110" i="16" s="1"/>
  <c r="AA86" i="16"/>
  <c r="AB86" i="16"/>
  <c r="AC86" i="16" s="1"/>
  <c r="AB127" i="16"/>
  <c r="AC127" i="16" s="1"/>
  <c r="AA125" i="16"/>
  <c r="AB125" i="16"/>
  <c r="AC125" i="16" s="1"/>
  <c r="AA121" i="16"/>
  <c r="AB121" i="16"/>
  <c r="AC121" i="16" s="1"/>
  <c r="AA117" i="16"/>
  <c r="AB117" i="16"/>
  <c r="AC117" i="16" s="1"/>
  <c r="AA113" i="16"/>
  <c r="AB113" i="16"/>
  <c r="AC113" i="16" s="1"/>
  <c r="AA109" i="16"/>
  <c r="AB109" i="16"/>
  <c r="AC109" i="16" s="1"/>
  <c r="AA98" i="16"/>
  <c r="AB98" i="16"/>
  <c r="AC98" i="16" s="1"/>
  <c r="AB82" i="16"/>
  <c r="AC82" i="16" s="1"/>
  <c r="AB62" i="16"/>
  <c r="AC62" i="16" s="1"/>
  <c r="AA62" i="16"/>
  <c r="AB54" i="16"/>
  <c r="AC54" i="16" s="1"/>
  <c r="AA54" i="16"/>
  <c r="AB66" i="16"/>
  <c r="AC66" i="16" s="1"/>
  <c r="AA66" i="16"/>
  <c r="AA84" i="16"/>
  <c r="AB84" i="16"/>
  <c r="AC84" i="16" s="1"/>
  <c r="AB42" i="16"/>
  <c r="AC42" i="16" s="1"/>
  <c r="AA42" i="16"/>
  <c r="AA20" i="16"/>
  <c r="AB20" i="16"/>
  <c r="AC20" i="16" s="1"/>
  <c r="AA71" i="16"/>
  <c r="AB71" i="16"/>
  <c r="AC71" i="16" s="1"/>
  <c r="AB23" i="16"/>
  <c r="AC23" i="16" s="1"/>
  <c r="AA23" i="16"/>
  <c r="AB15" i="16"/>
  <c r="AC15" i="16" s="1"/>
  <c r="AA15" i="16"/>
  <c r="P2" i="7"/>
  <c r="E32" i="7" l="1"/>
  <c r="E33" i="7"/>
  <c r="E34" i="7"/>
  <c r="E35" i="7"/>
  <c r="E36" i="7"/>
  <c r="E37" i="7"/>
  <c r="E38" i="7"/>
  <c r="E39" i="7"/>
  <c r="E40" i="7"/>
  <c r="E41" i="7"/>
  <c r="E42" i="7"/>
  <c r="E43" i="7"/>
  <c r="E44" i="7"/>
  <c r="C5" i="6"/>
  <c r="C6" i="6"/>
  <c r="C7" i="6"/>
  <c r="C8" i="6"/>
  <c r="D41" i="7" l="1"/>
  <c r="M41" i="7" s="1"/>
  <c r="D35" i="7"/>
  <c r="I35" i="7" s="1"/>
  <c r="D42" i="7"/>
  <c r="G42" i="7" s="1"/>
  <c r="D34" i="7"/>
  <c r="I34" i="7" s="1"/>
  <c r="D43" i="7"/>
  <c r="F43" i="7" s="1"/>
  <c r="K42" i="7" l="1"/>
  <c r="G35" i="7"/>
  <c r="F35" i="7"/>
  <c r="B6" i="6"/>
  <c r="D39" i="7"/>
  <c r="D32" i="7"/>
  <c r="M35" i="7"/>
  <c r="O41" i="7"/>
  <c r="O42" i="7"/>
  <c r="K35" i="7"/>
  <c r="M42" i="7"/>
  <c r="K43" i="7"/>
  <c r="I43" i="7"/>
  <c r="I41" i="7"/>
  <c r="F34" i="7"/>
  <c r="D44" i="7"/>
  <c r="K41" i="7"/>
  <c r="M34" i="7"/>
  <c r="O43" i="7"/>
  <c r="M43" i="7"/>
  <c r="B8" i="6"/>
  <c r="D37" i="7"/>
  <c r="D33" i="7"/>
  <c r="O35" i="7"/>
  <c r="K34" i="7"/>
  <c r="G43" i="7"/>
  <c r="F42" i="7"/>
  <c r="G34" i="7"/>
  <c r="G41" i="7"/>
  <c r="F41" i="7"/>
  <c r="D40" i="7"/>
  <c r="B5" i="6"/>
  <c r="D38" i="7"/>
  <c r="O34" i="7"/>
  <c r="I42" i="7"/>
  <c r="G5" i="6" l="1"/>
  <c r="I5" i="6"/>
  <c r="K5" i="6"/>
  <c r="M5" i="6"/>
  <c r="E5" i="6"/>
  <c r="D5" i="6"/>
  <c r="K40" i="7"/>
  <c r="G40" i="7"/>
  <c r="F40" i="7"/>
  <c r="I40" i="7"/>
  <c r="M40" i="7"/>
  <c r="O40" i="7"/>
  <c r="F33" i="7"/>
  <c r="K33" i="7"/>
  <c r="I33" i="7"/>
  <c r="G33" i="7"/>
  <c r="M33" i="7"/>
  <c r="O33" i="7"/>
  <c r="O44" i="7"/>
  <c r="I44" i="7"/>
  <c r="M44" i="7"/>
  <c r="F44" i="7"/>
  <c r="K44" i="7"/>
  <c r="G44" i="7"/>
  <c r="I32" i="7"/>
  <c r="K32" i="7"/>
  <c r="F32" i="7"/>
  <c r="M32" i="7"/>
  <c r="G32" i="7"/>
  <c r="O32" i="7"/>
  <c r="G37" i="7"/>
  <c r="F37" i="7"/>
  <c r="O37" i="7"/>
  <c r="K37" i="7"/>
  <c r="I37" i="7"/>
  <c r="M37" i="7"/>
  <c r="O39" i="7"/>
  <c r="I39" i="7"/>
  <c r="F39" i="7"/>
  <c r="K39" i="7"/>
  <c r="M39" i="7"/>
  <c r="G39" i="7"/>
  <c r="F38" i="7"/>
  <c r="O38" i="7"/>
  <c r="G38" i="7"/>
  <c r="I38" i="7"/>
  <c r="K38" i="7"/>
  <c r="M38" i="7"/>
  <c r="K8" i="6"/>
  <c r="E8" i="6"/>
  <c r="D8" i="6"/>
  <c r="G8" i="6"/>
  <c r="M8" i="6"/>
  <c r="I8" i="6"/>
  <c r="M6" i="6"/>
  <c r="I6" i="6"/>
  <c r="G6" i="6"/>
  <c r="D6" i="6"/>
  <c r="K6" i="6"/>
  <c r="E6" i="6"/>
  <c r="L40" i="7" l="1"/>
  <c r="H32" i="7"/>
  <c r="J32" i="7"/>
  <c r="J35" i="7"/>
  <c r="P32" i="7"/>
  <c r="H41" i="7"/>
  <c r="L32" i="7"/>
  <c r="H37" i="7"/>
  <c r="N32" i="7"/>
  <c r="J33" i="7"/>
  <c r="P44" i="7"/>
  <c r="L42" i="7"/>
  <c r="P41" i="7"/>
  <c r="L38" i="7"/>
  <c r="N42" i="7"/>
  <c r="H44" i="7"/>
  <c r="H33" i="7"/>
  <c r="L39" i="7"/>
  <c r="N41" i="7"/>
  <c r="J38" i="7"/>
  <c r="H40" i="7"/>
  <c r="J34" i="7"/>
  <c r="H34" i="7"/>
  <c r="N39" i="7"/>
  <c r="J40" i="7"/>
  <c r="N33" i="7"/>
  <c r="P38" i="7"/>
  <c r="H38" i="7"/>
  <c r="P43" i="7"/>
  <c r="P42" i="7"/>
  <c r="N37" i="7"/>
  <c r="L43" i="7"/>
  <c r="P40" i="7"/>
  <c r="L41" i="7"/>
  <c r="N43" i="7"/>
  <c r="P35" i="7"/>
  <c r="J39" i="7"/>
  <c r="J41" i="7"/>
  <c r="N34" i="7"/>
  <c r="L33" i="7"/>
  <c r="P39" i="7"/>
  <c r="N38" i="7"/>
  <c r="J37" i="7"/>
  <c r="P33" i="7"/>
  <c r="H42" i="7"/>
  <c r="J44" i="7"/>
  <c r="L35" i="7"/>
  <c r="H39" i="7"/>
  <c r="J43" i="7"/>
  <c r="N40" i="7"/>
  <c r="H35" i="7"/>
  <c r="L37" i="7"/>
  <c r="L34" i="7"/>
  <c r="P37" i="7"/>
  <c r="P34" i="7"/>
  <c r="J42" i="7"/>
  <c r="L44" i="7"/>
  <c r="N35" i="7"/>
  <c r="H43" i="7"/>
  <c r="N44" i="7"/>
  <c r="D4" i="7" l="1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E45" i="7" l="1"/>
  <c r="N5" i="5"/>
  <c r="O5" i="5" s="1"/>
  <c r="N6" i="5"/>
  <c r="O6" i="5" s="1"/>
  <c r="N7" i="5"/>
  <c r="O7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N30" i="5"/>
  <c r="O30" i="5" s="1"/>
  <c r="N31" i="5"/>
  <c r="O31" i="5" s="1"/>
  <c r="N32" i="5"/>
  <c r="O32" i="5" s="1"/>
  <c r="N33" i="5"/>
  <c r="O33" i="5" s="1"/>
  <c r="N34" i="5"/>
  <c r="O34" i="5" s="1"/>
  <c r="N35" i="5"/>
  <c r="O35" i="5" s="1"/>
  <c r="N36" i="5"/>
  <c r="O36" i="5" s="1"/>
  <c r="N37" i="5"/>
  <c r="O37" i="5" s="1"/>
  <c r="N38" i="5"/>
  <c r="O38" i="5" s="1"/>
  <c r="N39" i="5"/>
  <c r="O39" i="5" s="1"/>
  <c r="N40" i="5"/>
  <c r="O40" i="5" s="1"/>
  <c r="N41" i="5"/>
  <c r="O41" i="5" s="1"/>
  <c r="N42" i="5"/>
  <c r="O42" i="5" s="1"/>
  <c r="N43" i="5"/>
  <c r="O43" i="5" s="1"/>
  <c r="N44" i="5"/>
  <c r="O44" i="5" s="1"/>
  <c r="N45" i="5"/>
  <c r="O45" i="5" s="1"/>
  <c r="N46" i="5"/>
  <c r="O46" i="5" s="1"/>
  <c r="N47" i="5"/>
  <c r="O47" i="5" s="1"/>
  <c r="N48" i="5"/>
  <c r="O48" i="5" s="1"/>
  <c r="N49" i="5"/>
  <c r="O49" i="5" s="1"/>
  <c r="N50" i="5"/>
  <c r="O50" i="5" s="1"/>
  <c r="N51" i="5"/>
  <c r="O51" i="5" s="1"/>
  <c r="N52" i="5"/>
  <c r="O52" i="5" s="1"/>
  <c r="N53" i="5"/>
  <c r="O53" i="5" s="1"/>
  <c r="N54" i="5"/>
  <c r="O54" i="5" s="1"/>
  <c r="N55" i="5"/>
  <c r="O55" i="5" s="1"/>
  <c r="N56" i="5"/>
  <c r="O56" i="5" s="1"/>
  <c r="N57" i="5"/>
  <c r="O57" i="5" s="1"/>
  <c r="N58" i="5"/>
  <c r="O58" i="5" s="1"/>
  <c r="N59" i="5"/>
  <c r="O59" i="5" s="1"/>
  <c r="N60" i="5"/>
  <c r="O60" i="5" s="1"/>
  <c r="N61" i="5"/>
  <c r="O61" i="5" s="1"/>
  <c r="N62" i="5"/>
  <c r="O62" i="5" s="1"/>
  <c r="N63" i="5"/>
  <c r="O63" i="5" s="1"/>
  <c r="N64" i="5"/>
  <c r="O64" i="5" s="1"/>
  <c r="N65" i="5"/>
  <c r="O65" i="5" s="1"/>
  <c r="N66" i="5"/>
  <c r="O66" i="5" s="1"/>
  <c r="N67" i="5"/>
  <c r="O67" i="5" s="1"/>
  <c r="N68" i="5"/>
  <c r="O68" i="5" s="1"/>
  <c r="N69" i="5"/>
  <c r="O69" i="5" s="1"/>
  <c r="N70" i="5"/>
  <c r="O70" i="5" s="1"/>
  <c r="N71" i="5"/>
  <c r="O71" i="5" s="1"/>
  <c r="N72" i="5"/>
  <c r="O72" i="5" s="1"/>
  <c r="N73" i="5"/>
  <c r="O73" i="5" s="1"/>
  <c r="N74" i="5"/>
  <c r="O74" i="5" s="1"/>
  <c r="N75" i="5"/>
  <c r="O75" i="5" s="1"/>
  <c r="N76" i="5"/>
  <c r="O76" i="5" s="1"/>
  <c r="N77" i="5"/>
  <c r="O77" i="5" s="1"/>
  <c r="N78" i="5"/>
  <c r="O78" i="5" s="1"/>
  <c r="N79" i="5"/>
  <c r="O79" i="5" s="1"/>
  <c r="N80" i="5"/>
  <c r="O80" i="5" s="1"/>
  <c r="N81" i="5"/>
  <c r="O81" i="5" s="1"/>
  <c r="N82" i="5"/>
  <c r="O82" i="5" s="1"/>
  <c r="N83" i="5"/>
  <c r="O83" i="5" s="1"/>
  <c r="N84" i="5"/>
  <c r="O84" i="5" s="1"/>
  <c r="N85" i="5"/>
  <c r="O85" i="5" s="1"/>
  <c r="N86" i="5"/>
  <c r="O86" i="5" s="1"/>
  <c r="N87" i="5"/>
  <c r="O87" i="5" s="1"/>
  <c r="N88" i="5"/>
  <c r="O88" i="5" s="1"/>
  <c r="N89" i="5"/>
  <c r="O89" i="5" s="1"/>
  <c r="N90" i="5"/>
  <c r="O90" i="5" s="1"/>
  <c r="N91" i="5"/>
  <c r="O91" i="5" s="1"/>
  <c r="N92" i="5"/>
  <c r="O92" i="5" s="1"/>
  <c r="N93" i="5"/>
  <c r="O93" i="5" s="1"/>
  <c r="N94" i="5"/>
  <c r="O94" i="5" s="1"/>
  <c r="N95" i="5"/>
  <c r="O95" i="5" s="1"/>
  <c r="N96" i="5"/>
  <c r="O96" i="5" s="1"/>
  <c r="N97" i="5"/>
  <c r="O97" i="5" s="1"/>
  <c r="N98" i="5"/>
  <c r="O98" i="5" s="1"/>
  <c r="N99" i="5"/>
  <c r="O99" i="5" s="1"/>
  <c r="N100" i="5"/>
  <c r="O100" i="5" s="1"/>
  <c r="N101" i="5"/>
  <c r="O101" i="5" s="1"/>
  <c r="N102" i="5"/>
  <c r="O102" i="5" s="1"/>
  <c r="N103" i="5"/>
  <c r="O103" i="5" s="1"/>
  <c r="N104" i="5"/>
  <c r="O104" i="5" s="1"/>
  <c r="N105" i="5"/>
  <c r="O105" i="5" s="1"/>
  <c r="N106" i="5"/>
  <c r="O106" i="5" s="1"/>
  <c r="N107" i="5"/>
  <c r="O107" i="5" s="1"/>
  <c r="N108" i="5"/>
  <c r="O108" i="5" s="1"/>
  <c r="N109" i="5"/>
  <c r="O109" i="5" s="1"/>
  <c r="N110" i="5"/>
  <c r="O110" i="5" s="1"/>
  <c r="N111" i="5"/>
  <c r="O111" i="5" s="1"/>
  <c r="N112" i="5"/>
  <c r="O112" i="5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4" i="5"/>
  <c r="O4" i="5" s="1"/>
  <c r="L124" i="5" l="1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7" i="5"/>
  <c r="L6" i="5"/>
  <c r="L5" i="5"/>
  <c r="L4" i="5"/>
  <c r="J5" i="5"/>
  <c r="J6" i="5"/>
  <c r="J7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4" i="5"/>
  <c r="G5" i="5" l="1"/>
  <c r="G6" i="5"/>
  <c r="G7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H123" i="5" l="1"/>
  <c r="B1" i="7" l="1"/>
  <c r="A1" i="6"/>
  <c r="N2" i="6" l="1"/>
  <c r="J5" i="6" l="1"/>
  <c r="H5" i="6"/>
  <c r="N5" i="6"/>
  <c r="F5" i="6"/>
  <c r="L5" i="6"/>
  <c r="N6" i="6"/>
  <c r="H6" i="6"/>
  <c r="F6" i="6"/>
  <c r="L6" i="6"/>
  <c r="J6" i="6"/>
  <c r="N8" i="6"/>
  <c r="F8" i="6"/>
  <c r="L8" i="6"/>
  <c r="H8" i="6"/>
  <c r="J8" i="6"/>
  <c r="M4" i="5"/>
  <c r="H120" i="5" l="1"/>
  <c r="K120" i="5"/>
  <c r="M120" i="5"/>
  <c r="H112" i="5"/>
  <c r="K112" i="5"/>
  <c r="M112" i="5"/>
  <c r="H92" i="5"/>
  <c r="K92" i="5"/>
  <c r="M92" i="5"/>
  <c r="H85" i="5"/>
  <c r="M85" i="5"/>
  <c r="K85" i="5"/>
  <c r="H81" i="5"/>
  <c r="M81" i="5"/>
  <c r="K81" i="5"/>
  <c r="H77" i="5"/>
  <c r="M77" i="5"/>
  <c r="K77" i="5"/>
  <c r="H70" i="5"/>
  <c r="K70" i="5"/>
  <c r="M70" i="5"/>
  <c r="H63" i="5"/>
  <c r="K63" i="5"/>
  <c r="M63" i="5"/>
  <c r="H59" i="5"/>
  <c r="M59" i="5"/>
  <c r="K59" i="5"/>
  <c r="H55" i="5"/>
  <c r="M55" i="5"/>
  <c r="K55" i="5"/>
  <c r="H51" i="5"/>
  <c r="M51" i="5"/>
  <c r="K51" i="5"/>
  <c r="H47" i="5"/>
  <c r="M47" i="5"/>
  <c r="K47" i="5"/>
  <c r="H43" i="5"/>
  <c r="M43" i="5"/>
  <c r="K43" i="5"/>
  <c r="H39" i="5"/>
  <c r="K39" i="5"/>
  <c r="M39" i="5"/>
  <c r="H36" i="5"/>
  <c r="M36" i="5"/>
  <c r="K36" i="5"/>
  <c r="H32" i="5"/>
  <c r="K32" i="5"/>
  <c r="M32" i="5"/>
  <c r="H28" i="5"/>
  <c r="M28" i="5"/>
  <c r="K28" i="5"/>
  <c r="H24" i="5"/>
  <c r="M24" i="5"/>
  <c r="K24" i="5"/>
  <c r="H20" i="5"/>
  <c r="M20" i="5"/>
  <c r="K20" i="5"/>
  <c r="H16" i="5"/>
  <c r="M16" i="5"/>
  <c r="K16" i="5"/>
  <c r="H12" i="5"/>
  <c r="M12" i="5"/>
  <c r="K12" i="5"/>
  <c r="M123" i="5"/>
  <c r="K123" i="5"/>
  <c r="H119" i="5"/>
  <c r="K119" i="5"/>
  <c r="M119" i="5"/>
  <c r="H115" i="5"/>
  <c r="M115" i="5"/>
  <c r="K115" i="5"/>
  <c r="H111" i="5"/>
  <c r="K111" i="5"/>
  <c r="M111" i="5"/>
  <c r="H107" i="5"/>
  <c r="M107" i="5"/>
  <c r="K107" i="5"/>
  <c r="H103" i="5"/>
  <c r="K103" i="5"/>
  <c r="M103" i="5"/>
  <c r="H99" i="5"/>
  <c r="M99" i="5"/>
  <c r="K99" i="5"/>
  <c r="H95" i="5"/>
  <c r="K95" i="5"/>
  <c r="M95" i="5"/>
  <c r="H91" i="5"/>
  <c r="M91" i="5"/>
  <c r="K91" i="5"/>
  <c r="H88" i="5"/>
  <c r="K88" i="5"/>
  <c r="M88" i="5"/>
  <c r="H84" i="5"/>
  <c r="M84" i="5"/>
  <c r="K84" i="5"/>
  <c r="H80" i="5"/>
  <c r="K80" i="5"/>
  <c r="M80" i="5"/>
  <c r="H76" i="5"/>
  <c r="M76" i="5"/>
  <c r="K76" i="5"/>
  <c r="H73" i="5"/>
  <c r="K73" i="5"/>
  <c r="M73" i="5"/>
  <c r="H69" i="5"/>
  <c r="M69" i="5"/>
  <c r="K69" i="5"/>
  <c r="K66" i="5"/>
  <c r="M66" i="5"/>
  <c r="H62" i="5"/>
  <c r="M62" i="5"/>
  <c r="K62" i="5"/>
  <c r="H58" i="5"/>
  <c r="K58" i="5"/>
  <c r="M58" i="5"/>
  <c r="H54" i="5"/>
  <c r="M54" i="5"/>
  <c r="K54" i="5"/>
  <c r="H50" i="5"/>
  <c r="K50" i="5"/>
  <c r="M50" i="5"/>
  <c r="H46" i="5"/>
  <c r="M46" i="5"/>
  <c r="K46" i="5"/>
  <c r="H42" i="5"/>
  <c r="K42" i="5"/>
  <c r="M42" i="5"/>
  <c r="H35" i="5"/>
  <c r="K35" i="5"/>
  <c r="M35" i="5"/>
  <c r="H31" i="5"/>
  <c r="M31" i="5"/>
  <c r="K31" i="5"/>
  <c r="H27" i="5"/>
  <c r="K27" i="5"/>
  <c r="M27" i="5"/>
  <c r="H23" i="5"/>
  <c r="M23" i="5"/>
  <c r="K23" i="5"/>
  <c r="H19" i="5"/>
  <c r="M19" i="5"/>
  <c r="K19" i="5"/>
  <c r="H15" i="5"/>
  <c r="K15" i="5"/>
  <c r="M15" i="5"/>
  <c r="H11" i="5"/>
  <c r="K11" i="5"/>
  <c r="M11" i="5"/>
  <c r="H7" i="5"/>
  <c r="M7" i="5"/>
  <c r="K7" i="5"/>
  <c r="H116" i="5"/>
  <c r="K116" i="5"/>
  <c r="M116" i="5"/>
  <c r="H100" i="5"/>
  <c r="K100" i="5"/>
  <c r="M100" i="5"/>
  <c r="H94" i="5"/>
  <c r="M94" i="5"/>
  <c r="K94" i="5"/>
  <c r="H87" i="5"/>
  <c r="M87" i="5"/>
  <c r="K87" i="5"/>
  <c r="H79" i="5"/>
  <c r="M79" i="5"/>
  <c r="K79" i="5"/>
  <c r="H72" i="5"/>
  <c r="M72" i="5"/>
  <c r="K72" i="5"/>
  <c r="H68" i="5"/>
  <c r="M68" i="5"/>
  <c r="K68" i="5"/>
  <c r="H61" i="5"/>
  <c r="M61" i="5"/>
  <c r="K61" i="5"/>
  <c r="H49" i="5"/>
  <c r="M49" i="5"/>
  <c r="K49" i="5"/>
  <c r="H30" i="5"/>
  <c r="M30" i="5"/>
  <c r="K30" i="5"/>
  <c r="H26" i="5"/>
  <c r="M26" i="5"/>
  <c r="K26" i="5"/>
  <c r="H22" i="5"/>
  <c r="M22" i="5"/>
  <c r="K22" i="5"/>
  <c r="H18" i="5"/>
  <c r="M18" i="5"/>
  <c r="K18" i="5"/>
  <c r="H14" i="5"/>
  <c r="M14" i="5"/>
  <c r="K14" i="5"/>
  <c r="H10" i="5"/>
  <c r="K10" i="5"/>
  <c r="M10" i="5"/>
  <c r="H6" i="5"/>
  <c r="M6" i="5"/>
  <c r="K6" i="5"/>
  <c r="H124" i="5"/>
  <c r="K124" i="5"/>
  <c r="M124" i="5"/>
  <c r="H108" i="5"/>
  <c r="K108" i="5"/>
  <c r="M108" i="5"/>
  <c r="H104" i="5"/>
  <c r="K104" i="5"/>
  <c r="M104" i="5"/>
  <c r="H96" i="5"/>
  <c r="K96" i="5"/>
  <c r="M96" i="5"/>
  <c r="H89" i="5"/>
  <c r="K89" i="5"/>
  <c r="M89" i="5"/>
  <c r="H122" i="5"/>
  <c r="M122" i="5"/>
  <c r="K122" i="5"/>
  <c r="H118" i="5"/>
  <c r="M118" i="5"/>
  <c r="K118" i="5"/>
  <c r="H114" i="5"/>
  <c r="M114" i="5"/>
  <c r="K114" i="5"/>
  <c r="H110" i="5"/>
  <c r="M110" i="5"/>
  <c r="K110" i="5"/>
  <c r="H106" i="5"/>
  <c r="M106" i="5"/>
  <c r="K106" i="5"/>
  <c r="H102" i="5"/>
  <c r="M102" i="5"/>
  <c r="K102" i="5"/>
  <c r="H98" i="5"/>
  <c r="M98" i="5"/>
  <c r="K98" i="5"/>
  <c r="H83" i="5"/>
  <c r="M83" i="5"/>
  <c r="K83" i="5"/>
  <c r="H75" i="5"/>
  <c r="M75" i="5"/>
  <c r="K75" i="5"/>
  <c r="H65" i="5"/>
  <c r="M65" i="5"/>
  <c r="K65" i="5"/>
  <c r="H57" i="5"/>
  <c r="M57" i="5"/>
  <c r="K57" i="5"/>
  <c r="H53" i="5"/>
  <c r="M53" i="5"/>
  <c r="K53" i="5"/>
  <c r="H45" i="5"/>
  <c r="M45" i="5"/>
  <c r="K45" i="5"/>
  <c r="H41" i="5"/>
  <c r="M41" i="5"/>
  <c r="K41" i="5"/>
  <c r="H38" i="5"/>
  <c r="M38" i="5"/>
  <c r="K38" i="5"/>
  <c r="H34" i="5"/>
  <c r="M34" i="5"/>
  <c r="K34" i="5"/>
  <c r="H121" i="5"/>
  <c r="M121" i="5"/>
  <c r="K121" i="5"/>
  <c r="H117" i="5"/>
  <c r="M117" i="5"/>
  <c r="K117" i="5"/>
  <c r="H113" i="5"/>
  <c r="M113" i="5"/>
  <c r="K113" i="5"/>
  <c r="H109" i="5"/>
  <c r="M109" i="5"/>
  <c r="K109" i="5"/>
  <c r="H105" i="5"/>
  <c r="M105" i="5"/>
  <c r="K105" i="5"/>
  <c r="H101" i="5"/>
  <c r="M101" i="5"/>
  <c r="K101" i="5"/>
  <c r="H97" i="5"/>
  <c r="M97" i="5"/>
  <c r="K97" i="5"/>
  <c r="H93" i="5"/>
  <c r="M93" i="5"/>
  <c r="K93" i="5"/>
  <c r="H90" i="5"/>
  <c r="M90" i="5"/>
  <c r="K90" i="5"/>
  <c r="H86" i="5"/>
  <c r="M86" i="5"/>
  <c r="K86" i="5"/>
  <c r="H82" i="5"/>
  <c r="M82" i="5"/>
  <c r="K82" i="5"/>
  <c r="H78" i="5"/>
  <c r="M78" i="5"/>
  <c r="K78" i="5"/>
  <c r="H74" i="5"/>
  <c r="M74" i="5"/>
  <c r="K74" i="5"/>
  <c r="H71" i="5"/>
  <c r="M71" i="5"/>
  <c r="K71" i="5"/>
  <c r="H67" i="5"/>
  <c r="M67" i="5"/>
  <c r="K67" i="5"/>
  <c r="H64" i="5"/>
  <c r="M64" i="5"/>
  <c r="K64" i="5"/>
  <c r="H60" i="5"/>
  <c r="M60" i="5"/>
  <c r="K60" i="5"/>
  <c r="H56" i="5"/>
  <c r="M56" i="5"/>
  <c r="K56" i="5"/>
  <c r="H52" i="5"/>
  <c r="M52" i="5"/>
  <c r="K52" i="5"/>
  <c r="H48" i="5"/>
  <c r="M48" i="5"/>
  <c r="K48" i="5"/>
  <c r="H44" i="5"/>
  <c r="M44" i="5"/>
  <c r="K44" i="5"/>
  <c r="H40" i="5"/>
  <c r="M40" i="5"/>
  <c r="K40" i="5"/>
  <c r="H37" i="5"/>
  <c r="M37" i="5"/>
  <c r="K37" i="5"/>
  <c r="H33" i="5"/>
  <c r="M33" i="5"/>
  <c r="K33" i="5"/>
  <c r="H29" i="5"/>
  <c r="M29" i="5"/>
  <c r="K29" i="5"/>
  <c r="H25" i="5"/>
  <c r="M25" i="5"/>
  <c r="K25" i="5"/>
  <c r="H21" i="5"/>
  <c r="M21" i="5"/>
  <c r="K21" i="5"/>
  <c r="H17" i="5"/>
  <c r="M17" i="5"/>
  <c r="K17" i="5"/>
  <c r="H13" i="5"/>
  <c r="I13" i="5" s="1"/>
  <c r="M13" i="5"/>
  <c r="K13" i="5"/>
  <c r="H9" i="5"/>
  <c r="M9" i="5"/>
  <c r="K9" i="5"/>
  <c r="H5" i="5"/>
  <c r="M5" i="5"/>
  <c r="K5" i="5"/>
  <c r="H4" i="5"/>
  <c r="K4" i="5"/>
  <c r="H66" i="5"/>
  <c r="M31" i="7"/>
  <c r="G31" i="7" l="1"/>
  <c r="H31" i="7" s="1"/>
  <c r="I31" i="7"/>
  <c r="J31" i="7" s="1"/>
  <c r="K31" i="7"/>
  <c r="L31" i="7" s="1"/>
  <c r="F31" i="7"/>
  <c r="N31" i="7" s="1"/>
  <c r="O31" i="7"/>
  <c r="P31" i="7" s="1"/>
  <c r="C9" i="6" l="1"/>
  <c r="C4" i="6" l="1"/>
  <c r="C10" i="6" s="1"/>
  <c r="I4" i="5" l="1"/>
  <c r="P4" i="5"/>
  <c r="Q4" i="5" s="1"/>
  <c r="G4" i="5"/>
  <c r="M4" i="7" l="1"/>
  <c r="B4" i="6"/>
  <c r="I10" i="5"/>
  <c r="P10" i="5"/>
  <c r="Q10" i="5" s="1"/>
  <c r="P124" i="5"/>
  <c r="Q124" i="5" s="1"/>
  <c r="I124" i="5"/>
  <c r="P120" i="5"/>
  <c r="Q120" i="5" s="1"/>
  <c r="I120" i="5"/>
  <c r="I118" i="5"/>
  <c r="P118" i="5"/>
  <c r="Q118" i="5" s="1"/>
  <c r="I114" i="5"/>
  <c r="P114" i="5"/>
  <c r="Q114" i="5" s="1"/>
  <c r="I108" i="5"/>
  <c r="P108" i="5"/>
  <c r="Q108" i="5" s="1"/>
  <c r="P104" i="5"/>
  <c r="Q104" i="5" s="1"/>
  <c r="I104" i="5"/>
  <c r="I100" i="5"/>
  <c r="P100" i="5"/>
  <c r="Q100" i="5" s="1"/>
  <c r="I96" i="5"/>
  <c r="P96" i="5"/>
  <c r="Q96" i="5" s="1"/>
  <c r="P94" i="5"/>
  <c r="Q94" i="5" s="1"/>
  <c r="I94" i="5"/>
  <c r="P87" i="5"/>
  <c r="Q87" i="5" s="1"/>
  <c r="I87" i="5"/>
  <c r="P83" i="5"/>
  <c r="Q83" i="5" s="1"/>
  <c r="I83" i="5"/>
  <c r="P79" i="5"/>
  <c r="Q79" i="5" s="1"/>
  <c r="I79" i="5"/>
  <c r="I75" i="5"/>
  <c r="P75" i="5"/>
  <c r="Q75" i="5" s="1"/>
  <c r="I72" i="5"/>
  <c r="P72" i="5"/>
  <c r="Q72" i="5" s="1"/>
  <c r="I68" i="5"/>
  <c r="P68" i="5"/>
  <c r="Q68" i="5" s="1"/>
  <c r="P65" i="5"/>
  <c r="Q65" i="5" s="1"/>
  <c r="I65" i="5"/>
  <c r="M30" i="7"/>
  <c r="I61" i="5"/>
  <c r="P61" i="5"/>
  <c r="Q61" i="5" s="1"/>
  <c r="M29" i="7"/>
  <c r="P57" i="5"/>
  <c r="Q57" i="5" s="1"/>
  <c r="I57" i="5"/>
  <c r="I51" i="5"/>
  <c r="P51" i="5"/>
  <c r="Q51" i="5" s="1"/>
  <c r="P47" i="5"/>
  <c r="Q47" i="5" s="1"/>
  <c r="I47" i="5"/>
  <c r="M20" i="7"/>
  <c r="P43" i="5"/>
  <c r="Q43" i="5" s="1"/>
  <c r="I43" i="5"/>
  <c r="I41" i="5"/>
  <c r="P41" i="5"/>
  <c r="Q41" i="5" s="1"/>
  <c r="M16" i="7"/>
  <c r="P38" i="5"/>
  <c r="Q38" i="5" s="1"/>
  <c r="I38" i="5"/>
  <c r="I34" i="5"/>
  <c r="P34" i="5"/>
  <c r="Q34" i="5" s="1"/>
  <c r="I28" i="5"/>
  <c r="P28" i="5"/>
  <c r="Q28" i="5" s="1"/>
  <c r="M12" i="7"/>
  <c r="P24" i="5"/>
  <c r="Q24" i="5" s="1"/>
  <c r="I24" i="5"/>
  <c r="M10" i="7"/>
  <c r="P20" i="5"/>
  <c r="Q20" i="5" s="1"/>
  <c r="I20" i="5"/>
  <c r="I16" i="5"/>
  <c r="P16" i="5"/>
  <c r="Q16" i="5" s="1"/>
  <c r="I14" i="5"/>
  <c r="P14" i="5"/>
  <c r="Q14" i="5" s="1"/>
  <c r="I6" i="5"/>
  <c r="P6" i="5"/>
  <c r="Q6" i="5" s="1"/>
  <c r="I123" i="5"/>
  <c r="P123" i="5"/>
  <c r="Q123" i="5" s="1"/>
  <c r="I121" i="5"/>
  <c r="P121" i="5"/>
  <c r="Q121" i="5" s="1"/>
  <c r="P119" i="5"/>
  <c r="Q119" i="5" s="1"/>
  <c r="I119" i="5"/>
  <c r="I117" i="5"/>
  <c r="P117" i="5"/>
  <c r="Q117" i="5" s="1"/>
  <c r="I115" i="5"/>
  <c r="P115" i="5"/>
  <c r="Q115" i="5" s="1"/>
  <c r="I113" i="5"/>
  <c r="P113" i="5"/>
  <c r="Q113" i="5" s="1"/>
  <c r="I111" i="5"/>
  <c r="P111" i="5"/>
  <c r="Q111" i="5" s="1"/>
  <c r="P109" i="5"/>
  <c r="Q109" i="5" s="1"/>
  <c r="I109" i="5"/>
  <c r="P107" i="5"/>
  <c r="Q107" i="5" s="1"/>
  <c r="I107" i="5"/>
  <c r="I105" i="5"/>
  <c r="P105" i="5"/>
  <c r="Q105" i="5" s="1"/>
  <c r="P103" i="5"/>
  <c r="Q103" i="5" s="1"/>
  <c r="I103" i="5"/>
  <c r="I101" i="5"/>
  <c r="P101" i="5"/>
  <c r="Q101" i="5" s="1"/>
  <c r="P99" i="5"/>
  <c r="Q99" i="5" s="1"/>
  <c r="I99" i="5"/>
  <c r="P97" i="5"/>
  <c r="Q97" i="5" s="1"/>
  <c r="I97" i="5"/>
  <c r="I95" i="5"/>
  <c r="P95" i="5"/>
  <c r="Q95" i="5" s="1"/>
  <c r="I93" i="5"/>
  <c r="P93" i="5"/>
  <c r="Q93" i="5" s="1"/>
  <c r="I91" i="5"/>
  <c r="P91" i="5"/>
  <c r="Q91" i="5" s="1"/>
  <c r="I90" i="5"/>
  <c r="P90" i="5"/>
  <c r="Q90" i="5" s="1"/>
  <c r="I88" i="5"/>
  <c r="P88" i="5"/>
  <c r="Q88" i="5" s="1"/>
  <c r="I86" i="5"/>
  <c r="P86" i="5"/>
  <c r="Q86" i="5" s="1"/>
  <c r="I84" i="5"/>
  <c r="P84" i="5"/>
  <c r="Q84" i="5" s="1"/>
  <c r="P82" i="5"/>
  <c r="Q82" i="5" s="1"/>
  <c r="I82" i="5"/>
  <c r="I80" i="5"/>
  <c r="P80" i="5"/>
  <c r="Q80" i="5" s="1"/>
  <c r="I78" i="5"/>
  <c r="P78" i="5"/>
  <c r="Q78" i="5" s="1"/>
  <c r="I76" i="5"/>
  <c r="P76" i="5"/>
  <c r="Q76" i="5" s="1"/>
  <c r="P74" i="5"/>
  <c r="Q74" i="5" s="1"/>
  <c r="I74" i="5"/>
  <c r="I73" i="5"/>
  <c r="P73" i="5"/>
  <c r="Q73" i="5" s="1"/>
  <c r="I71" i="5"/>
  <c r="P71" i="5"/>
  <c r="Q71" i="5" s="1"/>
  <c r="I69" i="5"/>
  <c r="P69" i="5"/>
  <c r="Q69" i="5" s="1"/>
  <c r="P67" i="5"/>
  <c r="Q67" i="5" s="1"/>
  <c r="I67" i="5"/>
  <c r="I66" i="5"/>
  <c r="P66" i="5"/>
  <c r="Q66" i="5" s="1"/>
  <c r="I64" i="5"/>
  <c r="P64" i="5"/>
  <c r="Q64" i="5" s="1"/>
  <c r="I62" i="5"/>
  <c r="P62" i="5"/>
  <c r="Q62" i="5" s="1"/>
  <c r="I60" i="5"/>
  <c r="P60" i="5"/>
  <c r="Q60" i="5" s="1"/>
  <c r="P58" i="5"/>
  <c r="Q58" i="5" s="1"/>
  <c r="I58" i="5"/>
  <c r="I56" i="5"/>
  <c r="P56" i="5"/>
  <c r="Q56" i="5" s="1"/>
  <c r="I54" i="5"/>
  <c r="P54" i="5"/>
  <c r="Q54" i="5" s="1"/>
  <c r="M26" i="7"/>
  <c r="P52" i="5"/>
  <c r="Q52" i="5" s="1"/>
  <c r="I52" i="5"/>
  <c r="M25" i="7"/>
  <c r="P50" i="5"/>
  <c r="Q50" i="5" s="1"/>
  <c r="I50" i="5"/>
  <c r="M23" i="7"/>
  <c r="I48" i="5"/>
  <c r="P48" i="5"/>
  <c r="Q48" i="5" s="1"/>
  <c r="I46" i="5"/>
  <c r="P46" i="5"/>
  <c r="Q46" i="5" s="1"/>
  <c r="M21" i="7"/>
  <c r="P44" i="5"/>
  <c r="Q44" i="5" s="1"/>
  <c r="I44" i="5"/>
  <c r="M19" i="7"/>
  <c r="P42" i="5"/>
  <c r="Q42" i="5" s="1"/>
  <c r="I42" i="5"/>
  <c r="M18" i="7"/>
  <c r="P40" i="5"/>
  <c r="Q40" i="5" s="1"/>
  <c r="I40" i="5"/>
  <c r="I37" i="5"/>
  <c r="P37" i="5"/>
  <c r="Q37" i="5" s="1"/>
  <c r="I35" i="5"/>
  <c r="P35" i="5"/>
  <c r="Q35" i="5" s="1"/>
  <c r="I33" i="5"/>
  <c r="P33" i="5"/>
  <c r="Q33" i="5" s="1"/>
  <c r="I31" i="5"/>
  <c r="P31" i="5"/>
  <c r="Q31" i="5" s="1"/>
  <c r="I29" i="5"/>
  <c r="P29" i="5"/>
  <c r="Q29" i="5" s="1"/>
  <c r="M13" i="7"/>
  <c r="P27" i="5"/>
  <c r="Q27" i="5" s="1"/>
  <c r="I27" i="5"/>
  <c r="I25" i="5"/>
  <c r="P25" i="5"/>
  <c r="Q25" i="5" s="1"/>
  <c r="I23" i="5"/>
  <c r="P23" i="5"/>
  <c r="Q23" i="5" s="1"/>
  <c r="P21" i="5"/>
  <c r="Q21" i="5" s="1"/>
  <c r="I21" i="5"/>
  <c r="I19" i="5"/>
  <c r="P19" i="5"/>
  <c r="Q19" i="5" s="1"/>
  <c r="P17" i="5"/>
  <c r="Q17" i="5" s="1"/>
  <c r="I17" i="5"/>
  <c r="I15" i="5"/>
  <c r="P15" i="5"/>
  <c r="Q15" i="5" s="1"/>
  <c r="P13" i="5"/>
  <c r="Q13" i="5" s="1"/>
  <c r="M8" i="7"/>
  <c r="P11" i="5"/>
  <c r="Q11" i="5" s="1"/>
  <c r="I11" i="5"/>
  <c r="I9" i="5"/>
  <c r="P9" i="5"/>
  <c r="Q9" i="5" s="1"/>
  <c r="M6" i="7"/>
  <c r="P7" i="5"/>
  <c r="Q7" i="5" s="1"/>
  <c r="I7" i="5"/>
  <c r="M5" i="7"/>
  <c r="P5" i="5"/>
  <c r="Q5" i="5" s="1"/>
  <c r="I5" i="5"/>
  <c r="P122" i="5"/>
  <c r="Q122" i="5" s="1"/>
  <c r="I122" i="5"/>
  <c r="I116" i="5"/>
  <c r="P116" i="5"/>
  <c r="Q116" i="5" s="1"/>
  <c r="P112" i="5"/>
  <c r="Q112" i="5" s="1"/>
  <c r="I112" i="5"/>
  <c r="I110" i="5"/>
  <c r="P110" i="5"/>
  <c r="Q110" i="5" s="1"/>
  <c r="I106" i="5"/>
  <c r="P106" i="5"/>
  <c r="Q106" i="5" s="1"/>
  <c r="I102" i="5"/>
  <c r="P102" i="5"/>
  <c r="Q102" i="5" s="1"/>
  <c r="I98" i="5"/>
  <c r="P98" i="5"/>
  <c r="Q98" i="5" s="1"/>
  <c r="P92" i="5"/>
  <c r="Q92" i="5" s="1"/>
  <c r="I92" i="5"/>
  <c r="I89" i="5"/>
  <c r="P89" i="5"/>
  <c r="Q89" i="5" s="1"/>
  <c r="I85" i="5"/>
  <c r="P85" i="5"/>
  <c r="Q85" i="5" s="1"/>
  <c r="P81" i="5"/>
  <c r="Q81" i="5" s="1"/>
  <c r="I81" i="5"/>
  <c r="P77" i="5"/>
  <c r="Q77" i="5" s="1"/>
  <c r="I77" i="5"/>
  <c r="P70" i="5"/>
  <c r="Q70" i="5" s="1"/>
  <c r="I70" i="5"/>
  <c r="P63" i="5"/>
  <c r="Q63" i="5" s="1"/>
  <c r="I63" i="5"/>
  <c r="I59" i="5"/>
  <c r="P59" i="5"/>
  <c r="Q59" i="5" s="1"/>
  <c r="M28" i="7"/>
  <c r="P55" i="5"/>
  <c r="Q55" i="5" s="1"/>
  <c r="I55" i="5"/>
  <c r="M27" i="7"/>
  <c r="P53" i="5"/>
  <c r="Q53" i="5" s="1"/>
  <c r="I53" i="5"/>
  <c r="M24" i="7"/>
  <c r="P49" i="5"/>
  <c r="Q49" i="5" s="1"/>
  <c r="I49" i="5"/>
  <c r="M22" i="7"/>
  <c r="P45" i="5"/>
  <c r="Q45" i="5" s="1"/>
  <c r="I45" i="5"/>
  <c r="M17" i="7"/>
  <c r="B9" i="6"/>
  <c r="K9" i="6" s="1"/>
  <c r="I39" i="5"/>
  <c r="P39" i="5"/>
  <c r="Q39" i="5" s="1"/>
  <c r="M15" i="7"/>
  <c r="P36" i="5"/>
  <c r="Q36" i="5" s="1"/>
  <c r="I36" i="5"/>
  <c r="P32" i="5"/>
  <c r="Q32" i="5" s="1"/>
  <c r="I32" i="5"/>
  <c r="M14" i="7"/>
  <c r="P30" i="5"/>
  <c r="Q30" i="5" s="1"/>
  <c r="I30" i="5"/>
  <c r="P26" i="5"/>
  <c r="Q26" i="5" s="1"/>
  <c r="I26" i="5"/>
  <c r="M11" i="7"/>
  <c r="P22" i="5"/>
  <c r="Q22" i="5" s="1"/>
  <c r="I22" i="5"/>
  <c r="M9" i="7"/>
  <c r="I18" i="5"/>
  <c r="P18" i="5"/>
  <c r="Q18" i="5" s="1"/>
  <c r="P12" i="5"/>
  <c r="Q12" i="5" s="1"/>
  <c r="I12" i="5"/>
  <c r="M7" i="7"/>
  <c r="I4" i="6" l="1"/>
  <c r="J4" i="6" s="1"/>
  <c r="K4" i="6"/>
  <c r="K27" i="7"/>
  <c r="L27" i="7" s="1"/>
  <c r="I27" i="7"/>
  <c r="J27" i="7" s="1"/>
  <c r="G27" i="7"/>
  <c r="H27" i="7" s="1"/>
  <c r="I9" i="7"/>
  <c r="J9" i="7" s="1"/>
  <c r="K9" i="7"/>
  <c r="L9" i="7" s="1"/>
  <c r="G9" i="7"/>
  <c r="H9" i="7" s="1"/>
  <c r="I14" i="7"/>
  <c r="J14" i="7" s="1"/>
  <c r="G14" i="7"/>
  <c r="H14" i="7" s="1"/>
  <c r="K14" i="7"/>
  <c r="L14" i="7" s="1"/>
  <c r="G9" i="6"/>
  <c r="H9" i="6" s="1"/>
  <c r="E9" i="6"/>
  <c r="F9" i="6" s="1"/>
  <c r="I9" i="6"/>
  <c r="J9" i="6" s="1"/>
  <c r="G22" i="7"/>
  <c r="H22" i="7" s="1"/>
  <c r="K22" i="7"/>
  <c r="L22" i="7" s="1"/>
  <c r="I22" i="7"/>
  <c r="J22" i="7" s="1"/>
  <c r="I21" i="7"/>
  <c r="J21" i="7" s="1"/>
  <c r="G21" i="7"/>
  <c r="H21" i="7" s="1"/>
  <c r="K21" i="7"/>
  <c r="L21" i="7" s="1"/>
  <c r="G26" i="7"/>
  <c r="H26" i="7" s="1"/>
  <c r="K26" i="7"/>
  <c r="L26" i="7" s="1"/>
  <c r="I26" i="7"/>
  <c r="J26" i="7" s="1"/>
  <c r="I30" i="7"/>
  <c r="J30" i="7" s="1"/>
  <c r="G30" i="7"/>
  <c r="H30" i="7" s="1"/>
  <c r="K30" i="7"/>
  <c r="L30" i="7" s="1"/>
  <c r="G15" i="7"/>
  <c r="H15" i="7" s="1"/>
  <c r="K15" i="7"/>
  <c r="L15" i="7" s="1"/>
  <c r="I15" i="7"/>
  <c r="J15" i="7" s="1"/>
  <c r="I17" i="7"/>
  <c r="J17" i="7" s="1"/>
  <c r="K17" i="7"/>
  <c r="L17" i="7" s="1"/>
  <c r="G17" i="7"/>
  <c r="H17" i="7" s="1"/>
  <c r="K28" i="7"/>
  <c r="L28" i="7" s="1"/>
  <c r="I28" i="7"/>
  <c r="J28" i="7" s="1"/>
  <c r="G28" i="7"/>
  <c r="H28" i="7" s="1"/>
  <c r="G6" i="7"/>
  <c r="H6" i="7" s="1"/>
  <c r="K6" i="7"/>
  <c r="L6" i="7" s="1"/>
  <c r="I6" i="7"/>
  <c r="J6" i="7" s="1"/>
  <c r="G19" i="7"/>
  <c r="H19" i="7" s="1"/>
  <c r="K19" i="7"/>
  <c r="L19" i="7" s="1"/>
  <c r="I19" i="7"/>
  <c r="J19" i="7" s="1"/>
  <c r="K23" i="7"/>
  <c r="L23" i="7" s="1"/>
  <c r="I23" i="7"/>
  <c r="J23" i="7" s="1"/>
  <c r="G23" i="7"/>
  <c r="H23" i="7" s="1"/>
  <c r="I25" i="7"/>
  <c r="J25" i="7" s="1"/>
  <c r="G25" i="7"/>
  <c r="H25" i="7" s="1"/>
  <c r="K25" i="7"/>
  <c r="L25" i="7" s="1"/>
  <c r="I16" i="7"/>
  <c r="J16" i="7" s="1"/>
  <c r="K16" i="7"/>
  <c r="L16" i="7" s="1"/>
  <c r="G16" i="7"/>
  <c r="H16" i="7" s="1"/>
  <c r="I29" i="7"/>
  <c r="J29" i="7" s="1"/>
  <c r="K29" i="7"/>
  <c r="L29" i="7" s="1"/>
  <c r="G29" i="7"/>
  <c r="H29" i="7" s="1"/>
  <c r="I5" i="7"/>
  <c r="J5" i="7" s="1"/>
  <c r="G5" i="7"/>
  <c r="H5" i="7" s="1"/>
  <c r="K5" i="7"/>
  <c r="L5" i="7" s="1"/>
  <c r="G8" i="7"/>
  <c r="H8" i="7" s="1"/>
  <c r="I8" i="7"/>
  <c r="J8" i="7" s="1"/>
  <c r="K8" i="7"/>
  <c r="L8" i="7" s="1"/>
  <c r="G18" i="7"/>
  <c r="H18" i="7" s="1"/>
  <c r="K18" i="7"/>
  <c r="L18" i="7" s="1"/>
  <c r="I18" i="7"/>
  <c r="J18" i="7" s="1"/>
  <c r="K12" i="7"/>
  <c r="L12" i="7" s="1"/>
  <c r="I12" i="7"/>
  <c r="J12" i="7" s="1"/>
  <c r="G12" i="7"/>
  <c r="H12" i="7" s="1"/>
  <c r="I20" i="7"/>
  <c r="J20" i="7" s="1"/>
  <c r="G20" i="7"/>
  <c r="H20" i="7" s="1"/>
  <c r="K20" i="7"/>
  <c r="L20" i="7" s="1"/>
  <c r="G4" i="6"/>
  <c r="E4" i="6"/>
  <c r="G7" i="7"/>
  <c r="H7" i="7" s="1"/>
  <c r="K7" i="7"/>
  <c r="L7" i="7" s="1"/>
  <c r="I7" i="7"/>
  <c r="J7" i="7" s="1"/>
  <c r="G11" i="7"/>
  <c r="H11" i="7" s="1"/>
  <c r="K11" i="7"/>
  <c r="L11" i="7" s="1"/>
  <c r="I11" i="7"/>
  <c r="J11" i="7" s="1"/>
  <c r="K24" i="7"/>
  <c r="L24" i="7" s="1"/>
  <c r="G24" i="7"/>
  <c r="H24" i="7" s="1"/>
  <c r="I24" i="7"/>
  <c r="J24" i="7" s="1"/>
  <c r="I13" i="7"/>
  <c r="J13" i="7" s="1"/>
  <c r="G13" i="7"/>
  <c r="H13" i="7" s="1"/>
  <c r="K13" i="7"/>
  <c r="L13" i="7" s="1"/>
  <c r="K10" i="7"/>
  <c r="L10" i="7" s="1"/>
  <c r="I10" i="7"/>
  <c r="J10" i="7" s="1"/>
  <c r="G10" i="7"/>
  <c r="H10" i="7" s="1"/>
  <c r="I4" i="7"/>
  <c r="G4" i="7"/>
  <c r="K4" i="7"/>
  <c r="D4" i="6"/>
  <c r="F4" i="7"/>
  <c r="M4" i="6"/>
  <c r="N4" i="6" s="1"/>
  <c r="O4" i="7"/>
  <c r="M9" i="6"/>
  <c r="N9" i="6" s="1"/>
  <c r="D9" i="6"/>
  <c r="F22" i="7"/>
  <c r="N22" i="7" s="1"/>
  <c r="O22" i="7"/>
  <c r="P22" i="7" s="1"/>
  <c r="O28" i="7"/>
  <c r="P28" i="7" s="1"/>
  <c r="F28" i="7"/>
  <c r="N28" i="7" s="1"/>
  <c r="O9" i="7"/>
  <c r="P9" i="7" s="1"/>
  <c r="F9" i="7"/>
  <c r="N9" i="7" s="1"/>
  <c r="O8" i="7"/>
  <c r="P8" i="7" s="1"/>
  <c r="F8" i="7"/>
  <c r="N8" i="7" s="1"/>
  <c r="F20" i="7"/>
  <c r="N20" i="7" s="1"/>
  <c r="O20" i="7"/>
  <c r="P20" i="7" s="1"/>
  <c r="F5" i="7"/>
  <c r="N5" i="7" s="1"/>
  <c r="O5" i="7"/>
  <c r="P5" i="7" s="1"/>
  <c r="O6" i="7"/>
  <c r="P6" i="7" s="1"/>
  <c r="F6" i="7"/>
  <c r="F13" i="7"/>
  <c r="N13" i="7" s="1"/>
  <c r="O13" i="7"/>
  <c r="P13" i="7" s="1"/>
  <c r="F16" i="7"/>
  <c r="N16" i="7" s="1"/>
  <c r="O16" i="7"/>
  <c r="P16" i="7" s="1"/>
  <c r="O14" i="7"/>
  <c r="P14" i="7" s="1"/>
  <c r="F14" i="7"/>
  <c r="N14" i="7" s="1"/>
  <c r="O24" i="7"/>
  <c r="P24" i="7" s="1"/>
  <c r="F24" i="7"/>
  <c r="O23" i="7"/>
  <c r="P23" i="7" s="1"/>
  <c r="F23" i="7"/>
  <c r="O29" i="7"/>
  <c r="P29" i="7" s="1"/>
  <c r="F29" i="7"/>
  <c r="N29" i="7" s="1"/>
  <c r="O30" i="7"/>
  <c r="P30" i="7" s="1"/>
  <c r="F30" i="7"/>
  <c r="N30" i="7" s="1"/>
  <c r="O15" i="7"/>
  <c r="P15" i="7" s="1"/>
  <c r="F15" i="7"/>
  <c r="N15" i="7" s="1"/>
  <c r="O17" i="7"/>
  <c r="P17" i="7" s="1"/>
  <c r="F17" i="7"/>
  <c r="N17" i="7" s="1"/>
  <c r="O27" i="7"/>
  <c r="P27" i="7" s="1"/>
  <c r="F27" i="7"/>
  <c r="N27" i="7" s="1"/>
  <c r="O7" i="7"/>
  <c r="P7" i="7" s="1"/>
  <c r="F7" i="7"/>
  <c r="N7" i="7" s="1"/>
  <c r="O11" i="7"/>
  <c r="P11" i="7" s="1"/>
  <c r="F11" i="7"/>
  <c r="F18" i="7"/>
  <c r="O18" i="7"/>
  <c r="P18" i="7" s="1"/>
  <c r="O19" i="7"/>
  <c r="P19" i="7" s="1"/>
  <c r="F19" i="7"/>
  <c r="N19" i="7" s="1"/>
  <c r="O21" i="7"/>
  <c r="P21" i="7" s="1"/>
  <c r="F21" i="7"/>
  <c r="N21" i="7" s="1"/>
  <c r="O25" i="7"/>
  <c r="P25" i="7" s="1"/>
  <c r="F25" i="7"/>
  <c r="N25" i="7" s="1"/>
  <c r="O26" i="7"/>
  <c r="P26" i="7" s="1"/>
  <c r="F26" i="7"/>
  <c r="F10" i="7"/>
  <c r="N10" i="7" s="1"/>
  <c r="O10" i="7"/>
  <c r="P10" i="7" s="1"/>
  <c r="O12" i="7"/>
  <c r="P12" i="7" s="1"/>
  <c r="F12" i="7"/>
  <c r="N12" i="7" s="1"/>
  <c r="N23" i="7" l="1"/>
  <c r="N6" i="7"/>
  <c r="N18" i="7"/>
  <c r="N26" i="7"/>
  <c r="N11" i="7"/>
  <c r="N24" i="7"/>
  <c r="L4" i="6"/>
  <c r="L9" i="6"/>
  <c r="J4" i="7"/>
  <c r="H4" i="7"/>
  <c r="H4" i="6"/>
  <c r="P4" i="7"/>
  <c r="L4" i="7"/>
  <c r="F4" i="6"/>
  <c r="N4" i="7" l="1"/>
  <c r="H8" i="5" l="1"/>
  <c r="I8" i="5" s="1"/>
  <c r="N8" i="5"/>
  <c r="O8" i="5" s="1"/>
  <c r="J8" i="5"/>
  <c r="K8" i="5" s="1"/>
  <c r="B7" i="6"/>
  <c r="P8" i="5"/>
  <c r="Q8" i="5" s="1"/>
  <c r="L8" i="5"/>
  <c r="M8" i="5" s="1"/>
  <c r="D36" i="7"/>
  <c r="K36" i="7" s="1"/>
  <c r="J125" i="5"/>
  <c r="K125" i="5" s="1"/>
  <c r="G8" i="5"/>
  <c r="B10" i="6" l="1"/>
  <c r="D10" i="6" s="1"/>
  <c r="K45" i="7"/>
  <c r="L36" i="7"/>
  <c r="L45" i="7" s="1"/>
  <c r="D45" i="7"/>
  <c r="F45" i="7" s="1"/>
  <c r="I7" i="6"/>
  <c r="K7" i="6"/>
  <c r="D7" i="6"/>
  <c r="I36" i="7"/>
  <c r="M7" i="6"/>
  <c r="O36" i="7"/>
  <c r="H125" i="5"/>
  <c r="I125" i="5" s="1"/>
  <c r="P125" i="5"/>
  <c r="Q125" i="5" s="1"/>
  <c r="G125" i="5"/>
  <c r="E7" i="6"/>
  <c r="G36" i="7"/>
  <c r="G7" i="6"/>
  <c r="L125" i="5"/>
  <c r="M125" i="5" s="1"/>
  <c r="M36" i="7"/>
  <c r="F36" i="7"/>
  <c r="N125" i="5" l="1"/>
  <c r="O125" i="5" s="1"/>
  <c r="J7" i="6"/>
  <c r="I10" i="6"/>
  <c r="J10" i="6" s="1"/>
  <c r="I45" i="7"/>
  <c r="J36" i="7"/>
  <c r="J45" i="7" s="1"/>
  <c r="N7" i="6"/>
  <c r="M10" i="6"/>
  <c r="N10" i="6" s="1"/>
  <c r="G10" i="6"/>
  <c r="H7" i="6"/>
  <c r="H10" i="6" s="1"/>
  <c r="G45" i="7"/>
  <c r="H36" i="7"/>
  <c r="H45" i="7" s="1"/>
  <c r="M45" i="7"/>
  <c r="N36" i="7"/>
  <c r="N45" i="7" s="1"/>
  <c r="F7" i="6"/>
  <c r="F10" i="6" s="1"/>
  <c r="E10" i="6"/>
  <c r="O45" i="7"/>
  <c r="P36" i="7"/>
  <c r="P45" i="7" s="1"/>
  <c r="K10" i="6"/>
  <c r="L10" i="6" s="1"/>
  <c r="L7" i="6"/>
  <c r="K450" i="11" l="1"/>
  <c r="M450" i="11" s="1"/>
  <c r="K412" i="11"/>
  <c r="M412" i="11" s="1"/>
  <c r="K409" i="11"/>
  <c r="M409" i="11" s="1"/>
  <c r="K419" i="11"/>
  <c r="M419" i="11" s="1"/>
  <c r="K407" i="11"/>
  <c r="M407" i="11" s="1"/>
  <c r="K424" i="11"/>
  <c r="M424" i="11" s="1"/>
  <c r="K416" i="11"/>
  <c r="M416" i="11" s="1"/>
  <c r="K214" i="11"/>
  <c r="M214" i="11" s="1"/>
  <c r="K415" i="11"/>
  <c r="M415" i="11" s="1"/>
  <c r="K438" i="11"/>
  <c r="M438" i="11" s="1"/>
  <c r="K429" i="11"/>
  <c r="M429" i="11" s="1"/>
  <c r="K413" i="11"/>
  <c r="M413" i="11" s="1"/>
  <c r="K455" i="11"/>
  <c r="M455" i="11" s="1"/>
  <c r="K436" i="11"/>
  <c r="M436" i="11" s="1"/>
  <c r="K404" i="11"/>
  <c r="M404" i="11" s="1"/>
  <c r="J413" i="11"/>
  <c r="L413" i="11" s="1"/>
  <c r="J412" i="11"/>
  <c r="L412" i="11" s="1"/>
  <c r="K451" i="11"/>
  <c r="M451" i="11" s="1"/>
  <c r="K51" i="11"/>
  <c r="M51" i="11" s="1"/>
  <c r="J407" i="11"/>
  <c r="L407" i="11" s="1"/>
  <c r="K453" i="11"/>
  <c r="M453" i="11" s="1"/>
  <c r="K403" i="11"/>
  <c r="M403" i="11" s="1"/>
  <c r="J429" i="11"/>
  <c r="L429" i="11" s="1"/>
  <c r="J75" i="11"/>
  <c r="L75" i="11" s="1"/>
  <c r="K75" i="11"/>
  <c r="M75" i="11" s="1"/>
  <c r="K199" i="11"/>
  <c r="M199" i="11" s="1"/>
  <c r="J404" i="11"/>
  <c r="L404" i="11" s="1"/>
  <c r="K77" i="11"/>
  <c r="M77" i="11" s="1"/>
  <c r="J416" i="11"/>
  <c r="L416" i="11" s="1"/>
  <c r="J403" i="11"/>
  <c r="L403" i="11" s="1"/>
  <c r="K460" i="11"/>
  <c r="M460" i="11" s="1"/>
  <c r="K428" i="11"/>
  <c r="M428" i="11" s="1"/>
  <c r="K452" i="11"/>
  <c r="M452" i="11" s="1"/>
  <c r="K219" i="11"/>
  <c r="M219" i="11" s="1"/>
  <c r="J51" i="11"/>
  <c r="L51" i="11" s="1"/>
  <c r="N51" i="11" s="1"/>
  <c r="K431" i="11"/>
  <c r="M431" i="11" s="1"/>
  <c r="K168" i="11"/>
  <c r="M168" i="11" s="1"/>
  <c r="K76" i="11"/>
  <c r="M76" i="11" s="1"/>
  <c r="K423" i="11"/>
  <c r="M423" i="11" s="1"/>
  <c r="K443" i="11"/>
  <c r="M443" i="11" s="1"/>
  <c r="J421" i="11"/>
  <c r="L421" i="11" s="1"/>
  <c r="K421" i="11"/>
  <c r="M421" i="11" s="1"/>
  <c r="K447" i="11"/>
  <c r="M447" i="11" s="1"/>
  <c r="J455" i="11"/>
  <c r="L455" i="11" s="1"/>
  <c r="K462" i="11"/>
  <c r="M462" i="11" s="1"/>
  <c r="J447" i="11"/>
  <c r="L447" i="11" s="1"/>
  <c r="J419" i="11"/>
  <c r="L419" i="11" s="1"/>
  <c r="K405" i="11"/>
  <c r="M405" i="11" s="1"/>
  <c r="J438" i="11"/>
  <c r="L438" i="11" s="1"/>
  <c r="K435" i="11"/>
  <c r="M435" i="11" s="1"/>
  <c r="J409" i="11"/>
  <c r="L409" i="11" s="1"/>
  <c r="N409" i="11" s="1"/>
  <c r="J449" i="11"/>
  <c r="L449" i="11" s="1"/>
  <c r="K449" i="11"/>
  <c r="M449" i="11" s="1"/>
  <c r="K418" i="11"/>
  <c r="M418" i="11" s="1"/>
  <c r="K420" i="11"/>
  <c r="M420" i="11" s="1"/>
  <c r="J462" i="11"/>
  <c r="L462" i="11" s="1"/>
  <c r="J451" i="11"/>
  <c r="L451" i="11" s="1"/>
  <c r="K169" i="11"/>
  <c r="M169" i="11" s="1"/>
  <c r="J408" i="11"/>
  <c r="L408" i="11" s="1"/>
  <c r="K408" i="11"/>
  <c r="M408" i="11" s="1"/>
  <c r="K215" i="11"/>
  <c r="M215" i="11" s="1"/>
  <c r="K400" i="11"/>
  <c r="M400" i="11" s="1"/>
  <c r="J169" i="11"/>
  <c r="L169" i="11" s="1"/>
  <c r="J215" i="11"/>
  <c r="L215" i="11" s="1"/>
  <c r="K445" i="11"/>
  <c r="M445" i="11" s="1"/>
  <c r="K441" i="11"/>
  <c r="M441" i="11" s="1"/>
  <c r="K414" i="11"/>
  <c r="M414" i="11" s="1"/>
  <c r="K425" i="11"/>
  <c r="M425" i="11" s="1"/>
  <c r="J414" i="11"/>
  <c r="L414" i="11" s="1"/>
  <c r="J460" i="11"/>
  <c r="L460" i="11" s="1"/>
  <c r="J423" i="11"/>
  <c r="L423" i="11" s="1"/>
  <c r="J443" i="11"/>
  <c r="L443" i="11" s="1"/>
  <c r="K448" i="11"/>
  <c r="M448" i="11" s="1"/>
  <c r="K426" i="11"/>
  <c r="M426" i="11" s="1"/>
  <c r="J402" i="11"/>
  <c r="L402" i="11" s="1"/>
  <c r="K402" i="11"/>
  <c r="M402" i="11" s="1"/>
  <c r="K458" i="11"/>
  <c r="M458" i="11" s="1"/>
  <c r="J458" i="11"/>
  <c r="L458" i="11" s="1"/>
  <c r="J464" i="11"/>
  <c r="L464" i="11" s="1"/>
  <c r="K464" i="11"/>
  <c r="M464" i="11" s="1"/>
  <c r="J431" i="11"/>
  <c r="L431" i="11" s="1"/>
  <c r="J198" i="11"/>
  <c r="L198" i="11" s="1"/>
  <c r="K198" i="11"/>
  <c r="M198" i="11" s="1"/>
  <c r="J433" i="11"/>
  <c r="L433" i="11" s="1"/>
  <c r="K433" i="11"/>
  <c r="M433" i="11" s="1"/>
  <c r="J461" i="11"/>
  <c r="L461" i="11" s="1"/>
  <c r="K461" i="11"/>
  <c r="M461" i="11" s="1"/>
  <c r="K427" i="11"/>
  <c r="M427" i="11" s="1"/>
  <c r="J426" i="11"/>
  <c r="L426" i="11" s="1"/>
  <c r="J196" i="11"/>
  <c r="L196" i="11" s="1"/>
  <c r="K196" i="11"/>
  <c r="M196" i="11" s="1"/>
  <c r="K170" i="11"/>
  <c r="M170" i="11" s="1"/>
  <c r="K444" i="11"/>
  <c r="M444" i="11" s="1"/>
  <c r="K432" i="11"/>
  <c r="M432" i="11" s="1"/>
  <c r="J436" i="11"/>
  <c r="L436" i="11" s="1"/>
  <c r="J448" i="11"/>
  <c r="L448" i="11" s="1"/>
  <c r="J432" i="11"/>
  <c r="L432" i="11" s="1"/>
  <c r="K406" i="11"/>
  <c r="M406" i="11" s="1"/>
  <c r="K463" i="11"/>
  <c r="M463" i="11" s="1"/>
  <c r="J406" i="11"/>
  <c r="L406" i="11" s="1"/>
  <c r="J415" i="11"/>
  <c r="L415" i="11" s="1"/>
  <c r="K442" i="11"/>
  <c r="M442" i="11" s="1"/>
  <c r="J168" i="11"/>
  <c r="L168" i="11" s="1"/>
  <c r="K52" i="11"/>
  <c r="M52" i="11" s="1"/>
  <c r="K410" i="11"/>
  <c r="M410" i="11" s="1"/>
  <c r="J452" i="11"/>
  <c r="L452" i="11" s="1"/>
  <c r="N452" i="11" s="1"/>
  <c r="J446" i="11"/>
  <c r="L446" i="11" s="1"/>
  <c r="K446" i="11"/>
  <c r="M446" i="11" s="1"/>
  <c r="J428" i="11"/>
  <c r="L428" i="11" s="1"/>
  <c r="J417" i="11"/>
  <c r="L417" i="11" s="1"/>
  <c r="K417" i="11"/>
  <c r="M417" i="11" s="1"/>
  <c r="J400" i="11"/>
  <c r="L400" i="11" s="1"/>
  <c r="J445" i="11"/>
  <c r="L445" i="11" s="1"/>
  <c r="N445" i="11" s="1"/>
  <c r="K439" i="11"/>
  <c r="M439" i="11" s="1"/>
  <c r="J418" i="11"/>
  <c r="L418" i="11" s="1"/>
  <c r="J425" i="11"/>
  <c r="L425" i="11" s="1"/>
  <c r="K422" i="11"/>
  <c r="M422" i="11" s="1"/>
  <c r="J422" i="11"/>
  <c r="L422" i="11" s="1"/>
  <c r="J219" i="11"/>
  <c r="L219" i="11" s="1"/>
  <c r="J213" i="11"/>
  <c r="L213" i="11" s="1"/>
  <c r="K213" i="11"/>
  <c r="M213" i="11" s="1"/>
  <c r="J440" i="11"/>
  <c r="L440" i="11" s="1"/>
  <c r="K440" i="11"/>
  <c r="M440" i="11" s="1"/>
  <c r="K459" i="11"/>
  <c r="M459" i="11" s="1"/>
  <c r="J214" i="11"/>
  <c r="L214" i="11" s="1"/>
  <c r="J427" i="11"/>
  <c r="L427" i="11" s="1"/>
  <c r="J441" i="11"/>
  <c r="L441" i="11" s="1"/>
  <c r="J424" i="11"/>
  <c r="L424" i="11" s="1"/>
  <c r="J76" i="11"/>
  <c r="L76" i="11" s="1"/>
  <c r="J444" i="11"/>
  <c r="L444" i="11" s="1"/>
  <c r="J410" i="11"/>
  <c r="L410" i="11" s="1"/>
  <c r="K411" i="11"/>
  <c r="M411" i="11" s="1"/>
  <c r="J435" i="11"/>
  <c r="L435" i="11" s="1"/>
  <c r="J199" i="11"/>
  <c r="L199" i="11" s="1"/>
  <c r="N199" i="11" s="1"/>
  <c r="K437" i="11"/>
  <c r="M437" i="11" s="1"/>
  <c r="J439" i="11"/>
  <c r="L439" i="11" s="1"/>
  <c r="K456" i="11"/>
  <c r="M456" i="11" s="1"/>
  <c r="K401" i="11"/>
  <c r="M401" i="11" s="1"/>
  <c r="J434" i="11"/>
  <c r="L434" i="11" s="1"/>
  <c r="K434" i="11"/>
  <c r="M434" i="11" s="1"/>
  <c r="J454" i="11"/>
  <c r="L454" i="11" s="1"/>
  <c r="K454" i="11"/>
  <c r="M454" i="11" s="1"/>
  <c r="J420" i="11"/>
  <c r="L420" i="11" s="1"/>
  <c r="N420" i="11" s="1"/>
  <c r="J77" i="11"/>
  <c r="L77" i="11" s="1"/>
  <c r="J401" i="11"/>
  <c r="L401" i="11" s="1"/>
  <c r="J170" i="11"/>
  <c r="L170" i="11" s="1"/>
  <c r="J457" i="11"/>
  <c r="L457" i="11" s="1"/>
  <c r="K457" i="11"/>
  <c r="M457" i="11" s="1"/>
  <c r="J437" i="11"/>
  <c r="L437" i="11" s="1"/>
  <c r="J463" i="11"/>
  <c r="L463" i="11" s="1"/>
  <c r="J442" i="11"/>
  <c r="L442" i="11" s="1"/>
  <c r="J509" i="11"/>
  <c r="L509" i="11" s="1"/>
  <c r="K509" i="11"/>
  <c r="M509" i="11" s="1"/>
  <c r="J405" i="11"/>
  <c r="L405" i="11" s="1"/>
  <c r="J411" i="11"/>
  <c r="L411" i="11" s="1"/>
  <c r="J52" i="11"/>
  <c r="L52" i="11" s="1"/>
  <c r="J450" i="11"/>
  <c r="L450" i="11" s="1"/>
  <c r="N450" i="11" s="1"/>
  <c r="J456" i="11"/>
  <c r="L456" i="11" s="1"/>
  <c r="J430" i="11"/>
  <c r="L430" i="11" s="1"/>
  <c r="K430" i="11"/>
  <c r="M430" i="11" s="1"/>
  <c r="J453" i="11"/>
  <c r="L453" i="11" s="1"/>
  <c r="N453" i="11" s="1"/>
  <c r="J459" i="11"/>
  <c r="L459" i="11" s="1"/>
  <c r="N443" i="11" l="1"/>
  <c r="N455" i="11"/>
  <c r="N168" i="11"/>
  <c r="N52" i="11"/>
  <c r="N424" i="11"/>
  <c r="N442" i="11"/>
  <c r="N441" i="11"/>
  <c r="N219" i="11"/>
  <c r="N418" i="11"/>
  <c r="N436" i="11"/>
  <c r="N444" i="11"/>
  <c r="N460" i="11"/>
  <c r="N435" i="11"/>
  <c r="N426" i="11"/>
  <c r="N451" i="11"/>
  <c r="N438" i="11"/>
  <c r="N416" i="11"/>
  <c r="N412" i="11"/>
  <c r="N439" i="11"/>
  <c r="N448" i="11"/>
  <c r="N449" i="11"/>
  <c r="N75" i="11"/>
  <c r="N407" i="11"/>
  <c r="N410" i="11"/>
  <c r="N169" i="11"/>
  <c r="N421" i="11"/>
  <c r="N456" i="11"/>
  <c r="N422" i="11"/>
  <c r="N411" i="11"/>
  <c r="N427" i="11"/>
  <c r="N447" i="11"/>
  <c r="N463" i="11"/>
  <c r="N440" i="11"/>
  <c r="N198" i="11"/>
  <c r="N419" i="11"/>
  <c r="N401" i="11"/>
  <c r="N214" i="11"/>
  <c r="N428" i="11"/>
  <c r="N431" i="11"/>
  <c r="N405" i="11"/>
  <c r="N77" i="11"/>
  <c r="N425" i="11"/>
  <c r="N433" i="11"/>
  <c r="N459" i="11"/>
  <c r="N400" i="11"/>
  <c r="N446" i="11"/>
  <c r="N413" i="11"/>
  <c r="N437" i="11"/>
  <c r="N196" i="11"/>
  <c r="N404" i="11"/>
  <c r="N509" i="11"/>
  <c r="N170" i="11"/>
  <c r="N76" i="11"/>
  <c r="N415" i="11"/>
  <c r="N464" i="11"/>
  <c r="N417" i="11"/>
  <c r="N406" i="11"/>
  <c r="N462" i="11"/>
  <c r="N457" i="11"/>
  <c r="N430" i="11"/>
  <c r="N434" i="11"/>
  <c r="N454" i="11"/>
  <c r="N213" i="11"/>
  <c r="N432" i="11"/>
  <c r="N458" i="11"/>
  <c r="N461" i="11"/>
  <c r="N423" i="11"/>
  <c r="N414" i="11"/>
  <c r="N402" i="11"/>
  <c r="N408" i="11"/>
  <c r="N215" i="11"/>
  <c r="N429" i="11"/>
  <c r="N403" i="11"/>
  <c r="K475" i="11" l="1"/>
  <c r="M475" i="11" s="1"/>
  <c r="K24" i="11"/>
  <c r="M24" i="11" s="1"/>
  <c r="K71" i="11"/>
  <c r="M71" i="11" s="1"/>
  <c r="K20" i="11"/>
  <c r="M20" i="11" s="1"/>
  <c r="K187" i="11"/>
  <c r="M187" i="11" s="1"/>
  <c r="K494" i="11"/>
  <c r="M494" i="11" s="1"/>
  <c r="K301" i="11"/>
  <c r="M301" i="11" s="1"/>
  <c r="K287" i="11"/>
  <c r="M287" i="11" s="1"/>
  <c r="K141" i="11"/>
  <c r="M141" i="11" s="1"/>
  <c r="K265" i="11"/>
  <c r="M265" i="11" s="1"/>
  <c r="K203" i="11"/>
  <c r="M203" i="11" s="1"/>
  <c r="K174" i="11"/>
  <c r="M174" i="11" s="1"/>
  <c r="K368" i="11"/>
  <c r="M368" i="11" s="1"/>
  <c r="K122" i="11"/>
  <c r="M122" i="11" s="1"/>
  <c r="K491" i="11"/>
  <c r="M491" i="11" s="1"/>
  <c r="K132" i="11"/>
  <c r="M132" i="11" s="1"/>
  <c r="J20" i="11"/>
  <c r="L20" i="11" s="1"/>
  <c r="K133" i="11"/>
  <c r="M133" i="11" s="1"/>
  <c r="K200" i="11"/>
  <c r="M200" i="11" s="1"/>
  <c r="K151" i="11"/>
  <c r="M151" i="11" s="1"/>
  <c r="K186" i="11"/>
  <c r="M186" i="11" s="1"/>
  <c r="K516" i="11"/>
  <c r="M516" i="11" s="1"/>
  <c r="K383" i="11"/>
  <c r="M383" i="11" s="1"/>
  <c r="K274" i="11"/>
  <c r="M274" i="11" s="1"/>
  <c r="K208" i="11"/>
  <c r="M208" i="11" s="1"/>
  <c r="K470" i="11"/>
  <c r="M470" i="11" s="1"/>
  <c r="K179" i="11"/>
  <c r="M179" i="11" s="1"/>
  <c r="K195" i="11"/>
  <c r="M195" i="11" s="1"/>
  <c r="K369" i="11"/>
  <c r="M369" i="11" s="1"/>
  <c r="K277" i="11"/>
  <c r="M277" i="11" s="1"/>
  <c r="K339" i="11"/>
  <c r="M339" i="11" s="1"/>
  <c r="K14" i="11"/>
  <c r="M14" i="11" s="1"/>
  <c r="K129" i="11"/>
  <c r="M129" i="11" s="1"/>
  <c r="K291" i="11"/>
  <c r="M291" i="11" s="1"/>
  <c r="K102" i="11"/>
  <c r="M102" i="11" s="1"/>
  <c r="K88" i="11"/>
  <c r="M88" i="11" s="1"/>
  <c r="K80" i="11"/>
  <c r="M80" i="11" s="1"/>
  <c r="K113" i="11"/>
  <c r="M113" i="11" s="1"/>
  <c r="K94" i="11"/>
  <c r="M94" i="11" s="1"/>
  <c r="K223" i="11"/>
  <c r="M223" i="11" s="1"/>
  <c r="K340" i="11"/>
  <c r="M340" i="11" s="1"/>
  <c r="K39" i="11"/>
  <c r="M39" i="11" s="1"/>
  <c r="K330" i="11"/>
  <c r="M330" i="11" s="1"/>
  <c r="J187" i="11"/>
  <c r="L187" i="11" s="1"/>
  <c r="K530" i="11"/>
  <c r="M530" i="11" s="1"/>
  <c r="K146" i="11"/>
  <c r="M146" i="11" s="1"/>
  <c r="K296" i="11"/>
  <c r="M296" i="11" s="1"/>
  <c r="K279" i="11"/>
  <c r="M279" i="11" s="1"/>
  <c r="K162" i="11"/>
  <c r="M162" i="11" s="1"/>
  <c r="J129" i="11"/>
  <c r="L129" i="11" s="1"/>
  <c r="K137" i="11"/>
  <c r="M137" i="11" s="1"/>
  <c r="K189" i="11"/>
  <c r="M189" i="11" s="1"/>
  <c r="K331" i="11"/>
  <c r="M331" i="11" s="1"/>
  <c r="K84" i="11"/>
  <c r="M84" i="11" s="1"/>
  <c r="K164" i="11"/>
  <c r="M164" i="11" s="1"/>
  <c r="K286" i="11"/>
  <c r="M286" i="11" s="1"/>
  <c r="K269" i="11"/>
  <c r="M269" i="11" s="1"/>
  <c r="K394" i="11"/>
  <c r="M394" i="11" s="1"/>
  <c r="K167" i="11"/>
  <c r="M167" i="11" s="1"/>
  <c r="K101" i="11"/>
  <c r="M101" i="11" s="1"/>
  <c r="K95" i="11"/>
  <c r="M95" i="11" s="1"/>
  <c r="K32" i="11"/>
  <c r="M32" i="11" s="1"/>
  <c r="K253" i="11"/>
  <c r="M253" i="11" s="1"/>
  <c r="K18" i="11"/>
  <c r="M18" i="11" s="1"/>
  <c r="K145" i="11"/>
  <c r="M145" i="11" s="1"/>
  <c r="K191" i="11"/>
  <c r="M191" i="11" s="1"/>
  <c r="K376" i="11"/>
  <c r="M376" i="11" s="1"/>
  <c r="K370" i="11"/>
  <c r="M370" i="11" s="1"/>
  <c r="K27" i="11"/>
  <c r="M27" i="11" s="1"/>
  <c r="K21" i="11"/>
  <c r="M21" i="11" s="1"/>
  <c r="K382" i="11"/>
  <c r="M382" i="11" s="1"/>
  <c r="J368" i="11"/>
  <c r="L368" i="11" s="1"/>
  <c r="K121" i="11"/>
  <c r="M121" i="11" s="1"/>
  <c r="K256" i="11"/>
  <c r="M256" i="11" s="1"/>
  <c r="K514" i="11"/>
  <c r="M514" i="11" s="1"/>
  <c r="K67" i="11"/>
  <c r="M67" i="11" s="1"/>
  <c r="K377" i="11"/>
  <c r="M377" i="11" s="1"/>
  <c r="J383" i="11"/>
  <c r="L383" i="11" s="1"/>
  <c r="K278" i="11"/>
  <c r="M278" i="11" s="1"/>
  <c r="K529" i="11"/>
  <c r="M529" i="11" s="1"/>
  <c r="K305" i="11"/>
  <c r="M305" i="11" s="1"/>
  <c r="K381" i="11"/>
  <c r="M381" i="11" s="1"/>
  <c r="K535" i="11"/>
  <c r="M535" i="11" s="1"/>
  <c r="K46" i="11"/>
  <c r="M46" i="11" s="1"/>
  <c r="K112" i="11"/>
  <c r="M112" i="11" s="1"/>
  <c r="K289" i="11"/>
  <c r="M289" i="11" s="1"/>
  <c r="K173" i="11"/>
  <c r="M173" i="11" s="1"/>
  <c r="K152" i="11"/>
  <c r="M152" i="11" s="1"/>
  <c r="K478" i="11"/>
  <c r="M478" i="11" s="1"/>
  <c r="K126" i="11"/>
  <c r="M126" i="11" s="1"/>
  <c r="J195" i="11"/>
  <c r="L195" i="11" s="1"/>
  <c r="J338" i="11"/>
  <c r="L338" i="11" s="1"/>
  <c r="K338" i="11"/>
  <c r="M338" i="11" s="1"/>
  <c r="K333" i="11"/>
  <c r="M333" i="11" s="1"/>
  <c r="K479" i="11"/>
  <c r="M479" i="11" s="1"/>
  <c r="K316" i="11"/>
  <c r="M316" i="11" s="1"/>
  <c r="K363" i="11"/>
  <c r="M363" i="11" s="1"/>
  <c r="K395" i="11"/>
  <c r="M395" i="11" s="1"/>
  <c r="K110" i="11"/>
  <c r="M110" i="11" s="1"/>
  <c r="K140" i="11"/>
  <c r="M140" i="11" s="1"/>
  <c r="K281" i="11"/>
  <c r="M281" i="11" s="1"/>
  <c r="K22" i="11"/>
  <c r="M22" i="11" s="1"/>
  <c r="K138" i="11"/>
  <c r="M138" i="11" s="1"/>
  <c r="K352" i="11"/>
  <c r="M352" i="11" s="1"/>
  <c r="K144" i="11"/>
  <c r="M144" i="11" s="1"/>
  <c r="K487" i="11"/>
  <c r="M487" i="11" s="1"/>
  <c r="K284" i="11"/>
  <c r="M284" i="11" s="1"/>
  <c r="K496" i="11"/>
  <c r="M496" i="11" s="1"/>
  <c r="J157" i="11"/>
  <c r="L157" i="11" s="1"/>
  <c r="K157" i="11"/>
  <c r="M157" i="11" s="1"/>
  <c r="J291" i="11"/>
  <c r="L291" i="11" s="1"/>
  <c r="K364" i="11"/>
  <c r="M364" i="11" s="1"/>
  <c r="K236" i="11"/>
  <c r="M236" i="11" s="1"/>
  <c r="K108" i="11"/>
  <c r="M108" i="11" s="1"/>
  <c r="K60" i="11"/>
  <c r="M60" i="11" s="1"/>
  <c r="K497" i="11"/>
  <c r="M497" i="11" s="1"/>
  <c r="K355" i="11"/>
  <c r="M355" i="11" s="1"/>
  <c r="K26" i="11"/>
  <c r="M26" i="11" s="1"/>
  <c r="K308" i="11"/>
  <c r="M308" i="11" s="1"/>
  <c r="K288" i="11"/>
  <c r="M288" i="11" s="1"/>
  <c r="K371" i="11"/>
  <c r="M371" i="11" s="1"/>
  <c r="K224" i="11"/>
  <c r="M224" i="11" s="1"/>
  <c r="K40" i="11"/>
  <c r="M40" i="11" s="1"/>
  <c r="K171" i="11"/>
  <c r="M171" i="11" s="1"/>
  <c r="K392" i="11"/>
  <c r="M392" i="11" s="1"/>
  <c r="K35" i="11"/>
  <c r="M35" i="11" s="1"/>
  <c r="J200" i="11"/>
  <c r="L200" i="11" s="1"/>
  <c r="N200" i="11" s="1"/>
  <c r="K116" i="11"/>
  <c r="M116" i="11" s="1"/>
  <c r="K72" i="11"/>
  <c r="M72" i="11" s="1"/>
  <c r="K379" i="11"/>
  <c r="M379" i="11" s="1"/>
  <c r="J94" i="11"/>
  <c r="L94" i="11" s="1"/>
  <c r="N94" i="11" s="1"/>
  <c r="J376" i="11"/>
  <c r="L376" i="11" s="1"/>
  <c r="K114" i="11"/>
  <c r="M114" i="11" s="1"/>
  <c r="K210" i="11"/>
  <c r="M210" i="11" s="1"/>
  <c r="K378" i="11"/>
  <c r="M378" i="11" s="1"/>
  <c r="K49" i="11"/>
  <c r="M49" i="11" s="1"/>
  <c r="J478" i="11"/>
  <c r="L478" i="11" s="1"/>
  <c r="J482" i="11"/>
  <c r="L482" i="11" s="1"/>
  <c r="K482" i="11"/>
  <c r="M482" i="11" s="1"/>
  <c r="K336" i="11"/>
  <c r="M336" i="11" s="1"/>
  <c r="K329" i="11"/>
  <c r="M329" i="11" s="1"/>
  <c r="J137" i="11"/>
  <c r="L137" i="11" s="1"/>
  <c r="K469" i="11"/>
  <c r="M469" i="11" s="1"/>
  <c r="K64" i="11"/>
  <c r="M64" i="11" s="1"/>
  <c r="J203" i="11"/>
  <c r="L203" i="11" s="1"/>
  <c r="J377" i="11"/>
  <c r="L377" i="11" s="1"/>
  <c r="J469" i="11"/>
  <c r="L469" i="11" s="1"/>
  <c r="K247" i="11"/>
  <c r="M247" i="11" s="1"/>
  <c r="J14" i="11"/>
  <c r="L14" i="11" s="1"/>
  <c r="K233" i="11"/>
  <c r="M233" i="11" s="1"/>
  <c r="K243" i="11"/>
  <c r="M243" i="11" s="1"/>
  <c r="J18" i="11"/>
  <c r="L18" i="11" s="1"/>
  <c r="K239" i="11"/>
  <c r="M239" i="11" s="1"/>
  <c r="K506" i="11"/>
  <c r="M506" i="11" s="1"/>
  <c r="K123" i="11"/>
  <c r="M123" i="11" s="1"/>
  <c r="K259" i="11"/>
  <c r="M259" i="11" s="1"/>
  <c r="K150" i="11"/>
  <c r="M150" i="11" s="1"/>
  <c r="K106" i="11"/>
  <c r="M106" i="11" s="1"/>
  <c r="K78" i="11"/>
  <c r="M78" i="11" s="1"/>
  <c r="J497" i="11"/>
  <c r="L497" i="11" s="1"/>
  <c r="K176" i="11"/>
  <c r="M176" i="11" s="1"/>
  <c r="J80" i="11"/>
  <c r="L80" i="11" s="1"/>
  <c r="N80" i="11" s="1"/>
  <c r="K304" i="11"/>
  <c r="M304" i="11" s="1"/>
  <c r="K273" i="11"/>
  <c r="M273" i="11" s="1"/>
  <c r="K325" i="11"/>
  <c r="M325" i="11" s="1"/>
  <c r="K109" i="11"/>
  <c r="M109" i="11" s="1"/>
  <c r="J516" i="11"/>
  <c r="L516" i="11" s="1"/>
  <c r="K358" i="11"/>
  <c r="M358" i="11" s="1"/>
  <c r="K285" i="11"/>
  <c r="M285" i="11" s="1"/>
  <c r="J191" i="11"/>
  <c r="L191" i="11" s="1"/>
  <c r="J339" i="11"/>
  <c r="L339" i="11" s="1"/>
  <c r="K367" i="11"/>
  <c r="M367" i="11" s="1"/>
  <c r="J355" i="11"/>
  <c r="L355" i="11" s="1"/>
  <c r="J312" i="11"/>
  <c r="L312" i="11" s="1"/>
  <c r="K312" i="11"/>
  <c r="M312" i="11" s="1"/>
  <c r="K248" i="11"/>
  <c r="M248" i="11" s="1"/>
  <c r="K283" i="11"/>
  <c r="M283" i="11" s="1"/>
  <c r="K373" i="11"/>
  <c r="M373" i="11" s="1"/>
  <c r="K160" i="11"/>
  <c r="M160" i="11" s="1"/>
  <c r="J316" i="11"/>
  <c r="L316" i="11" s="1"/>
  <c r="N316" i="11" s="1"/>
  <c r="K82" i="11"/>
  <c r="M82" i="11" s="1"/>
  <c r="K350" i="11"/>
  <c r="M350" i="11" s="1"/>
  <c r="J223" i="11"/>
  <c r="L223" i="11" s="1"/>
  <c r="K181" i="11"/>
  <c r="M181" i="11" s="1"/>
  <c r="K218" i="11"/>
  <c r="M218" i="11" s="1"/>
  <c r="J364" i="11"/>
  <c r="L364" i="11" s="1"/>
  <c r="K235" i="11"/>
  <c r="M235" i="11" s="1"/>
  <c r="K524" i="11"/>
  <c r="M524" i="11" s="1"/>
  <c r="J181" i="11"/>
  <c r="L181" i="11" s="1"/>
  <c r="J233" i="11"/>
  <c r="L233" i="11" s="1"/>
  <c r="J35" i="11"/>
  <c r="L35" i="11" s="1"/>
  <c r="K100" i="11"/>
  <c r="M100" i="11" s="1"/>
  <c r="K328" i="11"/>
  <c r="M328" i="11" s="1"/>
  <c r="K391" i="11"/>
  <c r="M391" i="11" s="1"/>
  <c r="K354" i="11"/>
  <c r="M354" i="11" s="1"/>
  <c r="K249" i="11"/>
  <c r="M249" i="11" s="1"/>
  <c r="J27" i="11"/>
  <c r="L27" i="11" s="1"/>
  <c r="N27" i="11" s="1"/>
  <c r="K476" i="11"/>
  <c r="M476" i="11" s="1"/>
  <c r="J496" i="11"/>
  <c r="L496" i="11" s="1"/>
  <c r="K261" i="11"/>
  <c r="M261" i="11" s="1"/>
  <c r="K206" i="11"/>
  <c r="M206" i="11" s="1"/>
  <c r="K262" i="11"/>
  <c r="M262" i="11" s="1"/>
  <c r="K492" i="11"/>
  <c r="M492" i="11" s="1"/>
  <c r="J475" i="11"/>
  <c r="L475" i="11" s="1"/>
  <c r="K351" i="11"/>
  <c r="M351" i="11" s="1"/>
  <c r="J506" i="11"/>
  <c r="L506" i="11" s="1"/>
  <c r="K45" i="11"/>
  <c r="M45" i="11" s="1"/>
  <c r="K533" i="11"/>
  <c r="M533" i="11" s="1"/>
  <c r="K254" i="11"/>
  <c r="M254" i="11" s="1"/>
  <c r="K356" i="11"/>
  <c r="M356" i="11" s="1"/>
  <c r="K518" i="11"/>
  <c r="M518" i="11" s="1"/>
  <c r="K190" i="11"/>
  <c r="M190" i="11" s="1"/>
  <c r="K177" i="11"/>
  <c r="M177" i="11" s="1"/>
  <c r="K90" i="11"/>
  <c r="M90" i="11" s="1"/>
  <c r="K238" i="11"/>
  <c r="M238" i="11" s="1"/>
  <c r="K197" i="11"/>
  <c r="M197" i="11" s="1"/>
  <c r="J330" i="11"/>
  <c r="L330" i="11" s="1"/>
  <c r="K320" i="11"/>
  <c r="M320" i="11" s="1"/>
  <c r="K490" i="11"/>
  <c r="M490" i="11" s="1"/>
  <c r="K7" i="11"/>
  <c r="M7" i="11" s="1"/>
  <c r="J378" i="11"/>
  <c r="L378" i="11" s="1"/>
  <c r="K180" i="11"/>
  <c r="M180" i="11" s="1"/>
  <c r="J382" i="11"/>
  <c r="L382" i="11" s="1"/>
  <c r="N382" i="11" s="1"/>
  <c r="J331" i="11"/>
  <c r="L331" i="11" s="1"/>
  <c r="N331" i="11" s="1"/>
  <c r="J358" i="11"/>
  <c r="L358" i="11" s="1"/>
  <c r="K92" i="11"/>
  <c r="M92" i="11" s="1"/>
  <c r="J249" i="11"/>
  <c r="L249" i="11" s="1"/>
  <c r="K485" i="11"/>
  <c r="M485" i="11" s="1"/>
  <c r="J88" i="11"/>
  <c r="L88" i="11" s="1"/>
  <c r="J122" i="11"/>
  <c r="L122" i="11" s="1"/>
  <c r="K260" i="11"/>
  <c r="M260" i="11" s="1"/>
  <c r="J163" i="11"/>
  <c r="L163" i="11" s="1"/>
  <c r="K163" i="11"/>
  <c r="M163" i="11" s="1"/>
  <c r="J284" i="11"/>
  <c r="L284" i="11" s="1"/>
  <c r="J489" i="11"/>
  <c r="L489" i="11" s="1"/>
  <c r="K489" i="11"/>
  <c r="M489" i="11" s="1"/>
  <c r="J325" i="11"/>
  <c r="L325" i="11" s="1"/>
  <c r="N325" i="11" s="1"/>
  <c r="J348" i="11"/>
  <c r="L348" i="11" s="1"/>
  <c r="K348" i="11"/>
  <c r="M348" i="11" s="1"/>
  <c r="J369" i="11"/>
  <c r="L369" i="11" s="1"/>
  <c r="N369" i="11" s="1"/>
  <c r="K483" i="11"/>
  <c r="M483" i="11" s="1"/>
  <c r="K276" i="11"/>
  <c r="M276" i="11" s="1"/>
  <c r="J32" i="11"/>
  <c r="L32" i="11" s="1"/>
  <c r="J487" i="11"/>
  <c r="L487" i="11" s="1"/>
  <c r="J146" i="11"/>
  <c r="L146" i="11" s="1"/>
  <c r="J103" i="11"/>
  <c r="L103" i="11" s="1"/>
  <c r="K103" i="11"/>
  <c r="M103" i="11" s="1"/>
  <c r="J121" i="11"/>
  <c r="L121" i="11" s="1"/>
  <c r="N121" i="11" s="1"/>
  <c r="K468" i="11"/>
  <c r="M468" i="11" s="1"/>
  <c r="K142" i="11"/>
  <c r="M142" i="11" s="1"/>
  <c r="J354" i="11"/>
  <c r="L354" i="11" s="1"/>
  <c r="J362" i="11"/>
  <c r="L362" i="11" s="1"/>
  <c r="K362" i="11"/>
  <c r="M362" i="11" s="1"/>
  <c r="K118" i="11"/>
  <c r="M118" i="11" s="1"/>
  <c r="K360" i="11"/>
  <c r="M360" i="11" s="1"/>
  <c r="J101" i="11"/>
  <c r="L101" i="11" s="1"/>
  <c r="J289" i="11"/>
  <c r="L289" i="11" s="1"/>
  <c r="J22" i="11"/>
  <c r="L22" i="11" s="1"/>
  <c r="K211" i="11"/>
  <c r="M211" i="11" s="1"/>
  <c r="K185" i="11"/>
  <c r="M185" i="11" s="1"/>
  <c r="J152" i="11"/>
  <c r="L152" i="11" s="1"/>
  <c r="J141" i="11"/>
  <c r="L141" i="11" s="1"/>
  <c r="K300" i="11"/>
  <c r="M300" i="11" s="1"/>
  <c r="K268" i="11"/>
  <c r="M268" i="11" s="1"/>
  <c r="J302" i="11"/>
  <c r="L302" i="11" s="1"/>
  <c r="K302" i="11"/>
  <c r="M302" i="11" s="1"/>
  <c r="K534" i="11"/>
  <c r="M534" i="11" s="1"/>
  <c r="J281" i="11"/>
  <c r="L281" i="11" s="1"/>
  <c r="N281" i="11" s="1"/>
  <c r="K234" i="11"/>
  <c r="M234" i="11" s="1"/>
  <c r="J468" i="11"/>
  <c r="L468" i="11" s="1"/>
  <c r="J518" i="11"/>
  <c r="L518" i="11" s="1"/>
  <c r="J150" i="11"/>
  <c r="L150" i="11" s="1"/>
  <c r="N150" i="11" s="1"/>
  <c r="K264" i="11"/>
  <c r="M264" i="11" s="1"/>
  <c r="J285" i="11"/>
  <c r="L285" i="11" s="1"/>
  <c r="J173" i="11"/>
  <c r="L173" i="11" s="1"/>
  <c r="J476" i="11"/>
  <c r="L476" i="11" s="1"/>
  <c r="K396" i="11"/>
  <c r="M396" i="11" s="1"/>
  <c r="J132" i="11"/>
  <c r="L132" i="11" s="1"/>
  <c r="K107" i="11"/>
  <c r="M107" i="11" s="1"/>
  <c r="K194" i="11"/>
  <c r="M194" i="11" s="1"/>
  <c r="J392" i="11"/>
  <c r="L392" i="11" s="1"/>
  <c r="N392" i="11" s="1"/>
  <c r="J288" i="11"/>
  <c r="L288" i="11" s="1"/>
  <c r="K297" i="11"/>
  <c r="M297" i="11" s="1"/>
  <c r="K9" i="11"/>
  <c r="M9" i="11" s="1"/>
  <c r="K341" i="11"/>
  <c r="M341" i="11" s="1"/>
  <c r="K93" i="11"/>
  <c r="M93" i="11" s="1"/>
  <c r="J367" i="11"/>
  <c r="L367" i="11" s="1"/>
  <c r="J270" i="11"/>
  <c r="L270" i="11" s="1"/>
  <c r="K270" i="11"/>
  <c r="M270" i="11" s="1"/>
  <c r="J273" i="11"/>
  <c r="L273" i="11" s="1"/>
  <c r="K139" i="11"/>
  <c r="M139" i="11" s="1"/>
  <c r="K517" i="11"/>
  <c r="M517" i="11" s="1"/>
  <c r="K19" i="11"/>
  <c r="M19" i="11" s="1"/>
  <c r="K314" i="11"/>
  <c r="M314" i="11" s="1"/>
  <c r="J255" i="11"/>
  <c r="L255" i="11" s="1"/>
  <c r="K255" i="11"/>
  <c r="M255" i="11" s="1"/>
  <c r="K244" i="11"/>
  <c r="M244" i="11" s="1"/>
  <c r="J112" i="11"/>
  <c r="L112" i="11" s="1"/>
  <c r="J305" i="11"/>
  <c r="L305" i="11" s="1"/>
  <c r="J156" i="11"/>
  <c r="L156" i="11" s="1"/>
  <c r="K156" i="11"/>
  <c r="M156" i="11" s="1"/>
  <c r="K345" i="11"/>
  <c r="M345" i="11" s="1"/>
  <c r="K332" i="11"/>
  <c r="M332" i="11" s="1"/>
  <c r="J349" i="11"/>
  <c r="L349" i="11" s="1"/>
  <c r="K349" i="11"/>
  <c r="M349" i="11" s="1"/>
  <c r="J491" i="11"/>
  <c r="L491" i="11" s="1"/>
  <c r="J366" i="11"/>
  <c r="L366" i="11" s="1"/>
  <c r="K366" i="11"/>
  <c r="M366" i="11" s="1"/>
  <c r="K399" i="11"/>
  <c r="M399" i="11" s="1"/>
  <c r="K385" i="11"/>
  <c r="M385" i="11" s="1"/>
  <c r="J314" i="11"/>
  <c r="L314" i="11" s="1"/>
  <c r="K335" i="11"/>
  <c r="M335" i="11" s="1"/>
  <c r="J535" i="11"/>
  <c r="L535" i="11" s="1"/>
  <c r="J336" i="11"/>
  <c r="L336" i="11" s="1"/>
  <c r="K117" i="11"/>
  <c r="M117" i="11" s="1"/>
  <c r="K91" i="11"/>
  <c r="M91" i="11" s="1"/>
  <c r="K310" i="11"/>
  <c r="M310" i="11" s="1"/>
  <c r="K42" i="11"/>
  <c r="M42" i="11" s="1"/>
  <c r="J394" i="11"/>
  <c r="L394" i="11" s="1"/>
  <c r="K313" i="11"/>
  <c r="M313" i="11" s="1"/>
  <c r="K386" i="11"/>
  <c r="M386" i="11" s="1"/>
  <c r="J206" i="11"/>
  <c r="L206" i="11" s="1"/>
  <c r="K111" i="11"/>
  <c r="M111" i="11" s="1"/>
  <c r="J379" i="11"/>
  <c r="L379" i="11" s="1"/>
  <c r="K252" i="11"/>
  <c r="M252" i="11" s="1"/>
  <c r="K87" i="11"/>
  <c r="M87" i="11" s="1"/>
  <c r="J95" i="11"/>
  <c r="L95" i="11" s="1"/>
  <c r="N95" i="11" s="1"/>
  <c r="K217" i="11"/>
  <c r="M217" i="11" s="1"/>
  <c r="J299" i="11"/>
  <c r="L299" i="11" s="1"/>
  <c r="K299" i="11"/>
  <c r="M299" i="11" s="1"/>
  <c r="K221" i="11"/>
  <c r="M221" i="11" s="1"/>
  <c r="J154" i="11"/>
  <c r="L154" i="11" s="1"/>
  <c r="K154" i="11"/>
  <c r="M154" i="11" s="1"/>
  <c r="K13" i="11"/>
  <c r="M13" i="11" s="1"/>
  <c r="J371" i="11"/>
  <c r="L371" i="11" s="1"/>
  <c r="J167" i="11"/>
  <c r="L167" i="11" s="1"/>
  <c r="K230" i="11"/>
  <c r="M230" i="11" s="1"/>
  <c r="J329" i="11"/>
  <c r="L329" i="11" s="1"/>
  <c r="K510" i="11"/>
  <c r="M510" i="11" s="1"/>
  <c r="J57" i="11"/>
  <c r="L57" i="11" s="1"/>
  <c r="K57" i="11"/>
  <c r="M57" i="11" s="1"/>
  <c r="J236" i="11"/>
  <c r="L236" i="11" s="1"/>
  <c r="J510" i="11"/>
  <c r="L510" i="11" s="1"/>
  <c r="K472" i="11"/>
  <c r="M472" i="11" s="1"/>
  <c r="J373" i="11"/>
  <c r="L373" i="11" s="1"/>
  <c r="J65" i="11"/>
  <c r="L65" i="11" s="1"/>
  <c r="K65" i="11"/>
  <c r="M65" i="11" s="1"/>
  <c r="J319" i="11"/>
  <c r="L319" i="11" s="1"/>
  <c r="K319" i="11"/>
  <c r="M319" i="11" s="1"/>
  <c r="J108" i="11"/>
  <c r="L108" i="11" s="1"/>
  <c r="J176" i="11"/>
  <c r="L176" i="11" s="1"/>
  <c r="J179" i="11"/>
  <c r="L179" i="11" s="1"/>
  <c r="J56" i="11"/>
  <c r="L56" i="11" s="1"/>
  <c r="K56" i="11"/>
  <c r="M56" i="11" s="1"/>
  <c r="K54" i="11"/>
  <c r="M54" i="11" s="1"/>
  <c r="J162" i="11"/>
  <c r="L162" i="11" s="1"/>
  <c r="N162" i="11" s="1"/>
  <c r="J155" i="11"/>
  <c r="L155" i="11" s="1"/>
  <c r="K155" i="11"/>
  <c r="M155" i="11" s="1"/>
  <c r="K484" i="11"/>
  <c r="M484" i="11" s="1"/>
  <c r="J140" i="11"/>
  <c r="L140" i="11" s="1"/>
  <c r="K527" i="11"/>
  <c r="M527" i="11" s="1"/>
  <c r="J527" i="11"/>
  <c r="L527" i="11" s="1"/>
  <c r="J268" i="11"/>
  <c r="L268" i="11" s="1"/>
  <c r="K466" i="11"/>
  <c r="M466" i="11" s="1"/>
  <c r="J387" i="11"/>
  <c r="L387" i="11" s="1"/>
  <c r="K387" i="11"/>
  <c r="M387" i="11" s="1"/>
  <c r="J399" i="11"/>
  <c r="L399" i="11" s="1"/>
  <c r="K231" i="11"/>
  <c r="M231" i="11" s="1"/>
  <c r="K388" i="11"/>
  <c r="M388" i="11" s="1"/>
  <c r="K15" i="11"/>
  <c r="M15" i="11" s="1"/>
  <c r="K471" i="11"/>
  <c r="M471" i="11" s="1"/>
  <c r="J308" i="11"/>
  <c r="L308" i="11" s="1"/>
  <c r="K29" i="11"/>
  <c r="M29" i="11" s="1"/>
  <c r="J529" i="11"/>
  <c r="L529" i="11" s="1"/>
  <c r="K69" i="11"/>
  <c r="M69" i="11" s="1"/>
  <c r="K158" i="11"/>
  <c r="M158" i="11" s="1"/>
  <c r="K166" i="11"/>
  <c r="M166" i="11" s="1"/>
  <c r="K511" i="11"/>
  <c r="M511" i="11" s="1"/>
  <c r="K508" i="11"/>
  <c r="M508" i="11" s="1"/>
  <c r="K85" i="11"/>
  <c r="M85" i="11" s="1"/>
  <c r="J388" i="11"/>
  <c r="L388" i="11" s="1"/>
  <c r="N388" i="11" s="1"/>
  <c r="K97" i="11"/>
  <c r="M97" i="11" s="1"/>
  <c r="J370" i="11"/>
  <c r="L370" i="11" s="1"/>
  <c r="K266" i="11"/>
  <c r="M266" i="11" s="1"/>
  <c r="K467" i="11"/>
  <c r="M467" i="11" s="1"/>
  <c r="J395" i="11"/>
  <c r="L395" i="11" s="1"/>
  <c r="J483" i="11"/>
  <c r="L483" i="11" s="1"/>
  <c r="K326" i="11"/>
  <c r="M326" i="11" s="1"/>
  <c r="K503" i="11"/>
  <c r="M503" i="11" s="1"/>
  <c r="J256" i="11"/>
  <c r="L256" i="11" s="1"/>
  <c r="J71" i="11"/>
  <c r="L71" i="11" s="1"/>
  <c r="K498" i="11"/>
  <c r="M498" i="11" s="1"/>
  <c r="J530" i="11"/>
  <c r="L530" i="11" s="1"/>
  <c r="N530" i="11" s="1"/>
  <c r="K342" i="11"/>
  <c r="M342" i="11" s="1"/>
  <c r="K522" i="11"/>
  <c r="M522" i="11" s="1"/>
  <c r="J494" i="11"/>
  <c r="L494" i="11" s="1"/>
  <c r="J286" i="11"/>
  <c r="L286" i="11" s="1"/>
  <c r="J333" i="11"/>
  <c r="L333" i="11" s="1"/>
  <c r="J260" i="11"/>
  <c r="L260" i="11" s="1"/>
  <c r="J144" i="11"/>
  <c r="L144" i="11" s="1"/>
  <c r="N144" i="11" s="1"/>
  <c r="K512" i="11"/>
  <c r="M512" i="11" s="1"/>
  <c r="J300" i="11"/>
  <c r="L300" i="11" s="1"/>
  <c r="K322" i="11"/>
  <c r="M322" i="11" s="1"/>
  <c r="J224" i="11"/>
  <c r="L224" i="11" s="1"/>
  <c r="K372" i="11"/>
  <c r="M372" i="11" s="1"/>
  <c r="J466" i="11"/>
  <c r="L466" i="11" s="1"/>
  <c r="J186" i="11"/>
  <c r="L186" i="11" s="1"/>
  <c r="K178" i="11"/>
  <c r="M178" i="11" s="1"/>
  <c r="J29" i="11"/>
  <c r="L29" i="11" s="1"/>
  <c r="J239" i="11"/>
  <c r="L239" i="11" s="1"/>
  <c r="J40" i="11"/>
  <c r="L40" i="11" s="1"/>
  <c r="J342" i="11"/>
  <c r="L342" i="11" s="1"/>
  <c r="J139" i="11"/>
  <c r="L139" i="11" s="1"/>
  <c r="K50" i="11"/>
  <c r="M50" i="11" s="1"/>
  <c r="K120" i="11"/>
  <c r="M120" i="11" s="1"/>
  <c r="K521" i="11"/>
  <c r="M521" i="11" s="1"/>
  <c r="K389" i="11"/>
  <c r="M389" i="11" s="1"/>
  <c r="J218" i="11"/>
  <c r="L218" i="11" s="1"/>
  <c r="J322" i="11"/>
  <c r="L322" i="11" s="1"/>
  <c r="J352" i="11"/>
  <c r="L352" i="11" s="1"/>
  <c r="J15" i="11"/>
  <c r="L15" i="11" s="1"/>
  <c r="K241" i="11"/>
  <c r="M241" i="11" s="1"/>
  <c r="J351" i="11"/>
  <c r="L351" i="11" s="1"/>
  <c r="K30" i="11"/>
  <c r="M30" i="11" s="1"/>
  <c r="J221" i="11"/>
  <c r="L221" i="11" s="1"/>
  <c r="K202" i="11"/>
  <c r="M202" i="11" s="1"/>
  <c r="J347" i="11"/>
  <c r="L347" i="11" s="1"/>
  <c r="K347" i="11"/>
  <c r="M347" i="11" s="1"/>
  <c r="J8" i="11"/>
  <c r="L8" i="11" s="1"/>
  <c r="K8" i="11"/>
  <c r="M8" i="11" s="1"/>
  <c r="J304" i="11"/>
  <c r="L304" i="11" s="1"/>
  <c r="J7" i="11"/>
  <c r="L7" i="11" s="1"/>
  <c r="K134" i="11"/>
  <c r="M134" i="11" s="1"/>
  <c r="J9" i="11"/>
  <c r="L9" i="11" s="1"/>
  <c r="J24" i="11"/>
  <c r="L24" i="11" s="1"/>
  <c r="N24" i="11" s="1"/>
  <c r="K292" i="11"/>
  <c r="M292" i="11" s="1"/>
  <c r="J16" i="11"/>
  <c r="L16" i="11" s="1"/>
  <c r="K16" i="11"/>
  <c r="M16" i="11" s="1"/>
  <c r="K397" i="11"/>
  <c r="M397" i="11" s="1"/>
  <c r="J346" i="11"/>
  <c r="L346" i="11" s="1"/>
  <c r="K346" i="11"/>
  <c r="M346" i="11" s="1"/>
  <c r="J49" i="11"/>
  <c r="L49" i="11" s="1"/>
  <c r="J133" i="11"/>
  <c r="L133" i="11" s="1"/>
  <c r="J287" i="11"/>
  <c r="L287" i="11" s="1"/>
  <c r="J153" i="11"/>
  <c r="L153" i="11" s="1"/>
  <c r="K153" i="11"/>
  <c r="M153" i="11" s="1"/>
  <c r="K216" i="11"/>
  <c r="M216" i="11" s="1"/>
  <c r="K357" i="11"/>
  <c r="M357" i="11" s="1"/>
  <c r="J278" i="11"/>
  <c r="L278" i="11" s="1"/>
  <c r="J514" i="11"/>
  <c r="L514" i="11" s="1"/>
  <c r="K135" i="11"/>
  <c r="M135" i="11" s="1"/>
  <c r="J10" i="11"/>
  <c r="L10" i="11" s="1"/>
  <c r="K10" i="11"/>
  <c r="M10" i="11" s="1"/>
  <c r="J253" i="11"/>
  <c r="L253" i="11" s="1"/>
  <c r="J123" i="11"/>
  <c r="L123" i="11" s="1"/>
  <c r="J505" i="11"/>
  <c r="L505" i="11" s="1"/>
  <c r="K505" i="11"/>
  <c r="M505" i="11" s="1"/>
  <c r="J34" i="11"/>
  <c r="L34" i="11" s="1"/>
  <c r="K34" i="11"/>
  <c r="M34" i="11" s="1"/>
  <c r="J343" i="11"/>
  <c r="L343" i="11" s="1"/>
  <c r="K343" i="11"/>
  <c r="M343" i="11" s="1"/>
  <c r="K502" i="11"/>
  <c r="M502" i="11" s="1"/>
  <c r="J81" i="11"/>
  <c r="L81" i="11" s="1"/>
  <c r="K81" i="11"/>
  <c r="M81" i="11" s="1"/>
  <c r="J492" i="11"/>
  <c r="L492" i="11" s="1"/>
  <c r="J110" i="11"/>
  <c r="L110" i="11" s="1"/>
  <c r="J45" i="11"/>
  <c r="L45" i="11" s="1"/>
  <c r="K86" i="11"/>
  <c r="M86" i="11" s="1"/>
  <c r="K47" i="11"/>
  <c r="M47" i="11" s="1"/>
  <c r="J363" i="11"/>
  <c r="L363" i="11" s="1"/>
  <c r="J151" i="11"/>
  <c r="L151" i="11" s="1"/>
  <c r="J345" i="11"/>
  <c r="L345" i="11" s="1"/>
  <c r="K323" i="11"/>
  <c r="M323" i="11" s="1"/>
  <c r="J174" i="11"/>
  <c r="L174" i="11" s="1"/>
  <c r="K365" i="11"/>
  <c r="M365" i="11" s="1"/>
  <c r="J135" i="11"/>
  <c r="L135" i="11" s="1"/>
  <c r="J248" i="11"/>
  <c r="L248" i="11" s="1"/>
  <c r="J66" i="11"/>
  <c r="L66" i="11" s="1"/>
  <c r="K66" i="11"/>
  <c r="M66" i="11" s="1"/>
  <c r="J244" i="11"/>
  <c r="L244" i="11" s="1"/>
  <c r="N244" i="11" s="1"/>
  <c r="J62" i="11"/>
  <c r="L62" i="11" s="1"/>
  <c r="K62" i="11"/>
  <c r="M62" i="11" s="1"/>
  <c r="J17" i="11"/>
  <c r="L17" i="11" s="1"/>
  <c r="K17" i="11"/>
  <c r="M17" i="11" s="1"/>
  <c r="J525" i="11"/>
  <c r="L525" i="11" s="1"/>
  <c r="K525" i="11"/>
  <c r="M525" i="11" s="1"/>
  <c r="J189" i="11"/>
  <c r="L189" i="11" s="1"/>
  <c r="K125" i="11"/>
  <c r="M125" i="11" s="1"/>
  <c r="K242" i="11"/>
  <c r="M242" i="11" s="1"/>
  <c r="J531" i="11"/>
  <c r="L531" i="11" s="1"/>
  <c r="K531" i="11"/>
  <c r="M531" i="11" s="1"/>
  <c r="J185" i="11"/>
  <c r="L185" i="11" s="1"/>
  <c r="K74" i="11"/>
  <c r="M74" i="11" s="1"/>
  <c r="J296" i="11"/>
  <c r="L296" i="11" s="1"/>
  <c r="J209" i="11"/>
  <c r="L209" i="11" s="1"/>
  <c r="K209" i="11"/>
  <c r="M209" i="11" s="1"/>
  <c r="K83" i="11"/>
  <c r="M83" i="11" s="1"/>
  <c r="J515" i="11"/>
  <c r="L515" i="11" s="1"/>
  <c r="K515" i="11"/>
  <c r="M515" i="11" s="1"/>
  <c r="J485" i="11"/>
  <c r="L485" i="11" s="1"/>
  <c r="K172" i="11"/>
  <c r="M172" i="11" s="1"/>
  <c r="K303" i="11"/>
  <c r="M303" i="11" s="1"/>
  <c r="J320" i="11"/>
  <c r="L320" i="11" s="1"/>
  <c r="K361" i="11"/>
  <c r="M361" i="11" s="1"/>
  <c r="K98" i="11"/>
  <c r="M98" i="11" s="1"/>
  <c r="J85" i="11"/>
  <c r="L85" i="11" s="1"/>
  <c r="J222" i="11"/>
  <c r="L222" i="11" s="1"/>
  <c r="K222" i="11"/>
  <c r="M222" i="11" s="1"/>
  <c r="J90" i="11"/>
  <c r="L90" i="11" s="1"/>
  <c r="J41" i="11"/>
  <c r="L41" i="11" s="1"/>
  <c r="K41" i="11"/>
  <c r="M41" i="11" s="1"/>
  <c r="J323" i="11"/>
  <c r="L323" i="11" s="1"/>
  <c r="J125" i="11"/>
  <c r="L125" i="11" s="1"/>
  <c r="J164" i="11"/>
  <c r="L164" i="11" s="1"/>
  <c r="J238" i="11"/>
  <c r="L238" i="11" s="1"/>
  <c r="J160" i="11"/>
  <c r="L160" i="11" s="1"/>
  <c r="J31" i="11"/>
  <c r="L31" i="11" s="1"/>
  <c r="K31" i="11"/>
  <c r="M31" i="11" s="1"/>
  <c r="J92" i="11"/>
  <c r="L92" i="11" s="1"/>
  <c r="J204" i="11"/>
  <c r="L204" i="11" s="1"/>
  <c r="K204" i="11"/>
  <c r="M204" i="11" s="1"/>
  <c r="J326" i="11"/>
  <c r="L326" i="11" s="1"/>
  <c r="J262" i="11"/>
  <c r="L262" i="11" s="1"/>
  <c r="K519" i="11"/>
  <c r="M519" i="11" s="1"/>
  <c r="J113" i="11"/>
  <c r="L113" i="11" s="1"/>
  <c r="J73" i="11"/>
  <c r="L73" i="11" s="1"/>
  <c r="K73" i="11"/>
  <c r="M73" i="11" s="1"/>
  <c r="K359" i="11"/>
  <c r="M359" i="11" s="1"/>
  <c r="K188" i="11"/>
  <c r="M188" i="11" s="1"/>
  <c r="J254" i="11"/>
  <c r="L254" i="11" s="1"/>
  <c r="J307" i="11"/>
  <c r="L307" i="11" s="1"/>
  <c r="K307" i="11"/>
  <c r="M307" i="11" s="1"/>
  <c r="J507" i="11"/>
  <c r="L507" i="11" s="1"/>
  <c r="K507" i="11"/>
  <c r="M507" i="11" s="1"/>
  <c r="K257" i="11"/>
  <c r="M257" i="11" s="1"/>
  <c r="K159" i="11"/>
  <c r="M159" i="11" s="1"/>
  <c r="K58" i="11"/>
  <c r="M58" i="11" s="1"/>
  <c r="J148" i="11"/>
  <c r="L148" i="11" s="1"/>
  <c r="K148" i="11"/>
  <c r="M148" i="11" s="1"/>
  <c r="J528" i="11"/>
  <c r="L528" i="11" s="1"/>
  <c r="K528" i="11"/>
  <c r="M528" i="11" s="1"/>
  <c r="J499" i="11"/>
  <c r="L499" i="11" s="1"/>
  <c r="K499" i="11"/>
  <c r="M499" i="11" s="1"/>
  <c r="J175" i="11"/>
  <c r="L175" i="11" s="1"/>
  <c r="K175" i="11"/>
  <c r="M175" i="11" s="1"/>
  <c r="K384" i="11"/>
  <c r="M384" i="11" s="1"/>
  <c r="K124" i="11"/>
  <c r="M124" i="11" s="1"/>
  <c r="J46" i="11"/>
  <c r="L46" i="11" s="1"/>
  <c r="K119" i="11"/>
  <c r="M119" i="11" s="1"/>
  <c r="J534" i="11"/>
  <c r="L534" i="11" s="1"/>
  <c r="J74" i="11"/>
  <c r="L74" i="11" s="1"/>
  <c r="J266" i="11"/>
  <c r="L266" i="11" s="1"/>
  <c r="N266" i="11" s="1"/>
  <c r="K25" i="11"/>
  <c r="M25" i="11" s="1"/>
  <c r="J257" i="11"/>
  <c r="L257" i="11" s="1"/>
  <c r="J341" i="11"/>
  <c r="L341" i="11" s="1"/>
  <c r="J50" i="11"/>
  <c r="L50" i="11" s="1"/>
  <c r="J521" i="11"/>
  <c r="L521" i="11" s="1"/>
  <c r="J83" i="11"/>
  <c r="L83" i="11" s="1"/>
  <c r="J178" i="11"/>
  <c r="L178" i="11" s="1"/>
  <c r="J98" i="11"/>
  <c r="L98" i="11" s="1"/>
  <c r="J234" i="11"/>
  <c r="L234" i="11" s="1"/>
  <c r="J275" i="11"/>
  <c r="L275" i="11" s="1"/>
  <c r="K275" i="11"/>
  <c r="M275" i="11" s="1"/>
  <c r="J109" i="11"/>
  <c r="L109" i="11" s="1"/>
  <c r="J201" i="11"/>
  <c r="L201" i="11" s="1"/>
  <c r="K201" i="11"/>
  <c r="M201" i="11" s="1"/>
  <c r="J493" i="11"/>
  <c r="L493" i="11" s="1"/>
  <c r="K493" i="11"/>
  <c r="M493" i="11" s="1"/>
  <c r="J324" i="11"/>
  <c r="L324" i="11" s="1"/>
  <c r="K324" i="11"/>
  <c r="M324" i="11" s="1"/>
  <c r="J391" i="11"/>
  <c r="L391" i="11" s="1"/>
  <c r="K311" i="11"/>
  <c r="M311" i="11" s="1"/>
  <c r="J313" i="11"/>
  <c r="L313" i="11" s="1"/>
  <c r="K36" i="11"/>
  <c r="M36" i="11" s="1"/>
  <c r="J42" i="11"/>
  <c r="L42" i="11" s="1"/>
  <c r="J19" i="11"/>
  <c r="L19" i="11" s="1"/>
  <c r="J357" i="11"/>
  <c r="L357" i="11" s="1"/>
  <c r="J301" i="11"/>
  <c r="L301" i="11" s="1"/>
  <c r="J106" i="11"/>
  <c r="L106" i="11" s="1"/>
  <c r="J306" i="11"/>
  <c r="L306" i="11" s="1"/>
  <c r="K306" i="11"/>
  <c r="M306" i="11" s="1"/>
  <c r="J210" i="11"/>
  <c r="L210" i="11" s="1"/>
  <c r="J128" i="11"/>
  <c r="L128" i="11" s="1"/>
  <c r="K128" i="11"/>
  <c r="M128" i="11" s="1"/>
  <c r="J21" i="11"/>
  <c r="L21" i="11" s="1"/>
  <c r="J84" i="11"/>
  <c r="L84" i="11" s="1"/>
  <c r="J111" i="11"/>
  <c r="L111" i="11" s="1"/>
  <c r="J277" i="11"/>
  <c r="L277" i="11" s="1"/>
  <c r="J78" i="11"/>
  <c r="L78" i="11" s="1"/>
  <c r="J240" i="11"/>
  <c r="L240" i="11" s="1"/>
  <c r="K240" i="11"/>
  <c r="M240" i="11" s="1"/>
  <c r="J335" i="11"/>
  <c r="L335" i="11" s="1"/>
  <c r="J480" i="11"/>
  <c r="L480" i="11" s="1"/>
  <c r="K480" i="11"/>
  <c r="M480" i="11" s="1"/>
  <c r="J472" i="11"/>
  <c r="L472" i="11" s="1"/>
  <c r="J64" i="11"/>
  <c r="L64" i="11" s="1"/>
  <c r="J242" i="11"/>
  <c r="L242" i="11" s="1"/>
  <c r="J361" i="11"/>
  <c r="L361" i="11" s="1"/>
  <c r="J502" i="11"/>
  <c r="L502" i="11" s="1"/>
  <c r="J246" i="11"/>
  <c r="L246" i="11" s="1"/>
  <c r="K246" i="11"/>
  <c r="M246" i="11" s="1"/>
  <c r="J276" i="11"/>
  <c r="L276" i="11" s="1"/>
  <c r="J63" i="11"/>
  <c r="L63" i="11" s="1"/>
  <c r="K63" i="11"/>
  <c r="M63" i="11" s="1"/>
  <c r="J359" i="11"/>
  <c r="L359" i="11" s="1"/>
  <c r="J188" i="11"/>
  <c r="L188" i="11" s="1"/>
  <c r="J47" i="11"/>
  <c r="L47" i="11" s="1"/>
  <c r="J166" i="11"/>
  <c r="L166" i="11" s="1"/>
  <c r="J142" i="11"/>
  <c r="L142" i="11" s="1"/>
  <c r="J159" i="11"/>
  <c r="L159" i="11" s="1"/>
  <c r="J350" i="11"/>
  <c r="L350" i="11" s="1"/>
  <c r="J517" i="11"/>
  <c r="L517" i="11" s="1"/>
  <c r="J58" i="11"/>
  <c r="L58" i="11" s="1"/>
  <c r="J337" i="11"/>
  <c r="L337" i="11" s="1"/>
  <c r="K337" i="11"/>
  <c r="M337" i="11" s="1"/>
  <c r="J102" i="11"/>
  <c r="L102" i="11" s="1"/>
  <c r="J87" i="11"/>
  <c r="L87" i="11" s="1"/>
  <c r="K309" i="11"/>
  <c r="M309" i="11" s="1"/>
  <c r="K220" i="11"/>
  <c r="M220" i="11" s="1"/>
  <c r="J67" i="11"/>
  <c r="L67" i="11" s="1"/>
  <c r="J365" i="11"/>
  <c r="L365" i="11" s="1"/>
  <c r="J237" i="11"/>
  <c r="L237" i="11" s="1"/>
  <c r="K237" i="11"/>
  <c r="M237" i="11" s="1"/>
  <c r="J327" i="11"/>
  <c r="L327" i="11" s="1"/>
  <c r="K327" i="11"/>
  <c r="M327" i="11" s="1"/>
  <c r="J292" i="11"/>
  <c r="L292" i="11" s="1"/>
  <c r="J396" i="11"/>
  <c r="L396" i="11" s="1"/>
  <c r="J69" i="11"/>
  <c r="L69" i="11" s="1"/>
  <c r="J340" i="11"/>
  <c r="L340" i="11" s="1"/>
  <c r="N340" i="11" s="1"/>
  <c r="J231" i="11"/>
  <c r="L231" i="11" s="1"/>
  <c r="J269" i="11"/>
  <c r="L269" i="11" s="1"/>
  <c r="N269" i="11" s="1"/>
  <c r="J311" i="11"/>
  <c r="L311" i="11" s="1"/>
  <c r="J533" i="11"/>
  <c r="L533" i="11" s="1"/>
  <c r="J59" i="11"/>
  <c r="L59" i="11" s="1"/>
  <c r="K59" i="11"/>
  <c r="M59" i="11" s="1"/>
  <c r="K375" i="11"/>
  <c r="M375" i="11" s="1"/>
  <c r="J180" i="11"/>
  <c r="L180" i="11" s="1"/>
  <c r="J190" i="11"/>
  <c r="L190" i="11" s="1"/>
  <c r="J375" i="11"/>
  <c r="L375" i="11" s="1"/>
  <c r="J131" i="11"/>
  <c r="L131" i="11" s="1"/>
  <c r="K131" i="11"/>
  <c r="M131" i="11" s="1"/>
  <c r="J280" i="11"/>
  <c r="L280" i="11" s="1"/>
  <c r="K280" i="11"/>
  <c r="M280" i="11" s="1"/>
  <c r="J82" i="11"/>
  <c r="L82" i="11" s="1"/>
  <c r="N82" i="11" s="1"/>
  <c r="J211" i="11"/>
  <c r="L211" i="11" s="1"/>
  <c r="J318" i="11"/>
  <c r="L318" i="11" s="1"/>
  <c r="K318" i="11"/>
  <c r="M318" i="11" s="1"/>
  <c r="K532" i="11"/>
  <c r="M532" i="11" s="1"/>
  <c r="J138" i="11"/>
  <c r="L138" i="11" s="1"/>
  <c r="J91" i="11"/>
  <c r="L91" i="11" s="1"/>
  <c r="J374" i="11"/>
  <c r="L374" i="11" s="1"/>
  <c r="K374" i="11"/>
  <c r="M374" i="11" s="1"/>
  <c r="J158" i="11"/>
  <c r="L158" i="11" s="1"/>
  <c r="J317" i="11"/>
  <c r="L317" i="11" s="1"/>
  <c r="K317" i="11"/>
  <c r="M317" i="11" s="1"/>
  <c r="K207" i="11"/>
  <c r="M207" i="11" s="1"/>
  <c r="J511" i="11"/>
  <c r="L511" i="11" s="1"/>
  <c r="J171" i="11"/>
  <c r="L171" i="11" s="1"/>
  <c r="J397" i="11"/>
  <c r="L397" i="11" s="1"/>
  <c r="J116" i="11"/>
  <c r="L116" i="11" s="1"/>
  <c r="J217" i="11"/>
  <c r="L217" i="11" s="1"/>
  <c r="J165" i="11"/>
  <c r="L165" i="11" s="1"/>
  <c r="K165" i="11"/>
  <c r="M165" i="11" s="1"/>
  <c r="K104" i="11"/>
  <c r="M104" i="11" s="1"/>
  <c r="K149" i="11"/>
  <c r="M149" i="11" s="1"/>
  <c r="J134" i="11"/>
  <c r="L134" i="11" s="1"/>
  <c r="J118" i="11"/>
  <c r="L118" i="11" s="1"/>
  <c r="J519" i="11"/>
  <c r="L519" i="11" s="1"/>
  <c r="J205" i="11"/>
  <c r="L205" i="11" s="1"/>
  <c r="K205" i="11"/>
  <c r="M205" i="11" s="1"/>
  <c r="J332" i="11"/>
  <c r="L332" i="11" s="1"/>
  <c r="J130" i="11"/>
  <c r="L130" i="11" s="1"/>
  <c r="K130" i="11"/>
  <c r="M130" i="11" s="1"/>
  <c r="K272" i="11"/>
  <c r="M272" i="11" s="1"/>
  <c r="K474" i="11"/>
  <c r="M474" i="11" s="1"/>
  <c r="J53" i="11"/>
  <c r="L53" i="11" s="1"/>
  <c r="K53" i="11"/>
  <c r="M53" i="11" s="1"/>
  <c r="J484" i="11"/>
  <c r="L484" i="11" s="1"/>
  <c r="K127" i="11"/>
  <c r="M127" i="11" s="1"/>
  <c r="K38" i="11"/>
  <c r="M38" i="11" s="1"/>
  <c r="K245" i="11"/>
  <c r="M245" i="11" s="1"/>
  <c r="J119" i="11"/>
  <c r="L119" i="11" s="1"/>
  <c r="J207" i="11"/>
  <c r="L207" i="11" s="1"/>
  <c r="J372" i="11"/>
  <c r="L372" i="11" s="1"/>
  <c r="J37" i="11"/>
  <c r="L37" i="11" s="1"/>
  <c r="K37" i="11"/>
  <c r="M37" i="11" s="1"/>
  <c r="J261" i="11"/>
  <c r="L261" i="11" s="1"/>
  <c r="J120" i="11"/>
  <c r="L120" i="11" s="1"/>
  <c r="J183" i="11"/>
  <c r="L183" i="11" s="1"/>
  <c r="K183" i="11"/>
  <c r="M183" i="11" s="1"/>
  <c r="J389" i="11"/>
  <c r="L389" i="11" s="1"/>
  <c r="J145" i="11"/>
  <c r="L145" i="11" s="1"/>
  <c r="N145" i="11" s="1"/>
  <c r="J384" i="11"/>
  <c r="L384" i="11" s="1"/>
  <c r="J241" i="11"/>
  <c r="L241" i="11" s="1"/>
  <c r="J30" i="11"/>
  <c r="L30" i="11" s="1"/>
  <c r="J202" i="11"/>
  <c r="L202" i="11" s="1"/>
  <c r="J479" i="11"/>
  <c r="L479" i="11" s="1"/>
  <c r="J228" i="11"/>
  <c r="L228" i="11" s="1"/>
  <c r="K228" i="11"/>
  <c r="M228" i="11" s="1"/>
  <c r="J226" i="11"/>
  <c r="L226" i="11" s="1"/>
  <c r="K226" i="11"/>
  <c r="M226" i="11" s="1"/>
  <c r="J500" i="11"/>
  <c r="L500" i="11" s="1"/>
  <c r="K500" i="11"/>
  <c r="M500" i="11" s="1"/>
  <c r="J267" i="11"/>
  <c r="L267" i="11" s="1"/>
  <c r="K267" i="11"/>
  <c r="M267" i="11" s="1"/>
  <c r="J26" i="11"/>
  <c r="L26" i="11" s="1"/>
  <c r="J39" i="11"/>
  <c r="L39" i="11" s="1"/>
  <c r="J235" i="11"/>
  <c r="L235" i="11" s="1"/>
  <c r="J386" i="11"/>
  <c r="L386" i="11" s="1"/>
  <c r="J192" i="11"/>
  <c r="L192" i="11" s="1"/>
  <c r="K192" i="11"/>
  <c r="M192" i="11" s="1"/>
  <c r="J107" i="11"/>
  <c r="L107" i="11" s="1"/>
  <c r="J486" i="11"/>
  <c r="L486" i="11" s="1"/>
  <c r="K486" i="11"/>
  <c r="M486" i="11" s="1"/>
  <c r="J114" i="11"/>
  <c r="L114" i="11" s="1"/>
  <c r="N114" i="11" s="1"/>
  <c r="J197" i="11"/>
  <c r="L197" i="11" s="1"/>
  <c r="J97" i="11"/>
  <c r="L97" i="11" s="1"/>
  <c r="J315" i="11"/>
  <c r="L315" i="11" s="1"/>
  <c r="K315" i="11"/>
  <c r="M315" i="11" s="1"/>
  <c r="J274" i="11"/>
  <c r="L274" i="11" s="1"/>
  <c r="J247" i="11"/>
  <c r="L247" i="11" s="1"/>
  <c r="J356" i="11"/>
  <c r="L356" i="11" s="1"/>
  <c r="N356" i="11" s="1"/>
  <c r="J526" i="11"/>
  <c r="L526" i="11" s="1"/>
  <c r="K526" i="11"/>
  <c r="M526" i="11" s="1"/>
  <c r="K55" i="11"/>
  <c r="M55" i="11" s="1"/>
  <c r="J513" i="11"/>
  <c r="L513" i="11" s="1"/>
  <c r="K513" i="11"/>
  <c r="M513" i="11" s="1"/>
  <c r="J265" i="11"/>
  <c r="L265" i="11" s="1"/>
  <c r="N265" i="11" s="1"/>
  <c r="J117" i="11"/>
  <c r="L117" i="11" s="1"/>
  <c r="J182" i="11"/>
  <c r="L182" i="11" s="1"/>
  <c r="K182" i="11"/>
  <c r="M182" i="11" s="1"/>
  <c r="J380" i="11"/>
  <c r="L380" i="11" s="1"/>
  <c r="K380" i="11"/>
  <c r="M380" i="11" s="1"/>
  <c r="J230" i="11"/>
  <c r="L230" i="11" s="1"/>
  <c r="J245" i="11"/>
  <c r="L245" i="11" s="1"/>
  <c r="J93" i="11"/>
  <c r="L93" i="11" s="1"/>
  <c r="N93" i="11" s="1"/>
  <c r="J54" i="11"/>
  <c r="L54" i="11" s="1"/>
  <c r="J297" i="11"/>
  <c r="L297" i="11" s="1"/>
  <c r="J243" i="11"/>
  <c r="L243" i="11" s="1"/>
  <c r="K258" i="11"/>
  <c r="M258" i="11" s="1"/>
  <c r="J96" i="11"/>
  <c r="L96" i="11" s="1"/>
  <c r="K96" i="11"/>
  <c r="M96" i="11" s="1"/>
  <c r="J89" i="11"/>
  <c r="L89" i="11" s="1"/>
  <c r="K89" i="11"/>
  <c r="M89" i="11" s="1"/>
  <c r="J251" i="11"/>
  <c r="L251" i="11" s="1"/>
  <c r="K251" i="11"/>
  <c r="M251" i="11" s="1"/>
  <c r="J55" i="11"/>
  <c r="L55" i="11" s="1"/>
  <c r="K48" i="11"/>
  <c r="M48" i="11" s="1"/>
  <c r="J508" i="11"/>
  <c r="L508" i="11" s="1"/>
  <c r="J298" i="11"/>
  <c r="L298" i="11" s="1"/>
  <c r="K298" i="11"/>
  <c r="M298" i="11" s="1"/>
  <c r="J398" i="11"/>
  <c r="L398" i="11" s="1"/>
  <c r="K398" i="11"/>
  <c r="M398" i="11" s="1"/>
  <c r="J503" i="11"/>
  <c r="L503" i="11" s="1"/>
  <c r="J13" i="11"/>
  <c r="L13" i="11" s="1"/>
  <c r="K293" i="11"/>
  <c r="M293" i="11" s="1"/>
  <c r="J194" i="11"/>
  <c r="L194" i="11" s="1"/>
  <c r="J490" i="11"/>
  <c r="L490" i="11" s="1"/>
  <c r="J283" i="11"/>
  <c r="L283" i="11" s="1"/>
  <c r="N283" i="11" s="1"/>
  <c r="J495" i="11"/>
  <c r="L495" i="11" s="1"/>
  <c r="K495" i="11"/>
  <c r="M495" i="11" s="1"/>
  <c r="J504" i="11"/>
  <c r="L504" i="11" s="1"/>
  <c r="K504" i="11"/>
  <c r="M504" i="11" s="1"/>
  <c r="J272" i="11"/>
  <c r="L272" i="11" s="1"/>
  <c r="J104" i="11"/>
  <c r="L104" i="11" s="1"/>
  <c r="J115" i="11"/>
  <c r="L115" i="11" s="1"/>
  <c r="K115" i="11"/>
  <c r="M115" i="11" s="1"/>
  <c r="J279" i="11"/>
  <c r="L279" i="11" s="1"/>
  <c r="J126" i="11"/>
  <c r="L126" i="11" s="1"/>
  <c r="J474" i="11"/>
  <c r="L474" i="11" s="1"/>
  <c r="K44" i="11"/>
  <c r="M44" i="11" s="1"/>
  <c r="J212" i="11"/>
  <c r="L212" i="11" s="1"/>
  <c r="K212" i="11"/>
  <c r="M212" i="11" s="1"/>
  <c r="K11" i="11"/>
  <c r="M11" i="11" s="1"/>
  <c r="J259" i="11"/>
  <c r="L259" i="11" s="1"/>
  <c r="J33" i="11"/>
  <c r="L33" i="11" s="1"/>
  <c r="K33" i="11"/>
  <c r="M33" i="11" s="1"/>
  <c r="J310" i="11"/>
  <c r="L310" i="11" s="1"/>
  <c r="J38" i="11"/>
  <c r="L38" i="11" s="1"/>
  <c r="J501" i="11"/>
  <c r="L501" i="11" s="1"/>
  <c r="K501" i="11"/>
  <c r="M501" i="11" s="1"/>
  <c r="J23" i="11"/>
  <c r="L23" i="11" s="1"/>
  <c r="K23" i="11"/>
  <c r="M23" i="11" s="1"/>
  <c r="J353" i="11"/>
  <c r="L353" i="11" s="1"/>
  <c r="K353" i="11"/>
  <c r="M353" i="11" s="1"/>
  <c r="J220" i="11"/>
  <c r="L220" i="11" s="1"/>
  <c r="J229" i="11"/>
  <c r="L229" i="11" s="1"/>
  <c r="K229" i="11"/>
  <c r="M229" i="11" s="1"/>
  <c r="J473" i="11"/>
  <c r="L473" i="11" s="1"/>
  <c r="K473" i="11"/>
  <c r="M473" i="11" s="1"/>
  <c r="J393" i="11"/>
  <c r="L393" i="11" s="1"/>
  <c r="K393" i="11"/>
  <c r="M393" i="11" s="1"/>
  <c r="J193" i="11"/>
  <c r="L193" i="11" s="1"/>
  <c r="K193" i="11"/>
  <c r="M193" i="11" s="1"/>
  <c r="J79" i="11"/>
  <c r="L79" i="11" s="1"/>
  <c r="K79" i="11"/>
  <c r="M79" i="11" s="1"/>
  <c r="J344" i="11"/>
  <c r="L344" i="11" s="1"/>
  <c r="K344" i="11"/>
  <c r="M344" i="11" s="1"/>
  <c r="J295" i="11"/>
  <c r="L295" i="11" s="1"/>
  <c r="K295" i="11"/>
  <c r="M295" i="11" s="1"/>
  <c r="J294" i="11"/>
  <c r="L294" i="11" s="1"/>
  <c r="K294" i="11"/>
  <c r="M294" i="11" s="1"/>
  <c r="K334" i="11"/>
  <c r="M334" i="11" s="1"/>
  <c r="J385" i="11"/>
  <c r="L385" i="11" s="1"/>
  <c r="J177" i="11"/>
  <c r="L177" i="11" s="1"/>
  <c r="N177" i="11" s="1"/>
  <c r="J12" i="11"/>
  <c r="L12" i="11" s="1"/>
  <c r="K12" i="11"/>
  <c r="M12" i="11" s="1"/>
  <c r="J100" i="11"/>
  <c r="L100" i="11" s="1"/>
  <c r="J470" i="11"/>
  <c r="L470" i="11" s="1"/>
  <c r="J172" i="11"/>
  <c r="L172" i="11" s="1"/>
  <c r="J99" i="11"/>
  <c r="L99" i="11" s="1"/>
  <c r="K99" i="11"/>
  <c r="M99" i="11" s="1"/>
  <c r="J250" i="11"/>
  <c r="L250" i="11" s="1"/>
  <c r="K250" i="11"/>
  <c r="M250" i="11" s="1"/>
  <c r="J532" i="11"/>
  <c r="L532" i="11" s="1"/>
  <c r="J381" i="11"/>
  <c r="L381" i="11" s="1"/>
  <c r="J61" i="11"/>
  <c r="L61" i="11" s="1"/>
  <c r="K61" i="11"/>
  <c r="M61" i="11" s="1"/>
  <c r="J290" i="11"/>
  <c r="L290" i="11" s="1"/>
  <c r="K290" i="11"/>
  <c r="M290" i="11" s="1"/>
  <c r="J161" i="11"/>
  <c r="L161" i="11" s="1"/>
  <c r="K161" i="11"/>
  <c r="M161" i="11" s="1"/>
  <c r="J303" i="11"/>
  <c r="L303" i="11" s="1"/>
  <c r="J467" i="11"/>
  <c r="L467" i="11" s="1"/>
  <c r="J25" i="11"/>
  <c r="L25" i="11" s="1"/>
  <c r="J309" i="11"/>
  <c r="L309" i="11" s="1"/>
  <c r="J127" i="11"/>
  <c r="L127" i="11" s="1"/>
  <c r="J105" i="11"/>
  <c r="L105" i="11" s="1"/>
  <c r="K105" i="11"/>
  <c r="M105" i="11" s="1"/>
  <c r="J477" i="11"/>
  <c r="L477" i="11" s="1"/>
  <c r="K477" i="11"/>
  <c r="M477" i="11" s="1"/>
  <c r="K147" i="11"/>
  <c r="M147" i="11" s="1"/>
  <c r="J184" i="11"/>
  <c r="L184" i="11" s="1"/>
  <c r="K184" i="11"/>
  <c r="M184" i="11" s="1"/>
  <c r="J28" i="11"/>
  <c r="L28" i="11" s="1"/>
  <c r="K28" i="11"/>
  <c r="M28" i="11" s="1"/>
  <c r="J208" i="11"/>
  <c r="L208" i="11" s="1"/>
  <c r="N208" i="11" s="1"/>
  <c r="J465" i="11"/>
  <c r="L465" i="11" s="1"/>
  <c r="K465" i="11"/>
  <c r="M465" i="11" s="1"/>
  <c r="J390" i="11"/>
  <c r="L390" i="11" s="1"/>
  <c r="K390" i="11"/>
  <c r="M390" i="11" s="1"/>
  <c r="J70" i="11"/>
  <c r="L70" i="11" s="1"/>
  <c r="K70" i="11"/>
  <c r="M70" i="11" s="1"/>
  <c r="J524" i="11"/>
  <c r="L524" i="11" s="1"/>
  <c r="J321" i="11"/>
  <c r="L321" i="11" s="1"/>
  <c r="K321" i="11"/>
  <c r="M321" i="11" s="1"/>
  <c r="J481" i="11"/>
  <c r="L481" i="11" s="1"/>
  <c r="K481" i="11"/>
  <c r="M481" i="11" s="1"/>
  <c r="J143" i="11"/>
  <c r="L143" i="11" s="1"/>
  <c r="K143" i="11"/>
  <c r="M143" i="11" s="1"/>
  <c r="J43" i="11"/>
  <c r="L43" i="11" s="1"/>
  <c r="K43" i="11"/>
  <c r="M43" i="11" s="1"/>
  <c r="J520" i="11"/>
  <c r="L520" i="11" s="1"/>
  <c r="K520" i="11"/>
  <c r="M520" i="11" s="1"/>
  <c r="J216" i="11"/>
  <c r="L216" i="11" s="1"/>
  <c r="J263" i="11"/>
  <c r="L263" i="11" s="1"/>
  <c r="K263" i="11"/>
  <c r="M263" i="11" s="1"/>
  <c r="J252" i="11"/>
  <c r="L252" i="11" s="1"/>
  <c r="J471" i="11"/>
  <c r="L471" i="11" s="1"/>
  <c r="J258" i="11"/>
  <c r="L258" i="11" s="1"/>
  <c r="N258" i="11" s="1"/>
  <c r="J227" i="11"/>
  <c r="L227" i="11" s="1"/>
  <c r="K227" i="11"/>
  <c r="M227" i="11" s="1"/>
  <c r="J264" i="11"/>
  <c r="L264" i="11" s="1"/>
  <c r="N264" i="11" s="1"/>
  <c r="J334" i="11"/>
  <c r="L334" i="11" s="1"/>
  <c r="J360" i="11"/>
  <c r="L360" i="11" s="1"/>
  <c r="J328" i="11"/>
  <c r="L328" i="11" s="1"/>
  <c r="N328" i="11" s="1"/>
  <c r="J147" i="11"/>
  <c r="L147" i="11" s="1"/>
  <c r="J232" i="11"/>
  <c r="L232" i="11" s="1"/>
  <c r="K232" i="11"/>
  <c r="M232" i="11" s="1"/>
  <c r="J68" i="11"/>
  <c r="L68" i="11" s="1"/>
  <c r="K68" i="11"/>
  <c r="M68" i="11" s="1"/>
  <c r="J522" i="11"/>
  <c r="L522" i="11" s="1"/>
  <c r="J523" i="11"/>
  <c r="L523" i="11" s="1"/>
  <c r="K523" i="11"/>
  <c r="M523" i="11" s="1"/>
  <c r="J282" i="11"/>
  <c r="L282" i="11" s="1"/>
  <c r="K282" i="11"/>
  <c r="M282" i="11" s="1"/>
  <c r="J488" i="11"/>
  <c r="L488" i="11" s="1"/>
  <c r="K488" i="11"/>
  <c r="M488" i="11" s="1"/>
  <c r="J44" i="11"/>
  <c r="L44" i="11" s="1"/>
  <c r="J72" i="11"/>
  <c r="L72" i="11" s="1"/>
  <c r="N72" i="11" s="1"/>
  <c r="J11" i="11"/>
  <c r="L11" i="11" s="1"/>
  <c r="J149" i="11"/>
  <c r="L149" i="11" s="1"/>
  <c r="J271" i="11"/>
  <c r="L271" i="11" s="1"/>
  <c r="K271" i="11"/>
  <c r="M271" i="11" s="1"/>
  <c r="J86" i="11"/>
  <c r="L86" i="11" s="1"/>
  <c r="J512" i="11"/>
  <c r="L512" i="11" s="1"/>
  <c r="J124" i="11"/>
  <c r="L124" i="11" s="1"/>
  <c r="J48" i="11"/>
  <c r="L48" i="11" s="1"/>
  <c r="N48" i="11" s="1"/>
  <c r="J498" i="11"/>
  <c r="L498" i="11" s="1"/>
  <c r="J293" i="11"/>
  <c r="L293" i="11" s="1"/>
  <c r="J36" i="11"/>
  <c r="L36" i="11" s="1"/>
  <c r="J60" i="11"/>
  <c r="L60" i="11" s="1"/>
  <c r="J136" i="11"/>
  <c r="L136" i="11" s="1"/>
  <c r="K136" i="11"/>
  <c r="M136" i="11" s="1"/>
  <c r="J225" i="11"/>
  <c r="L225" i="11" s="1"/>
  <c r="K225" i="11"/>
  <c r="M225" i="11" s="1"/>
  <c r="N341" i="11" l="1"/>
  <c r="N351" i="11"/>
  <c r="N371" i="11"/>
  <c r="N305" i="11"/>
  <c r="N254" i="11"/>
  <c r="N218" i="11"/>
  <c r="N239" i="11"/>
  <c r="N236" i="11"/>
  <c r="N97" i="11"/>
  <c r="N384" i="11"/>
  <c r="N511" i="11"/>
  <c r="N87" i="11"/>
  <c r="N360" i="11"/>
  <c r="N30" i="11"/>
  <c r="N178" i="11"/>
  <c r="N189" i="11"/>
  <c r="N370" i="11"/>
  <c r="N171" i="11"/>
  <c r="N190" i="11"/>
  <c r="N498" i="11"/>
  <c r="N211" i="11"/>
  <c r="N372" i="11"/>
  <c r="N166" i="11"/>
  <c r="N98" i="11"/>
  <c r="N301" i="11"/>
  <c r="N534" i="11"/>
  <c r="N300" i="11"/>
  <c r="N491" i="11"/>
  <c r="N377" i="11"/>
  <c r="N329" i="11"/>
  <c r="N206" i="11"/>
  <c r="N18" i="11"/>
  <c r="N521" i="11"/>
  <c r="N101" i="11"/>
  <c r="N322" i="11"/>
  <c r="N510" i="11"/>
  <c r="N326" i="11"/>
  <c r="N474" i="11"/>
  <c r="N297" i="11"/>
  <c r="N228" i="11"/>
  <c r="N241" i="11"/>
  <c r="N317" i="11"/>
  <c r="N59" i="11"/>
  <c r="N71" i="11"/>
  <c r="N60" i="11"/>
  <c r="N385" i="11"/>
  <c r="N274" i="11"/>
  <c r="N107" i="11"/>
  <c r="N235" i="11"/>
  <c r="N202" i="11"/>
  <c r="N102" i="11"/>
  <c r="N492" i="11"/>
  <c r="N278" i="11"/>
  <c r="N535" i="11"/>
  <c r="N284" i="11"/>
  <c r="N303" i="11"/>
  <c r="N39" i="11"/>
  <c r="N350" i="11"/>
  <c r="N42" i="11"/>
  <c r="N391" i="11"/>
  <c r="N345" i="11"/>
  <c r="N494" i="11"/>
  <c r="N289" i="11"/>
  <c r="N146" i="11"/>
  <c r="N247" i="11"/>
  <c r="N486" i="11"/>
  <c r="N37" i="11"/>
  <c r="N533" i="11"/>
  <c r="N365" i="11"/>
  <c r="N174" i="11"/>
  <c r="N49" i="11"/>
  <c r="N529" i="11"/>
  <c r="N336" i="11"/>
  <c r="N367" i="11"/>
  <c r="N249" i="11"/>
  <c r="N496" i="11"/>
  <c r="N223" i="11"/>
  <c r="N195" i="11"/>
  <c r="N64" i="11"/>
  <c r="N248" i="11"/>
  <c r="N286" i="11"/>
  <c r="N273" i="11"/>
  <c r="N288" i="11"/>
  <c r="N524" i="11"/>
  <c r="N100" i="11"/>
  <c r="N197" i="11"/>
  <c r="N116" i="11"/>
  <c r="N67" i="11"/>
  <c r="N216" i="11"/>
  <c r="N259" i="11"/>
  <c r="N261" i="11"/>
  <c r="N397" i="11"/>
  <c r="N111" i="11"/>
  <c r="N46" i="11"/>
  <c r="N485" i="11"/>
  <c r="N185" i="11"/>
  <c r="N7" i="11"/>
  <c r="N140" i="11"/>
  <c r="N152" i="11"/>
  <c r="N88" i="11"/>
  <c r="N358" i="11"/>
  <c r="N14" i="11"/>
  <c r="N20" i="11"/>
  <c r="N501" i="11"/>
  <c r="N398" i="11"/>
  <c r="N306" i="11"/>
  <c r="N31" i="11"/>
  <c r="N8" i="11"/>
  <c r="N15" i="11"/>
  <c r="N155" i="11"/>
  <c r="N348" i="11"/>
  <c r="N186" i="11"/>
  <c r="N480" i="11"/>
  <c r="N34" i="11"/>
  <c r="N282" i="11"/>
  <c r="N147" i="11"/>
  <c r="N43" i="11"/>
  <c r="N28" i="11"/>
  <c r="N532" i="11"/>
  <c r="N55" i="11"/>
  <c r="N89" i="11"/>
  <c r="N243" i="11"/>
  <c r="N118" i="11"/>
  <c r="N375" i="11"/>
  <c r="N493" i="11"/>
  <c r="N175" i="11"/>
  <c r="N179" i="11"/>
  <c r="N319" i="11"/>
  <c r="N167" i="11"/>
  <c r="N163" i="11"/>
  <c r="N137" i="11"/>
  <c r="N482" i="11"/>
  <c r="N383" i="11"/>
  <c r="N465" i="11"/>
  <c r="N310" i="11"/>
  <c r="N230" i="11"/>
  <c r="N119" i="11"/>
  <c r="N276" i="11"/>
  <c r="N238" i="11"/>
  <c r="N123" i="11"/>
  <c r="N304" i="11"/>
  <c r="N347" i="11"/>
  <c r="N386" i="11"/>
  <c r="N479" i="11"/>
  <c r="N138" i="11"/>
  <c r="N58" i="11"/>
  <c r="N142" i="11"/>
  <c r="N242" i="11"/>
  <c r="N164" i="11"/>
  <c r="N296" i="11"/>
  <c r="N110" i="11"/>
  <c r="N253" i="11"/>
  <c r="N514" i="11"/>
  <c r="N173" i="11"/>
  <c r="N376" i="11"/>
  <c r="N44" i="11"/>
  <c r="N522" i="11"/>
  <c r="N61" i="11"/>
  <c r="N470" i="11"/>
  <c r="N126" i="11"/>
  <c r="N508" i="11"/>
  <c r="N117" i="11"/>
  <c r="N120" i="11"/>
  <c r="N53" i="11"/>
  <c r="N180" i="11"/>
  <c r="N337" i="11"/>
  <c r="N188" i="11"/>
  <c r="N361" i="11"/>
  <c r="N240" i="11"/>
  <c r="N210" i="11"/>
  <c r="N275" i="11"/>
  <c r="N262" i="11"/>
  <c r="N92" i="11"/>
  <c r="N222" i="11"/>
  <c r="N320" i="11"/>
  <c r="N209" i="11"/>
  <c r="N153" i="11"/>
  <c r="N16" i="11"/>
  <c r="N333" i="11"/>
  <c r="N395" i="11"/>
  <c r="N108" i="11"/>
  <c r="N65" i="11"/>
  <c r="N270" i="11"/>
  <c r="N476" i="11"/>
  <c r="N487" i="11"/>
  <c r="N272" i="11"/>
  <c r="N332" i="11"/>
  <c r="N311" i="11"/>
  <c r="N69" i="11"/>
  <c r="N359" i="11"/>
  <c r="N21" i="11"/>
  <c r="N234" i="11"/>
  <c r="N221" i="11"/>
  <c r="N368" i="11"/>
  <c r="N86" i="11"/>
  <c r="N11" i="11"/>
  <c r="N245" i="11"/>
  <c r="N26" i="11"/>
  <c r="N484" i="11"/>
  <c r="N396" i="11"/>
  <c r="N277" i="11"/>
  <c r="N109" i="11"/>
  <c r="N113" i="11"/>
  <c r="N90" i="11"/>
  <c r="N224" i="11"/>
  <c r="N379" i="11"/>
  <c r="N132" i="11"/>
  <c r="N141" i="11"/>
  <c r="N35" i="11"/>
  <c r="N516" i="11"/>
  <c r="N291" i="11"/>
  <c r="N334" i="11"/>
  <c r="N78" i="11"/>
  <c r="N355" i="11"/>
  <c r="N225" i="11"/>
  <c r="N36" i="11"/>
  <c r="N124" i="11"/>
  <c r="N232" i="11"/>
  <c r="N471" i="11"/>
  <c r="N467" i="11"/>
  <c r="N381" i="11"/>
  <c r="N79" i="11"/>
  <c r="N115" i="11"/>
  <c r="N490" i="11"/>
  <c r="N503" i="11"/>
  <c r="N192" i="11"/>
  <c r="N389" i="11"/>
  <c r="N207" i="11"/>
  <c r="N292" i="11"/>
  <c r="N237" i="11"/>
  <c r="N47" i="11"/>
  <c r="N63" i="11"/>
  <c r="N246" i="11"/>
  <c r="N335" i="11"/>
  <c r="N357" i="11"/>
  <c r="N313" i="11"/>
  <c r="N201" i="11"/>
  <c r="N499" i="11"/>
  <c r="N73" i="11"/>
  <c r="N515" i="11"/>
  <c r="N17" i="11"/>
  <c r="N135" i="11"/>
  <c r="N133" i="11"/>
  <c r="N352" i="11"/>
  <c r="N268" i="11"/>
  <c r="N176" i="11"/>
  <c r="N394" i="11"/>
  <c r="N366" i="11"/>
  <c r="N156" i="11"/>
  <c r="N518" i="11"/>
  <c r="N122" i="11"/>
  <c r="N233" i="11"/>
  <c r="N364" i="11"/>
  <c r="N497" i="11"/>
  <c r="N203" i="11"/>
  <c r="N478" i="11"/>
  <c r="N158" i="11"/>
  <c r="N287" i="11"/>
  <c r="N139" i="11"/>
  <c r="N293" i="11"/>
  <c r="N512" i="11"/>
  <c r="N149" i="11"/>
  <c r="N488" i="11"/>
  <c r="N99" i="11"/>
  <c r="N220" i="11"/>
  <c r="N194" i="11"/>
  <c r="N513" i="11"/>
  <c r="N134" i="11"/>
  <c r="N159" i="11"/>
  <c r="N502" i="11"/>
  <c r="N472" i="11"/>
  <c r="N19" i="11"/>
  <c r="N50" i="11"/>
  <c r="N151" i="11"/>
  <c r="N45" i="11"/>
  <c r="N40" i="11"/>
  <c r="N260" i="11"/>
  <c r="N483" i="11"/>
  <c r="N527" i="11"/>
  <c r="N285" i="11"/>
  <c r="N468" i="11"/>
  <c r="N22" i="11"/>
  <c r="N354" i="11"/>
  <c r="N32" i="11"/>
  <c r="N378" i="11"/>
  <c r="N330" i="11"/>
  <c r="N339" i="11"/>
  <c r="N226" i="11"/>
  <c r="N523" i="11"/>
  <c r="N279" i="11"/>
  <c r="N298" i="11"/>
  <c r="N91" i="11"/>
  <c r="N84" i="11"/>
  <c r="N106" i="11"/>
  <c r="N160" i="11"/>
  <c r="N323" i="11"/>
  <c r="N66" i="11"/>
  <c r="N363" i="11"/>
  <c r="N10" i="11"/>
  <c r="N256" i="11"/>
  <c r="N308" i="11"/>
  <c r="N373" i="11"/>
  <c r="N112" i="11"/>
  <c r="N475" i="11"/>
  <c r="N191" i="11"/>
  <c r="N187" i="11"/>
  <c r="N526" i="11"/>
  <c r="N481" i="11"/>
  <c r="N290" i="11"/>
  <c r="N251" i="11"/>
  <c r="N96" i="11"/>
  <c r="N165" i="11"/>
  <c r="N531" i="11"/>
  <c r="N227" i="11"/>
  <c r="N473" i="11"/>
  <c r="N183" i="11"/>
  <c r="N184" i="11"/>
  <c r="N294" i="11"/>
  <c r="N271" i="11"/>
  <c r="N321" i="11"/>
  <c r="N161" i="11"/>
  <c r="N12" i="11"/>
  <c r="N504" i="11"/>
  <c r="N182" i="11"/>
  <c r="N205" i="11"/>
  <c r="N263" i="11"/>
  <c r="N105" i="11"/>
  <c r="N344" i="11"/>
  <c r="N193" i="11"/>
  <c r="N229" i="11"/>
  <c r="N38" i="11"/>
  <c r="N212" i="11"/>
  <c r="N130" i="11"/>
  <c r="N519" i="11"/>
  <c r="N217" i="11"/>
  <c r="N318" i="11"/>
  <c r="N324" i="11"/>
  <c r="N74" i="11"/>
  <c r="N148" i="11"/>
  <c r="N307" i="11"/>
  <c r="N41" i="11"/>
  <c r="N505" i="11"/>
  <c r="N346" i="11"/>
  <c r="N466" i="11"/>
  <c r="N299" i="11"/>
  <c r="N349" i="11"/>
  <c r="N302" i="11"/>
  <c r="N390" i="11"/>
  <c r="N309" i="11"/>
  <c r="N250" i="11"/>
  <c r="N136" i="11"/>
  <c r="N143" i="11"/>
  <c r="N70" i="11"/>
  <c r="N25" i="11"/>
  <c r="N393" i="11"/>
  <c r="N33" i="11"/>
  <c r="N68" i="11"/>
  <c r="N252" i="11"/>
  <c r="N127" i="11"/>
  <c r="N295" i="11"/>
  <c r="N23" i="11"/>
  <c r="N495" i="11"/>
  <c r="N380" i="11"/>
  <c r="N267" i="11"/>
  <c r="N500" i="11"/>
  <c r="N231" i="11"/>
  <c r="N517" i="11"/>
  <c r="N128" i="11"/>
  <c r="N528" i="11"/>
  <c r="N125" i="11"/>
  <c r="N85" i="11"/>
  <c r="N9" i="11"/>
  <c r="N342" i="11"/>
  <c r="N29" i="11"/>
  <c r="N56" i="11"/>
  <c r="N154" i="11"/>
  <c r="N362" i="11"/>
  <c r="N103" i="11"/>
  <c r="N489" i="11"/>
  <c r="N477" i="11"/>
  <c r="N13" i="11"/>
  <c r="N54" i="11"/>
  <c r="N315" i="11"/>
  <c r="N374" i="11"/>
  <c r="N131" i="11"/>
  <c r="N327" i="11"/>
  <c r="N83" i="11"/>
  <c r="N507" i="11"/>
  <c r="N525" i="11"/>
  <c r="N387" i="11"/>
  <c r="N314" i="11"/>
  <c r="N520" i="11"/>
  <c r="N172" i="11"/>
  <c r="N353" i="11"/>
  <c r="N104" i="11"/>
  <c r="N280" i="11"/>
  <c r="N257" i="11"/>
  <c r="N204" i="11"/>
  <c r="N62" i="11"/>
  <c r="N81" i="11"/>
  <c r="N343" i="11"/>
  <c r="N399" i="11"/>
  <c r="N57" i="11"/>
  <c r="N255" i="11"/>
  <c r="N506" i="11"/>
  <c r="N181" i="11"/>
  <c r="N312" i="11"/>
  <c r="N469" i="11"/>
  <c r="N157" i="11"/>
  <c r="N338" i="11"/>
  <c r="N129" i="11"/>
  <c r="R118" i="18"/>
  <c r="V118" i="18" s="1"/>
  <c r="R117" i="18"/>
  <c r="V117" i="18" s="1"/>
  <c r="R111" i="18"/>
  <c r="V111" i="18" s="1"/>
  <c r="R103" i="18"/>
  <c r="V103" i="18" s="1"/>
  <c r="R102" i="18"/>
  <c r="V102" i="18" s="1"/>
  <c r="R97" i="18"/>
  <c r="V97" i="18" s="1"/>
  <c r="R92" i="18"/>
  <c r="R87" i="18"/>
  <c r="R82" i="18"/>
  <c r="R79" i="18"/>
  <c r="R74" i="18"/>
  <c r="R68" i="18"/>
  <c r="R66" i="18"/>
  <c r="R65" i="18"/>
  <c r="R53" i="18"/>
  <c r="R45" i="18"/>
  <c r="R38" i="18"/>
  <c r="V38" i="18" s="1"/>
  <c r="R37" i="18"/>
  <c r="V37" i="18" s="1"/>
  <c r="R35" i="18"/>
  <c r="V35" i="18" s="1"/>
  <c r="R30" i="18"/>
  <c r="V30" i="18" s="1"/>
  <c r="R28" i="18"/>
  <c r="V28" i="18" s="1"/>
  <c r="R26" i="18"/>
  <c r="R18" i="18"/>
  <c r="V18" i="18" s="1"/>
  <c r="W18" i="18" s="1"/>
  <c r="W38" i="18" l="1"/>
  <c r="X38" i="18"/>
  <c r="S82" i="18"/>
  <c r="T82" i="18" s="1"/>
  <c r="V82" i="18"/>
  <c r="S45" i="18"/>
  <c r="T45" i="18" s="1"/>
  <c r="V45" i="18"/>
  <c r="S68" i="18"/>
  <c r="T68" i="18" s="1"/>
  <c r="V68" i="18"/>
  <c r="S87" i="18"/>
  <c r="T87" i="18" s="1"/>
  <c r="V87" i="18"/>
  <c r="X103" i="18"/>
  <c r="W103" i="18"/>
  <c r="S66" i="18"/>
  <c r="T66" i="18" s="1"/>
  <c r="V66" i="18"/>
  <c r="W102" i="18"/>
  <c r="X102" i="18"/>
  <c r="Y102" i="18" s="1"/>
  <c r="X35" i="18"/>
  <c r="Y35" i="18" s="1"/>
  <c r="W35" i="18"/>
  <c r="S53" i="18"/>
  <c r="T53" i="18" s="1"/>
  <c r="V53" i="18"/>
  <c r="S74" i="18"/>
  <c r="T74" i="18" s="1"/>
  <c r="V74" i="18"/>
  <c r="S92" i="18"/>
  <c r="T92" i="18" s="1"/>
  <c r="V92" i="18"/>
  <c r="X111" i="18"/>
  <c r="W111" i="18"/>
  <c r="W28" i="18"/>
  <c r="X28" i="18"/>
  <c r="Y28" i="18" s="1"/>
  <c r="W118" i="18"/>
  <c r="X118" i="18"/>
  <c r="W30" i="18"/>
  <c r="X30" i="18"/>
  <c r="S26" i="18"/>
  <c r="T26" i="18" s="1"/>
  <c r="V26" i="18"/>
  <c r="W37" i="18"/>
  <c r="X37" i="18"/>
  <c r="Y37" i="18" s="1"/>
  <c r="S65" i="18"/>
  <c r="T65" i="18" s="1"/>
  <c r="V65" i="18"/>
  <c r="S79" i="18"/>
  <c r="T79" i="18" s="1"/>
  <c r="V79" i="18"/>
  <c r="X97" i="18"/>
  <c r="Y97" i="18" s="1"/>
  <c r="W97" i="18"/>
  <c r="W117" i="18"/>
  <c r="X117" i="18"/>
  <c r="Y117" i="18" s="1"/>
  <c r="X18" i="18"/>
  <c r="Y18" i="18" s="1"/>
  <c r="Y118" i="18"/>
  <c r="S102" i="18"/>
  <c r="T102" i="18" s="1"/>
  <c r="S35" i="18"/>
  <c r="T35" i="18" s="1"/>
  <c r="S118" i="18"/>
  <c r="T118" i="18" s="1"/>
  <c r="S28" i="18"/>
  <c r="T28" i="18" s="1"/>
  <c r="S38" i="18"/>
  <c r="T38" i="18" s="1"/>
  <c r="S103" i="18"/>
  <c r="T103" i="18" s="1"/>
  <c r="S97" i="18"/>
  <c r="T97" i="18" s="1"/>
  <c r="S117" i="18"/>
  <c r="T117" i="18" s="1"/>
  <c r="S30" i="18"/>
  <c r="T30" i="18" s="1"/>
  <c r="S18" i="18"/>
  <c r="T18" i="18" s="1"/>
  <c r="R128" i="18"/>
  <c r="S37" i="18"/>
  <c r="T37" i="18" s="1"/>
  <c r="S111" i="18"/>
  <c r="T111" i="18" s="1"/>
  <c r="X65" i="18" l="1"/>
  <c r="Y65" i="18" s="1"/>
  <c r="W65" i="18"/>
  <c r="W26" i="18"/>
  <c r="X26" i="18"/>
  <c r="Y26" i="18" s="1"/>
  <c r="W74" i="18"/>
  <c r="X74" i="18"/>
  <c r="Y74" i="18" s="1"/>
  <c r="W66" i="18"/>
  <c r="X66" i="18"/>
  <c r="Y66" i="18" s="1"/>
  <c r="X87" i="18"/>
  <c r="Y87" i="18" s="1"/>
  <c r="W87" i="18"/>
  <c r="X45" i="18"/>
  <c r="Y45" i="18" s="1"/>
  <c r="W45" i="18"/>
  <c r="W79" i="18"/>
  <c r="X79" i="18"/>
  <c r="Y79" i="18" s="1"/>
  <c r="W92" i="18"/>
  <c r="X92" i="18"/>
  <c r="Y92" i="18" s="1"/>
  <c r="W53" i="18"/>
  <c r="X53" i="18"/>
  <c r="Y53" i="18" s="1"/>
  <c r="W68" i="18"/>
  <c r="X68" i="18"/>
  <c r="Y68" i="18" s="1"/>
  <c r="W82" i="18"/>
  <c r="X82" i="18"/>
  <c r="Y82" i="18" s="1"/>
  <c r="Y103" i="18"/>
  <c r="Y111" i="18"/>
  <c r="Y30" i="18"/>
  <c r="Y38" i="18"/>
  <c r="V128" i="18"/>
</calcChain>
</file>

<file path=xl/sharedStrings.xml><?xml version="1.0" encoding="utf-8"?>
<sst xmlns="http://schemas.openxmlformats.org/spreadsheetml/2006/main" count="5884" uniqueCount="1548">
  <si>
    <t>Region</t>
  </si>
  <si>
    <t>My Fone</t>
  </si>
  <si>
    <t>Barisal</t>
  </si>
  <si>
    <t>Desh Link</t>
  </si>
  <si>
    <t>Toushi Mobile Showroom &amp; Servicing</t>
  </si>
  <si>
    <t>M/S. National Electronics</t>
  </si>
  <si>
    <t>M/S Faiz Enterprise</t>
  </si>
  <si>
    <t>Mridha Telecom</t>
  </si>
  <si>
    <t>Winner Electronics</t>
  </si>
  <si>
    <t>Noor Electronics</t>
  </si>
  <si>
    <t>Zaman Electronics</t>
  </si>
  <si>
    <t>M/S. Rasel Enterprise</t>
  </si>
  <si>
    <t>M/S Saad Telecom</t>
  </si>
  <si>
    <t>A One Tel</t>
  </si>
  <si>
    <t>Pial Mobile Gallery</t>
  </si>
  <si>
    <t>MM Communication</t>
  </si>
  <si>
    <t>Dhaka North</t>
  </si>
  <si>
    <t>Saif Telecom</t>
  </si>
  <si>
    <t>Trade plus</t>
  </si>
  <si>
    <t>Nabil Enterprise</t>
  </si>
  <si>
    <t>Mobile House</t>
  </si>
  <si>
    <t>Zaara Corporation</t>
  </si>
  <si>
    <t>Savar</t>
  </si>
  <si>
    <t>TM Communication</t>
  </si>
  <si>
    <t>Star Telecom</t>
  </si>
  <si>
    <t>Shore Distribution</t>
  </si>
  <si>
    <t>One Telecom (CTG Road)</t>
  </si>
  <si>
    <t>Dhaka South</t>
  </si>
  <si>
    <t>Taj Telecom</t>
  </si>
  <si>
    <t>Dhanmondi</t>
  </si>
  <si>
    <t>City Telecom</t>
  </si>
  <si>
    <t>Jatrabari</t>
  </si>
  <si>
    <t>One Telecom, Jatrabari</t>
  </si>
  <si>
    <t>Dohar Enterprise</t>
  </si>
  <si>
    <t>Mehereen Telecom</t>
  </si>
  <si>
    <t>Nandan World Link</t>
  </si>
  <si>
    <t>One Telecom, Narayangonj</t>
  </si>
  <si>
    <t>Narayangonj</t>
  </si>
  <si>
    <t>One Telecom</t>
  </si>
  <si>
    <t>Ananda Electronics</t>
  </si>
  <si>
    <t>Nishat Telecom</t>
  </si>
  <si>
    <t>M K Trading Co.</t>
  </si>
  <si>
    <t>F N Traders</t>
  </si>
  <si>
    <t>Mymensingh</t>
  </si>
  <si>
    <t>M/S. Sumon Telecoms</t>
  </si>
  <si>
    <t>Shakil Trade Interlink</t>
  </si>
  <si>
    <t>Mobile Point</t>
  </si>
  <si>
    <t>Gazipur</t>
  </si>
  <si>
    <t>Rathura Enterprise</t>
  </si>
  <si>
    <t>Rathura Enterprise – 2</t>
  </si>
  <si>
    <t>M/S Siddique Enterprise</t>
  </si>
  <si>
    <t>Jamalpur</t>
  </si>
  <si>
    <t>M/S. Mukul Enterprise</t>
  </si>
  <si>
    <t>New Samanta Telecom</t>
  </si>
  <si>
    <t>Repon Enterprise</t>
  </si>
  <si>
    <t>Bismillah Telecom</t>
  </si>
  <si>
    <t>Shisha Stationary &amp; Electronics</t>
  </si>
  <si>
    <t>M/S. Sujan Telecom</t>
  </si>
  <si>
    <t>Netrokona</t>
  </si>
  <si>
    <t>Shaheen Multimedia &amp; Telecom</t>
  </si>
  <si>
    <t>M/S Zaman Enterprise</t>
  </si>
  <si>
    <t>M/S Saidur Electronics</t>
  </si>
  <si>
    <t>Priyo Telecom</t>
  </si>
  <si>
    <t>S.M Tel</t>
  </si>
  <si>
    <t>Hello Naogaon</t>
  </si>
  <si>
    <t>Rajshahi</t>
  </si>
  <si>
    <t>M/S Chowdhury Enterprise</t>
  </si>
  <si>
    <t>M/S BTB Telecom</t>
  </si>
  <si>
    <t>Rahman Telecom</t>
  </si>
  <si>
    <t>Tulip Distribution</t>
  </si>
  <si>
    <t>Pabna</t>
  </si>
  <si>
    <t>Swastidip Enterprise</t>
  </si>
  <si>
    <t>Haque Enterprise</t>
  </si>
  <si>
    <t>Hello Rajshahi</t>
  </si>
  <si>
    <t>Prithibi Corporation</t>
  </si>
  <si>
    <t>Sarkar Telecom, Sirajgonj</t>
  </si>
  <si>
    <t>Satata Enterprise</t>
  </si>
  <si>
    <t>New Sarker Electronics</t>
  </si>
  <si>
    <t>Sanjog Mobile</t>
  </si>
  <si>
    <t>Pacific Electronics</t>
  </si>
  <si>
    <t>Rangpur</t>
  </si>
  <si>
    <t>World Media</t>
  </si>
  <si>
    <t>A.S.R. Trading</t>
  </si>
  <si>
    <t>Feroz Telecom</t>
  </si>
  <si>
    <t>Missing link trade and distribution</t>
  </si>
  <si>
    <t>Paul Telecom</t>
  </si>
  <si>
    <t>Tarek &amp; Brothers</t>
  </si>
  <si>
    <t>Shahil Distribution</t>
  </si>
  <si>
    <t>Pacific Electronics – 2</t>
  </si>
  <si>
    <t>Swaranika  Enterprise</t>
  </si>
  <si>
    <t>M/S. Nodi Nishat Enterprise</t>
  </si>
  <si>
    <t>Dinajpur</t>
  </si>
  <si>
    <t>Mobile Plaza</t>
  </si>
  <si>
    <t>Sarker Telecom</t>
  </si>
  <si>
    <t>Sylhet</t>
  </si>
  <si>
    <t>M/S. Murad Enterprise</t>
  </si>
  <si>
    <t>Nashua Associate</t>
  </si>
  <si>
    <t>Samiya Telecom-2</t>
  </si>
  <si>
    <t>Satata Mobile Centre</t>
  </si>
  <si>
    <t>Zeshan Telecom</t>
  </si>
  <si>
    <t>New Era Telecom</t>
  </si>
  <si>
    <t>Gopa Telecom</t>
  </si>
  <si>
    <t>Star Tel</t>
  </si>
  <si>
    <t>Distributors</t>
  </si>
  <si>
    <t>Samiya Telecom</t>
  </si>
  <si>
    <t>StarTel Distribution-2</t>
  </si>
  <si>
    <t>M Enterprise</t>
  </si>
  <si>
    <t>Biponon Communications</t>
  </si>
  <si>
    <t>M/S. Saiful Enterprise</t>
  </si>
  <si>
    <t>Fantasy Telecom</t>
  </si>
  <si>
    <t>Mobile Shop</t>
  </si>
  <si>
    <t>Mobile Village</t>
  </si>
  <si>
    <t>Mobile Zone,Patia</t>
  </si>
  <si>
    <t>Prime Mobile Center</t>
  </si>
  <si>
    <t>Dhaka Telecom</t>
  </si>
  <si>
    <t>Mobile Media Center</t>
  </si>
  <si>
    <t>Salim Telecom &amp; Electronics</t>
  </si>
  <si>
    <t>Polly Mobile Distribution</t>
  </si>
  <si>
    <t>Satkania Store</t>
  </si>
  <si>
    <t>Toyabiya Telecom</t>
  </si>
  <si>
    <t>Mobile Heaven</t>
  </si>
  <si>
    <t>M/S. Alam Trade Link</t>
  </si>
  <si>
    <t>The National Carrier</t>
  </si>
  <si>
    <t>M/S Sholav Bitan</t>
  </si>
  <si>
    <t>Sibgat Telecom</t>
  </si>
  <si>
    <t>Hello Prithibi</t>
  </si>
  <si>
    <t>Ideal Communication</t>
  </si>
  <si>
    <t>Konica Trading</t>
  </si>
  <si>
    <t>S S Enterprise</t>
  </si>
  <si>
    <t>Max Tel</t>
  </si>
  <si>
    <t>Mobile Plus</t>
  </si>
  <si>
    <t>Biswa Bani Telecom</t>
  </si>
  <si>
    <t>M. R. Traders</t>
  </si>
  <si>
    <t>Mohima Telecom</t>
  </si>
  <si>
    <t>M/S. Panguchi Enterprise</t>
  </si>
  <si>
    <t>Shadhin Telecom</t>
  </si>
  <si>
    <t>Mobile Collection &amp; Ghori Ghor</t>
  </si>
  <si>
    <t>Khulna</t>
  </si>
  <si>
    <t>Chittagong</t>
  </si>
  <si>
    <t>National Total</t>
  </si>
  <si>
    <t>Remaining for 100%</t>
  </si>
  <si>
    <t>Daily Required Rate
for 100%</t>
  </si>
  <si>
    <t>Daily Required Rate for 100%</t>
  </si>
  <si>
    <t>Tahia Enterprise</t>
  </si>
  <si>
    <t>Edison Electronics Ltd.</t>
  </si>
  <si>
    <t>Dhaka</t>
  </si>
  <si>
    <t>Remaining for 80%</t>
  </si>
  <si>
    <t>Daily Required Rate
for 80%</t>
  </si>
  <si>
    <t>Daily Required Rate for 80%</t>
  </si>
  <si>
    <t>Remaining Days</t>
  </si>
  <si>
    <t>Dealer Name</t>
  </si>
  <si>
    <t>DSR ID</t>
  </si>
  <si>
    <t>DSR Name</t>
  </si>
  <si>
    <t>Weightage</t>
  </si>
  <si>
    <t>Total 
(100%)</t>
  </si>
  <si>
    <t>Achievement</t>
  </si>
  <si>
    <t>Quantity</t>
  </si>
  <si>
    <t>Value</t>
  </si>
  <si>
    <t>Quantity (30%)</t>
  </si>
  <si>
    <t>Value (70%)</t>
  </si>
  <si>
    <t>DSR-0034</t>
  </si>
  <si>
    <t>DSR-0301</t>
  </si>
  <si>
    <t>DSR-0060</t>
  </si>
  <si>
    <t>DSR-0097</t>
  </si>
  <si>
    <t>DSR-0517</t>
  </si>
  <si>
    <t>DSR-0518</t>
  </si>
  <si>
    <t>DSR-0078</t>
  </si>
  <si>
    <t>DSR-0173</t>
  </si>
  <si>
    <t>DSR-0175</t>
  </si>
  <si>
    <t>Md. Hasnanin Ahmed Antor</t>
  </si>
  <si>
    <t>DSR-0174</t>
  </si>
  <si>
    <t>DSR-0612</t>
  </si>
  <si>
    <t>DSR-0344</t>
  </si>
  <si>
    <t>DSR-0345</t>
  </si>
  <si>
    <t>Mithun Halder</t>
  </si>
  <si>
    <t>DSR-0734</t>
  </si>
  <si>
    <t>DSR-0278</t>
  </si>
  <si>
    <t>Aminul</t>
  </si>
  <si>
    <t>DSR-0277</t>
  </si>
  <si>
    <t>Mr. Kumod Kanti</t>
  </si>
  <si>
    <t>DSR-0276</t>
  </si>
  <si>
    <t>Md. Monirul Islam</t>
  </si>
  <si>
    <t>DSR-0275</t>
  </si>
  <si>
    <t>Mr.Razib</t>
  </si>
  <si>
    <t>DSR-0542</t>
  </si>
  <si>
    <t>Md. Zubair Himel</t>
  </si>
  <si>
    <t>DSR-0578</t>
  </si>
  <si>
    <t>Mr. Rony</t>
  </si>
  <si>
    <t>DSR-0577</t>
  </si>
  <si>
    <t>Md. Robiul Islam (Shipon)</t>
  </si>
  <si>
    <t>DSR-0579</t>
  </si>
  <si>
    <t>Helal Sardar</t>
  </si>
  <si>
    <t>DSR-0580</t>
  </si>
  <si>
    <t>Md. Rubel Sheakh</t>
  </si>
  <si>
    <t>DSR-0554</t>
  </si>
  <si>
    <t>Mrittun Joy</t>
  </si>
  <si>
    <t>DSR-0553</t>
  </si>
  <si>
    <t>DSR-0009</t>
  </si>
  <si>
    <t>DSR-0705</t>
  </si>
  <si>
    <t>DSR-0117</t>
  </si>
  <si>
    <t>DSR-0646</t>
  </si>
  <si>
    <t>Shafikul Islam</t>
  </si>
  <si>
    <t>DSR-0644</t>
  </si>
  <si>
    <t>Dipongkar Biswas</t>
  </si>
  <si>
    <t>DSR-0645</t>
  </si>
  <si>
    <t>DSR-0643</t>
  </si>
  <si>
    <t>DSR-0461</t>
  </si>
  <si>
    <t>Mr. Shital Chandra roy</t>
  </si>
  <si>
    <t>DSR-0280</t>
  </si>
  <si>
    <t>Mr. Jiban Chandra Barai</t>
  </si>
  <si>
    <t>DSR-0606</t>
  </si>
  <si>
    <t>Mr. Tusar Mondol</t>
  </si>
  <si>
    <t>DSR-0279</t>
  </si>
  <si>
    <t>Mr. Chandon</t>
  </si>
  <si>
    <t>DSR-0305</t>
  </si>
  <si>
    <t>DSR-0306</t>
  </si>
  <si>
    <t>DSR-0365</t>
  </si>
  <si>
    <t>Md.Sumon Mia</t>
  </si>
  <si>
    <t>DSR-0367</t>
  </si>
  <si>
    <t>DSR-0366</t>
  </si>
  <si>
    <t>DSR-0284</t>
  </si>
  <si>
    <t>DSR-0285</t>
  </si>
  <si>
    <t>DSR-0178</t>
  </si>
  <si>
    <t>DSR-0176</t>
  </si>
  <si>
    <t>DSR-0177</t>
  </si>
  <si>
    <t>DSR-0563</t>
  </si>
  <si>
    <t>DSR-0339</t>
  </si>
  <si>
    <t>DSR-0343</t>
  </si>
  <si>
    <t>DSR-0340</t>
  </si>
  <si>
    <t>DSR-0341</t>
  </si>
  <si>
    <t>Golam Kabir</t>
  </si>
  <si>
    <t>DSR-0424</t>
  </si>
  <si>
    <t>DSR-0422</t>
  </si>
  <si>
    <t>DSR-0423</t>
  </si>
  <si>
    <t>DSR-0421</t>
  </si>
  <si>
    <t>DSR-0626</t>
  </si>
  <si>
    <t>Md. Jakir Hossain</t>
  </si>
  <si>
    <t>DSR-0623</t>
  </si>
  <si>
    <t>DSR-0624</t>
  </si>
  <si>
    <t>Babul</t>
  </si>
  <si>
    <t>DSR-0625</t>
  </si>
  <si>
    <t>DSR-0431</t>
  </si>
  <si>
    <t>DSR-0430</t>
  </si>
  <si>
    <t>DSR-0545</t>
  </si>
  <si>
    <t>DSR-0677</t>
  </si>
  <si>
    <t>DSR-0678</t>
  </si>
  <si>
    <t>DSR-0675</t>
  </si>
  <si>
    <t>Rahatul Islam</t>
  </si>
  <si>
    <t>DSR-0663</t>
  </si>
  <si>
    <t>Ariful Hoque</t>
  </si>
  <si>
    <t>DSR-0674</t>
  </si>
  <si>
    <t>H.M. Arshad</t>
  </si>
  <si>
    <t>DSR-0692</t>
  </si>
  <si>
    <t>DSR-0691</t>
  </si>
  <si>
    <t>Md. Muslim</t>
  </si>
  <si>
    <t>DSR-0693</t>
  </si>
  <si>
    <t>Md. Mabud</t>
  </si>
  <si>
    <t>DSR-0695</t>
  </si>
  <si>
    <t>Md. Nahid</t>
  </si>
  <si>
    <t>DSR-0658</t>
  </si>
  <si>
    <t>DSR-0659</t>
  </si>
  <si>
    <t>Md. Nurul Alam</t>
  </si>
  <si>
    <t>DSR-0726</t>
  </si>
  <si>
    <t>Abdul Momin Azad</t>
  </si>
  <si>
    <t>DSR-0392</t>
  </si>
  <si>
    <t>Md.Tofajjal</t>
  </si>
  <si>
    <t>DSR-0393</t>
  </si>
  <si>
    <t>Md. Rimon</t>
  </si>
  <si>
    <t>DSR-0394</t>
  </si>
  <si>
    <t>Md.Saiful Islam</t>
  </si>
  <si>
    <t>DSR-0567</t>
  </si>
  <si>
    <t>DSR-0400</t>
  </si>
  <si>
    <t>DSR-0562</t>
  </si>
  <si>
    <t>Jhontu Sarma</t>
  </si>
  <si>
    <t>DSR-0398</t>
  </si>
  <si>
    <t>Md.Alam</t>
  </si>
  <si>
    <t>DSR-0399</t>
  </si>
  <si>
    <t>Md.Lokman Uddin</t>
  </si>
  <si>
    <t>DSR-0568</t>
  </si>
  <si>
    <t>Imam Hossain</t>
  </si>
  <si>
    <t>DSR-0570</t>
  </si>
  <si>
    <t>Md. Harun</t>
  </si>
  <si>
    <t>DSR-0569</t>
  </si>
  <si>
    <t>Md. Selim</t>
  </si>
  <si>
    <t>DSR-0712</t>
  </si>
  <si>
    <t>DSR-0390</t>
  </si>
  <si>
    <t>Mr. Salauddin</t>
  </si>
  <si>
    <t>DSR-0005</t>
  </si>
  <si>
    <t>Md. Iqbal Hossain</t>
  </si>
  <si>
    <t>DSR-0095</t>
  </si>
  <si>
    <t>Mr. Bappy</t>
  </si>
  <si>
    <t>DSR-0500</t>
  </si>
  <si>
    <t>Mr. Sumon Chandra Das</t>
  </si>
  <si>
    <t>DSR-0030</t>
  </si>
  <si>
    <t>Mr. Jarif Hossain</t>
  </si>
  <si>
    <t>DSR-0080</t>
  </si>
  <si>
    <t>Md. Maine Uddin Jiku</t>
  </si>
  <si>
    <t>DSR-0057</t>
  </si>
  <si>
    <t>DSR-0425</t>
  </si>
  <si>
    <t>DSR-0426</t>
  </si>
  <si>
    <t>Raihan</t>
  </si>
  <si>
    <t>DSR-0427</t>
  </si>
  <si>
    <t>Rubel</t>
  </si>
  <si>
    <t>DSR-0429</t>
  </si>
  <si>
    <t>Mr. Rifat</t>
  </si>
  <si>
    <t>DSR-0428</t>
  </si>
  <si>
    <t>Mainul</t>
  </si>
  <si>
    <t>DSR-0196</t>
  </si>
  <si>
    <t>Md.Aminul Islam</t>
  </si>
  <si>
    <t>DSR-0197</t>
  </si>
  <si>
    <t>DSR-0195</t>
  </si>
  <si>
    <t>Md.Nejam Uddin</t>
  </si>
  <si>
    <t>Md. Masud</t>
  </si>
  <si>
    <t>Md.Morshed Alam</t>
  </si>
  <si>
    <t>DSR-0434</t>
  </si>
  <si>
    <t>Md. Sarwar Hossen Sujon</t>
  </si>
  <si>
    <t>DSR-0633</t>
  </si>
  <si>
    <t>Md. Belal Hossain</t>
  </si>
  <si>
    <t>DSR-0704</t>
  </si>
  <si>
    <t>DSR-0635</t>
  </si>
  <si>
    <t>Mr. Kanak Das</t>
  </si>
  <si>
    <t>DSR-0396</t>
  </si>
  <si>
    <t>Md. Monir Hossain</t>
  </si>
  <si>
    <t>DSR-0397</t>
  </si>
  <si>
    <t>Md. Younus</t>
  </si>
  <si>
    <t>DSR-0438</t>
  </si>
  <si>
    <t>Md. Alamin</t>
  </si>
  <si>
    <t>DSR-0439</t>
  </si>
  <si>
    <t>DSR-0651</t>
  </si>
  <si>
    <t>Nayan Dey</t>
  </si>
  <si>
    <t>DSR-0049</t>
  </si>
  <si>
    <t>DSR-0024</t>
  </si>
  <si>
    <t>DSR-0075</t>
  </si>
  <si>
    <t>DSR-0137</t>
  </si>
  <si>
    <t>DSR-0667</t>
  </si>
  <si>
    <t>Md. Faruk Islam</t>
  </si>
  <si>
    <t>DSR-0666</t>
  </si>
  <si>
    <t>Md. Rabbi</t>
  </si>
  <si>
    <t>DSR-0224</t>
  </si>
  <si>
    <t>Abdul Matin</t>
  </si>
  <si>
    <t>DSR-0668</t>
  </si>
  <si>
    <t>Md. Jahidul Islam</t>
  </si>
  <si>
    <t>DSR-0084</t>
  </si>
  <si>
    <t>DSR-0045</t>
  </si>
  <si>
    <t>Md. Atik</t>
  </si>
  <si>
    <t>DSR-0068</t>
  </si>
  <si>
    <t>DSR-0549</t>
  </si>
  <si>
    <t>Md. Alal Hossain</t>
  </si>
  <si>
    <t>DSR-0551</t>
  </si>
  <si>
    <t>Md. Jewel Rana</t>
  </si>
  <si>
    <t>DSR-0552</t>
  </si>
  <si>
    <t>DSR-0739</t>
  </si>
  <si>
    <t>Md. Akbar Hosen</t>
  </si>
  <si>
    <t>DSR-0550</t>
  </si>
  <si>
    <t>DSR-0013</t>
  </si>
  <si>
    <t>Salah Uddin Jomader</t>
  </si>
  <si>
    <t>DSR-0209</t>
  </si>
  <si>
    <t>Sagor Islam</t>
  </si>
  <si>
    <t>DSR-0038</t>
  </si>
  <si>
    <t>DSR-0208</t>
  </si>
  <si>
    <t>DSR-0210</t>
  </si>
  <si>
    <t>Md. Rakib</t>
  </si>
  <si>
    <t>DSR-0003</t>
  </si>
  <si>
    <t>DSR-0061</t>
  </si>
  <si>
    <t>Md. Reyaz Uddin</t>
  </si>
  <si>
    <t>DSR-0028</t>
  </si>
  <si>
    <t>Md. Mahabub</t>
  </si>
  <si>
    <t>DSR-0127</t>
  </si>
  <si>
    <t>DSR-0037</t>
  </si>
  <si>
    <t>Anik Das Bappi</t>
  </si>
  <si>
    <t>DSR-0093</t>
  </si>
  <si>
    <t>DSR-0589</t>
  </si>
  <si>
    <t>DSR-0012</t>
  </si>
  <si>
    <t>DSR-0485</t>
  </si>
  <si>
    <t>DSR-0090</t>
  </si>
  <si>
    <t>DSR-0450</t>
  </si>
  <si>
    <t>DSR-0116</t>
  </si>
  <si>
    <t>DSR-0066</t>
  </si>
  <si>
    <t>DSR-0650</t>
  </si>
  <si>
    <t>Abir Hossain</t>
  </si>
  <si>
    <t>DSR-0649</t>
  </si>
  <si>
    <t>Lablu Mia</t>
  </si>
  <si>
    <t>DSR-0648</t>
  </si>
  <si>
    <t>Saiful Islam</t>
  </si>
  <si>
    <t>DSR-0056</t>
  </si>
  <si>
    <t>Md. Shapan</t>
  </si>
  <si>
    <t>DSR-0025</t>
  </si>
  <si>
    <t>Sumon</t>
  </si>
  <si>
    <t>DSR-0091</t>
  </si>
  <si>
    <t>Sonjit Barmon</t>
  </si>
  <si>
    <t>DSR-0130</t>
  </si>
  <si>
    <t>Bappy</t>
  </si>
  <si>
    <t>DSR-0050</t>
  </si>
  <si>
    <t>Hridoy</t>
  </si>
  <si>
    <t>DSR-0112</t>
  </si>
  <si>
    <t>Ali Hossain</t>
  </si>
  <si>
    <t>DSR-0108</t>
  </si>
  <si>
    <t>DSR-0121</t>
  </si>
  <si>
    <t>DSR-0499</t>
  </si>
  <si>
    <t>Nazrul Islam</t>
  </si>
  <si>
    <t>DSR-0092</t>
  </si>
  <si>
    <t>Md Nahidul Islam</t>
  </si>
  <si>
    <t>DSR-0459</t>
  </si>
  <si>
    <t>Md Babul Hossain</t>
  </si>
  <si>
    <t>DSR-0054</t>
  </si>
  <si>
    <t>Md.Ibrahim Khalil</t>
  </si>
  <si>
    <t>DSR-0697</t>
  </si>
  <si>
    <t>DSR-0369</t>
  </si>
  <si>
    <t>DSR-0491</t>
  </si>
  <si>
    <t>DSR-0371</t>
  </si>
  <si>
    <t>DSR-0370</t>
  </si>
  <si>
    <t>DSR-0507</t>
  </si>
  <si>
    <t>Md. Farhad Hossen</t>
  </si>
  <si>
    <t>DSR-0446</t>
  </si>
  <si>
    <t>DSR-0479</t>
  </si>
  <si>
    <t>DSR-0016</t>
  </si>
  <si>
    <t>DSR-0070</t>
  </si>
  <si>
    <t>Md. Jony</t>
  </si>
  <si>
    <t>DSR-0041</t>
  </si>
  <si>
    <t>DSR-0086</t>
  </si>
  <si>
    <t>DSR-0048</t>
  </si>
  <si>
    <t>Md. Badhon Hossain</t>
  </si>
  <si>
    <t>DSR-0023</t>
  </si>
  <si>
    <t>Md. Mosaddek Billah</t>
  </si>
  <si>
    <t>DSR-0543</t>
  </si>
  <si>
    <t>DSR-0267</t>
  </si>
  <si>
    <t>Faruk Khan</t>
  </si>
  <si>
    <t>DSR-0653</t>
  </si>
  <si>
    <t>DSR-0257</t>
  </si>
  <si>
    <t>Gautam Ghosh Rony</t>
  </si>
  <si>
    <t>DSR-0145</t>
  </si>
  <si>
    <t>DSR-0148</t>
  </si>
  <si>
    <t>Md. Shohel Rana</t>
  </si>
  <si>
    <t>DSR-0139</t>
  </si>
  <si>
    <t>DSR-0134</t>
  </si>
  <si>
    <t>Md. Toukir</t>
  </si>
  <si>
    <t>DSR-0149</t>
  </si>
  <si>
    <t>Md. Shohag Molla</t>
  </si>
  <si>
    <t>DSR-0560</t>
  </si>
  <si>
    <t>DSR-0482</t>
  </si>
  <si>
    <t>Md. Imran</t>
  </si>
  <si>
    <t>DSR-0452</t>
  </si>
  <si>
    <t>Md. Rabby Khan</t>
  </si>
  <si>
    <t>DSR-0303</t>
  </si>
  <si>
    <t>Md. Shafiqul Islam</t>
  </si>
  <si>
    <t>DSR-0304</t>
  </si>
  <si>
    <t>DSR-0559</t>
  </si>
  <si>
    <t>DSR-0282</t>
  </si>
  <si>
    <t>Jobayer Ahmed Joy</t>
  </si>
  <si>
    <t>DSR-0281</t>
  </si>
  <si>
    <t>DSR-0283</t>
  </si>
  <si>
    <t>DSR-0447</t>
  </si>
  <si>
    <t>Md.Abdul Mannan Shapon</t>
  </si>
  <si>
    <t>DSR-0504</t>
  </si>
  <si>
    <t>DSR-0558</t>
  </si>
  <si>
    <t>DSR-0088</t>
  </si>
  <si>
    <t>DSR-0015</t>
  </si>
  <si>
    <t>Md. Abu Taher</t>
  </si>
  <si>
    <t>DSR-0432</t>
  </si>
  <si>
    <t>DSR-0315</t>
  </si>
  <si>
    <t>DSR-0480</t>
  </si>
  <si>
    <t>DSR-0557</t>
  </si>
  <si>
    <t>DSR-0063</t>
  </si>
  <si>
    <t>Md. Ariful Islam</t>
  </si>
  <si>
    <t>DSR-0085</t>
  </si>
  <si>
    <t>Md.Kawser Molla</t>
  </si>
  <si>
    <t>DSR-0039</t>
  </si>
  <si>
    <t>Md. Mahfuzur Rahman Masum</t>
  </si>
  <si>
    <t>DSR-0014</t>
  </si>
  <si>
    <t>Md. Sofiullah</t>
  </si>
  <si>
    <t>DSR-0119</t>
  </si>
  <si>
    <t>Sirajul Islam (Nayan)</t>
  </si>
  <si>
    <t>DSR-0738</t>
  </si>
  <si>
    <t>Md. Sikander Badsha</t>
  </si>
  <si>
    <t>DSR-0027</t>
  </si>
  <si>
    <t>DSR-0503</t>
  </si>
  <si>
    <t>DSR-0152</t>
  </si>
  <si>
    <t>Md. Manir Hossain</t>
  </si>
  <si>
    <t>DSR-0151</t>
  </si>
  <si>
    <t>DSR-0150</t>
  </si>
  <si>
    <t>DSR-0002</t>
  </si>
  <si>
    <t>Md. Lokman Hossain</t>
  </si>
  <si>
    <t>DSR-0153</t>
  </si>
  <si>
    <t>DSR-0352</t>
  </si>
  <si>
    <t>Md. Moklesur Rahman</t>
  </si>
  <si>
    <t>DSR-0588</t>
  </si>
  <si>
    <t>DSR-0353</t>
  </si>
  <si>
    <t>Mr. Robi</t>
  </si>
  <si>
    <t>DSR-0584</t>
  </si>
  <si>
    <t>DSR-0464</t>
  </si>
  <si>
    <t>Saiful Alam Sumon</t>
  </si>
  <si>
    <t>DSR-0467</t>
  </si>
  <si>
    <t>DSR-0465</t>
  </si>
  <si>
    <t>Mostafa Kamal</t>
  </si>
  <si>
    <t>DSR-0466</t>
  </si>
  <si>
    <t>DSR-0333</t>
  </si>
  <si>
    <t>DSR-0332</t>
  </si>
  <si>
    <t>Animesh</t>
  </si>
  <si>
    <t>DSR-0508</t>
  </si>
  <si>
    <t>Atahar Uddin Masum</t>
  </si>
  <si>
    <t>DSR-0096</t>
  </si>
  <si>
    <t>Md. Shahidul Islam</t>
  </si>
  <si>
    <t>DSR-0627</t>
  </si>
  <si>
    <t>Torun Chakraborty</t>
  </si>
  <si>
    <t>DSR-0087</t>
  </si>
  <si>
    <t>Md. Taijal Hossain Rony</t>
  </si>
  <si>
    <t>DSR-0008</t>
  </si>
  <si>
    <t>Md. Jafor Ahmed Kajol</t>
  </si>
  <si>
    <t>DSR-0509</t>
  </si>
  <si>
    <t>DSR-0544</t>
  </si>
  <si>
    <t>DSR-0110</t>
  </si>
  <si>
    <t>Naser</t>
  </si>
  <si>
    <t>DSR-0033</t>
  </si>
  <si>
    <t>DSR-0065</t>
  </si>
  <si>
    <t>Md. Babor Ali</t>
  </si>
  <si>
    <t>DSR-0166</t>
  </si>
  <si>
    <t>Md. Lockman Al Hakim</t>
  </si>
  <si>
    <t>DSR-0613</t>
  </si>
  <si>
    <t>Md. Hasanuzzaman</t>
  </si>
  <si>
    <t>DSR-0164</t>
  </si>
  <si>
    <t>Abdur Rahim</t>
  </si>
  <si>
    <t>DSR-0167</t>
  </si>
  <si>
    <t>Mr. Porimol Kumar</t>
  </si>
  <si>
    <t>DSR-0165</t>
  </si>
  <si>
    <t>Saydur Rahman Jewel</t>
  </si>
  <si>
    <t>DSR-0163</t>
  </si>
  <si>
    <t>Md.Ohidul Islam</t>
  </si>
  <si>
    <t>DSR-0180</t>
  </si>
  <si>
    <t>Uttam kumar</t>
  </si>
  <si>
    <t>DSR-0735</t>
  </si>
  <si>
    <t>Alif Sheikh</t>
  </si>
  <si>
    <t>DSR-0182</t>
  </si>
  <si>
    <t>Sujoy kumar</t>
  </si>
  <si>
    <t>DSR-0181</t>
  </si>
  <si>
    <t>Palash Biswas</t>
  </si>
  <si>
    <t>DSR-0035</t>
  </si>
  <si>
    <t>DSR-0010</t>
  </si>
  <si>
    <t>DSR-0743</t>
  </si>
  <si>
    <t>MD. EMON 2</t>
  </si>
  <si>
    <t>DSR-0100</t>
  </si>
  <si>
    <t>Md. Shahin Hossain (Jony)</t>
  </si>
  <si>
    <t>DSR-0124</t>
  </si>
  <si>
    <t>Md. Shimul Hossan</t>
  </si>
  <si>
    <t>DSR-0055</t>
  </si>
  <si>
    <t>DSR-0081</t>
  </si>
  <si>
    <t>DSR-0533</t>
  </si>
  <si>
    <t>DSR-0354</t>
  </si>
  <si>
    <t>DSR-0222</t>
  </si>
  <si>
    <t>Md. Abdul barek</t>
  </si>
  <si>
    <t>DSR-0223</t>
  </si>
  <si>
    <t>DSR-0220</t>
  </si>
  <si>
    <t>Md. Ekram hossain</t>
  </si>
  <si>
    <t>DSR-0221</t>
  </si>
  <si>
    <t>Md. Fazlul halim Panna</t>
  </si>
  <si>
    <t>DSR-0742</t>
  </si>
  <si>
    <t>DSR-0185</t>
  </si>
  <si>
    <t>Md. Ariful Islam Mezbah</t>
  </si>
  <si>
    <t>DSR-0183</t>
  </si>
  <si>
    <t>Ariful Islam Tipu</t>
  </si>
  <si>
    <t>DSR-0186</t>
  </si>
  <si>
    <t>S.K Linkon</t>
  </si>
  <si>
    <t>DSR-0184</t>
  </si>
  <si>
    <t>DSR-0652</t>
  </si>
  <si>
    <t>Manos Kumar Das</t>
  </si>
  <si>
    <t>DSR-0338</t>
  </si>
  <si>
    <t>Partha haldar</t>
  </si>
  <si>
    <t>DSR-0337</t>
  </si>
  <si>
    <t>Md. Allauddin Howladar</t>
  </si>
  <si>
    <t>DSR-0336</t>
  </si>
  <si>
    <t>Mr. Shopon</t>
  </si>
  <si>
    <t>DSR-0555</t>
  </si>
  <si>
    <t>Md. Hassan</t>
  </si>
  <si>
    <t>DSR-0594</t>
  </si>
  <si>
    <t>DSR-0172</t>
  </si>
  <si>
    <t>DSR-0597</t>
  </si>
  <si>
    <t>DSR-0171</t>
  </si>
  <si>
    <t>Md. Monirul Islam Milon</t>
  </si>
  <si>
    <t>DSR-0168</t>
  </si>
  <si>
    <t>Palash Kumar Ghosh(Palash)</t>
  </si>
  <si>
    <t>DSR-0170</t>
  </si>
  <si>
    <t>Habibur Rahman Habib(Habib)</t>
  </si>
  <si>
    <t>DSR-0169</t>
  </si>
  <si>
    <t>Kalam</t>
  </si>
  <si>
    <t>DSR-0475</t>
  </si>
  <si>
    <t>DSR-0406</t>
  </si>
  <si>
    <t>Md. Arif Hossain</t>
  </si>
  <si>
    <t>DSR-0407</t>
  </si>
  <si>
    <t>DSR-0574</t>
  </si>
  <si>
    <t>DSR-0593</t>
  </si>
  <si>
    <t>Md Jahirul Islam</t>
  </si>
  <si>
    <t>DSR-0515</t>
  </si>
  <si>
    <t>DSR-0516</t>
  </si>
  <si>
    <t>DSR-0628</t>
  </si>
  <si>
    <t>Md Rakib Hasan</t>
  </si>
  <si>
    <t>DSR-0442</t>
  </si>
  <si>
    <t>Md. Abul Khaer</t>
  </si>
  <si>
    <t>DSR-0608</t>
  </si>
  <si>
    <t>Mobile point</t>
  </si>
  <si>
    <t>DSR-0188</t>
  </si>
  <si>
    <t>DSR-0187</t>
  </si>
  <si>
    <t>Md.Liton Mia</t>
  </si>
  <si>
    <t>DSR-0592</t>
  </si>
  <si>
    <t>Md. Tareq Mia</t>
  </si>
  <si>
    <t>DSR-0484</t>
  </si>
  <si>
    <t>Md. Rasel</t>
  </si>
  <si>
    <t>DSR-0102</t>
  </si>
  <si>
    <t>DSR-0017</t>
  </si>
  <si>
    <t>Abdul Latif</t>
  </si>
  <si>
    <t>DSR-0618</t>
  </si>
  <si>
    <t>Kajal Roy</t>
  </si>
  <si>
    <t>DSR-0591</t>
  </si>
  <si>
    <t>Md. Jahurul Islam</t>
  </si>
  <si>
    <t>DSR-0300</t>
  </si>
  <si>
    <t>Md. Liton Mia</t>
  </si>
  <si>
    <t>DSR-0493</t>
  </si>
  <si>
    <t>DSR-0725</t>
  </si>
  <si>
    <t>Md. Nazmul Islam</t>
  </si>
  <si>
    <t>DSR-0064</t>
  </si>
  <si>
    <t>DSR-0042</t>
  </si>
  <si>
    <t>DSR-0494</t>
  </si>
  <si>
    <t>DSR-0483</t>
  </si>
  <si>
    <t>Md. Sumon Mia</t>
  </si>
  <si>
    <t>DSR-0673</t>
  </si>
  <si>
    <t>Md. Imrul Hossain</t>
  </si>
  <si>
    <t>DSR-0404</t>
  </si>
  <si>
    <t>DSR-0405</t>
  </si>
  <si>
    <t>Md. Tara</t>
  </si>
  <si>
    <t>DSR-0403</t>
  </si>
  <si>
    <t>DSR-0401</t>
  </si>
  <si>
    <t>Md. Jahangir Alam</t>
  </si>
  <si>
    <t>DSR-0724</t>
  </si>
  <si>
    <t>Md. Saroar</t>
  </si>
  <si>
    <t>DSR-0410</t>
  </si>
  <si>
    <t>Md. Bappy</t>
  </si>
  <si>
    <t>DSR-0655</t>
  </si>
  <si>
    <t>Md. Sojol Rahman</t>
  </si>
  <si>
    <t>DSR-0409</t>
  </si>
  <si>
    <t>Md. Billal Hossain</t>
  </si>
  <si>
    <t>DSR-0408</t>
  </si>
  <si>
    <t>DSR-0412</t>
  </si>
  <si>
    <t>Md. Tuhin</t>
  </si>
  <si>
    <t>DSR-0445</t>
  </si>
  <si>
    <t>DSR-0737</t>
  </si>
  <si>
    <t>DSR-0411</t>
  </si>
  <si>
    <t>Md. Ali Hossain</t>
  </si>
  <si>
    <t>DSR-0414</t>
  </si>
  <si>
    <t>Md. Abdul Majid</t>
  </si>
  <si>
    <t>DSR-0413</t>
  </si>
  <si>
    <t>DSR-0416</t>
  </si>
  <si>
    <t>Junaeid Hasan</t>
  </si>
  <si>
    <t>DSR-0417</t>
  </si>
  <si>
    <t>Md. Ataur Rahman</t>
  </si>
  <si>
    <t>DSR-0082</t>
  </si>
  <si>
    <t>Md. Shamim Rana</t>
  </si>
  <si>
    <t>DSR-0051</t>
  </si>
  <si>
    <t>Awlad Hossain</t>
  </si>
  <si>
    <t>DSR-0573</t>
  </si>
  <si>
    <t>Md. Shofiqul Islam</t>
  </si>
  <si>
    <t>DSR-0043</t>
  </si>
  <si>
    <t>Md. Aiub Ali</t>
  </si>
  <si>
    <t>DSR-0018</t>
  </si>
  <si>
    <t>Md. Mazharul Islam (Riyadh)</t>
  </si>
  <si>
    <t>DSR-0572</t>
  </si>
  <si>
    <t>Md. Salauddin</t>
  </si>
  <si>
    <t>DSR-0665</t>
  </si>
  <si>
    <t>DSR-0565</t>
  </si>
  <si>
    <t>DSR-0718</t>
  </si>
  <si>
    <t>DSR-0582</t>
  </si>
  <si>
    <t>Md. Saddam</t>
  </si>
  <si>
    <t>DSR-0566</t>
  </si>
  <si>
    <t>Md. Mahin</t>
  </si>
  <si>
    <t>DSR-0571</t>
  </si>
  <si>
    <t>DSR-0719</t>
  </si>
  <si>
    <t>DSR-0609</t>
  </si>
  <si>
    <t>DSR-0441</t>
  </si>
  <si>
    <t>DSR-0104</t>
  </si>
  <si>
    <t>Md. Noyon Khan</t>
  </si>
  <si>
    <t>DSR-0714</t>
  </si>
  <si>
    <t>DSR-0520</t>
  </si>
  <si>
    <t>DSR-0072</t>
  </si>
  <si>
    <t>DSR-0716</t>
  </si>
  <si>
    <t>DSR-0190</t>
  </si>
  <si>
    <t>DSR-0189</t>
  </si>
  <si>
    <t>Md. Mosarrof Hossain</t>
  </si>
  <si>
    <t>DSR-0191</t>
  </si>
  <si>
    <t>Lipon Chandra</t>
  </si>
  <si>
    <t>DSR-0192</t>
  </si>
  <si>
    <t>Md. Shamim Ahmed</t>
  </si>
  <si>
    <t>DSR-0327</t>
  </si>
  <si>
    <t>DSR-0323</t>
  </si>
  <si>
    <t>DSR-0656</t>
  </si>
  <si>
    <t>DSR-0419</t>
  </si>
  <si>
    <t>DSR-0420</t>
  </si>
  <si>
    <t xml:space="preserve">Md. Ashraful </t>
  </si>
  <si>
    <t>DSR-0418</t>
  </si>
  <si>
    <t>DSR-0576</t>
  </si>
  <si>
    <t>Alamgir Hossain</t>
  </si>
  <si>
    <t>DSR-0524</t>
  </si>
  <si>
    <t>DSR-0069</t>
  </si>
  <si>
    <t>DSR-0123</t>
  </si>
  <si>
    <t>Mir Awal</t>
  </si>
  <si>
    <t>DSR-0141</t>
  </si>
  <si>
    <t>Syed Shafiqur Islam</t>
  </si>
  <si>
    <t>DSR-0703</t>
  </si>
  <si>
    <t>DSR-0501</t>
  </si>
  <si>
    <t>DSR-0740</t>
  </si>
  <si>
    <t>DSR-0502</t>
  </si>
  <si>
    <t>DSR-0113</t>
  </si>
  <si>
    <t>Md. Rakibul</t>
  </si>
  <si>
    <t>DSR-0142</t>
  </si>
  <si>
    <t>DSR-0133</t>
  </si>
  <si>
    <t>DSR-0019</t>
  </si>
  <si>
    <t>DSR-0107</t>
  </si>
  <si>
    <t>DSR-0036</t>
  </si>
  <si>
    <t>Md. Ruhul Islam</t>
  </si>
  <si>
    <t>DSR-0636</t>
  </si>
  <si>
    <t>Md. Johorul Islam</t>
  </si>
  <si>
    <t>DSR-0575</t>
  </si>
  <si>
    <t>DSR-0744</t>
  </si>
  <si>
    <t>Somor</t>
  </si>
  <si>
    <t>DSR-0058</t>
  </si>
  <si>
    <t>Md Moynul Islam</t>
  </si>
  <si>
    <t>DSR-0083</t>
  </si>
  <si>
    <t>Md. Sagor Ahmed</t>
  </si>
  <si>
    <t>DSR-0706</t>
  </si>
  <si>
    <t>DSR-0309</t>
  </si>
  <si>
    <t>Md.Maruf-Un-Nabe Munna</t>
  </si>
  <si>
    <t>DSR-0310</t>
  </si>
  <si>
    <t>Md. Ashik Rahman</t>
  </si>
  <si>
    <t>DSR-0590</t>
  </si>
  <si>
    <t>Md. Atiqul Islam</t>
  </si>
  <si>
    <t>DSR-0312</t>
  </si>
  <si>
    <t>Md.Rabiul Islam (Robi)</t>
  </si>
  <si>
    <t>DSR-0311</t>
  </si>
  <si>
    <t>DSR-0079</t>
  </si>
  <si>
    <t>DSR-0131</t>
  </si>
  <si>
    <t>Md. Bayzid Bostami</t>
  </si>
  <si>
    <t>DSR-0161</t>
  </si>
  <si>
    <t>DSR-0114</t>
  </si>
  <si>
    <t>Md. Rashed Alam</t>
  </si>
  <si>
    <t>DSR-0006</t>
  </si>
  <si>
    <t>DSR-0160</t>
  </si>
  <si>
    <t>DSR-0098</t>
  </si>
  <si>
    <t>Md. Faruk Hossain</t>
  </si>
  <si>
    <t>DSR-0146</t>
  </si>
  <si>
    <t>DSR-0495</t>
  </si>
  <si>
    <t>Md. Monowar Hossain</t>
  </si>
  <si>
    <t>DSR-0496</t>
  </si>
  <si>
    <t>DSR-0498</t>
  </si>
  <si>
    <t>Md. Khairul Islam</t>
  </si>
  <si>
    <t>DSR-0497</t>
  </si>
  <si>
    <t>Md. Nasir Uddin</t>
  </si>
  <si>
    <t>DSR-0246</t>
  </si>
  <si>
    <t>Md.James Hossain</t>
  </si>
  <si>
    <t>DSR-0247</t>
  </si>
  <si>
    <t>DSR-0619</t>
  </si>
  <si>
    <t>DSR-0248</t>
  </si>
  <si>
    <t>DSR-0349</t>
  </si>
  <si>
    <t>Prodip Kumer</t>
  </si>
  <si>
    <t>DSR-0350</t>
  </si>
  <si>
    <t>Rabiul Islam</t>
  </si>
  <si>
    <t>DSR-0351</t>
  </si>
  <si>
    <t>Shoel Rana</t>
  </si>
  <si>
    <t>DSR-0156</t>
  </si>
  <si>
    <t>DSR-0159</t>
  </si>
  <si>
    <t>DSR-0158</t>
  </si>
  <si>
    <t>DSR-0155</t>
  </si>
  <si>
    <t>DSR-0001</t>
  </si>
  <si>
    <t>DSR-0661</t>
  </si>
  <si>
    <t>DSR-0026</t>
  </si>
  <si>
    <t>Md. Rubel</t>
  </si>
  <si>
    <t>DSR-0157</t>
  </si>
  <si>
    <t>DSR-0477</t>
  </si>
  <si>
    <t>DSR-0162</t>
  </si>
  <si>
    <t>DSR-0622</t>
  </si>
  <si>
    <t>Md. Alamin Hossain</t>
  </si>
  <si>
    <t>DSR-0218</t>
  </si>
  <si>
    <t>DSR-0621</t>
  </si>
  <si>
    <t>DSR-0217</t>
  </si>
  <si>
    <t>Md. Abdul Khalek</t>
  </si>
  <si>
    <t>DSR-0216</t>
  </si>
  <si>
    <t>DSR-0614</t>
  </si>
  <si>
    <t>Md. Rezaul Karim</t>
  </si>
  <si>
    <t>DSR-0698</t>
  </si>
  <si>
    <t>Dipak Kumar</t>
  </si>
  <si>
    <t>DSR-0699</t>
  </si>
  <si>
    <t>DSR-0616</t>
  </si>
  <si>
    <t>DSR-0617</t>
  </si>
  <si>
    <t>DSR-0700</t>
  </si>
  <si>
    <t>Md. Moshiur Rahman</t>
  </si>
  <si>
    <t>DSR-0234</t>
  </si>
  <si>
    <t>DSR-0232</t>
  </si>
  <si>
    <t>DSR-0236</t>
  </si>
  <si>
    <t>DSR-0225</t>
  </si>
  <si>
    <t>DSR-0229</t>
  </si>
  <si>
    <t>DSR-0230</t>
  </si>
  <si>
    <t>DSR-0227</t>
  </si>
  <si>
    <t>DSR-0245</t>
  </si>
  <si>
    <t>Md.Sajedur Rahman</t>
  </si>
  <si>
    <t>DSR-0243</t>
  </si>
  <si>
    <t>Md.Mosaibur Rahman</t>
  </si>
  <si>
    <t>DSR-0244</t>
  </si>
  <si>
    <t>Md.Karimul Islam</t>
  </si>
  <si>
    <t>DSR-0689</t>
  </si>
  <si>
    <t>DSR-0688</t>
  </si>
  <si>
    <t>DSR-0640</t>
  </si>
  <si>
    <t>Md. Mominul Islam</t>
  </si>
  <si>
    <t>DSR-0639</t>
  </si>
  <si>
    <t>DSR-0686</t>
  </si>
  <si>
    <t>Md. Nahiduzzaman Suzan</t>
  </si>
  <si>
    <t>DSR-0687</t>
  </si>
  <si>
    <t>DSR-0682</t>
  </si>
  <si>
    <t>DSR-0683</t>
  </si>
  <si>
    <t>DSR-0684</t>
  </si>
  <si>
    <t>Md. Shamim Islam</t>
  </si>
  <si>
    <t>DSR-0685</t>
  </si>
  <si>
    <t>DSR-0681</t>
  </si>
  <si>
    <t>DSR-0259</t>
  </si>
  <si>
    <t>Mr. Golzar Rahaman</t>
  </si>
  <si>
    <t>DSR-0258</t>
  </si>
  <si>
    <t>DSR-0260</t>
  </si>
  <si>
    <t>DSR-0634</t>
  </si>
  <si>
    <t>DSR-0599</t>
  </si>
  <si>
    <t>DSR-0600</t>
  </si>
  <si>
    <t>DSR-0598</t>
  </si>
  <si>
    <t>DSR-0329</t>
  </si>
  <si>
    <t>Md. Ataur Rahman (Lavlu)</t>
  </si>
  <si>
    <t>DSR-0331</t>
  </si>
  <si>
    <t>Banasour Chandra Barman</t>
  </si>
  <si>
    <t>DSR-0330</t>
  </si>
  <si>
    <t>Jahangir Hossain (Lulu)</t>
  </si>
  <si>
    <t>DSR-0328</t>
  </si>
  <si>
    <t>Mr. Ratan Kumar Roy</t>
  </si>
  <si>
    <t>DSR-0629</t>
  </si>
  <si>
    <t>Md. Joynal Abedin</t>
  </si>
  <si>
    <t>DSR-0251</t>
  </si>
  <si>
    <t>DSR-0250</t>
  </si>
  <si>
    <t>Mr. Sulov Sen</t>
  </si>
  <si>
    <t>DSR-0252</t>
  </si>
  <si>
    <t>Mr. Shimul Ahmed</t>
  </si>
  <si>
    <t>DSR-0253</t>
  </si>
  <si>
    <t>DSR-0314</t>
  </si>
  <si>
    <t>DSR-0313</t>
  </si>
  <si>
    <t>Mr. Enamul Haque</t>
  </si>
  <si>
    <t>DSR-0266</t>
  </si>
  <si>
    <t>Md. Naim Sarkar</t>
  </si>
  <si>
    <t>DSR-0265</t>
  </si>
  <si>
    <t>DSR-0262</t>
  </si>
  <si>
    <t>Md. Shahin Sarkar</t>
  </si>
  <si>
    <t>DSR-0261</t>
  </si>
  <si>
    <t>Md. Palash</t>
  </si>
  <si>
    <t>DSR-0264</t>
  </si>
  <si>
    <t>Missing Link Trade and Distribution</t>
  </si>
  <si>
    <t>DSR-0254</t>
  </si>
  <si>
    <t>Mr. Suruzzaman</t>
  </si>
  <si>
    <t>DSR-0255</t>
  </si>
  <si>
    <t>DSR-0541</t>
  </si>
  <si>
    <t>Md. Shirajul Islam</t>
  </si>
  <si>
    <t>DSR-0268</t>
  </si>
  <si>
    <t>Mr. Rubel ahmed</t>
  </si>
  <si>
    <t>DSR-0269</t>
  </si>
  <si>
    <t>Mr. Sri Ujjol Sarker</t>
  </si>
  <si>
    <t>DSR-0271</t>
  </si>
  <si>
    <t>DSR-0270</t>
  </si>
  <si>
    <t>Mr. Raihanur Rahman</t>
  </si>
  <si>
    <t>DSR-0586</t>
  </si>
  <si>
    <t>Md. Jony Islam</t>
  </si>
  <si>
    <t>DSR-0546</t>
  </si>
  <si>
    <t>Md. Nur Alif Bappy</t>
  </si>
  <si>
    <t>DSR-0587</t>
  </si>
  <si>
    <t>Md. Rasheduzzaman</t>
  </si>
  <si>
    <t>DSR-0547</t>
  </si>
  <si>
    <t>Md. Nawab Shiraj-u-Ddula</t>
  </si>
  <si>
    <t>DSR-0720</t>
  </si>
  <si>
    <t>DSR-0324</t>
  </si>
  <si>
    <t>DSR-0722</t>
  </si>
  <si>
    <t>DSR-0721</t>
  </si>
  <si>
    <t>DSR-0723</t>
  </si>
  <si>
    <t>DSR-0631</t>
  </si>
  <si>
    <t>Sagar Chandra</t>
  </si>
  <si>
    <t>DSR-0630</t>
  </si>
  <si>
    <t>DSR-0468</t>
  </si>
  <si>
    <t>DSR-0203</t>
  </si>
  <si>
    <t>DSR-0478</t>
  </si>
  <si>
    <t>DSR-0204</t>
  </si>
  <si>
    <t>DSR-0657</t>
  </si>
  <si>
    <t>DSR-0728</t>
  </si>
  <si>
    <t>DSR-0731</t>
  </si>
  <si>
    <t>DSR-0727</t>
  </si>
  <si>
    <t>DSR-0053</t>
  </si>
  <si>
    <t>Md. Shariful Islam</t>
  </si>
  <si>
    <t>DSR-0732</t>
  </si>
  <si>
    <t>DSR-0729</t>
  </si>
  <si>
    <t>DSR-0486</t>
  </si>
  <si>
    <t>DSR-0489</t>
  </si>
  <si>
    <t>Zahid Hasan</t>
  </si>
  <si>
    <t>DSR-0488</t>
  </si>
  <si>
    <t>DSR-0607</t>
  </si>
  <si>
    <t>DSR-0487</t>
  </si>
  <si>
    <t>Md. Arifur Rahman</t>
  </si>
  <si>
    <t>DSR-0374</t>
  </si>
  <si>
    <t>Md. Asif Ahmed</t>
  </si>
  <si>
    <t>DSR-0669</t>
  </si>
  <si>
    <t>Mrinal Paul</t>
  </si>
  <si>
    <t>DSR-0670</t>
  </si>
  <si>
    <t>Pranesh</t>
  </si>
  <si>
    <t>DSR-0610</t>
  </si>
  <si>
    <t>DSR-0556</t>
  </si>
  <si>
    <t>Md. Karim Ahmed</t>
  </si>
  <si>
    <t>DSR-0672</t>
  </si>
  <si>
    <t>Ponkoz</t>
  </si>
  <si>
    <t>DSR-0382</t>
  </si>
  <si>
    <t>Md. Ripon Khan</t>
  </si>
  <si>
    <t>DSR-0474</t>
  </si>
  <si>
    <t>Md.Monirul Islam</t>
  </si>
  <si>
    <t>DSR-0671</t>
  </si>
  <si>
    <t xml:space="preserve">Samiya Telecom </t>
  </si>
  <si>
    <t>DSR-0274</t>
  </si>
  <si>
    <t>Md. Nazmul Hasan Foton</t>
  </si>
  <si>
    <t>DSR-0273</t>
  </si>
  <si>
    <t>Md. Rasel Khan</t>
  </si>
  <si>
    <t>DSR-0272</t>
  </si>
  <si>
    <t>Md. Obaidul Khan</t>
  </si>
  <si>
    <t>DSR-0458</t>
  </si>
  <si>
    <t>Shemul Mitra</t>
  </si>
  <si>
    <t>DSR-0736</t>
  </si>
  <si>
    <t>DSR-0490</t>
  </si>
  <si>
    <t>DSR-0472</t>
  </si>
  <si>
    <t>DSR-0471</t>
  </si>
  <si>
    <t>Md. Shamsujjaman</t>
  </si>
  <si>
    <t>DSR-0470</t>
  </si>
  <si>
    <t>Faysal Miah</t>
  </si>
  <si>
    <t>DSR-0473</t>
  </si>
  <si>
    <t>Sagar Saha</t>
  </si>
  <si>
    <t>DSR-0360</t>
  </si>
  <si>
    <t>DSR-0361</t>
  </si>
  <si>
    <t>Drobo Pal Jibon</t>
  </si>
  <si>
    <t>DSR-0359</t>
  </si>
  <si>
    <t>Bablu Kumar Das</t>
  </si>
  <si>
    <t>DSR-0709</t>
  </si>
  <si>
    <t>Sumon Kumar Das</t>
  </si>
  <si>
    <t>DSR-0711</t>
  </si>
  <si>
    <t>DSR-0710</t>
  </si>
  <si>
    <t>DSR-0376</t>
  </si>
  <si>
    <t>Biplob Talukder</t>
  </si>
  <si>
    <t>DSR-0701</t>
  </si>
  <si>
    <t>DSR-0534</t>
  </si>
  <si>
    <t>DSR-0535</t>
  </si>
  <si>
    <t>Anwar Hossain</t>
  </si>
  <si>
    <t>DSR-0377</t>
  </si>
  <si>
    <t>Md. Abul Kasem</t>
  </si>
  <si>
    <t>DSR-0620</t>
  </si>
  <si>
    <t>Md. Alomgir Hussain</t>
  </si>
  <si>
    <t>DSR-0702</t>
  </si>
  <si>
    <t>DSR-0378</t>
  </si>
  <si>
    <t>Saleh Ahmed</t>
  </si>
  <si>
    <t>Polash Chandra Sarker</t>
  </si>
  <si>
    <t>Md.Shahin Khan</t>
  </si>
  <si>
    <t>Polash Sakhari</t>
  </si>
  <si>
    <t>Md. Imam Hossain Nayon</t>
  </si>
  <si>
    <t>Shojib</t>
  </si>
  <si>
    <t>Md. Sujon Mollah</t>
  </si>
  <si>
    <t>Md. Shahin Mia</t>
  </si>
  <si>
    <t>Md Sajib khalifa</t>
  </si>
  <si>
    <t>Md. Sajib Gazi</t>
  </si>
  <si>
    <t>Mr.Sonjib</t>
  </si>
  <si>
    <t>Mr.Shumon</t>
  </si>
  <si>
    <t>Mr.Partho</t>
  </si>
  <si>
    <t>Md Shariar</t>
  </si>
  <si>
    <t>Md. Delwor</t>
  </si>
  <si>
    <t>Md. Abubakkar Shiddque</t>
  </si>
  <si>
    <t>Md. Mohiuddin Sumon</t>
  </si>
  <si>
    <t>DSR-0118</t>
  </si>
  <si>
    <t>Md. Tareq Rahman</t>
  </si>
  <si>
    <t>Sajidur Rahman Sabuj</t>
  </si>
  <si>
    <t>Shahadat HossainMintu</t>
  </si>
  <si>
    <t>Nizam Haider</t>
  </si>
  <si>
    <t>Mohi Uddin</t>
  </si>
  <si>
    <t>Shamim Hossain</t>
  </si>
  <si>
    <t>Md. Hadi Maije</t>
  </si>
  <si>
    <t>Md.Sahed</t>
  </si>
  <si>
    <t>Mostofa Kamal</t>
  </si>
  <si>
    <t>Rejaul Karim Liton</t>
  </si>
  <si>
    <t>Md. Sajjad Hossain</t>
  </si>
  <si>
    <t>Md. Shahadat Hossain</t>
  </si>
  <si>
    <t>Md.Rasel</t>
  </si>
  <si>
    <t xml:space="preserve"> Md. Masud </t>
  </si>
  <si>
    <t xml:space="preserve"> Md.Morshed Alam </t>
  </si>
  <si>
    <t xml:space="preserve"> Md.Kopil Uddin Saykot </t>
  </si>
  <si>
    <t xml:space="preserve"> Md.Sumon Hossain </t>
  </si>
  <si>
    <t>Md. Rafiqul Islam Niloy</t>
  </si>
  <si>
    <t>Md. Alauddin</t>
  </si>
  <si>
    <t>Md. Farid Uddin</t>
  </si>
  <si>
    <t>Md Mamun Mia</t>
  </si>
  <si>
    <t>Md. Habib</t>
  </si>
  <si>
    <t>Md. Imran Hossen Imon</t>
  </si>
  <si>
    <t>Ashiq Ahmed</t>
  </si>
  <si>
    <t>Faysal Ahmed</t>
  </si>
  <si>
    <t>Md. Shahadat hossen</t>
  </si>
  <si>
    <t xml:space="preserve"> Md. Sharfin Ahmed </t>
  </si>
  <si>
    <t xml:space="preserve">Md.Ashraf hossain Rahim </t>
  </si>
  <si>
    <t>Sumon Das</t>
  </si>
  <si>
    <t>Shohel Khan</t>
  </si>
  <si>
    <t>Md. Anower Hossain</t>
  </si>
  <si>
    <t>Md. Shayan Mahamud</t>
  </si>
  <si>
    <t>Md Ahsan habib shamim</t>
  </si>
  <si>
    <t>Md. Jobayer Anik</t>
  </si>
  <si>
    <t>Mehedi Hasan Rifat</t>
  </si>
  <si>
    <t>Max tel</t>
  </si>
  <si>
    <t>Md. Rafiqul Islam (Rafiq)</t>
  </si>
  <si>
    <t>Shawpon Kumar Mondol(Shawpon)</t>
  </si>
  <si>
    <t>DSR-0745</t>
  </si>
  <si>
    <t>Md Arif Hossain</t>
  </si>
  <si>
    <t>Md Harun or Rashid</t>
  </si>
  <si>
    <t>Md Kabir Hosssen</t>
  </si>
  <si>
    <t>Md Momin</t>
  </si>
  <si>
    <t>Md.Ratul</t>
  </si>
  <si>
    <t>Md. Ahad</t>
  </si>
  <si>
    <t>Mr.Jahirul Islam</t>
  </si>
  <si>
    <t>Md Akash</t>
  </si>
  <si>
    <t>Md Delwar</t>
  </si>
  <si>
    <t>Md. Angur Hasan</t>
  </si>
  <si>
    <t>Md. Mahbub Alam</t>
  </si>
  <si>
    <t>Mobile collection and ghori ghor</t>
  </si>
  <si>
    <t>Md.Morshadul Alam Babu</t>
  </si>
  <si>
    <t>Md. Mahfuz Ahmed</t>
  </si>
  <si>
    <t>Md.Rashed Siraj</t>
  </si>
  <si>
    <t>Md.Humayun Kabir</t>
  </si>
  <si>
    <t>Md.Raihan Ali</t>
  </si>
  <si>
    <t>Md.Mithul</t>
  </si>
  <si>
    <t>Md. Nazmul Hossain Sajol</t>
  </si>
  <si>
    <t>Md. Zobayer Al Mahmud</t>
  </si>
  <si>
    <t>Md. Manzir Hossain Mohaddes</t>
  </si>
  <si>
    <t>Ariful Islam</t>
  </si>
  <si>
    <t>Mr. Ashiqul islam</t>
  </si>
  <si>
    <t>Mr.Monirul Islam</t>
  </si>
  <si>
    <t>Md.Jahidul Islam</t>
  </si>
  <si>
    <t>Md. Asif Iqbal Karim</t>
  </si>
  <si>
    <t>Md. Omar Faruk</t>
  </si>
  <si>
    <t>Md. Khukon Mia (sujon)</t>
  </si>
  <si>
    <t>Md. Abdul Kadir</t>
  </si>
  <si>
    <t>Md.Sajal Ahmed</t>
  </si>
  <si>
    <t>Md. Mohshin Ahmed</t>
  </si>
  <si>
    <t>DSR-0388</t>
  </si>
  <si>
    <t>DSR-0389</t>
  </si>
  <si>
    <t>SL
 No.</t>
  </si>
  <si>
    <t>Himel Mobile Center</t>
  </si>
  <si>
    <t>Md.Delowar</t>
  </si>
  <si>
    <t>Md.Ibrahim</t>
  </si>
  <si>
    <t>Md.Forid</t>
  </si>
  <si>
    <t>Mizanur Raman</t>
  </si>
  <si>
    <t>Md.Razu</t>
  </si>
  <si>
    <t>Md. Sajib Hossain</t>
  </si>
  <si>
    <t>Md. Rafiqul Islam</t>
  </si>
  <si>
    <t>Md. Hafiz</t>
  </si>
  <si>
    <t>Md. Emon</t>
  </si>
  <si>
    <t>Md. Sohel</t>
  </si>
  <si>
    <t>Remaining for 86%</t>
  </si>
  <si>
    <t>Daily Required Rate
for 86%</t>
  </si>
  <si>
    <t>Remaining for 91%</t>
  </si>
  <si>
    <t>Daily Required Rate
for 91%</t>
  </si>
  <si>
    <t>Daily Required Rate for 86%</t>
  </si>
  <si>
    <t>Daily Required Rate for 91%</t>
  </si>
  <si>
    <t>Md Roni</t>
  </si>
  <si>
    <t>Md Mamun</t>
  </si>
  <si>
    <t xml:space="preserve">Md. Alamin Mia </t>
  </si>
  <si>
    <t>Trade Plus</t>
  </si>
  <si>
    <t>Md.Sowob</t>
  </si>
  <si>
    <t>Md.Shohel</t>
  </si>
  <si>
    <t>Md. Asif Talukdar</t>
  </si>
  <si>
    <t>Shamol</t>
  </si>
  <si>
    <t>DSR-0415</t>
  </si>
  <si>
    <t>Md. Sujon</t>
  </si>
  <si>
    <t>Md. Bokul mia</t>
  </si>
  <si>
    <t>Md.Hasanul Haque</t>
  </si>
  <si>
    <t>Md.Mustahid Hasan Hridoy</t>
  </si>
  <si>
    <t>Md.Abu Jafor</t>
  </si>
  <si>
    <t>Miner Hossain</t>
  </si>
  <si>
    <t>Himel Bhuiyan</t>
  </si>
  <si>
    <t>Susmoy Chanda</t>
  </si>
  <si>
    <t>Dijen Talukdar</t>
  </si>
  <si>
    <t>Remaining for 96%</t>
  </si>
  <si>
    <t>Daily Required Rate
for 96%</t>
  </si>
  <si>
    <t>Daily Required Rate for 96%</t>
  </si>
  <si>
    <t>Shifat</t>
  </si>
  <si>
    <t>Sohag</t>
  </si>
  <si>
    <t>Md.Mizan</t>
  </si>
  <si>
    <t>Md. Jolil</t>
  </si>
  <si>
    <t>Md.Mamun</t>
  </si>
  <si>
    <t>Jony Datta</t>
  </si>
  <si>
    <t>Mr. Musfhiq</t>
  </si>
  <si>
    <t>Md. Hasan</t>
  </si>
  <si>
    <t>Abu Jafor</t>
  </si>
  <si>
    <t>Mr. Alamin</t>
  </si>
  <si>
    <t>DSR-0747</t>
  </si>
  <si>
    <t>Md. Rahat</t>
  </si>
  <si>
    <t>Winner electronics</t>
  </si>
  <si>
    <t>Ripon</t>
  </si>
  <si>
    <t>Jahidul Islam</t>
  </si>
  <si>
    <t>Kazi Mohammad Azimuddin</t>
  </si>
  <si>
    <t>Saif telecom</t>
  </si>
  <si>
    <t>MD Farhaduzzaman</t>
  </si>
  <si>
    <t>Md Jihad ul islam</t>
  </si>
  <si>
    <t>Md Zakir hossain</t>
  </si>
  <si>
    <t>Noman miah</t>
  </si>
  <si>
    <t>Md  Shakil  Hossain</t>
  </si>
  <si>
    <t>Md Shamim Hossain</t>
  </si>
  <si>
    <t>Md Kabir    Hossain</t>
  </si>
  <si>
    <t>Md  Siyam  Miah</t>
  </si>
  <si>
    <t xml:space="preserve">Md. Mahim Ahmed  </t>
  </si>
  <si>
    <t xml:space="preserve">Md. Masud Rana </t>
  </si>
  <si>
    <t>Harun Or Rashid</t>
  </si>
  <si>
    <t>Shahin Reza</t>
  </si>
  <si>
    <t>Md. Imran Hossain</t>
  </si>
  <si>
    <t>Md. Sheik Shoel</t>
  </si>
  <si>
    <t>Md. Alauddin Sheikh</t>
  </si>
  <si>
    <t>Md. Monjurul Islam</t>
  </si>
  <si>
    <t>Md Noman</t>
  </si>
  <si>
    <t>Md Alamin</t>
  </si>
  <si>
    <t>Md. Shipon Sarker</t>
  </si>
  <si>
    <t>Md. Obaydur rahman</t>
  </si>
  <si>
    <t>Ashim kumar Roy</t>
  </si>
  <si>
    <t>Md.Shahin Alom</t>
  </si>
  <si>
    <t>DSR-0730</t>
  </si>
  <si>
    <t>DSR-0228</t>
  </si>
  <si>
    <t>DSR-0746</t>
  </si>
  <si>
    <t>M/S. Lotus Telecom</t>
  </si>
  <si>
    <t>Md. Ashik</t>
  </si>
  <si>
    <t>Md Faisal</t>
  </si>
  <si>
    <t>Md Juwel</t>
  </si>
  <si>
    <t>Mohmmad Hasan</t>
  </si>
  <si>
    <t>Mr. Mamun Hossain</t>
  </si>
  <si>
    <t>MD. Rakib</t>
  </si>
  <si>
    <t>Md. Maruf</t>
  </si>
  <si>
    <t>Md. Al Amin</t>
  </si>
  <si>
    <t>Pranto</t>
  </si>
  <si>
    <t>Mr. Raton</t>
  </si>
  <si>
    <t>Mr. Shubod</t>
  </si>
  <si>
    <t>Hafijul Islam</t>
  </si>
  <si>
    <t>Md. Mridul</t>
  </si>
  <si>
    <t>Md. Murad</t>
  </si>
  <si>
    <t>Nure Alam</t>
  </si>
  <si>
    <t>DSR-0044</t>
  </si>
  <si>
    <t>MD.Shamim</t>
  </si>
  <si>
    <t>Md. Sumon Sikder</t>
  </si>
  <si>
    <t>Shadin Hasan</t>
  </si>
  <si>
    <t>Rony</t>
  </si>
  <si>
    <t xml:space="preserve">Md. Daulat Khan </t>
  </si>
  <si>
    <t>Md. Nahid Hasan</t>
  </si>
  <si>
    <t>Shovo</t>
  </si>
  <si>
    <t>DSR-0525</t>
  </si>
  <si>
    <t>Imon Hasan</t>
  </si>
  <si>
    <t>Awal-2</t>
  </si>
  <si>
    <t>Md. Sumon Haider</t>
  </si>
  <si>
    <t>Selim Khan</t>
  </si>
  <si>
    <t>Shahajada Rahman</t>
  </si>
  <si>
    <t>DSR-0604</t>
  </si>
  <si>
    <t>DSR-0605</t>
  </si>
  <si>
    <t>DSR-0521</t>
  </si>
  <si>
    <t>DSR-0522</t>
  </si>
  <si>
    <t>DSR-0523</t>
  </si>
  <si>
    <t>DSR-0198</t>
  </si>
  <si>
    <t>DSR-0199</t>
  </si>
  <si>
    <t>DSR-0200</t>
  </si>
  <si>
    <t>DSR-0020</t>
  </si>
  <si>
    <t>DSR-0453</t>
  </si>
  <si>
    <t>DSR-0454</t>
  </si>
  <si>
    <t>TM communication</t>
  </si>
  <si>
    <t>Md. Sujon Sheikh</t>
  </si>
  <si>
    <t>Md. Sakil Sheikh</t>
  </si>
  <si>
    <t>Md. Tarikul Islam</t>
  </si>
  <si>
    <t>Mohammad Ali</t>
  </si>
  <si>
    <t>Md.Zobayed Hasan</t>
  </si>
  <si>
    <t>Md. Atiq Islam</t>
  </si>
  <si>
    <t>Md. Haider Ali</t>
  </si>
  <si>
    <t>Md. Murad Rahman</t>
  </si>
  <si>
    <t>Mr. Shanto</t>
  </si>
  <si>
    <t xml:space="preserve">Md. Estiak Ahmed </t>
  </si>
  <si>
    <t>Md. Riaz Hosain</t>
  </si>
  <si>
    <t>Ramu Ghosh</t>
  </si>
  <si>
    <t>Protic Basak</t>
  </si>
  <si>
    <t>Al-amin Hosan Noyon</t>
  </si>
  <si>
    <t>Mithu Kumar Ghosh</t>
  </si>
  <si>
    <t>Bikash Chandra Das</t>
  </si>
  <si>
    <t>Md. Salim Babu</t>
  </si>
  <si>
    <t>Krishno Kumar Ghosh</t>
  </si>
  <si>
    <t>Md. Shafiq Sheikh</t>
  </si>
  <si>
    <t>Md. Younus Ali</t>
  </si>
  <si>
    <t>Md. Moznu Mia</t>
  </si>
  <si>
    <t>Md. Arif Sarker</t>
  </si>
  <si>
    <t>Md.Jahangir Alim</t>
  </si>
  <si>
    <t>Md. Belal Hussain</t>
  </si>
  <si>
    <t>Md. Siam</t>
  </si>
  <si>
    <t>Md. Amanullah Suhel</t>
  </si>
  <si>
    <t>Md. Sahriar</t>
  </si>
  <si>
    <t>Md. Shamsul Islam Nabed</t>
  </si>
  <si>
    <t>Md. Jubayer Ahmed</t>
  </si>
  <si>
    <t>M/s Rassel Enterprise</t>
  </si>
  <si>
    <t>M/S Lotus Telecom</t>
  </si>
  <si>
    <t>Md Naeem Islam</t>
  </si>
  <si>
    <t>Nishat  Telecom</t>
  </si>
  <si>
    <t>Hasan Ali Kahn</t>
  </si>
  <si>
    <t>One Telecom* Jatrabari</t>
  </si>
  <si>
    <t>Rafiul Islam</t>
  </si>
  <si>
    <t xml:space="preserve">S S Enterprise </t>
  </si>
  <si>
    <t>Hirok Mondal</t>
  </si>
  <si>
    <t>Md. Ramjan khan</t>
  </si>
  <si>
    <t>Md. Mijanur Rahman</t>
  </si>
  <si>
    <t>M/S Sujan Telecom</t>
  </si>
  <si>
    <t>MD.Shafique</t>
  </si>
  <si>
    <t>Md. Sahin Alom</t>
  </si>
  <si>
    <t>Md. Jasim Uddin</t>
  </si>
  <si>
    <t>Md. Shawon Ali</t>
  </si>
  <si>
    <t>Md. Akash Ali</t>
  </si>
  <si>
    <t>Md. Samim Reza</t>
  </si>
  <si>
    <t>Md. Foysal</t>
  </si>
  <si>
    <t xml:space="preserve"> Md. Shafiqul Islam </t>
  </si>
  <si>
    <t xml:space="preserve"> Soikot </t>
  </si>
  <si>
    <t>Nodi Nishat Enterprise</t>
  </si>
  <si>
    <t>Pacific Electronics-2</t>
  </si>
  <si>
    <t>Md. Sabbir Hussain Ripon</t>
  </si>
  <si>
    <t>Md. Muzahid Khandaker</t>
  </si>
  <si>
    <t>Md. Al Main</t>
  </si>
  <si>
    <t>Star Tel Distribution-2</t>
  </si>
  <si>
    <t xml:space="preserve">Apurba Das </t>
  </si>
  <si>
    <t>Click Mobile Corner</t>
  </si>
  <si>
    <t>Sl.</t>
  </si>
  <si>
    <t>Channel Partners</t>
  </si>
  <si>
    <t>Shuvo</t>
  </si>
  <si>
    <t>Mr.Ridoy</t>
  </si>
  <si>
    <t>Abul Hasan</t>
  </si>
  <si>
    <t>Raju Barua</t>
  </si>
  <si>
    <t>Rana Mir</t>
  </si>
  <si>
    <t xml:space="preserve"> DSR-0604 </t>
  </si>
  <si>
    <t>Md. Zaker Hossain</t>
  </si>
  <si>
    <t xml:space="preserve"> DSR-0605 </t>
  </si>
  <si>
    <t>Md. Shopon Uddin Zohir</t>
  </si>
  <si>
    <t xml:space="preserve"> DSR-0521 </t>
  </si>
  <si>
    <t>Md. Ashraf Mahmud (Sumon)</t>
  </si>
  <si>
    <t xml:space="preserve"> DSR-0522 </t>
  </si>
  <si>
    <t xml:space="preserve"> DSR-0523 </t>
  </si>
  <si>
    <t xml:space="preserve"> DSR-0198 </t>
  </si>
  <si>
    <t xml:space="preserve"> DSR-0199 </t>
  </si>
  <si>
    <t xml:space="preserve"> DSR-0200 </t>
  </si>
  <si>
    <t>Md. Jahirul Islam</t>
  </si>
  <si>
    <t>Md. Rajib Miah (Remon)</t>
  </si>
  <si>
    <t>Md Saiful</t>
  </si>
  <si>
    <t>feroz</t>
  </si>
  <si>
    <t>Md Jala Uddin</t>
  </si>
  <si>
    <t>Md. Saiful Islam</t>
  </si>
  <si>
    <t>Md. Nahid Hasan Rubel</t>
  </si>
  <si>
    <t>Moin</t>
  </si>
  <si>
    <t>Md. Sujon Mia</t>
  </si>
  <si>
    <t>Md. Shohag Mia</t>
  </si>
  <si>
    <t>Md. Sajib Talukdar</t>
  </si>
  <si>
    <t>Md. Rabbi Ahmed</t>
  </si>
  <si>
    <t>Md. Morshed Mia</t>
  </si>
  <si>
    <t>Md. Monjurul Isalm</t>
  </si>
  <si>
    <t>Md. Sopon Mia</t>
  </si>
  <si>
    <t>Abu Bakkar Siddiq</t>
  </si>
  <si>
    <t>Ali Musa Chowdhury</t>
  </si>
  <si>
    <t>Md. Nasfikur Rahman Babu</t>
  </si>
  <si>
    <t>Saidur Rahman</t>
  </si>
  <si>
    <t>Nobin Hasan</t>
  </si>
  <si>
    <t>Md. Khaled Hossain</t>
  </si>
  <si>
    <t>DSR-0154</t>
  </si>
  <si>
    <t>Tulip-2</t>
  </si>
  <si>
    <t>M/S. Karachi Store</t>
  </si>
  <si>
    <t>Kaium</t>
  </si>
  <si>
    <t>Monir</t>
  </si>
  <si>
    <t>Md. Mamun</t>
  </si>
  <si>
    <t xml:space="preserve">Md. Hasan </t>
  </si>
  <si>
    <t>DSR-0748</t>
  </si>
  <si>
    <t>Md. Shawon</t>
  </si>
  <si>
    <t>Jakir Hossain</t>
  </si>
  <si>
    <t>Md. Hadi Miaje</t>
  </si>
  <si>
    <t>Nur Alam Gazi</t>
  </si>
  <si>
    <t>Morshed Alam</t>
  </si>
  <si>
    <t>Kopil Uddin Saykot</t>
  </si>
  <si>
    <t>Md.Sumon Hossain</t>
  </si>
  <si>
    <t>Md. Morshed Alam</t>
  </si>
  <si>
    <t>Md. Shopon Uddin Johir</t>
  </si>
  <si>
    <t>Tausib Bhuiyan</t>
  </si>
  <si>
    <t>Md.feroz</t>
  </si>
  <si>
    <t>Md. Shiplu Hossain</t>
  </si>
  <si>
    <t>Md. Robiul Islam</t>
  </si>
  <si>
    <t>Md. Saddam Hossen</t>
  </si>
  <si>
    <t>Md. Asif Hossen</t>
  </si>
  <si>
    <t>Md. Ratul Islam</t>
  </si>
  <si>
    <t>Md. Shahinur Rahman</t>
  </si>
  <si>
    <t>Shifa Enterprise</t>
  </si>
  <si>
    <t>Md. Kawsar</t>
  </si>
  <si>
    <t>Shahin</t>
  </si>
  <si>
    <t>Md. Juwel Rana</t>
  </si>
  <si>
    <t>Sohan Ahmed Babul</t>
  </si>
  <si>
    <t>Mr. Sahadat Hossain</t>
  </si>
  <si>
    <t xml:space="preserve">Md Faisal </t>
  </si>
  <si>
    <t>DSR-0387</t>
  </si>
  <si>
    <t>Md. Firoz</t>
  </si>
  <si>
    <t>Abdur Rahman</t>
  </si>
  <si>
    <t>Md Saroar</t>
  </si>
  <si>
    <t>Md. Mehedi Hasan</t>
  </si>
  <si>
    <t>MD. Sujon</t>
  </si>
  <si>
    <t>Md.Monsur Rahman</t>
  </si>
  <si>
    <t>Md.Nipon</t>
  </si>
  <si>
    <t>Mr. Rubel</t>
  </si>
  <si>
    <t>DSR-0564</t>
  </si>
  <si>
    <t>Md. Alamgir Khokon</t>
  </si>
  <si>
    <t>Md. Mahbubur Rahman</t>
  </si>
  <si>
    <t>Md. Sumon</t>
  </si>
  <si>
    <t>Nandan world Link</t>
  </si>
  <si>
    <t>jobayer Ahmed Joy</t>
  </si>
  <si>
    <t>Md. Abdul Mannan Shapon</t>
  </si>
  <si>
    <t>Sheuly</t>
  </si>
  <si>
    <t>Biplob Hossain</t>
  </si>
  <si>
    <t>Porimal Kumar</t>
  </si>
  <si>
    <t>Mr. Salim Iqbal</t>
  </si>
  <si>
    <t>Md.Musa</t>
  </si>
  <si>
    <t>MD. Riad</t>
  </si>
  <si>
    <t xml:space="preserve">Mizanur Rahman Rasel </t>
  </si>
  <si>
    <t>SL</t>
  </si>
  <si>
    <t>Anika Traders</t>
  </si>
  <si>
    <t>Md. Samim Islam</t>
  </si>
  <si>
    <t>Mahabub Hossain</t>
  </si>
  <si>
    <t>Tutul Shaha</t>
  </si>
  <si>
    <t>Parvez</t>
  </si>
  <si>
    <t>Mizan</t>
  </si>
  <si>
    <t>Mugdho Corporation</t>
  </si>
  <si>
    <t>Md. Emu</t>
  </si>
  <si>
    <t>Chan Mia</t>
  </si>
  <si>
    <t>Md. Shamim</t>
  </si>
  <si>
    <t>Md. Tariku Islam</t>
  </si>
  <si>
    <t>Md.Angur Hasan</t>
  </si>
  <si>
    <t>Md.Ripon khan</t>
  </si>
  <si>
    <t>Md.Samiul Islam</t>
  </si>
  <si>
    <t>Md.Azaharul Islam</t>
  </si>
  <si>
    <t>Md.Jahangir Alam</t>
  </si>
  <si>
    <t>MD. Moinul Islam</t>
  </si>
  <si>
    <t>MD. Harun Ur Rashid</t>
  </si>
  <si>
    <t>Md Salah Uddin</t>
  </si>
  <si>
    <t>Md Jalal Uddin</t>
  </si>
  <si>
    <t>Tanjil</t>
  </si>
  <si>
    <t>Md. Hamidur</t>
  </si>
  <si>
    <t>Md. Noyon</t>
  </si>
  <si>
    <t>Md.Sahrear Akhon</t>
  </si>
  <si>
    <t>Sujon Haldar</t>
  </si>
  <si>
    <t>Arubindo</t>
  </si>
  <si>
    <t>Shakib Al Hasan</t>
  </si>
  <si>
    <t>Biddut Hossain</t>
  </si>
  <si>
    <t>Md. Ashikur Rahman</t>
  </si>
  <si>
    <t>M/S. Sky Tel</t>
  </si>
  <si>
    <t>Mr. Shimul</t>
  </si>
  <si>
    <t>Md. Tamim Molla</t>
  </si>
  <si>
    <t>Md. Zahidul Islam</t>
  </si>
  <si>
    <t>DSR-0654</t>
  </si>
  <si>
    <t>Md. Sufian</t>
  </si>
  <si>
    <t>Md. Abdullah</t>
  </si>
  <si>
    <t>Md. Hanif</t>
  </si>
  <si>
    <t>Ridoy Chandra</t>
  </si>
  <si>
    <t>Shazidur Rahman sabuj</t>
  </si>
  <si>
    <t>Md. Shakil</t>
  </si>
  <si>
    <t>Moin Uddin</t>
  </si>
  <si>
    <t>Nizam Haider Chowdhury</t>
  </si>
  <si>
    <t>Md. Sobuj Miah</t>
  </si>
  <si>
    <t>Md. Khokon Mia (Sujon)</t>
  </si>
  <si>
    <t>Rajib Ahmed</t>
  </si>
  <si>
    <t>Md. Halim</t>
  </si>
  <si>
    <t>Fazly Rabbi</t>
  </si>
  <si>
    <t>Md.Sadikul Islam</t>
  </si>
  <si>
    <t>Samresh Das</t>
  </si>
  <si>
    <t>Anamul Haque Sumon</t>
  </si>
  <si>
    <t>Sukhdeb Das</t>
  </si>
  <si>
    <t>Md. Sojib</t>
  </si>
  <si>
    <t>Md. Saidul</t>
  </si>
  <si>
    <t>Md. Asif</t>
  </si>
  <si>
    <t>MD. Yakub (Noyon)</t>
  </si>
  <si>
    <t>Arifur Rahman</t>
  </si>
  <si>
    <t>Md. Selim Hossain</t>
  </si>
  <si>
    <t>Md. Srabon</t>
  </si>
  <si>
    <t>MD.ifter ahad</t>
  </si>
  <si>
    <t>Shipon Sutrodar</t>
  </si>
  <si>
    <t>Zunayed Hasan</t>
  </si>
  <si>
    <t>Md. Faysal Abdin</t>
  </si>
  <si>
    <t>Sadikur Rahman Hridoy</t>
  </si>
  <si>
    <t>DSR-0089</t>
  </si>
  <si>
    <t>Sommrat</t>
  </si>
  <si>
    <t>Shohel</t>
  </si>
  <si>
    <t>Rakib Pathan</t>
  </si>
  <si>
    <t>Md. Israfil Hossain</t>
  </si>
  <si>
    <t>Md. Anamul Haque</t>
  </si>
  <si>
    <t>Md.Bokul mia</t>
  </si>
  <si>
    <t>Md. Amdadul</t>
  </si>
  <si>
    <t>R.K Mobile Center</t>
  </si>
  <si>
    <t>Region/
Cluster</t>
  </si>
  <si>
    <t>Madaripur</t>
  </si>
  <si>
    <t>Kushtia</t>
  </si>
  <si>
    <t>Chandpur</t>
  </si>
  <si>
    <t>Noakhali</t>
  </si>
  <si>
    <t>Cox's Bazar</t>
  </si>
  <si>
    <t>Chattogram</t>
  </si>
  <si>
    <t>Bogura</t>
  </si>
  <si>
    <t>Cumilla</t>
  </si>
  <si>
    <t>EEL</t>
  </si>
  <si>
    <t>M/S. MM Trade Link</t>
  </si>
  <si>
    <t>Dealer
Zone</t>
  </si>
  <si>
    <t>Md. Masud rana</t>
  </si>
  <si>
    <t>Md. Ashraful</t>
  </si>
  <si>
    <t>DSR-0099</t>
  </si>
  <si>
    <t>Forhad Hossain</t>
  </si>
  <si>
    <t>Md. Refat</t>
  </si>
  <si>
    <t>Md. Dilwar Hussain</t>
  </si>
  <si>
    <t>Md. Nasim Sahana (Pappu)</t>
  </si>
  <si>
    <t>Md. Shanto</t>
  </si>
  <si>
    <t>Md. Saiful Haque Shifat</t>
  </si>
  <si>
    <t>Md. Imam</t>
  </si>
  <si>
    <t xml:space="preserve">Md.Sujon Mollah </t>
  </si>
  <si>
    <t>Subodh Biswas</t>
  </si>
  <si>
    <t>Md. Tahmid</t>
  </si>
  <si>
    <t>Shuvo Basu</t>
  </si>
  <si>
    <t>Md. Raisul Islam</t>
  </si>
  <si>
    <t>SK. Momtazul Islam</t>
  </si>
  <si>
    <t>Nayon Hossain</t>
  </si>
  <si>
    <t>Abu Jafar</t>
  </si>
  <si>
    <t>Hasnain Ahmed</t>
  </si>
  <si>
    <t>Md. Shumon</t>
  </si>
  <si>
    <t>Mr. Shonjib</t>
  </si>
  <si>
    <t>Mr. Partho</t>
  </si>
  <si>
    <t>Md. Likhon</t>
  </si>
  <si>
    <t>Delowar</t>
  </si>
  <si>
    <t>Md.Shahriar</t>
  </si>
  <si>
    <t>Days</t>
  </si>
  <si>
    <t>SL No.</t>
  </si>
  <si>
    <t>Dealer 
Zone</t>
  </si>
  <si>
    <t>JAN'20</t>
  </si>
  <si>
    <t>FEB'20</t>
  </si>
  <si>
    <t>MAR'20</t>
  </si>
  <si>
    <t>Q1-2020</t>
  </si>
  <si>
    <t>Per Day</t>
  </si>
  <si>
    <t>Target</t>
  </si>
  <si>
    <t>%</t>
  </si>
  <si>
    <t>Score 
90%</t>
  </si>
  <si>
    <t>Q1
Target</t>
  </si>
  <si>
    <t>Q1
Achievement</t>
  </si>
  <si>
    <t>Q1%</t>
  </si>
  <si>
    <t>Remaining</t>
  </si>
  <si>
    <t>Q1 Achivment'20</t>
  </si>
  <si>
    <t>M/S. Alif Telecom</t>
  </si>
  <si>
    <t>Faridpur</t>
  </si>
  <si>
    <t>Patuakhali</t>
  </si>
  <si>
    <t>Rangamati</t>
  </si>
  <si>
    <t>Mirpur</t>
  </si>
  <si>
    <t>Uttara</t>
  </si>
  <si>
    <t>Gulshan</t>
  </si>
  <si>
    <t>Munshigonj</t>
  </si>
  <si>
    <t>Shantinagar</t>
  </si>
  <si>
    <t>Narshingdi</t>
  </si>
  <si>
    <t>Paltan</t>
  </si>
  <si>
    <t>JASHORE</t>
  </si>
  <si>
    <t>JHENAIDAH</t>
  </si>
  <si>
    <t>Bagerhat</t>
  </si>
  <si>
    <t>Shatkhira</t>
  </si>
  <si>
    <t>Tangail</t>
  </si>
  <si>
    <t>Naogaon</t>
  </si>
  <si>
    <t>Gaibandha</t>
  </si>
  <si>
    <t>Thakurgaon</t>
  </si>
  <si>
    <t>Lalmonirhat</t>
  </si>
  <si>
    <t>B.Bari</t>
  </si>
  <si>
    <t>Kafai</t>
  </si>
  <si>
    <t>MD. Alom</t>
  </si>
  <si>
    <t>MD. Tarek</t>
  </si>
  <si>
    <t>Md.Farid</t>
  </si>
  <si>
    <t>Md. Uzzal Hossain</t>
  </si>
  <si>
    <t xml:space="preserve"> Md. Roni Ali</t>
  </si>
  <si>
    <t>Md. Arif Islam</t>
  </si>
  <si>
    <t>Md.Riyad Hossain</t>
  </si>
  <si>
    <t>Shadhin</t>
  </si>
  <si>
    <t>MM Communnication</t>
  </si>
  <si>
    <t>Md. Alamin Mia</t>
  </si>
  <si>
    <t>One Telecom*Narayanganj</t>
  </si>
  <si>
    <t>Md. Rasheduzzaman Milon</t>
  </si>
  <si>
    <t>Md. Abdul Alim</t>
  </si>
  <si>
    <t>Md. Azizul Bari Separ</t>
  </si>
  <si>
    <t>Md. Zisan</t>
  </si>
  <si>
    <t>Md. Atikur Rahman</t>
  </si>
  <si>
    <t>Md. Mosaibur Rahman</t>
  </si>
  <si>
    <t>Md. Sajedur Rahman</t>
  </si>
  <si>
    <t>Md. Karimul Islam</t>
  </si>
  <si>
    <t>Md. Samsuzzaman Talha</t>
  </si>
  <si>
    <t>Imran Nazir</t>
  </si>
  <si>
    <t>Pappu Kumer Roy Biddut</t>
  </si>
  <si>
    <t>Bandhan Chandro Roy Bappy</t>
  </si>
  <si>
    <t>Kamrul</t>
  </si>
  <si>
    <t>Rubel Hossain</t>
  </si>
  <si>
    <t>Md. Anower Hosen</t>
  </si>
  <si>
    <t>Daliem Bhuiyan</t>
  </si>
  <si>
    <t>April &amp; May'20</t>
  </si>
  <si>
    <t>JUNE'20</t>
  </si>
  <si>
    <t>Zone</t>
  </si>
  <si>
    <t>Q Achivment'20</t>
  </si>
  <si>
    <t>JULY'20 Back Margin
Dealer Wise Value Achievement Status</t>
  </si>
  <si>
    <t>Target 
JULY 2020</t>
  </si>
  <si>
    <t>Achievement 
JULY 2020</t>
  </si>
  <si>
    <t>JULY'20 Back Margin
Region Wise Value Achievement Status</t>
  </si>
  <si>
    <t>Target JULY 2020</t>
  </si>
  <si>
    <t>Achievement
 JULY 2020</t>
  </si>
  <si>
    <t>Achievement %
JULY 2020</t>
  </si>
  <si>
    <t>JULY'20 Back Margin
Zone Wise Value Achievement Status</t>
  </si>
  <si>
    <t>JULY Target</t>
  </si>
  <si>
    <t>JULY Achievement</t>
  </si>
  <si>
    <t>WORKING DAY</t>
  </si>
  <si>
    <t>Rest WD</t>
  </si>
  <si>
    <t>DAYS RUNNING</t>
  </si>
  <si>
    <t xml:space="preserve">R.K Mobile Center </t>
  </si>
  <si>
    <t>Md Al Amin</t>
  </si>
  <si>
    <t>Md Shohel Rana</t>
  </si>
  <si>
    <t>Md. Delowar</t>
  </si>
  <si>
    <t>DSR-0581</t>
  </si>
  <si>
    <t>Md.Sadad hossain</t>
  </si>
  <si>
    <t>Ratul</t>
  </si>
  <si>
    <t>Md. Kamal Hossain</t>
  </si>
  <si>
    <t>Rabbi</t>
  </si>
  <si>
    <t>One Telecom(Ctg Road)</t>
  </si>
  <si>
    <t xml:space="preserve">Md. Sharfin Ahmed </t>
  </si>
  <si>
    <t>Md. Rafiul Islam</t>
  </si>
  <si>
    <t>Md. Humayun Kabir</t>
  </si>
  <si>
    <t>Md.Kabir Hossain</t>
  </si>
  <si>
    <t>Md Sajib</t>
  </si>
  <si>
    <t>Mr. Babu</t>
  </si>
  <si>
    <t>Md. Shibly Ahmed</t>
  </si>
  <si>
    <t>Md. Azim Hossain</t>
  </si>
  <si>
    <t>Md. Juwel Hossain</t>
  </si>
  <si>
    <t>Md. Reaz Mahmud</t>
  </si>
  <si>
    <t>Md. Ashik Islam</t>
  </si>
  <si>
    <t>Md. Insan Ali</t>
  </si>
  <si>
    <t>Barishal</t>
  </si>
  <si>
    <t>Mawna</t>
  </si>
  <si>
    <t>Kishoreganj</t>
  </si>
  <si>
    <t>Munshiganj</t>
  </si>
  <si>
    <t>Ctg. Road</t>
  </si>
  <si>
    <t>Narsingdi</t>
  </si>
  <si>
    <t>Narayanganj</t>
  </si>
  <si>
    <t>Jashore</t>
  </si>
  <si>
    <t>Jhenaidah</t>
  </si>
  <si>
    <t>Satkhira</t>
  </si>
  <si>
    <t>Hobiganj</t>
  </si>
  <si>
    <t>Edison Electronics Limited</t>
  </si>
  <si>
    <t xml:space="preserve">Up to 29.07.2020 </t>
  </si>
  <si>
    <t xml:space="preserve">DSR wise Back Margin  till 28 JULY'20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</si>
</sst>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0"/>
      <name val="Bahnschrift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b/>
      <sz val="12"/>
      <color theme="1"/>
      <name val="Bahnschrift"/>
      <family val="2"/>
    </font>
    <font>
      <b/>
      <sz val="11"/>
      <color theme="0"/>
      <name val="Bahnschrift"/>
      <family val="2"/>
    </font>
    <font>
      <b/>
      <sz val="11"/>
      <color rgb="FFFFFF00"/>
      <name val="Bahnschrift"/>
      <family val="2"/>
    </font>
    <font>
      <sz val="11"/>
      <color theme="0"/>
      <name val="Bahnschrift"/>
      <family val="2"/>
    </font>
    <font>
      <sz val="11"/>
      <name val="Bahnschrift"/>
      <family val="2"/>
    </font>
    <font>
      <b/>
      <sz val="11"/>
      <color rgb="FF66FF33"/>
      <name val="Bahnschrift"/>
      <family val="2"/>
    </font>
    <font>
      <b/>
      <sz val="8"/>
      <color theme="0"/>
      <name val="Bahnschrift"/>
      <family val="2"/>
    </font>
    <font>
      <b/>
      <sz val="11"/>
      <color theme="1"/>
      <name val="Calibri Light"/>
      <family val="2"/>
      <scheme val="major"/>
    </font>
    <font>
      <sz val="10"/>
      <color theme="1"/>
      <name val="Bahnschrift"/>
      <family val="2"/>
    </font>
    <font>
      <sz val="10"/>
      <color rgb="FF000000"/>
      <name val="Bahnschrift"/>
      <family val="2"/>
    </font>
    <font>
      <sz val="10"/>
      <color indexed="8"/>
      <name val="Bahnschrift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50EA3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1" applyNumberFormat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1" fontId="0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49" fontId="0" fillId="0" borderId="9" xfId="0" applyNumberFormat="1" applyFont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49" fontId="0" fillId="0" borderId="1" xfId="1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 vertical="center"/>
    </xf>
    <xf numFmtId="49" fontId="0" fillId="0" borderId="1" xfId="1" applyNumberFormat="1" applyFont="1" applyFill="1" applyBorder="1" applyAlignment="1">
      <alignment horizontal="left" vertical="center"/>
    </xf>
    <xf numFmtId="49" fontId="1" fillId="0" borderId="1" xfId="1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49" fontId="1" fillId="4" borderId="1" xfId="1" applyNumberFormat="1" applyFont="1" applyFill="1" applyBorder="1" applyAlignment="1">
      <alignment horizontal="left" vertical="center"/>
    </xf>
    <xf numFmtId="49" fontId="0" fillId="4" borderId="1" xfId="1" applyNumberFormat="1" applyFont="1" applyFill="1" applyBorder="1" applyAlignment="1">
      <alignment horizontal="left" vertical="center"/>
    </xf>
    <xf numFmtId="49" fontId="1" fillId="0" borderId="1" xfId="1" applyNumberFormat="1" applyFont="1" applyBorder="1" applyAlignment="1">
      <alignment horizontal="left" vertical="center"/>
    </xf>
    <xf numFmtId="49" fontId="1" fillId="0" borderId="1" xfId="1" applyNumberFormat="1" applyFont="1" applyBorder="1" applyAlignment="1">
      <alignment horizontal="left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0" fillId="4" borderId="1" xfId="0" applyFont="1" applyFill="1" applyBorder="1" applyAlignment="1">
      <alignment horizontal="left" vertical="center"/>
    </xf>
    <xf numFmtId="0" fontId="0" fillId="4" borderId="27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left"/>
    </xf>
    <xf numFmtId="0" fontId="0" fillId="4" borderId="1" xfId="1" applyNumberFormat="1" applyFont="1" applyFill="1" applyBorder="1" applyAlignment="1">
      <alignment horizontal="left" vertical="center"/>
    </xf>
    <xf numFmtId="0" fontId="0" fillId="0" borderId="9" xfId="0" applyBorder="1" applyAlignment="1"/>
    <xf numFmtId="0" fontId="0" fillId="4" borderId="9" xfId="0" applyFont="1" applyFill="1" applyBorder="1" applyAlignment="1"/>
    <xf numFmtId="0" fontId="0" fillId="0" borderId="1" xfId="0" applyBorder="1" applyAlignment="1"/>
    <xf numFmtId="0" fontId="0" fillId="4" borderId="1" xfId="0" applyFont="1" applyFill="1" applyBorder="1" applyAlignment="1"/>
    <xf numFmtId="0" fontId="0" fillId="0" borderId="5" xfId="0" applyBorder="1" applyAlignment="1"/>
    <xf numFmtId="0" fontId="0" fillId="4" borderId="5" xfId="0" applyFont="1" applyFill="1" applyBorder="1" applyAlignment="1"/>
    <xf numFmtId="0" fontId="4" fillId="0" borderId="28" xfId="0" applyFont="1" applyBorder="1" applyAlignment="1"/>
    <xf numFmtId="0" fontId="4" fillId="0" borderId="9" xfId="0" applyFont="1" applyBorder="1" applyAlignment="1"/>
    <xf numFmtId="0" fontId="4" fillId="0" borderId="27" xfId="0" applyFont="1" applyBorder="1" applyAlignment="1"/>
    <xf numFmtId="0" fontId="4" fillId="0" borderId="1" xfId="0" applyFont="1" applyBorder="1" applyAlignment="1"/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13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wrapText="1"/>
    </xf>
    <xf numFmtId="0" fontId="6" fillId="0" borderId="5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164" fontId="0" fillId="4" borderId="27" xfId="1" applyNumberFormat="1" applyFont="1" applyFill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4" borderId="27" xfId="0" applyNumberFormat="1" applyFont="1" applyFill="1" applyBorder="1" applyAlignment="1">
      <alignment horizontal="center" vertical="center"/>
    </xf>
    <xf numFmtId="1" fontId="0" fillId="0" borderId="27" xfId="0" applyNumberFormat="1" applyFont="1" applyBorder="1" applyAlignment="1">
      <alignment horizontal="center" vertical="center"/>
    </xf>
    <xf numFmtId="0" fontId="6" fillId="0" borderId="5" xfId="0" applyFont="1" applyBorder="1"/>
    <xf numFmtId="0" fontId="0" fillId="0" borderId="5" xfId="0" applyBorder="1" applyAlignment="1">
      <alignment horizontal="center" vertical="center"/>
    </xf>
    <xf numFmtId="1" fontId="0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left"/>
    </xf>
    <xf numFmtId="0" fontId="12" fillId="0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0" fontId="16" fillId="0" borderId="1" xfId="0" applyFont="1" applyBorder="1"/>
    <xf numFmtId="0" fontId="17" fillId="0" borderId="8" xfId="0" applyFont="1" applyFill="1" applyBorder="1" applyAlignment="1">
      <alignment vertical="center" wrapText="1"/>
    </xf>
    <xf numFmtId="0" fontId="17" fillId="0" borderId="10" xfId="0" applyFont="1" applyFill="1" applyBorder="1" applyAlignment="1">
      <alignment vertical="center" wrapText="1"/>
    </xf>
    <xf numFmtId="0" fontId="17" fillId="4" borderId="10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vertical="center" wrapText="1"/>
    </xf>
    <xf numFmtId="0" fontId="18" fillId="0" borderId="0" xfId="0" applyFont="1"/>
    <xf numFmtId="0" fontId="17" fillId="2" borderId="3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8" fontId="20" fillId="3" borderId="11" xfId="0" applyNumberFormat="1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8" fillId="4" borderId="9" xfId="0" applyFont="1" applyFill="1" applyBorder="1"/>
    <xf numFmtId="0" fontId="18" fillId="0" borderId="9" xfId="0" applyFont="1" applyBorder="1"/>
    <xf numFmtId="164" fontId="22" fillId="3" borderId="32" xfId="1" applyNumberFormat="1" applyFont="1" applyFill="1" applyBorder="1" applyAlignment="1">
      <alignment horizontal="center" vertical="center"/>
    </xf>
    <xf numFmtId="164" fontId="18" fillId="4" borderId="9" xfId="1" applyNumberFormat="1" applyFont="1" applyFill="1" applyBorder="1" applyAlignment="1">
      <alignment horizontal="center" vertical="center"/>
    </xf>
    <xf numFmtId="9" fontId="18" fillId="4" borderId="9" xfId="2" applyNumberFormat="1" applyFont="1" applyFill="1" applyBorder="1" applyAlignment="1">
      <alignment horizontal="center" vertical="center"/>
    </xf>
    <xf numFmtId="43" fontId="18" fillId="4" borderId="9" xfId="1" applyNumberFormat="1" applyFont="1" applyFill="1" applyBorder="1" applyAlignment="1">
      <alignment horizontal="center" vertical="center"/>
    </xf>
    <xf numFmtId="164" fontId="18" fillId="4" borderId="9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164" fontId="18" fillId="4" borderId="1" xfId="1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/>
    <xf numFmtId="0" fontId="18" fillId="0" borderId="33" xfId="0" applyFont="1" applyBorder="1"/>
    <xf numFmtId="0" fontId="23" fillId="4" borderId="1" xfId="0" applyFont="1" applyFill="1" applyBorder="1"/>
    <xf numFmtId="0" fontId="18" fillId="5" borderId="9" xfId="0" applyFont="1" applyFill="1" applyBorder="1" applyAlignment="1">
      <alignment horizontal="center"/>
    </xf>
    <xf numFmtId="0" fontId="18" fillId="5" borderId="0" xfId="0" applyFont="1" applyFill="1"/>
    <xf numFmtId="164" fontId="18" fillId="5" borderId="9" xfId="1" applyNumberFormat="1" applyFont="1" applyFill="1" applyBorder="1" applyAlignment="1">
      <alignment horizontal="center" vertical="center"/>
    </xf>
    <xf numFmtId="164" fontId="18" fillId="5" borderId="1" xfId="1" applyNumberFormat="1" applyFont="1" applyFill="1" applyBorder="1" applyAlignment="1">
      <alignment horizontal="center" vertical="center"/>
    </xf>
    <xf numFmtId="43" fontId="18" fillId="5" borderId="9" xfId="1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/>
    </xf>
    <xf numFmtId="0" fontId="18" fillId="4" borderId="0" xfId="0" applyFont="1" applyFill="1"/>
    <xf numFmtId="0" fontId="18" fillId="7" borderId="1" xfId="0" applyFont="1" applyFill="1" applyBorder="1"/>
    <xf numFmtId="0" fontId="23" fillId="8" borderId="1" xfId="0" applyFont="1" applyFill="1" applyBorder="1"/>
    <xf numFmtId="165" fontId="18" fillId="4" borderId="9" xfId="2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164" fontId="18" fillId="4" borderId="1" xfId="1" applyNumberFormat="1" applyFont="1" applyFill="1" applyBorder="1" applyAlignment="1">
      <alignment horizontal="left" vertical="center"/>
    </xf>
    <xf numFmtId="164" fontId="20" fillId="3" borderId="13" xfId="1" applyNumberFormat="1" applyFont="1" applyFill="1" applyBorder="1"/>
    <xf numFmtId="164" fontId="20" fillId="3" borderId="13" xfId="0" applyNumberFormat="1" applyFont="1" applyFill="1" applyBorder="1"/>
    <xf numFmtId="164" fontId="20" fillId="3" borderId="14" xfId="1" applyNumberFormat="1" applyFont="1" applyFill="1" applyBorder="1"/>
    <xf numFmtId="0" fontId="17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/>
    <xf numFmtId="164" fontId="18" fillId="0" borderId="0" xfId="1" applyNumberFormat="1" applyFont="1"/>
    <xf numFmtId="0" fontId="17" fillId="0" borderId="4" xfId="0" applyFont="1" applyBorder="1" applyAlignment="1">
      <alignment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10" fontId="18" fillId="4" borderId="1" xfId="2" applyNumberFormat="1" applyFont="1" applyFill="1" applyBorder="1" applyAlignment="1">
      <alignment horizontal="center" vertical="center"/>
    </xf>
    <xf numFmtId="43" fontId="18" fillId="4" borderId="1" xfId="1" applyNumberFormat="1" applyFont="1" applyFill="1" applyBorder="1" applyAlignment="1">
      <alignment horizontal="center" vertical="center"/>
    </xf>
    <xf numFmtId="0" fontId="20" fillId="3" borderId="12" xfId="0" applyFont="1" applyFill="1" applyBorder="1"/>
    <xf numFmtId="164" fontId="20" fillId="3" borderId="13" xfId="0" applyNumberFormat="1" applyFont="1" applyFill="1" applyBorder="1" applyAlignment="1">
      <alignment horizontal="center" vertical="center"/>
    </xf>
    <xf numFmtId="10" fontId="20" fillId="3" borderId="13" xfId="2" applyNumberFormat="1" applyFont="1" applyFill="1" applyBorder="1" applyAlignment="1">
      <alignment horizontal="center" vertical="center"/>
    </xf>
    <xf numFmtId="164" fontId="20" fillId="3" borderId="13" xfId="2" applyNumberFormat="1" applyFont="1" applyFill="1" applyBorder="1" applyAlignment="1">
      <alignment horizontal="center" vertical="center"/>
    </xf>
    <xf numFmtId="164" fontId="20" fillId="3" borderId="14" xfId="1" applyNumberFormat="1" applyFont="1" applyFill="1" applyBorder="1" applyAlignment="1">
      <alignment horizontal="center" vertical="center"/>
    </xf>
    <xf numFmtId="43" fontId="18" fillId="0" borderId="0" xfId="0" applyNumberFormat="1" applyFont="1"/>
    <xf numFmtId="0" fontId="17" fillId="0" borderId="0" xfId="0" applyFont="1" applyBorder="1" applyAlignment="1">
      <alignment vertical="center" wrapText="1"/>
    </xf>
    <xf numFmtId="0" fontId="20" fillId="3" borderId="3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18" fillId="4" borderId="1" xfId="1" applyNumberFormat="1" applyFont="1" applyFill="1" applyBorder="1"/>
    <xf numFmtId="10" fontId="18" fillId="4" borderId="1" xfId="2" applyNumberFormat="1" applyFont="1" applyFill="1" applyBorder="1"/>
    <xf numFmtId="1" fontId="18" fillId="4" borderId="1" xfId="2" applyNumberFormat="1" applyFont="1" applyFill="1" applyBorder="1"/>
    <xf numFmtId="43" fontId="18" fillId="4" borderId="1" xfId="1" applyNumberFormat="1" applyFont="1" applyFill="1" applyBorder="1"/>
    <xf numFmtId="164" fontId="20" fillId="3" borderId="15" xfId="0" applyNumberFormat="1" applyFont="1" applyFill="1" applyBorder="1"/>
    <xf numFmtId="10" fontId="20" fillId="3" borderId="15" xfId="2" applyNumberFormat="1" applyFont="1" applyFill="1" applyBorder="1"/>
    <xf numFmtId="0" fontId="20" fillId="3" borderId="25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10" fontId="18" fillId="0" borderId="1" xfId="2" applyNumberFormat="1" applyFont="1" applyFill="1" applyBorder="1" applyAlignment="1">
      <alignment horizontal="center" vertical="center"/>
    </xf>
    <xf numFmtId="10" fontId="18" fillId="0" borderId="1" xfId="0" applyNumberFormat="1" applyFont="1" applyFill="1" applyBorder="1" applyAlignment="1">
      <alignment horizontal="center" vertical="center"/>
    </xf>
    <xf numFmtId="10" fontId="18" fillId="0" borderId="0" xfId="0" applyNumberFormat="1" applyFont="1"/>
    <xf numFmtId="10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4" borderId="0" xfId="0" applyFont="1" applyFill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/>
    <xf numFmtId="0" fontId="17" fillId="10" borderId="1" xfId="0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/>
    </xf>
    <xf numFmtId="0" fontId="23" fillId="0" borderId="1" xfId="0" applyFont="1" applyBorder="1"/>
    <xf numFmtId="164" fontId="18" fillId="0" borderId="1" xfId="1" applyNumberFormat="1" applyFont="1" applyBorder="1" applyAlignment="1">
      <alignment horizontal="center" vertical="center"/>
    </xf>
    <xf numFmtId="164" fontId="18" fillId="0" borderId="1" xfId="2" applyNumberFormat="1" applyFont="1" applyFill="1" applyBorder="1"/>
    <xf numFmtId="1" fontId="18" fillId="0" borderId="1" xfId="0" applyNumberFormat="1" applyFont="1" applyFill="1" applyBorder="1"/>
    <xf numFmtId="0" fontId="23" fillId="10" borderId="1" xfId="0" applyFont="1" applyFill="1" applyBorder="1"/>
    <xf numFmtId="0" fontId="0" fillId="10" borderId="1" xfId="0" applyFont="1" applyFill="1" applyBorder="1"/>
    <xf numFmtId="0" fontId="26" fillId="0" borderId="1" xfId="0" applyFont="1" applyBorder="1"/>
    <xf numFmtId="0" fontId="22" fillId="3" borderId="12" xfId="0" applyFont="1" applyFill="1" applyBorder="1" applyAlignment="1">
      <alignment horizontal="center"/>
    </xf>
    <xf numFmtId="0" fontId="22" fillId="3" borderId="13" xfId="0" applyFont="1" applyFill="1" applyBorder="1"/>
    <xf numFmtId="0" fontId="22" fillId="3" borderId="13" xfId="0" applyFont="1" applyFill="1" applyBorder="1" applyAlignment="1">
      <alignment horizontal="center" vertical="center"/>
    </xf>
    <xf numFmtId="164" fontId="22" fillId="3" borderId="13" xfId="0" applyNumberFormat="1" applyFont="1" applyFill="1" applyBorder="1"/>
    <xf numFmtId="0" fontId="22" fillId="3" borderId="14" xfId="0" applyFont="1" applyFill="1" applyBorder="1"/>
    <xf numFmtId="0" fontId="0" fillId="5" borderId="1" xfId="0" applyFill="1" applyBorder="1" applyAlignment="1">
      <alignment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5" borderId="1" xfId="0" applyFont="1" applyFill="1" applyBorder="1"/>
    <xf numFmtId="0" fontId="18" fillId="0" borderId="0" xfId="0" applyFont="1" applyBorder="1"/>
    <xf numFmtId="0" fontId="18" fillId="4" borderId="1" xfId="0" applyFont="1" applyFill="1" applyBorder="1" applyAlignment="1">
      <alignment horizontal="left"/>
    </xf>
    <xf numFmtId="164" fontId="27" fillId="4" borderId="1" xfId="13" applyNumberFormat="1" applyFont="1" applyFill="1" applyBorder="1" applyAlignment="1">
      <alignment horizontal="center" vertical="center"/>
    </xf>
    <xf numFmtId="164" fontId="27" fillId="4" borderId="1" xfId="10" applyNumberFormat="1" applyFont="1" applyFill="1" applyBorder="1" applyAlignment="1">
      <alignment horizontal="center"/>
    </xf>
    <xf numFmtId="164" fontId="27" fillId="4" borderId="1" xfId="1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164" fontId="27" fillId="0" borderId="1" xfId="1" applyNumberFormat="1" applyFont="1" applyBorder="1"/>
    <xf numFmtId="0" fontId="27" fillId="4" borderId="1" xfId="9" applyNumberFormat="1" applyFont="1" applyFill="1" applyBorder="1" applyAlignment="1">
      <alignment horizontal="left" vertical="center"/>
    </xf>
    <xf numFmtId="0" fontId="27" fillId="4" borderId="1" xfId="6" applyNumberFormat="1" applyFont="1" applyFill="1" applyBorder="1" applyAlignment="1">
      <alignment horizontal="left" vertical="center"/>
    </xf>
    <xf numFmtId="0" fontId="27" fillId="4" borderId="1" xfId="13" applyNumberFormat="1" applyFont="1" applyFill="1" applyBorder="1" applyAlignment="1">
      <alignment horizontal="left" vertical="center"/>
    </xf>
    <xf numFmtId="164" fontId="27" fillId="13" borderId="1" xfId="1" applyNumberFormat="1" applyFont="1" applyFill="1" applyBorder="1"/>
    <xf numFmtId="0" fontId="20" fillId="3" borderId="25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23" fillId="5" borderId="1" xfId="0" applyFont="1" applyFill="1" applyBorder="1"/>
    <xf numFmtId="0" fontId="18" fillId="2" borderId="1" xfId="2" applyNumberFormat="1" applyFont="1" applyFill="1" applyBorder="1" applyAlignment="1">
      <alignment horizontal="center" vertical="center"/>
    </xf>
    <xf numFmtId="164" fontId="18" fillId="11" borderId="1" xfId="1" applyNumberFormat="1" applyFont="1" applyFill="1" applyBorder="1" applyAlignment="1">
      <alignment horizontal="left" vertical="center"/>
    </xf>
    <xf numFmtId="10" fontId="18" fillId="11" borderId="1" xfId="2" applyNumberFormat="1" applyFont="1" applyFill="1" applyBorder="1" applyAlignment="1">
      <alignment horizontal="left" vertical="center"/>
    </xf>
    <xf numFmtId="164" fontId="18" fillId="12" borderId="1" xfId="1" applyNumberFormat="1" applyFont="1" applyFill="1" applyBorder="1" applyAlignment="1">
      <alignment horizontal="left" vertical="center"/>
    </xf>
    <xf numFmtId="10" fontId="18" fillId="12" borderId="1" xfId="2" applyNumberFormat="1" applyFont="1" applyFill="1" applyBorder="1" applyAlignment="1">
      <alignment horizontal="left" vertical="center"/>
    </xf>
    <xf numFmtId="164" fontId="18" fillId="10" borderId="1" xfId="1" applyNumberFormat="1" applyFont="1" applyFill="1" applyBorder="1" applyAlignment="1">
      <alignment horizontal="left" vertical="center"/>
    </xf>
    <xf numFmtId="10" fontId="18" fillId="10" borderId="1" xfId="2" applyNumberFormat="1" applyFont="1" applyFill="1" applyBorder="1" applyAlignment="1">
      <alignment horizontal="left" vertical="center"/>
    </xf>
    <xf numFmtId="0" fontId="18" fillId="2" borderId="1" xfId="2" applyNumberFormat="1" applyFont="1" applyFill="1" applyBorder="1" applyAlignment="1">
      <alignment horizontal="left" vertical="center"/>
    </xf>
    <xf numFmtId="10" fontId="18" fillId="15" borderId="1" xfId="2" applyNumberFormat="1" applyFont="1" applyFill="1" applyBorder="1" applyAlignment="1">
      <alignment horizontal="left" vertical="center"/>
    </xf>
    <xf numFmtId="0" fontId="20" fillId="3" borderId="25" xfId="0" applyNumberFormat="1" applyFont="1" applyFill="1" applyBorder="1" applyAlignment="1">
      <alignment horizontal="center" vertical="center"/>
    </xf>
    <xf numFmtId="0" fontId="18" fillId="8" borderId="1" xfId="2" applyNumberFormat="1" applyFont="1" applyFill="1" applyBorder="1" applyAlignment="1">
      <alignment horizontal="center" vertical="center"/>
    </xf>
    <xf numFmtId="10" fontId="18" fillId="8" borderId="1" xfId="2" applyNumberFormat="1" applyFont="1" applyFill="1" applyBorder="1" applyAlignment="1">
      <alignment horizontal="left" vertical="center"/>
    </xf>
    <xf numFmtId="10" fontId="20" fillId="3" borderId="13" xfId="2" applyNumberFormat="1" applyFont="1" applyFill="1" applyBorder="1"/>
    <xf numFmtId="0" fontId="17" fillId="15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6" fillId="0" borderId="6" xfId="6" applyFont="1" applyBorder="1" applyAlignment="1">
      <alignment horizontal="left" vertical="center"/>
    </xf>
    <xf numFmtId="0" fontId="16" fillId="0" borderId="1" xfId="6" applyFont="1" applyBorder="1" applyAlignment="1">
      <alignment horizontal="left" vertical="center"/>
    </xf>
    <xf numFmtId="0" fontId="27" fillId="4" borderId="1" xfId="6" applyFont="1" applyFill="1" applyBorder="1" applyAlignment="1">
      <alignment horizontal="left" vertical="center"/>
    </xf>
    <xf numFmtId="0" fontId="16" fillId="11" borderId="1" xfId="9" applyFont="1" applyFill="1" applyBorder="1" applyAlignment="1">
      <alignment horizontal="left" vertical="center"/>
    </xf>
    <xf numFmtId="0" fontId="16" fillId="4" borderId="1" xfId="6" applyFont="1" applyFill="1" applyBorder="1" applyAlignment="1">
      <alignment horizontal="left" vertical="center"/>
    </xf>
    <xf numFmtId="0" fontId="16" fillId="0" borderId="1" xfId="9" applyFont="1" applyBorder="1" applyAlignment="1">
      <alignment horizontal="left" vertical="center"/>
    </xf>
    <xf numFmtId="164" fontId="16" fillId="0" borderId="1" xfId="10" applyNumberFormat="1" applyFont="1" applyBorder="1" applyAlignment="1">
      <alignment horizontal="left" vertical="center"/>
    </xf>
    <xf numFmtId="0" fontId="16" fillId="4" borderId="27" xfId="6" applyFont="1" applyFill="1" applyBorder="1" applyAlignment="1">
      <alignment horizontal="left" vertical="center"/>
    </xf>
    <xf numFmtId="0" fontId="16" fillId="4" borderId="1" xfId="9" applyFont="1" applyFill="1" applyBorder="1" applyAlignment="1">
      <alignment horizontal="left" vertical="center"/>
    </xf>
    <xf numFmtId="49" fontId="16" fillId="4" borderId="27" xfId="6" applyNumberFormat="1" applyFont="1" applyFill="1" applyBorder="1" applyAlignment="1">
      <alignment horizontal="left" vertical="center"/>
    </xf>
    <xf numFmtId="0" fontId="27" fillId="0" borderId="27" xfId="9" applyFont="1" applyFill="1" applyBorder="1" applyAlignment="1">
      <alignment horizontal="left" vertical="center"/>
    </xf>
    <xf numFmtId="49" fontId="16" fillId="4" borderId="1" xfId="6" applyNumberFormat="1" applyFont="1" applyFill="1" applyBorder="1" applyAlignment="1">
      <alignment horizontal="left" vertical="center"/>
    </xf>
    <xf numFmtId="0" fontId="28" fillId="0" borderId="1" xfId="9" applyFont="1" applyFill="1" applyBorder="1" applyAlignment="1">
      <alignment horizontal="left" vertical="center"/>
    </xf>
    <xf numFmtId="0" fontId="27" fillId="0" borderId="1" xfId="9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/>
    </xf>
    <xf numFmtId="0" fontId="16" fillId="0" borderId="27" xfId="9" applyFont="1" applyBorder="1" applyAlignment="1">
      <alignment horizontal="left" vertical="center"/>
    </xf>
    <xf numFmtId="0" fontId="16" fillId="0" borderId="29" xfId="9" applyFont="1" applyBorder="1" applyAlignment="1">
      <alignment horizontal="left" vertical="center"/>
    </xf>
    <xf numFmtId="0" fontId="28" fillId="4" borderId="5" xfId="0" applyFont="1" applyFill="1" applyBorder="1" applyAlignment="1">
      <alignment horizontal="left" vertical="center"/>
    </xf>
    <xf numFmtId="0" fontId="27" fillId="0" borderId="1" xfId="6" applyFont="1" applyBorder="1" applyAlignment="1">
      <alignment horizontal="left" vertical="center"/>
    </xf>
    <xf numFmtId="0" fontId="27" fillId="4" borderId="27" xfId="6" applyFont="1" applyFill="1" applyBorder="1" applyAlignment="1">
      <alignment horizontal="left" vertical="center"/>
    </xf>
    <xf numFmtId="0" fontId="27" fillId="4" borderId="6" xfId="6" applyFont="1" applyFill="1" applyBorder="1" applyAlignment="1">
      <alignment horizontal="left" vertical="center"/>
    </xf>
    <xf numFmtId="164" fontId="27" fillId="4" borderId="1" xfId="13" applyNumberFormat="1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/>
    </xf>
    <xf numFmtId="0" fontId="29" fillId="4" borderId="5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horizontal="left" vertical="center" wrapText="1"/>
    </xf>
    <xf numFmtId="0" fontId="27" fillId="5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27" fillId="4" borderId="27" xfId="9" applyFont="1" applyFill="1" applyBorder="1" applyAlignment="1">
      <alignment horizontal="left" vertical="center"/>
    </xf>
    <xf numFmtId="10" fontId="18" fillId="4" borderId="1" xfId="0" applyNumberFormat="1" applyFont="1" applyFill="1" applyBorder="1" applyAlignment="1">
      <alignment horizontal="center" vertical="center"/>
    </xf>
    <xf numFmtId="10" fontId="18" fillId="4" borderId="0" xfId="0" applyNumberFormat="1" applyFont="1" applyFill="1"/>
    <xf numFmtId="0" fontId="20" fillId="3" borderId="1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wrapText="1"/>
    </xf>
    <xf numFmtId="0" fontId="19" fillId="6" borderId="17" xfId="0" applyFont="1" applyFill="1" applyBorder="1" applyAlignment="1">
      <alignment horizontal="center" wrapText="1"/>
    </xf>
    <xf numFmtId="0" fontId="19" fillId="5" borderId="17" xfId="0" applyFont="1" applyFill="1" applyBorder="1" applyAlignment="1">
      <alignment horizontal="center" wrapText="1"/>
    </xf>
    <xf numFmtId="0" fontId="19" fillId="6" borderId="18" xfId="0" applyFont="1" applyFill="1" applyBorder="1" applyAlignment="1">
      <alignment horizontal="center" wrapText="1"/>
    </xf>
    <xf numFmtId="0" fontId="19" fillId="6" borderId="2" xfId="0" applyFont="1" applyFill="1" applyBorder="1" applyAlignment="1">
      <alignment horizontal="center" wrapText="1"/>
    </xf>
    <xf numFmtId="0" fontId="19" fillId="6" borderId="7" xfId="0" applyFont="1" applyFill="1" applyBorder="1" applyAlignment="1">
      <alignment horizontal="center" wrapText="1"/>
    </xf>
    <xf numFmtId="0" fontId="20" fillId="3" borderId="0" xfId="0" applyFont="1" applyFill="1" applyBorder="1" applyAlignment="1">
      <alignment horizontal="center"/>
    </xf>
    <xf numFmtId="0" fontId="20" fillId="3" borderId="34" xfId="0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 wrapText="1"/>
    </xf>
    <xf numFmtId="0" fontId="19" fillId="6" borderId="10" xfId="0" applyFont="1" applyFill="1" applyBorder="1" applyAlignment="1">
      <alignment horizont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</cellXfs>
  <cellStyles count="14">
    <cellStyle name="Comma" xfId="1" builtinId="3"/>
    <cellStyle name="Comma 2" xfId="10"/>
    <cellStyle name="Comma 2 2" xfId="13"/>
    <cellStyle name="Comma 3" xfId="4"/>
    <cellStyle name="Comma 3 2" xfId="7"/>
    <cellStyle name="Comma 4" xfId="5"/>
    <cellStyle name="Comma 5" xfId="11"/>
    <cellStyle name="Currency 2" xfId="12"/>
    <cellStyle name="Normal" xfId="0" builtinId="0"/>
    <cellStyle name="Normal 2" xfId="3"/>
    <cellStyle name="Normal 2 2" xfId="6"/>
    <cellStyle name="Normal 3" xfId="9"/>
    <cellStyle name="Normal 4" xfId="8"/>
    <cellStyle name="Percent" xfId="2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66FF33"/>
      <color rgb="FF66FF66"/>
      <color rgb="FF00FF00"/>
      <color rgb="FFA0F8DB"/>
      <color rgb="FF9DE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Zone Wise'!A1"/><Relationship Id="rId2" Type="http://schemas.openxmlformats.org/officeDocument/2006/relationships/hyperlink" Target="#'Region Wise'!A1"/><Relationship Id="rId1" Type="http://schemas.openxmlformats.org/officeDocument/2006/relationships/hyperlink" Target="#'Dealer Wise'!A1"/><Relationship Id="rId5" Type="http://schemas.openxmlformats.org/officeDocument/2006/relationships/hyperlink" Target="#'Q1 90% Distributor'!A1"/><Relationship Id="rId4" Type="http://schemas.openxmlformats.org/officeDocument/2006/relationships/hyperlink" Target="#DSR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0</xdr:row>
      <xdr:rowOff>57151</xdr:rowOff>
    </xdr:from>
    <xdr:to>
      <xdr:col>11</xdr:col>
      <xdr:colOff>219075</xdr:colOff>
      <xdr:row>23</xdr:row>
      <xdr:rowOff>114300</xdr:rowOff>
    </xdr:to>
    <xdr:sp macro="" textlink="">
      <xdr:nvSpPr>
        <xdr:cNvPr id="7" name="Bevel 6"/>
        <xdr:cNvSpPr/>
      </xdr:nvSpPr>
      <xdr:spPr>
        <a:xfrm>
          <a:off x="381000" y="57151"/>
          <a:ext cx="6543675" cy="4438649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3</xdr:row>
      <xdr:rowOff>57150</xdr:rowOff>
    </xdr:from>
    <xdr:to>
      <xdr:col>9</xdr:col>
      <xdr:colOff>228600</xdr:colOff>
      <xdr:row>20</xdr:row>
      <xdr:rowOff>133350</xdr:rowOff>
    </xdr:to>
    <xdr:sp macro="" textlink="">
      <xdr:nvSpPr>
        <xdr:cNvPr id="2" name="Decagon 1"/>
        <xdr:cNvSpPr/>
      </xdr:nvSpPr>
      <xdr:spPr>
        <a:xfrm>
          <a:off x="1638300" y="628650"/>
          <a:ext cx="4076700" cy="3314700"/>
        </a:xfrm>
        <a:prstGeom prst="decagon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3</xdr:col>
      <xdr:colOff>476250</xdr:colOff>
      <xdr:row>8</xdr:row>
      <xdr:rowOff>28575</xdr:rowOff>
    </xdr:from>
    <xdr:to>
      <xdr:col>5</xdr:col>
      <xdr:colOff>485776</xdr:colOff>
      <xdr:row>10</xdr:row>
      <xdr:rowOff>161925</xdr:rowOff>
    </xdr:to>
    <xdr:sp macro="" textlink="">
      <xdr:nvSpPr>
        <xdr:cNvPr id="3" name="Round Diagonal Corner Rectangle 2">
          <a:hlinkClick xmlns:r="http://schemas.openxmlformats.org/officeDocument/2006/relationships" r:id="rId1"/>
        </xdr:cNvPr>
        <xdr:cNvSpPr/>
      </xdr:nvSpPr>
      <xdr:spPr>
        <a:xfrm>
          <a:off x="2305050" y="1552575"/>
          <a:ext cx="1228726" cy="51435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Bahnschrift" panose="020B0502040204020203" pitchFamily="34" charset="0"/>
            </a:rPr>
            <a:t>Dealer Wise</a:t>
          </a:r>
        </a:p>
      </xdr:txBody>
    </xdr:sp>
    <xdr:clientData/>
  </xdr:twoCellAnchor>
  <xdr:twoCellAnchor>
    <xdr:from>
      <xdr:col>6</xdr:col>
      <xdr:colOff>123825</xdr:colOff>
      <xdr:row>8</xdr:row>
      <xdr:rowOff>19050</xdr:rowOff>
    </xdr:from>
    <xdr:to>
      <xdr:col>8</xdr:col>
      <xdr:colOff>133351</xdr:colOff>
      <xdr:row>10</xdr:row>
      <xdr:rowOff>152400</xdr:rowOff>
    </xdr:to>
    <xdr:sp macro="" textlink="">
      <xdr:nvSpPr>
        <xdr:cNvPr id="4" name="Round Diagonal Corner Rectangle 3">
          <a:hlinkClick xmlns:r="http://schemas.openxmlformats.org/officeDocument/2006/relationships" r:id="rId2"/>
        </xdr:cNvPr>
        <xdr:cNvSpPr/>
      </xdr:nvSpPr>
      <xdr:spPr>
        <a:xfrm>
          <a:off x="3781425" y="1543050"/>
          <a:ext cx="1228726" cy="51435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Bahnschrift" panose="020B0502040204020203" pitchFamily="34" charset="0"/>
            </a:rPr>
            <a:t>Region Wise</a:t>
          </a:r>
        </a:p>
      </xdr:txBody>
    </xdr:sp>
    <xdr:clientData/>
  </xdr:twoCellAnchor>
  <xdr:twoCellAnchor>
    <xdr:from>
      <xdr:col>3</xdr:col>
      <xdr:colOff>476250</xdr:colOff>
      <xdr:row>12</xdr:row>
      <xdr:rowOff>95250</xdr:rowOff>
    </xdr:from>
    <xdr:to>
      <xdr:col>5</xdr:col>
      <xdr:colOff>485776</xdr:colOff>
      <xdr:row>15</xdr:row>
      <xdr:rowOff>38100</xdr:rowOff>
    </xdr:to>
    <xdr:sp macro="" textlink="">
      <xdr:nvSpPr>
        <xdr:cNvPr id="5" name="Round Diagonal Corner Rectangle 4">
          <a:hlinkClick xmlns:r="http://schemas.openxmlformats.org/officeDocument/2006/relationships" r:id="rId3"/>
        </xdr:cNvPr>
        <xdr:cNvSpPr/>
      </xdr:nvSpPr>
      <xdr:spPr>
        <a:xfrm>
          <a:off x="2305050" y="2381250"/>
          <a:ext cx="1228726" cy="51435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Bahnschrift" panose="020B0502040204020203" pitchFamily="34" charset="0"/>
            </a:rPr>
            <a:t>Zone Wise</a:t>
          </a:r>
        </a:p>
      </xdr:txBody>
    </xdr:sp>
    <xdr:clientData/>
  </xdr:twoCellAnchor>
  <xdr:twoCellAnchor>
    <xdr:from>
      <xdr:col>6</xdr:col>
      <xdr:colOff>114300</xdr:colOff>
      <xdr:row>12</xdr:row>
      <xdr:rowOff>85725</xdr:rowOff>
    </xdr:from>
    <xdr:to>
      <xdr:col>8</xdr:col>
      <xdr:colOff>123826</xdr:colOff>
      <xdr:row>15</xdr:row>
      <xdr:rowOff>28575</xdr:rowOff>
    </xdr:to>
    <xdr:sp macro="" textlink="">
      <xdr:nvSpPr>
        <xdr:cNvPr id="6" name="Round Diagonal Corner Rectangle 5">
          <a:hlinkClick xmlns:r="http://schemas.openxmlformats.org/officeDocument/2006/relationships" r:id="rId4"/>
        </xdr:cNvPr>
        <xdr:cNvSpPr/>
      </xdr:nvSpPr>
      <xdr:spPr>
        <a:xfrm>
          <a:off x="3771900" y="2371725"/>
          <a:ext cx="1228726" cy="51435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Bahnschrift" panose="020B0502040204020203" pitchFamily="34" charset="0"/>
            </a:rPr>
            <a:t>DSR Wise</a:t>
          </a:r>
        </a:p>
      </xdr:txBody>
    </xdr:sp>
    <xdr:clientData/>
  </xdr:twoCellAnchor>
  <xdr:twoCellAnchor>
    <xdr:from>
      <xdr:col>3</xdr:col>
      <xdr:colOff>171450</xdr:colOff>
      <xdr:row>4</xdr:row>
      <xdr:rowOff>57150</xdr:rowOff>
    </xdr:from>
    <xdr:to>
      <xdr:col>8</xdr:col>
      <xdr:colOff>466725</xdr:colOff>
      <xdr:row>7</xdr:row>
      <xdr:rowOff>19050</xdr:rowOff>
    </xdr:to>
    <xdr:sp macro="" textlink="">
      <xdr:nvSpPr>
        <xdr:cNvPr id="10" name="Flowchart: Alternate Process 9"/>
        <xdr:cNvSpPr/>
      </xdr:nvSpPr>
      <xdr:spPr>
        <a:xfrm>
          <a:off x="2000250" y="819150"/>
          <a:ext cx="3343275" cy="533400"/>
        </a:xfrm>
        <a:prstGeom prst="flowChartAlternateProcess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Back</a:t>
          </a:r>
          <a:r>
            <a:rPr lang="en-US" sz="2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Margin Report</a:t>
          </a:r>
          <a:endParaRPr lang="en-US" sz="2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5</xdr:col>
      <xdr:colOff>38100</xdr:colOff>
      <xdr:row>0</xdr:row>
      <xdr:rowOff>66676</xdr:rowOff>
    </xdr:from>
    <xdr:to>
      <xdr:col>7</xdr:col>
      <xdr:colOff>85725</xdr:colOff>
      <xdr:row>3</xdr:row>
      <xdr:rowOff>171450</xdr:rowOff>
    </xdr:to>
    <xdr:sp macro="" textlink="">
      <xdr:nvSpPr>
        <xdr:cNvPr id="12" name="Cube 11"/>
        <xdr:cNvSpPr/>
      </xdr:nvSpPr>
      <xdr:spPr>
        <a:xfrm>
          <a:off x="3086100" y="66676"/>
          <a:ext cx="1266825" cy="676274"/>
        </a:xfrm>
        <a:prstGeom prst="cube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latin typeface="Bahnschrift" panose="020B0502040204020203" pitchFamily="34" charset="0"/>
            </a:rPr>
            <a:t>HOME</a:t>
          </a:r>
        </a:p>
      </xdr:txBody>
    </xdr:sp>
    <xdr:clientData/>
  </xdr:twoCellAnchor>
  <xdr:twoCellAnchor>
    <xdr:from>
      <xdr:col>4</xdr:col>
      <xdr:colOff>590550</xdr:colOff>
      <xdr:row>16</xdr:row>
      <xdr:rowOff>47625</xdr:rowOff>
    </xdr:from>
    <xdr:to>
      <xdr:col>6</xdr:col>
      <xdr:colOff>600076</xdr:colOff>
      <xdr:row>18</xdr:row>
      <xdr:rowOff>180975</xdr:rowOff>
    </xdr:to>
    <xdr:sp macro="" textlink="">
      <xdr:nvSpPr>
        <xdr:cNvPr id="11" name="Round Diagonal Corner Rectangle 10">
          <a:hlinkClick xmlns:r="http://schemas.openxmlformats.org/officeDocument/2006/relationships" r:id="rId5"/>
        </xdr:cNvPr>
        <xdr:cNvSpPr/>
      </xdr:nvSpPr>
      <xdr:spPr>
        <a:xfrm>
          <a:off x="3028950" y="3095625"/>
          <a:ext cx="1228726" cy="514350"/>
        </a:xfrm>
        <a:prstGeom prst="round2Diag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Bahnschrift" panose="020B0502040204020203" pitchFamily="34" charset="0"/>
            </a:rPr>
            <a:t>Q1 90%</a:t>
          </a:r>
          <a:r>
            <a:rPr lang="en-US" sz="1200" b="1" baseline="0">
              <a:solidFill>
                <a:sysClr val="windowText" lastClr="000000"/>
              </a:solidFill>
              <a:latin typeface="Bahnschrift" panose="020B0502040204020203" pitchFamily="34" charset="0"/>
            </a:rPr>
            <a:t> </a:t>
          </a:r>
        </a:p>
        <a:p>
          <a:pPr algn="ctr"/>
          <a:r>
            <a:rPr lang="en-US" sz="1200" b="1" baseline="0">
              <a:solidFill>
                <a:sysClr val="windowText" lastClr="000000"/>
              </a:solidFill>
              <a:latin typeface="Bahnschrift" panose="020B0502040204020203" pitchFamily="34" charset="0"/>
            </a:rPr>
            <a:t>Achivment</a:t>
          </a:r>
          <a:endParaRPr lang="en-US" sz="1200" b="1">
            <a:solidFill>
              <a:sysClr val="windowText" lastClr="000000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0</xdr:row>
      <xdr:rowOff>59532</xdr:rowOff>
    </xdr:from>
    <xdr:to>
      <xdr:col>3</xdr:col>
      <xdr:colOff>1262062</xdr:colOff>
      <xdr:row>0</xdr:row>
      <xdr:rowOff>333375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3083718" y="59532"/>
          <a:ext cx="1976438" cy="2738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HOME</a:t>
          </a:r>
          <a:endParaRPr lang="en-US" sz="1600" b="1">
            <a:latin typeface="Bahnschrif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0</xdr:row>
      <xdr:rowOff>63500</xdr:rowOff>
    </xdr:from>
    <xdr:to>
      <xdr:col>3</xdr:col>
      <xdr:colOff>769938</xdr:colOff>
      <xdr:row>0</xdr:row>
      <xdr:rowOff>337343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159000" y="63500"/>
          <a:ext cx="1976438" cy="2738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HOME</a:t>
          </a:r>
          <a:endParaRPr lang="en-US" sz="1600" b="1">
            <a:latin typeface="Bahnschrift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35719</xdr:colOff>
      <xdr:row>0</xdr:row>
      <xdr:rowOff>71438</xdr:rowOff>
    </xdr:from>
    <xdr:to>
      <xdr:col>5</xdr:col>
      <xdr:colOff>35720</xdr:colOff>
      <xdr:row>0</xdr:row>
      <xdr:rowOff>345281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452688" y="71438"/>
          <a:ext cx="1976438" cy="2738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HOME</a:t>
          </a:r>
          <a:endParaRPr lang="en-US" sz="1600" b="1">
            <a:latin typeface="Bahnschrift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21166</xdr:colOff>
      <xdr:row>0</xdr:row>
      <xdr:rowOff>116417</xdr:rowOff>
    </xdr:from>
    <xdr:to>
      <xdr:col>1</xdr:col>
      <xdr:colOff>1997604</xdr:colOff>
      <xdr:row>2</xdr:row>
      <xdr:rowOff>30427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349249" y="116417"/>
          <a:ext cx="1976438" cy="2738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HOME</a:t>
          </a:r>
          <a:endParaRPr lang="en-US" sz="1600" b="1">
            <a:latin typeface="Bahnschrift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5" x14ac:dyDescent="0.25"/>
  <sheetData/>
  <sheetProtection algorithmName="SHA-512" hashValue="3kwCqn82N0PiD3nb5WOhe6Wz8GGUvQoFCMsRAB6cDO7B94w+nHFmI0bbzbqMsCML+W3J6T0VwCrdCiV9G8/FpQ==" saltValue="ZaTDj0bfI19Txg4P1XcjK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2"/>
  <sheetViews>
    <sheetView showGridLines="0" zoomScale="80" zoomScaleNormal="80" workbookViewId="0">
      <pane xSplit="2" ySplit="3" topLeftCell="C102" activePane="bottomRight" state="frozen"/>
      <selection pane="topRight" activeCell="C1" sqref="C1"/>
      <selection pane="bottomLeft" activeCell="A4" sqref="A4"/>
      <selection pane="bottomRight" activeCell="F4" sqref="F4:F124"/>
    </sheetView>
  </sheetViews>
  <sheetFormatPr defaultRowHeight="14.25" x14ac:dyDescent="0.2"/>
  <cols>
    <col min="1" max="1" width="5.140625" style="130" bestFit="1" customWidth="1"/>
    <col min="2" max="2" width="37.85546875" style="91" bestFit="1" customWidth="1"/>
    <col min="3" max="4" width="13.42578125" style="91" bestFit="1" customWidth="1"/>
    <col min="5" max="5" width="17" style="91" bestFit="1" customWidth="1"/>
    <col min="6" max="6" width="15" style="91" bestFit="1" customWidth="1"/>
    <col min="7" max="7" width="15.7109375" style="120" bestFit="1" customWidth="1"/>
    <col min="8" max="8" width="19.42578125" style="91" bestFit="1" customWidth="1"/>
    <col min="9" max="9" width="20" style="91" bestFit="1" customWidth="1"/>
    <col min="10" max="11" width="15.7109375" style="91" bestFit="1" customWidth="1"/>
    <col min="12" max="12" width="18.7109375" style="91" bestFit="1" customWidth="1"/>
    <col min="13" max="13" width="16.28515625" style="91" bestFit="1" customWidth="1"/>
    <col min="14" max="14" width="19.140625" style="91" bestFit="1" customWidth="1"/>
    <col min="15" max="15" width="20" style="91" bestFit="1" customWidth="1"/>
    <col min="16" max="16" width="16.85546875" style="91" bestFit="1" customWidth="1"/>
    <col min="17" max="17" width="15.28515625" style="91" bestFit="1" customWidth="1"/>
    <col min="18" max="16384" width="9.140625" style="91"/>
  </cols>
  <sheetData>
    <row r="1" spans="1:17" ht="30.75" customHeight="1" x14ac:dyDescent="0.2">
      <c r="A1" s="87"/>
      <c r="B1" s="88" t="s">
        <v>1546</v>
      </c>
      <c r="C1" s="88"/>
      <c r="D1" s="88"/>
      <c r="E1" s="88"/>
      <c r="F1" s="88"/>
      <c r="G1" s="89"/>
      <c r="H1" s="88"/>
      <c r="I1" s="88"/>
      <c r="J1" s="88"/>
      <c r="K1" s="88"/>
      <c r="L1" s="88"/>
      <c r="M1" s="217" t="s">
        <v>1511</v>
      </c>
      <c r="N1" s="217">
        <v>19</v>
      </c>
      <c r="O1" s="216" t="s">
        <v>1509</v>
      </c>
      <c r="P1" s="216">
        <v>20</v>
      </c>
      <c r="Q1" s="90"/>
    </row>
    <row r="2" spans="1:17" ht="30.75" customHeight="1" x14ac:dyDescent="0.2">
      <c r="A2" s="256" t="s">
        <v>1499</v>
      </c>
      <c r="B2" s="257"/>
      <c r="C2" s="257"/>
      <c r="D2" s="257"/>
      <c r="E2" s="257"/>
      <c r="F2" s="257"/>
      <c r="G2" s="258"/>
      <c r="H2" s="257"/>
      <c r="I2" s="257"/>
      <c r="J2" s="257"/>
      <c r="K2" s="257"/>
      <c r="L2" s="257"/>
      <c r="M2" s="257"/>
      <c r="N2" s="257"/>
      <c r="O2" s="259"/>
      <c r="P2" s="92" t="s">
        <v>1510</v>
      </c>
      <c r="Q2" s="93">
        <f>P1-N1</f>
        <v>1</v>
      </c>
    </row>
    <row r="3" spans="1:17" s="98" customFormat="1" ht="45" customHeight="1" x14ac:dyDescent="0.25">
      <c r="A3" s="94" t="s">
        <v>1320</v>
      </c>
      <c r="B3" s="95" t="s">
        <v>103</v>
      </c>
      <c r="C3" s="96" t="s">
        <v>1393</v>
      </c>
      <c r="D3" s="95" t="s">
        <v>1497</v>
      </c>
      <c r="E3" s="96" t="s">
        <v>1500</v>
      </c>
      <c r="F3" s="97" t="s">
        <v>1501</v>
      </c>
      <c r="G3" s="96" t="s">
        <v>1505</v>
      </c>
      <c r="H3" s="96" t="s">
        <v>146</v>
      </c>
      <c r="I3" s="96" t="s">
        <v>147</v>
      </c>
      <c r="J3" s="96" t="s">
        <v>1057</v>
      </c>
      <c r="K3" s="96" t="s">
        <v>1058</v>
      </c>
      <c r="L3" s="96" t="s">
        <v>1059</v>
      </c>
      <c r="M3" s="96" t="s">
        <v>1060</v>
      </c>
      <c r="N3" s="96" t="s">
        <v>1081</v>
      </c>
      <c r="O3" s="96" t="s">
        <v>1082</v>
      </c>
      <c r="P3" s="96" t="s">
        <v>140</v>
      </c>
      <c r="Q3" s="96" t="s">
        <v>141</v>
      </c>
    </row>
    <row r="4" spans="1:17" x14ac:dyDescent="0.2">
      <c r="A4" s="99">
        <v>1</v>
      </c>
      <c r="B4" s="101" t="s">
        <v>13</v>
      </c>
      <c r="C4" s="101" t="s">
        <v>137</v>
      </c>
      <c r="D4" s="100" t="s">
        <v>1534</v>
      </c>
      <c r="E4" s="102">
        <v>17333596.707593974</v>
      </c>
      <c r="F4" s="103">
        <v>17424054.2163</v>
      </c>
      <c r="G4" s="104">
        <f t="shared" ref="G4:G66" si="0">IFERROR(F4/E4,0)</f>
        <v>1.0052186231300972</v>
      </c>
      <c r="H4" s="103">
        <f t="shared" ref="H4:H35" si="1">(E4*0.8)-F4</f>
        <v>-3557176.850224819</v>
      </c>
      <c r="I4" s="103">
        <f t="shared" ref="I4:I35" si="2">H4/$Q$2</f>
        <v>-3557176.850224819</v>
      </c>
      <c r="J4" s="103">
        <f>(E4*0.86)-F4</f>
        <v>-2517161.0477691814</v>
      </c>
      <c r="K4" s="103">
        <f>J4/$Q$2</f>
        <v>-2517161.0477691814</v>
      </c>
      <c r="L4" s="103">
        <f>(E4*0.91)-F4</f>
        <v>-1650481.2123894822</v>
      </c>
      <c r="M4" s="103">
        <f>L4/$Q$2</f>
        <v>-1650481.2123894822</v>
      </c>
      <c r="N4" s="105">
        <f>(E4*0.96)-F4</f>
        <v>-783801.3770097848</v>
      </c>
      <c r="O4" s="103">
        <f>N4/$Q$2</f>
        <v>-783801.3770097848</v>
      </c>
      <c r="P4" s="106">
        <f t="shared" ref="P4:P35" si="3">E4-F4</f>
        <v>-90457.508706025779</v>
      </c>
      <c r="Q4" s="103">
        <f>P4/$Q$2</f>
        <v>-90457.508706025779</v>
      </c>
    </row>
    <row r="5" spans="1:17" x14ac:dyDescent="0.2">
      <c r="A5" s="107">
        <v>2</v>
      </c>
      <c r="B5" s="111" t="s">
        <v>1225</v>
      </c>
      <c r="C5" s="101" t="s">
        <v>137</v>
      </c>
      <c r="D5" s="100" t="s">
        <v>1534</v>
      </c>
      <c r="E5" s="102">
        <v>6859944.491831081</v>
      </c>
      <c r="F5" s="103">
        <v>7148042.4115000004</v>
      </c>
      <c r="G5" s="104">
        <f t="shared" si="0"/>
        <v>1.0419971211154828</v>
      </c>
      <c r="H5" s="103">
        <f t="shared" si="1"/>
        <v>-1660086.818035135</v>
      </c>
      <c r="I5" s="109">
        <f t="shared" si="2"/>
        <v>-1660086.818035135</v>
      </c>
      <c r="J5" s="103">
        <f t="shared" ref="J5:J67" si="4">(E5*0.86)-F5</f>
        <v>-1248490.1485252706</v>
      </c>
      <c r="K5" s="103">
        <f t="shared" ref="K5:K66" si="5">J5/$Q$2</f>
        <v>-1248490.1485252706</v>
      </c>
      <c r="L5" s="103">
        <f t="shared" ref="L5:L67" si="6">(E5*0.91)-F5</f>
        <v>-905492.92393371649</v>
      </c>
      <c r="M5" s="103">
        <f t="shared" ref="M5:O66" si="7">L5/$Q$2</f>
        <v>-905492.92393371649</v>
      </c>
      <c r="N5" s="105">
        <f t="shared" ref="N5:N67" si="8">(E5*0.96)-F5</f>
        <v>-562495.69934216328</v>
      </c>
      <c r="O5" s="103">
        <f t="shared" si="7"/>
        <v>-562495.69934216328</v>
      </c>
      <c r="P5" s="110">
        <f t="shared" si="3"/>
        <v>-288097.91966891941</v>
      </c>
      <c r="Q5" s="109">
        <f t="shared" ref="Q5:Q66" si="9">P5/$Q$2</f>
        <v>-288097.91966891941</v>
      </c>
    </row>
    <row r="6" spans="1:17" x14ac:dyDescent="0.2">
      <c r="A6" s="107">
        <v>3</v>
      </c>
      <c r="B6" s="108" t="s">
        <v>3</v>
      </c>
      <c r="C6" s="101" t="s">
        <v>137</v>
      </c>
      <c r="D6" s="100" t="s">
        <v>1447</v>
      </c>
      <c r="E6" s="102">
        <v>13699000.122760098</v>
      </c>
      <c r="F6" s="103">
        <v>13459412.560900006</v>
      </c>
      <c r="G6" s="104">
        <f t="shared" si="0"/>
        <v>0.98251058035527494</v>
      </c>
      <c r="H6" s="103">
        <f t="shared" si="1"/>
        <v>-2500212.4626919273</v>
      </c>
      <c r="I6" s="109">
        <f t="shared" si="2"/>
        <v>-2500212.4626919273</v>
      </c>
      <c r="J6" s="103">
        <f t="shared" si="4"/>
        <v>-1678272.4553263225</v>
      </c>
      <c r="K6" s="103">
        <f t="shared" si="5"/>
        <v>-1678272.4553263225</v>
      </c>
      <c r="L6" s="103">
        <f t="shared" si="6"/>
        <v>-993322.44918831624</v>
      </c>
      <c r="M6" s="103">
        <f t="shared" si="7"/>
        <v>-993322.44918831624</v>
      </c>
      <c r="N6" s="105">
        <f t="shared" si="8"/>
        <v>-308372.44305031188</v>
      </c>
      <c r="O6" s="103">
        <f t="shared" si="7"/>
        <v>-308372.44305031188</v>
      </c>
      <c r="P6" s="110">
        <f t="shared" si="3"/>
        <v>239587.56186009198</v>
      </c>
      <c r="Q6" s="109">
        <f t="shared" si="9"/>
        <v>239587.56186009198</v>
      </c>
    </row>
    <row r="7" spans="1:17" x14ac:dyDescent="0.2">
      <c r="A7" s="99">
        <v>4</v>
      </c>
      <c r="B7" s="108" t="s">
        <v>6</v>
      </c>
      <c r="C7" s="101" t="s">
        <v>137</v>
      </c>
      <c r="D7" s="100" t="s">
        <v>1394</v>
      </c>
      <c r="E7" s="102">
        <v>5170588.2009460879</v>
      </c>
      <c r="F7" s="103">
        <v>5173323.5400999999</v>
      </c>
      <c r="G7" s="104">
        <f t="shared" si="0"/>
        <v>1.0005290189525076</v>
      </c>
      <c r="H7" s="103">
        <f t="shared" si="1"/>
        <v>-1036852.9793431293</v>
      </c>
      <c r="I7" s="109">
        <f t="shared" si="2"/>
        <v>-1036852.9793431293</v>
      </c>
      <c r="J7" s="103">
        <f t="shared" si="4"/>
        <v>-726617.68728636391</v>
      </c>
      <c r="K7" s="103">
        <f t="shared" si="5"/>
        <v>-726617.68728636391</v>
      </c>
      <c r="L7" s="103">
        <f t="shared" si="6"/>
        <v>-468088.27723906003</v>
      </c>
      <c r="M7" s="103">
        <f t="shared" si="7"/>
        <v>-468088.27723906003</v>
      </c>
      <c r="N7" s="105">
        <f t="shared" si="8"/>
        <v>-209558.86719175521</v>
      </c>
      <c r="O7" s="103">
        <f t="shared" si="7"/>
        <v>-209558.86719175521</v>
      </c>
      <c r="P7" s="110">
        <f t="shared" si="3"/>
        <v>-2735.3391539119184</v>
      </c>
      <c r="Q7" s="109">
        <f t="shared" si="9"/>
        <v>-2735.3391539119184</v>
      </c>
    </row>
    <row r="8" spans="1:17" x14ac:dyDescent="0.2">
      <c r="A8" s="107">
        <v>5</v>
      </c>
      <c r="B8" s="108" t="s">
        <v>12</v>
      </c>
      <c r="C8" s="101" t="s">
        <v>137</v>
      </c>
      <c r="D8" s="100" t="s">
        <v>1394</v>
      </c>
      <c r="E8" s="102">
        <v>7035288.2506610015</v>
      </c>
      <c r="F8" s="103">
        <v>6443733.5138000026</v>
      </c>
      <c r="G8" s="104">
        <f t="shared" si="0"/>
        <v>0.91591606259979197</v>
      </c>
      <c r="H8" s="103">
        <f t="shared" si="1"/>
        <v>-815502.91327120084</v>
      </c>
      <c r="I8" s="109">
        <f t="shared" si="2"/>
        <v>-815502.91327120084</v>
      </c>
      <c r="J8" s="103">
        <f t="shared" si="4"/>
        <v>-393385.61823154148</v>
      </c>
      <c r="K8" s="103">
        <f t="shared" si="5"/>
        <v>-393385.61823154148</v>
      </c>
      <c r="L8" s="103">
        <f t="shared" si="6"/>
        <v>-41621.205698491074</v>
      </c>
      <c r="M8" s="103">
        <f t="shared" si="7"/>
        <v>-41621.205698491074</v>
      </c>
      <c r="N8" s="105">
        <f t="shared" si="8"/>
        <v>310143.2068345584</v>
      </c>
      <c r="O8" s="103">
        <f t="shared" si="7"/>
        <v>310143.2068345584</v>
      </c>
      <c r="P8" s="110">
        <f t="shared" si="3"/>
        <v>591554.73686099891</v>
      </c>
      <c r="Q8" s="109">
        <f t="shared" si="9"/>
        <v>591554.73686099891</v>
      </c>
    </row>
    <row r="9" spans="1:17" x14ac:dyDescent="0.2">
      <c r="A9" s="107">
        <v>6</v>
      </c>
      <c r="B9" s="111" t="s">
        <v>1267</v>
      </c>
      <c r="C9" s="101" t="s">
        <v>137</v>
      </c>
      <c r="D9" s="100" t="s">
        <v>1534</v>
      </c>
      <c r="E9" s="102">
        <v>4041446.1927869697</v>
      </c>
      <c r="F9" s="103">
        <v>4508129.9153999984</v>
      </c>
      <c r="G9" s="104">
        <f t="shared" si="0"/>
        <v>1.1154744367117764</v>
      </c>
      <c r="H9" s="103">
        <f t="shared" si="1"/>
        <v>-1274972.9611704224</v>
      </c>
      <c r="I9" s="109">
        <f t="shared" si="2"/>
        <v>-1274972.9611704224</v>
      </c>
      <c r="J9" s="103">
        <f t="shared" si="4"/>
        <v>-1032486.1896032044</v>
      </c>
      <c r="K9" s="103">
        <f t="shared" si="5"/>
        <v>-1032486.1896032044</v>
      </c>
      <c r="L9" s="103">
        <f t="shared" si="6"/>
        <v>-830413.87996385572</v>
      </c>
      <c r="M9" s="103">
        <f t="shared" si="7"/>
        <v>-830413.87996385572</v>
      </c>
      <c r="N9" s="105">
        <f t="shared" si="8"/>
        <v>-628341.57032450754</v>
      </c>
      <c r="O9" s="103">
        <f t="shared" si="7"/>
        <v>-628341.57032450754</v>
      </c>
      <c r="P9" s="110">
        <f t="shared" si="3"/>
        <v>-466683.72261302872</v>
      </c>
      <c r="Q9" s="109">
        <f t="shared" si="9"/>
        <v>-466683.72261302872</v>
      </c>
    </row>
    <row r="10" spans="1:17" x14ac:dyDescent="0.2">
      <c r="A10" s="99">
        <v>7</v>
      </c>
      <c r="B10" s="108" t="s">
        <v>5</v>
      </c>
      <c r="C10" s="101" t="s">
        <v>137</v>
      </c>
      <c r="D10" s="100" t="s">
        <v>1447</v>
      </c>
      <c r="E10" s="102">
        <v>11560297.003620028</v>
      </c>
      <c r="F10" s="103">
        <v>11021129.505500006</v>
      </c>
      <c r="G10" s="104">
        <f t="shared" si="0"/>
        <v>0.95336041124625204</v>
      </c>
      <c r="H10" s="103">
        <f t="shared" si="1"/>
        <v>-1772891.902603982</v>
      </c>
      <c r="I10" s="109">
        <f t="shared" si="2"/>
        <v>-1772891.902603982</v>
      </c>
      <c r="J10" s="103">
        <f t="shared" si="4"/>
        <v>-1079274.0823867805</v>
      </c>
      <c r="K10" s="103">
        <f t="shared" si="5"/>
        <v>-1079274.0823867805</v>
      </c>
      <c r="L10" s="103">
        <f t="shared" si="6"/>
        <v>-501259.23220577836</v>
      </c>
      <c r="M10" s="103">
        <f t="shared" si="7"/>
        <v>-501259.23220577836</v>
      </c>
      <c r="N10" s="105">
        <f t="shared" si="8"/>
        <v>76755.617975221947</v>
      </c>
      <c r="O10" s="103">
        <f t="shared" si="7"/>
        <v>76755.617975221947</v>
      </c>
      <c r="P10" s="110">
        <f t="shared" si="3"/>
        <v>539167.49812002294</v>
      </c>
      <c r="Q10" s="109">
        <f t="shared" si="9"/>
        <v>539167.49812002294</v>
      </c>
    </row>
    <row r="11" spans="1:17" x14ac:dyDescent="0.2">
      <c r="A11" s="107">
        <v>8</v>
      </c>
      <c r="B11" s="108" t="s">
        <v>11</v>
      </c>
      <c r="C11" s="101" t="s">
        <v>137</v>
      </c>
      <c r="D11" s="100" t="s">
        <v>1447</v>
      </c>
      <c r="E11" s="102">
        <v>8615673.54406639</v>
      </c>
      <c r="F11" s="103">
        <v>8397885.5322999991</v>
      </c>
      <c r="G11" s="104">
        <f t="shared" si="0"/>
        <v>0.97472188208472899</v>
      </c>
      <c r="H11" s="103">
        <f t="shared" si="1"/>
        <v>-1505346.6970468871</v>
      </c>
      <c r="I11" s="109">
        <f t="shared" si="2"/>
        <v>-1505346.6970468871</v>
      </c>
      <c r="J11" s="103">
        <f t="shared" si="4"/>
        <v>-988406.2844029041</v>
      </c>
      <c r="K11" s="103">
        <f t="shared" si="5"/>
        <v>-988406.2844029041</v>
      </c>
      <c r="L11" s="103">
        <f t="shared" si="6"/>
        <v>-557622.60719958413</v>
      </c>
      <c r="M11" s="103">
        <f t="shared" si="7"/>
        <v>-557622.60719958413</v>
      </c>
      <c r="N11" s="105">
        <f t="shared" si="8"/>
        <v>-126838.9299962651</v>
      </c>
      <c r="O11" s="103">
        <f t="shared" si="7"/>
        <v>-126838.9299962651</v>
      </c>
      <c r="P11" s="110">
        <f t="shared" si="3"/>
        <v>217788.01176639087</v>
      </c>
      <c r="Q11" s="109">
        <f t="shared" si="9"/>
        <v>217788.01176639087</v>
      </c>
    </row>
    <row r="12" spans="1:17" x14ac:dyDescent="0.2">
      <c r="A12" s="107">
        <v>9</v>
      </c>
      <c r="B12" s="108" t="s">
        <v>7</v>
      </c>
      <c r="C12" s="101" t="s">
        <v>137</v>
      </c>
      <c r="D12" s="100" t="s">
        <v>1394</v>
      </c>
      <c r="E12" s="102">
        <v>5517099.0447712457</v>
      </c>
      <c r="F12" s="103">
        <v>6113874.2855000002</v>
      </c>
      <c r="G12" s="104">
        <f t="shared" si="0"/>
        <v>1.1081683029225913</v>
      </c>
      <c r="H12" s="103">
        <f t="shared" si="1"/>
        <v>-1700195.0496830037</v>
      </c>
      <c r="I12" s="109">
        <f t="shared" si="2"/>
        <v>-1700195.0496830037</v>
      </c>
      <c r="J12" s="103">
        <f t="shared" si="4"/>
        <v>-1369169.106996729</v>
      </c>
      <c r="K12" s="103">
        <f t="shared" si="5"/>
        <v>-1369169.106996729</v>
      </c>
      <c r="L12" s="103">
        <f t="shared" si="6"/>
        <v>-1093314.1547581665</v>
      </c>
      <c r="M12" s="103">
        <f t="shared" si="7"/>
        <v>-1093314.1547581665</v>
      </c>
      <c r="N12" s="105">
        <f t="shared" si="8"/>
        <v>-817459.20251960494</v>
      </c>
      <c r="O12" s="103">
        <f t="shared" si="7"/>
        <v>-817459.20251960494</v>
      </c>
      <c r="P12" s="110">
        <f t="shared" si="3"/>
        <v>-596775.24072875455</v>
      </c>
      <c r="Q12" s="109">
        <f t="shared" si="9"/>
        <v>-596775.24072875455</v>
      </c>
    </row>
    <row r="13" spans="1:17" x14ac:dyDescent="0.2">
      <c r="A13" s="99">
        <v>10</v>
      </c>
      <c r="B13" s="108" t="s">
        <v>4</v>
      </c>
      <c r="C13" s="101" t="s">
        <v>137</v>
      </c>
      <c r="D13" s="100" t="s">
        <v>1447</v>
      </c>
      <c r="E13" s="102">
        <v>4987063.0546256928</v>
      </c>
      <c r="F13" s="103">
        <v>4752464.8690000009</v>
      </c>
      <c r="G13" s="104">
        <f t="shared" si="0"/>
        <v>0.95295864859617263</v>
      </c>
      <c r="H13" s="103">
        <f t="shared" si="1"/>
        <v>-762814.42529944656</v>
      </c>
      <c r="I13" s="109">
        <f t="shared" si="2"/>
        <v>-762814.42529944656</v>
      </c>
      <c r="J13" s="103">
        <f t="shared" si="4"/>
        <v>-463590.6420219047</v>
      </c>
      <c r="K13" s="103">
        <f t="shared" si="5"/>
        <v>-463590.6420219047</v>
      </c>
      <c r="L13" s="103">
        <f t="shared" si="6"/>
        <v>-214237.4892906202</v>
      </c>
      <c r="M13" s="103">
        <f t="shared" si="7"/>
        <v>-214237.4892906202</v>
      </c>
      <c r="N13" s="105">
        <f t="shared" si="8"/>
        <v>35115.663440664299</v>
      </c>
      <c r="O13" s="103">
        <f t="shared" si="7"/>
        <v>35115.663440664299</v>
      </c>
      <c r="P13" s="110">
        <f t="shared" si="3"/>
        <v>234598.1856256919</v>
      </c>
      <c r="Q13" s="109">
        <f t="shared" si="9"/>
        <v>234598.1856256919</v>
      </c>
    </row>
    <row r="14" spans="1:17" x14ac:dyDescent="0.2">
      <c r="A14" s="107">
        <v>11</v>
      </c>
      <c r="B14" s="108" t="s">
        <v>8</v>
      </c>
      <c r="C14" s="101" t="s">
        <v>137</v>
      </c>
      <c r="D14" s="100" t="s">
        <v>1394</v>
      </c>
      <c r="E14" s="102">
        <v>6596269.9355310807</v>
      </c>
      <c r="F14" s="103">
        <v>8441342.6559999995</v>
      </c>
      <c r="G14" s="104">
        <f t="shared" si="0"/>
        <v>1.2797145566360706</v>
      </c>
      <c r="H14" s="103">
        <f t="shared" si="1"/>
        <v>-3164326.7075751349</v>
      </c>
      <c r="I14" s="109">
        <f t="shared" si="2"/>
        <v>-3164326.7075751349</v>
      </c>
      <c r="J14" s="103">
        <f t="shared" si="4"/>
        <v>-2768550.5114432704</v>
      </c>
      <c r="K14" s="103">
        <f t="shared" si="5"/>
        <v>-2768550.5114432704</v>
      </c>
      <c r="L14" s="103">
        <f t="shared" si="6"/>
        <v>-2438737.0146667156</v>
      </c>
      <c r="M14" s="103">
        <f t="shared" si="7"/>
        <v>-2438737.0146667156</v>
      </c>
      <c r="N14" s="105">
        <f t="shared" si="8"/>
        <v>-2108923.5178901618</v>
      </c>
      <c r="O14" s="103">
        <f t="shared" si="7"/>
        <v>-2108923.5178901618</v>
      </c>
      <c r="P14" s="110">
        <f t="shared" si="3"/>
        <v>-1845072.7204689188</v>
      </c>
      <c r="Q14" s="109">
        <f t="shared" si="9"/>
        <v>-1845072.7204689188</v>
      </c>
    </row>
    <row r="15" spans="1:17" x14ac:dyDescent="0.2">
      <c r="A15" s="107">
        <v>12</v>
      </c>
      <c r="B15" s="108" t="s">
        <v>107</v>
      </c>
      <c r="C15" s="101" t="s">
        <v>1399</v>
      </c>
      <c r="D15" s="100" t="s">
        <v>1398</v>
      </c>
      <c r="E15" s="102">
        <v>4737117.2792685516</v>
      </c>
      <c r="F15" s="103">
        <v>3832774.4065</v>
      </c>
      <c r="G15" s="104">
        <f t="shared" si="0"/>
        <v>0.80909426145594832</v>
      </c>
      <c r="H15" s="103">
        <f t="shared" si="1"/>
        <v>-43080.583085158374</v>
      </c>
      <c r="I15" s="109">
        <f t="shared" si="2"/>
        <v>-43080.583085158374</v>
      </c>
      <c r="J15" s="103">
        <f t="shared" si="4"/>
        <v>241146.45367095433</v>
      </c>
      <c r="K15" s="103">
        <f t="shared" si="5"/>
        <v>241146.45367095433</v>
      </c>
      <c r="L15" s="103">
        <f t="shared" si="6"/>
        <v>478002.31763438182</v>
      </c>
      <c r="M15" s="103">
        <f t="shared" si="7"/>
        <v>478002.31763438182</v>
      </c>
      <c r="N15" s="105">
        <f t="shared" si="8"/>
        <v>714858.18159780977</v>
      </c>
      <c r="O15" s="103">
        <f t="shared" si="7"/>
        <v>714858.18159780977</v>
      </c>
      <c r="P15" s="110">
        <f t="shared" si="3"/>
        <v>904342.87276855158</v>
      </c>
      <c r="Q15" s="109">
        <f t="shared" si="9"/>
        <v>904342.87276855158</v>
      </c>
    </row>
    <row r="16" spans="1:17" x14ac:dyDescent="0.2">
      <c r="A16" s="99">
        <v>13</v>
      </c>
      <c r="B16" s="108" t="s">
        <v>109</v>
      </c>
      <c r="C16" s="101" t="s">
        <v>1399</v>
      </c>
      <c r="D16" s="100" t="s">
        <v>1449</v>
      </c>
      <c r="E16" s="102">
        <v>5535653.4025079934</v>
      </c>
      <c r="F16" s="103">
        <v>4487040.9965000013</v>
      </c>
      <c r="G16" s="104">
        <f t="shared" si="0"/>
        <v>0.81057115939865276</v>
      </c>
      <c r="H16" s="103">
        <f t="shared" si="1"/>
        <v>-58518.274493606761</v>
      </c>
      <c r="I16" s="109">
        <f t="shared" si="2"/>
        <v>-58518.274493606761</v>
      </c>
      <c r="J16" s="103">
        <f t="shared" si="4"/>
        <v>273620.92965687253</v>
      </c>
      <c r="K16" s="103">
        <f t="shared" si="5"/>
        <v>273620.92965687253</v>
      </c>
      <c r="L16" s="103">
        <f t="shared" si="6"/>
        <v>550403.59978227317</v>
      </c>
      <c r="M16" s="103">
        <f t="shared" si="7"/>
        <v>550403.59978227317</v>
      </c>
      <c r="N16" s="105">
        <f t="shared" si="8"/>
        <v>827186.26990767196</v>
      </c>
      <c r="O16" s="103">
        <f t="shared" si="7"/>
        <v>827186.26990767196</v>
      </c>
      <c r="P16" s="110">
        <f t="shared" si="3"/>
        <v>1048612.4060079921</v>
      </c>
      <c r="Q16" s="109">
        <f t="shared" si="9"/>
        <v>1048612.4060079921</v>
      </c>
    </row>
    <row r="17" spans="1:17" x14ac:dyDescent="0.2">
      <c r="A17" s="107">
        <v>14</v>
      </c>
      <c r="B17" s="108" t="s">
        <v>123</v>
      </c>
      <c r="C17" s="101" t="s">
        <v>1399</v>
      </c>
      <c r="D17" s="100" t="s">
        <v>1399</v>
      </c>
      <c r="E17" s="102">
        <v>35857199.130166188</v>
      </c>
      <c r="F17" s="103">
        <v>35960255.670400023</v>
      </c>
      <c r="G17" s="104">
        <f t="shared" si="0"/>
        <v>1.0028740822689393</v>
      </c>
      <c r="H17" s="103">
        <f t="shared" si="1"/>
        <v>-7274496.3662670702</v>
      </c>
      <c r="I17" s="109">
        <f t="shared" si="2"/>
        <v>-7274496.3662670702</v>
      </c>
      <c r="J17" s="103">
        <f t="shared" si="4"/>
        <v>-5123064.418457102</v>
      </c>
      <c r="K17" s="103">
        <f t="shared" si="5"/>
        <v>-5123064.418457102</v>
      </c>
      <c r="L17" s="103">
        <f t="shared" si="6"/>
        <v>-3330204.4619487897</v>
      </c>
      <c r="M17" s="103">
        <f t="shared" si="7"/>
        <v>-3330204.4619487897</v>
      </c>
      <c r="N17" s="105">
        <f t="shared" si="8"/>
        <v>-1537344.505440481</v>
      </c>
      <c r="O17" s="103">
        <f t="shared" si="7"/>
        <v>-1537344.505440481</v>
      </c>
      <c r="P17" s="110">
        <f t="shared" si="3"/>
        <v>-103056.54023383558</v>
      </c>
      <c r="Q17" s="109">
        <f t="shared" si="9"/>
        <v>-103056.54023383558</v>
      </c>
    </row>
    <row r="18" spans="1:17" x14ac:dyDescent="0.2">
      <c r="A18" s="107">
        <v>15</v>
      </c>
      <c r="B18" s="108" t="s">
        <v>120</v>
      </c>
      <c r="C18" s="101" t="s">
        <v>1399</v>
      </c>
      <c r="D18" s="100" t="s">
        <v>1398</v>
      </c>
      <c r="E18" s="102">
        <v>3612346.6325406986</v>
      </c>
      <c r="F18" s="103">
        <v>2898481.4031000012</v>
      </c>
      <c r="G18" s="104">
        <f t="shared" si="0"/>
        <v>0.802381858094662</v>
      </c>
      <c r="H18" s="103">
        <f t="shared" si="1"/>
        <v>-8604.097067442257</v>
      </c>
      <c r="I18" s="109">
        <f t="shared" si="2"/>
        <v>-8604.097067442257</v>
      </c>
      <c r="J18" s="103">
        <f t="shared" si="4"/>
        <v>208136.70088499971</v>
      </c>
      <c r="K18" s="103">
        <f t="shared" si="5"/>
        <v>208136.70088499971</v>
      </c>
      <c r="L18" s="103">
        <f t="shared" si="6"/>
        <v>388754.03251203476</v>
      </c>
      <c r="M18" s="103">
        <f t="shared" si="7"/>
        <v>388754.03251203476</v>
      </c>
      <c r="N18" s="105">
        <f t="shared" si="8"/>
        <v>569371.36413906934</v>
      </c>
      <c r="O18" s="103">
        <f t="shared" si="7"/>
        <v>569371.36413906934</v>
      </c>
      <c r="P18" s="110">
        <f t="shared" si="3"/>
        <v>713865.22944069747</v>
      </c>
      <c r="Q18" s="109">
        <f t="shared" si="9"/>
        <v>713865.22944069747</v>
      </c>
    </row>
    <row r="19" spans="1:17" x14ac:dyDescent="0.2">
      <c r="A19" s="99">
        <v>16</v>
      </c>
      <c r="B19" s="189" t="s">
        <v>111</v>
      </c>
      <c r="C19" s="101" t="s">
        <v>1399</v>
      </c>
      <c r="D19" s="100" t="s">
        <v>1398</v>
      </c>
      <c r="E19" s="102">
        <v>2555768.8816652275</v>
      </c>
      <c r="F19" s="103">
        <v>3127122.7927000001</v>
      </c>
      <c r="G19" s="104">
        <f t="shared" si="0"/>
        <v>1.2235546082173532</v>
      </c>
      <c r="H19" s="103">
        <f t="shared" si="1"/>
        <v>-1082507.6873678181</v>
      </c>
      <c r="I19" s="109">
        <f t="shared" si="2"/>
        <v>-1082507.6873678181</v>
      </c>
      <c r="J19" s="103">
        <f t="shared" si="4"/>
        <v>-929161.55446790438</v>
      </c>
      <c r="K19" s="103">
        <f t="shared" si="5"/>
        <v>-929161.55446790438</v>
      </c>
      <c r="L19" s="103">
        <f t="shared" si="6"/>
        <v>-801373.11038464308</v>
      </c>
      <c r="M19" s="103">
        <f t="shared" si="7"/>
        <v>-801373.11038464308</v>
      </c>
      <c r="N19" s="105">
        <f t="shared" si="8"/>
        <v>-673584.66630138177</v>
      </c>
      <c r="O19" s="103">
        <f t="shared" si="7"/>
        <v>-673584.66630138177</v>
      </c>
      <c r="P19" s="110">
        <f t="shared" si="3"/>
        <v>-571353.91103477264</v>
      </c>
      <c r="Q19" s="109">
        <f t="shared" si="9"/>
        <v>-571353.91103477264</v>
      </c>
    </row>
    <row r="20" spans="1:17" x14ac:dyDescent="0.2">
      <c r="A20" s="107">
        <v>17</v>
      </c>
      <c r="B20" s="108" t="s">
        <v>112</v>
      </c>
      <c r="C20" s="101" t="s">
        <v>1399</v>
      </c>
      <c r="D20" s="100" t="s">
        <v>1399</v>
      </c>
      <c r="E20" s="102">
        <v>4341032.9557910115</v>
      </c>
      <c r="F20" s="103">
        <v>4589265.0929999994</v>
      </c>
      <c r="G20" s="104">
        <f t="shared" si="0"/>
        <v>1.0571827350165224</v>
      </c>
      <c r="H20" s="103">
        <f t="shared" si="1"/>
        <v>-1116438.7283671899</v>
      </c>
      <c r="I20" s="109">
        <f t="shared" si="2"/>
        <v>-1116438.7283671899</v>
      </c>
      <c r="J20" s="103">
        <f t="shared" si="4"/>
        <v>-855976.75101972977</v>
      </c>
      <c r="K20" s="103">
        <f t="shared" si="5"/>
        <v>-855976.75101972977</v>
      </c>
      <c r="L20" s="103">
        <f t="shared" si="6"/>
        <v>-638925.10323017882</v>
      </c>
      <c r="M20" s="103">
        <f t="shared" si="7"/>
        <v>-638925.10323017882</v>
      </c>
      <c r="N20" s="105">
        <f t="shared" si="8"/>
        <v>-421873.45544062834</v>
      </c>
      <c r="O20" s="103">
        <f t="shared" si="7"/>
        <v>-421873.45544062834</v>
      </c>
      <c r="P20" s="110">
        <f t="shared" si="3"/>
        <v>-248232.13720898796</v>
      </c>
      <c r="Q20" s="109">
        <f t="shared" si="9"/>
        <v>-248232.13720898796</v>
      </c>
    </row>
    <row r="21" spans="1:17" x14ac:dyDescent="0.2">
      <c r="A21" s="107">
        <v>18</v>
      </c>
      <c r="B21" s="108" t="s">
        <v>117</v>
      </c>
      <c r="C21" s="101" t="s">
        <v>1399</v>
      </c>
      <c r="D21" s="100" t="s">
        <v>1449</v>
      </c>
      <c r="E21" s="102">
        <v>5140820.1446304554</v>
      </c>
      <c r="F21" s="103">
        <v>4723536.5485000024</v>
      </c>
      <c r="G21" s="104">
        <f t="shared" si="0"/>
        <v>0.91882937266998099</v>
      </c>
      <c r="H21" s="103">
        <f t="shared" si="1"/>
        <v>-610880.43279563775</v>
      </c>
      <c r="I21" s="109">
        <f t="shared" si="2"/>
        <v>-610880.43279563775</v>
      </c>
      <c r="J21" s="103">
        <f t="shared" si="4"/>
        <v>-302431.22411781084</v>
      </c>
      <c r="K21" s="103">
        <f t="shared" si="5"/>
        <v>-302431.22411781084</v>
      </c>
      <c r="L21" s="103">
        <f t="shared" si="6"/>
        <v>-45390.216886287555</v>
      </c>
      <c r="M21" s="103">
        <f t="shared" si="7"/>
        <v>-45390.216886287555</v>
      </c>
      <c r="N21" s="105">
        <f t="shared" si="8"/>
        <v>211650.7903452348</v>
      </c>
      <c r="O21" s="103">
        <f t="shared" si="7"/>
        <v>211650.7903452348</v>
      </c>
      <c r="P21" s="110">
        <f t="shared" si="3"/>
        <v>417283.59613045305</v>
      </c>
      <c r="Q21" s="109">
        <f t="shared" si="9"/>
        <v>417283.59613045305</v>
      </c>
    </row>
    <row r="22" spans="1:17" x14ac:dyDescent="0.2">
      <c r="A22" s="99">
        <v>19</v>
      </c>
      <c r="B22" s="108" t="s">
        <v>113</v>
      </c>
      <c r="C22" s="101" t="s">
        <v>1399</v>
      </c>
      <c r="D22" s="100" t="s">
        <v>1398</v>
      </c>
      <c r="E22" s="102">
        <v>4708656.4792685509</v>
      </c>
      <c r="F22" s="103">
        <v>4719938.9353000009</v>
      </c>
      <c r="G22" s="104">
        <f t="shared" si="0"/>
        <v>1.0023961093957745</v>
      </c>
      <c r="H22" s="103">
        <f t="shared" si="1"/>
        <v>-953013.75188515987</v>
      </c>
      <c r="I22" s="109">
        <f t="shared" si="2"/>
        <v>-953013.75188515987</v>
      </c>
      <c r="J22" s="103">
        <f t="shared" si="4"/>
        <v>-670494.36312904721</v>
      </c>
      <c r="K22" s="103">
        <f t="shared" si="5"/>
        <v>-670494.36312904721</v>
      </c>
      <c r="L22" s="103">
        <f t="shared" si="6"/>
        <v>-435061.53916561976</v>
      </c>
      <c r="M22" s="103">
        <f t="shared" si="7"/>
        <v>-435061.53916561976</v>
      </c>
      <c r="N22" s="105">
        <f t="shared" si="8"/>
        <v>-199628.71520219184</v>
      </c>
      <c r="O22" s="103">
        <f t="shared" si="7"/>
        <v>-199628.71520219184</v>
      </c>
      <c r="P22" s="110">
        <f t="shared" si="3"/>
        <v>-11282.45603145007</v>
      </c>
      <c r="Q22" s="109">
        <f t="shared" si="9"/>
        <v>-11282.45603145007</v>
      </c>
    </row>
    <row r="23" spans="1:17" x14ac:dyDescent="0.2">
      <c r="A23" s="107">
        <v>20</v>
      </c>
      <c r="B23" s="108" t="s">
        <v>118</v>
      </c>
      <c r="C23" s="101" t="s">
        <v>1399</v>
      </c>
      <c r="D23" s="100" t="s">
        <v>1449</v>
      </c>
      <c r="E23" s="102">
        <v>10245142.826539796</v>
      </c>
      <c r="F23" s="103">
        <v>10411691.546400001</v>
      </c>
      <c r="G23" s="104">
        <f t="shared" si="0"/>
        <v>1.0162563590064129</v>
      </c>
      <c r="H23" s="103">
        <f t="shared" si="1"/>
        <v>-2215577.2851681644</v>
      </c>
      <c r="I23" s="109">
        <f t="shared" si="2"/>
        <v>-2215577.2851681644</v>
      </c>
      <c r="J23" s="103">
        <f t="shared" si="4"/>
        <v>-1600868.715575777</v>
      </c>
      <c r="K23" s="103">
        <f t="shared" si="5"/>
        <v>-1600868.715575777</v>
      </c>
      <c r="L23" s="103">
        <f t="shared" si="6"/>
        <v>-1088611.574248787</v>
      </c>
      <c r="M23" s="103">
        <f t="shared" si="7"/>
        <v>-1088611.574248787</v>
      </c>
      <c r="N23" s="105">
        <f t="shared" si="8"/>
        <v>-576354.43292179704</v>
      </c>
      <c r="O23" s="103">
        <f t="shared" si="7"/>
        <v>-576354.43292179704</v>
      </c>
      <c r="P23" s="110">
        <f t="shared" si="3"/>
        <v>-166548.71986020543</v>
      </c>
      <c r="Q23" s="109">
        <f t="shared" si="9"/>
        <v>-166548.71986020543</v>
      </c>
    </row>
    <row r="24" spans="1:17" x14ac:dyDescent="0.2">
      <c r="A24" s="107">
        <v>21</v>
      </c>
      <c r="B24" s="113" t="s">
        <v>1290</v>
      </c>
      <c r="C24" s="101" t="s">
        <v>1399</v>
      </c>
      <c r="D24" s="100" t="s">
        <v>1398</v>
      </c>
      <c r="E24" s="102">
        <v>10063629.838419398</v>
      </c>
      <c r="F24" s="103">
        <v>8956111.3229000047</v>
      </c>
      <c r="G24" s="104">
        <f t="shared" si="0"/>
        <v>0.8899484049690225</v>
      </c>
      <c r="H24" s="103">
        <f t="shared" si="1"/>
        <v>-905207.45216448605</v>
      </c>
      <c r="I24" s="109">
        <f t="shared" si="2"/>
        <v>-905207.45216448605</v>
      </c>
      <c r="J24" s="103">
        <f t="shared" si="4"/>
        <v>-301389.66185932234</v>
      </c>
      <c r="K24" s="103">
        <f t="shared" si="5"/>
        <v>-301389.66185932234</v>
      </c>
      <c r="L24" s="103">
        <f t="shared" si="6"/>
        <v>201791.83006164804</v>
      </c>
      <c r="M24" s="103">
        <f t="shared" si="7"/>
        <v>201791.83006164804</v>
      </c>
      <c r="N24" s="105">
        <f t="shared" si="8"/>
        <v>704973.32198261656</v>
      </c>
      <c r="O24" s="103">
        <f t="shared" si="7"/>
        <v>704973.32198261656</v>
      </c>
      <c r="P24" s="110">
        <f t="shared" si="3"/>
        <v>1107518.5155193936</v>
      </c>
      <c r="Q24" s="109">
        <f t="shared" si="9"/>
        <v>1107518.5155193936</v>
      </c>
    </row>
    <row r="25" spans="1:17" x14ac:dyDescent="0.2">
      <c r="A25" s="99">
        <v>22</v>
      </c>
      <c r="B25" s="111" t="s">
        <v>124</v>
      </c>
      <c r="C25" s="101" t="s">
        <v>1399</v>
      </c>
      <c r="D25" s="100" t="s">
        <v>1399</v>
      </c>
      <c r="E25" s="102">
        <v>18449949.710481029</v>
      </c>
      <c r="F25" s="103">
        <v>19308762.159799997</v>
      </c>
      <c r="G25" s="104">
        <f t="shared" si="0"/>
        <v>1.0465482271114861</v>
      </c>
      <c r="H25" s="103">
        <f t="shared" si="1"/>
        <v>-4548802.3914151732</v>
      </c>
      <c r="I25" s="109">
        <f t="shared" si="2"/>
        <v>-4548802.3914151732</v>
      </c>
      <c r="J25" s="103">
        <f t="shared" si="4"/>
        <v>-3441805.4087863117</v>
      </c>
      <c r="K25" s="103">
        <f t="shared" si="5"/>
        <v>-3441805.4087863117</v>
      </c>
      <c r="L25" s="103">
        <f t="shared" si="6"/>
        <v>-2519307.9232622609</v>
      </c>
      <c r="M25" s="103">
        <f t="shared" si="7"/>
        <v>-2519307.9232622609</v>
      </c>
      <c r="N25" s="105">
        <f t="shared" si="8"/>
        <v>-1596810.43773821</v>
      </c>
      <c r="O25" s="103">
        <f t="shared" si="7"/>
        <v>-1596810.43773821</v>
      </c>
      <c r="P25" s="110">
        <f t="shared" si="3"/>
        <v>-858812.44931896776</v>
      </c>
      <c r="Q25" s="109">
        <f t="shared" si="9"/>
        <v>-858812.44931896776</v>
      </c>
    </row>
    <row r="26" spans="1:17" x14ac:dyDescent="0.2">
      <c r="A26" s="107">
        <v>23</v>
      </c>
      <c r="B26" s="108" t="s">
        <v>119</v>
      </c>
      <c r="C26" s="101" t="s">
        <v>1399</v>
      </c>
      <c r="D26" s="100" t="s">
        <v>1449</v>
      </c>
      <c r="E26" s="102">
        <v>6251572.3401739364</v>
      </c>
      <c r="F26" s="103">
        <v>5741804.7116999999</v>
      </c>
      <c r="G26" s="104">
        <f t="shared" si="0"/>
        <v>0.91845769340329608</v>
      </c>
      <c r="H26" s="103">
        <f t="shared" si="1"/>
        <v>-740546.83956085052</v>
      </c>
      <c r="I26" s="109">
        <f t="shared" si="2"/>
        <v>-740546.83956085052</v>
      </c>
      <c r="J26" s="103">
        <f t="shared" si="4"/>
        <v>-365452.49915041495</v>
      </c>
      <c r="K26" s="103">
        <f t="shared" si="5"/>
        <v>-365452.49915041495</v>
      </c>
      <c r="L26" s="103">
        <f t="shared" si="6"/>
        <v>-52873.88214171771</v>
      </c>
      <c r="M26" s="103">
        <f t="shared" si="7"/>
        <v>-52873.88214171771</v>
      </c>
      <c r="N26" s="105">
        <f t="shared" si="8"/>
        <v>259704.7348669786</v>
      </c>
      <c r="O26" s="103">
        <f t="shared" si="7"/>
        <v>259704.7348669786</v>
      </c>
      <c r="P26" s="110">
        <f t="shared" si="3"/>
        <v>509767.62847393658</v>
      </c>
      <c r="Q26" s="109">
        <f t="shared" si="9"/>
        <v>509767.62847393658</v>
      </c>
    </row>
    <row r="27" spans="1:17" x14ac:dyDescent="0.2">
      <c r="A27" s="107">
        <v>24</v>
      </c>
      <c r="B27" s="108" t="s">
        <v>55</v>
      </c>
      <c r="C27" s="101" t="s">
        <v>16</v>
      </c>
      <c r="D27" s="100" t="s">
        <v>51</v>
      </c>
      <c r="E27" s="102">
        <v>9551303.3350738492</v>
      </c>
      <c r="F27" s="103">
        <v>9717752.9169000033</v>
      </c>
      <c r="G27" s="104">
        <f t="shared" si="0"/>
        <v>1.0174268972502345</v>
      </c>
      <c r="H27" s="103">
        <f t="shared" si="1"/>
        <v>-2076710.2488409234</v>
      </c>
      <c r="I27" s="109">
        <f t="shared" si="2"/>
        <v>-2076710.2488409234</v>
      </c>
      <c r="J27" s="103">
        <f t="shared" si="4"/>
        <v>-1503632.0487364931</v>
      </c>
      <c r="K27" s="103">
        <f t="shared" si="5"/>
        <v>-1503632.0487364931</v>
      </c>
      <c r="L27" s="103">
        <f t="shared" si="6"/>
        <v>-1026066.8819827996</v>
      </c>
      <c r="M27" s="103">
        <f t="shared" si="7"/>
        <v>-1026066.8819827996</v>
      </c>
      <c r="N27" s="105">
        <f t="shared" si="8"/>
        <v>-548501.71522910893</v>
      </c>
      <c r="O27" s="103">
        <f t="shared" si="7"/>
        <v>-548501.71522910893</v>
      </c>
      <c r="P27" s="110">
        <f t="shared" si="3"/>
        <v>-166449.58182615414</v>
      </c>
      <c r="Q27" s="109">
        <f t="shared" si="9"/>
        <v>-166449.58182615414</v>
      </c>
    </row>
    <row r="28" spans="1:17" x14ac:dyDescent="0.2">
      <c r="A28" s="99">
        <v>25</v>
      </c>
      <c r="B28" s="108" t="s">
        <v>42</v>
      </c>
      <c r="C28" s="101" t="s">
        <v>16</v>
      </c>
      <c r="D28" s="100" t="s">
        <v>1535</v>
      </c>
      <c r="E28" s="102">
        <v>9266467.4029167034</v>
      </c>
      <c r="F28" s="103">
        <v>8442394.1138000004</v>
      </c>
      <c r="G28" s="104">
        <f t="shared" si="0"/>
        <v>0.91106931549154124</v>
      </c>
      <c r="H28" s="103">
        <f t="shared" si="1"/>
        <v>-1029220.191466637</v>
      </c>
      <c r="I28" s="109">
        <f t="shared" si="2"/>
        <v>-1029220.191466637</v>
      </c>
      <c r="J28" s="103">
        <f t="shared" si="4"/>
        <v>-473232.14729163516</v>
      </c>
      <c r="K28" s="103">
        <f t="shared" si="5"/>
        <v>-473232.14729163516</v>
      </c>
      <c r="L28" s="103">
        <f t="shared" si="6"/>
        <v>-9908.7771457992494</v>
      </c>
      <c r="M28" s="103">
        <f t="shared" si="7"/>
        <v>-9908.7771457992494</v>
      </c>
      <c r="N28" s="105">
        <f t="shared" si="8"/>
        <v>453414.59300003387</v>
      </c>
      <c r="O28" s="103">
        <f t="shared" si="7"/>
        <v>453414.59300003387</v>
      </c>
      <c r="P28" s="110">
        <f t="shared" si="3"/>
        <v>824073.28911670297</v>
      </c>
      <c r="Q28" s="109">
        <f t="shared" si="9"/>
        <v>824073.28911670297</v>
      </c>
    </row>
    <row r="29" spans="1:17" x14ac:dyDescent="0.2">
      <c r="A29" s="107">
        <v>26</v>
      </c>
      <c r="B29" s="108" t="s">
        <v>61</v>
      </c>
      <c r="C29" s="101" t="s">
        <v>16</v>
      </c>
      <c r="D29" s="100" t="s">
        <v>43</v>
      </c>
      <c r="E29" s="102">
        <v>13302703.732604306</v>
      </c>
      <c r="F29" s="103">
        <v>15115605.266200008</v>
      </c>
      <c r="G29" s="104">
        <f t="shared" si="0"/>
        <v>1.1362806817348239</v>
      </c>
      <c r="H29" s="103">
        <f t="shared" si="1"/>
        <v>-4473442.2801165618</v>
      </c>
      <c r="I29" s="109">
        <f t="shared" si="2"/>
        <v>-4473442.2801165618</v>
      </c>
      <c r="J29" s="103">
        <f t="shared" si="4"/>
        <v>-3675280.0561603047</v>
      </c>
      <c r="K29" s="103">
        <f t="shared" si="5"/>
        <v>-3675280.0561603047</v>
      </c>
      <c r="L29" s="103">
        <f t="shared" si="6"/>
        <v>-3010144.8695300892</v>
      </c>
      <c r="M29" s="103">
        <f t="shared" si="7"/>
        <v>-3010144.8695300892</v>
      </c>
      <c r="N29" s="105">
        <f t="shared" si="8"/>
        <v>-2345009.6828998737</v>
      </c>
      <c r="O29" s="103">
        <f t="shared" si="7"/>
        <v>-2345009.6828998737</v>
      </c>
      <c r="P29" s="110">
        <f t="shared" si="3"/>
        <v>-1812901.5335957017</v>
      </c>
      <c r="Q29" s="109">
        <f t="shared" si="9"/>
        <v>-1812901.5335957017</v>
      </c>
    </row>
    <row r="30" spans="1:17" x14ac:dyDescent="0.2">
      <c r="A30" s="107">
        <v>27</v>
      </c>
      <c r="B30" s="108" t="s">
        <v>50</v>
      </c>
      <c r="C30" s="101" t="s">
        <v>16</v>
      </c>
      <c r="D30" s="100" t="s">
        <v>51</v>
      </c>
      <c r="E30" s="102">
        <v>25307571.191732503</v>
      </c>
      <c r="F30" s="103">
        <v>18441931.389700007</v>
      </c>
      <c r="G30" s="104">
        <f t="shared" si="0"/>
        <v>0.72871202257941803</v>
      </c>
      <c r="H30" s="103">
        <f t="shared" si="1"/>
        <v>1804125.5636859983</v>
      </c>
      <c r="I30" s="109">
        <f t="shared" si="2"/>
        <v>1804125.5636859983</v>
      </c>
      <c r="J30" s="103">
        <f t="shared" si="4"/>
        <v>3322579.835189946</v>
      </c>
      <c r="K30" s="103">
        <f t="shared" si="5"/>
        <v>3322579.835189946</v>
      </c>
      <c r="L30" s="103">
        <f t="shared" si="6"/>
        <v>4587958.3947765715</v>
      </c>
      <c r="M30" s="103">
        <f t="shared" si="7"/>
        <v>4587958.3947765715</v>
      </c>
      <c r="N30" s="105">
        <f t="shared" si="8"/>
        <v>5853336.9543631971</v>
      </c>
      <c r="O30" s="103">
        <f t="shared" si="7"/>
        <v>5853336.9543631971</v>
      </c>
      <c r="P30" s="110">
        <f t="shared" si="3"/>
        <v>6865639.8020324968</v>
      </c>
      <c r="Q30" s="109">
        <f t="shared" si="9"/>
        <v>6865639.8020324968</v>
      </c>
    </row>
    <row r="31" spans="1:17" x14ac:dyDescent="0.2">
      <c r="A31" s="99">
        <v>28</v>
      </c>
      <c r="B31" s="112" t="s">
        <v>60</v>
      </c>
      <c r="C31" s="101" t="s">
        <v>16</v>
      </c>
      <c r="D31" s="100" t="s">
        <v>43</v>
      </c>
      <c r="E31" s="102">
        <v>18946297.690258566</v>
      </c>
      <c r="F31" s="103">
        <v>21084970.483200006</v>
      </c>
      <c r="G31" s="104">
        <f t="shared" si="0"/>
        <v>1.1128807763873076</v>
      </c>
      <c r="H31" s="103">
        <f t="shared" si="1"/>
        <v>-5927932.3309931532</v>
      </c>
      <c r="I31" s="109">
        <f t="shared" si="2"/>
        <v>-5927932.3309931532</v>
      </c>
      <c r="J31" s="103">
        <f t="shared" si="4"/>
        <v>-4791154.4695776403</v>
      </c>
      <c r="K31" s="103">
        <f t="shared" si="5"/>
        <v>-4791154.4695776403</v>
      </c>
      <c r="L31" s="103">
        <f t="shared" si="6"/>
        <v>-3843839.5850647092</v>
      </c>
      <c r="M31" s="103">
        <f t="shared" si="7"/>
        <v>-3843839.5850647092</v>
      </c>
      <c r="N31" s="105">
        <f t="shared" si="8"/>
        <v>-2896524.7005517818</v>
      </c>
      <c r="O31" s="103">
        <f t="shared" si="7"/>
        <v>-2896524.7005517818</v>
      </c>
      <c r="P31" s="110">
        <f t="shared" si="3"/>
        <v>-2138672.7929414399</v>
      </c>
      <c r="Q31" s="109">
        <f t="shared" si="9"/>
        <v>-2138672.7929414399</v>
      </c>
    </row>
    <row r="32" spans="1:17" x14ac:dyDescent="0.2">
      <c r="A32" s="107">
        <v>29</v>
      </c>
      <c r="B32" s="108" t="s">
        <v>52</v>
      </c>
      <c r="C32" s="101" t="s">
        <v>16</v>
      </c>
      <c r="D32" s="100" t="s">
        <v>51</v>
      </c>
      <c r="E32" s="102">
        <v>12076103.105302326</v>
      </c>
      <c r="F32" s="103">
        <v>12252773.970900003</v>
      </c>
      <c r="G32" s="104">
        <f t="shared" si="0"/>
        <v>1.0146297910888245</v>
      </c>
      <c r="H32" s="103">
        <f t="shared" si="1"/>
        <v>-2591891.486658141</v>
      </c>
      <c r="I32" s="109">
        <f t="shared" si="2"/>
        <v>-2591891.486658141</v>
      </c>
      <c r="J32" s="103">
        <f t="shared" si="4"/>
        <v>-1867325.3003400024</v>
      </c>
      <c r="K32" s="103">
        <f t="shared" si="5"/>
        <v>-1867325.3003400024</v>
      </c>
      <c r="L32" s="103">
        <f t="shared" si="6"/>
        <v>-1263520.1450748853</v>
      </c>
      <c r="M32" s="103">
        <f t="shared" si="7"/>
        <v>-1263520.1450748853</v>
      </c>
      <c r="N32" s="105">
        <f t="shared" si="8"/>
        <v>-659714.98980977014</v>
      </c>
      <c r="O32" s="103">
        <f t="shared" si="7"/>
        <v>-659714.98980977014</v>
      </c>
      <c r="P32" s="110">
        <f t="shared" si="3"/>
        <v>-176670.86559767649</v>
      </c>
      <c r="Q32" s="109">
        <f t="shared" si="9"/>
        <v>-176670.86559767649</v>
      </c>
    </row>
    <row r="33" spans="1:17" x14ac:dyDescent="0.2">
      <c r="A33" s="107">
        <v>30</v>
      </c>
      <c r="B33" s="189" t="s">
        <v>57</v>
      </c>
      <c r="C33" s="101" t="s">
        <v>16</v>
      </c>
      <c r="D33" s="100" t="s">
        <v>1536</v>
      </c>
      <c r="E33" s="102">
        <v>6827906.7118562385</v>
      </c>
      <c r="F33" s="103">
        <v>7831770.348600002</v>
      </c>
      <c r="G33" s="104">
        <f t="shared" si="0"/>
        <v>1.1470236309761843</v>
      </c>
      <c r="H33" s="103">
        <f t="shared" si="1"/>
        <v>-2369444.9791150112</v>
      </c>
      <c r="I33" s="109">
        <f t="shared" si="2"/>
        <v>-2369444.9791150112</v>
      </c>
      <c r="J33" s="103">
        <f t="shared" si="4"/>
        <v>-1959770.5764036365</v>
      </c>
      <c r="K33" s="103">
        <f t="shared" si="5"/>
        <v>-1959770.5764036365</v>
      </c>
      <c r="L33" s="103">
        <f t="shared" si="6"/>
        <v>-1618375.2408108246</v>
      </c>
      <c r="M33" s="103">
        <f t="shared" si="7"/>
        <v>-1618375.2408108246</v>
      </c>
      <c r="N33" s="105">
        <f t="shared" si="8"/>
        <v>-1276979.9052180136</v>
      </c>
      <c r="O33" s="103">
        <f t="shared" si="7"/>
        <v>-1276979.9052180136</v>
      </c>
      <c r="P33" s="110">
        <f t="shared" si="3"/>
        <v>-1003863.6367437635</v>
      </c>
      <c r="Q33" s="109">
        <f t="shared" si="9"/>
        <v>-1003863.6367437635</v>
      </c>
    </row>
    <row r="34" spans="1:17" s="115" customFormat="1" x14ac:dyDescent="0.2">
      <c r="A34" s="114">
        <v>31</v>
      </c>
      <c r="B34" s="108" t="s">
        <v>44</v>
      </c>
      <c r="C34" s="101" t="s">
        <v>16</v>
      </c>
      <c r="D34" s="100" t="s">
        <v>1535</v>
      </c>
      <c r="E34" s="102">
        <v>3019183.2145583984</v>
      </c>
      <c r="F34" s="103">
        <v>1872030.9523</v>
      </c>
      <c r="G34" s="104">
        <f t="shared" si="0"/>
        <v>0.62004549550790122</v>
      </c>
      <c r="H34" s="116">
        <f t="shared" si="1"/>
        <v>543315.61934671877</v>
      </c>
      <c r="I34" s="117">
        <f t="shared" si="2"/>
        <v>543315.61934671877</v>
      </c>
      <c r="J34" s="116">
        <f t="shared" si="4"/>
        <v>724466.6122202226</v>
      </c>
      <c r="K34" s="116">
        <f t="shared" si="5"/>
        <v>724466.6122202226</v>
      </c>
      <c r="L34" s="116">
        <f t="shared" si="6"/>
        <v>875425.77294814261</v>
      </c>
      <c r="M34" s="116">
        <f t="shared" si="7"/>
        <v>875425.77294814261</v>
      </c>
      <c r="N34" s="118">
        <f t="shared" si="8"/>
        <v>1026384.9336760622</v>
      </c>
      <c r="O34" s="116">
        <f t="shared" si="7"/>
        <v>1026384.9336760622</v>
      </c>
      <c r="P34" s="119">
        <f t="shared" si="3"/>
        <v>1147152.2622583983</v>
      </c>
      <c r="Q34" s="117">
        <f t="shared" si="9"/>
        <v>1147152.2622583983</v>
      </c>
    </row>
    <row r="35" spans="1:17" x14ac:dyDescent="0.2">
      <c r="A35" s="107">
        <v>32</v>
      </c>
      <c r="B35" s="108" t="s">
        <v>15</v>
      </c>
      <c r="C35" s="101" t="s">
        <v>16</v>
      </c>
      <c r="D35" s="100" t="s">
        <v>1451</v>
      </c>
      <c r="E35" s="102">
        <v>16874735.20862326</v>
      </c>
      <c r="F35" s="103">
        <v>17010990.527199998</v>
      </c>
      <c r="G35" s="104">
        <f t="shared" si="0"/>
        <v>1.0080745159489739</v>
      </c>
      <c r="H35" s="103">
        <f t="shared" si="1"/>
        <v>-3511202.3603013903</v>
      </c>
      <c r="I35" s="109">
        <f t="shared" si="2"/>
        <v>-3511202.3603013903</v>
      </c>
      <c r="J35" s="103">
        <f t="shared" si="4"/>
        <v>-2498718.2477839943</v>
      </c>
      <c r="K35" s="103">
        <f t="shared" si="5"/>
        <v>-2498718.2477839943</v>
      </c>
      <c r="L35" s="103">
        <f t="shared" si="6"/>
        <v>-1654981.4873528313</v>
      </c>
      <c r="M35" s="103">
        <f t="shared" si="7"/>
        <v>-1654981.4873528313</v>
      </c>
      <c r="N35" s="105">
        <f t="shared" si="8"/>
        <v>-811244.72692167014</v>
      </c>
      <c r="O35" s="103">
        <f t="shared" si="7"/>
        <v>-811244.72692167014</v>
      </c>
      <c r="P35" s="110">
        <f t="shared" si="3"/>
        <v>-136255.31857673824</v>
      </c>
      <c r="Q35" s="109">
        <f t="shared" si="9"/>
        <v>-136255.31857673824</v>
      </c>
    </row>
    <row r="36" spans="1:17" s="120" customFormat="1" x14ac:dyDescent="0.2">
      <c r="A36" s="107">
        <v>33</v>
      </c>
      <c r="B36" s="108" t="s">
        <v>20</v>
      </c>
      <c r="C36" s="101" t="s">
        <v>16</v>
      </c>
      <c r="D36" s="100" t="s">
        <v>1450</v>
      </c>
      <c r="E36" s="102">
        <v>30453441.067128912</v>
      </c>
      <c r="F36" s="103">
        <v>30642958.398900002</v>
      </c>
      <c r="G36" s="104">
        <f t="shared" si="0"/>
        <v>1.0062231828368209</v>
      </c>
      <c r="H36" s="103">
        <f t="shared" ref="H36:H66" si="10">(E36*0.8)-F36</f>
        <v>-6280205.5451968722</v>
      </c>
      <c r="I36" s="109">
        <f t="shared" ref="I36:I66" si="11">H36/$Q$2</f>
        <v>-6280205.5451968722</v>
      </c>
      <c r="J36" s="103">
        <f t="shared" si="4"/>
        <v>-4452999.0811691396</v>
      </c>
      <c r="K36" s="103">
        <f t="shared" si="5"/>
        <v>-4452999.0811691396</v>
      </c>
      <c r="L36" s="103">
        <f t="shared" si="6"/>
        <v>-2930327.0278126933</v>
      </c>
      <c r="M36" s="103">
        <f t="shared" si="7"/>
        <v>-2930327.0278126933</v>
      </c>
      <c r="N36" s="105">
        <f t="shared" si="8"/>
        <v>-1407654.9744562469</v>
      </c>
      <c r="O36" s="103">
        <f t="shared" si="7"/>
        <v>-1407654.9744562469</v>
      </c>
      <c r="P36" s="110">
        <f t="shared" ref="P36:P66" si="12">E36-F36</f>
        <v>-189517.33177109063</v>
      </c>
      <c r="Q36" s="109">
        <f t="shared" si="9"/>
        <v>-189517.33177109063</v>
      </c>
    </row>
    <row r="37" spans="1:17" x14ac:dyDescent="0.2">
      <c r="A37" s="99">
        <v>34</v>
      </c>
      <c r="B37" s="108" t="s">
        <v>46</v>
      </c>
      <c r="C37" s="101" t="s">
        <v>16</v>
      </c>
      <c r="D37" s="100" t="s">
        <v>47</v>
      </c>
      <c r="E37" s="102">
        <v>7137284.1672290163</v>
      </c>
      <c r="F37" s="103">
        <v>7614226.5439000018</v>
      </c>
      <c r="G37" s="104">
        <f t="shared" si="0"/>
        <v>1.0668240699818112</v>
      </c>
      <c r="H37" s="103">
        <f t="shared" si="10"/>
        <v>-1904399.2101167887</v>
      </c>
      <c r="I37" s="109">
        <f t="shared" si="11"/>
        <v>-1904399.2101167887</v>
      </c>
      <c r="J37" s="103">
        <f t="shared" si="4"/>
        <v>-1476162.160083048</v>
      </c>
      <c r="K37" s="103">
        <f t="shared" si="5"/>
        <v>-1476162.160083048</v>
      </c>
      <c r="L37" s="103">
        <f t="shared" si="6"/>
        <v>-1119297.9517215965</v>
      </c>
      <c r="M37" s="103">
        <f t="shared" si="7"/>
        <v>-1119297.9517215965</v>
      </c>
      <c r="N37" s="105">
        <f t="shared" si="8"/>
        <v>-762433.74336014595</v>
      </c>
      <c r="O37" s="103">
        <f t="shared" si="7"/>
        <v>-762433.74336014595</v>
      </c>
      <c r="P37" s="110">
        <f t="shared" si="12"/>
        <v>-476942.37667098548</v>
      </c>
      <c r="Q37" s="109">
        <f t="shared" si="9"/>
        <v>-476942.37667098548</v>
      </c>
    </row>
    <row r="38" spans="1:17" x14ac:dyDescent="0.2">
      <c r="A38" s="107">
        <v>35</v>
      </c>
      <c r="B38" s="108" t="s">
        <v>19</v>
      </c>
      <c r="C38" s="101" t="s">
        <v>16</v>
      </c>
      <c r="D38" s="100" t="s">
        <v>1452</v>
      </c>
      <c r="E38" s="102">
        <v>30804280.377983987</v>
      </c>
      <c r="F38" s="103">
        <v>21125123.643400002</v>
      </c>
      <c r="G38" s="104">
        <f t="shared" si="0"/>
        <v>0.6857853319144005</v>
      </c>
      <c r="H38" s="103">
        <f t="shared" si="10"/>
        <v>3518300.6589871906</v>
      </c>
      <c r="I38" s="109">
        <f t="shared" si="11"/>
        <v>3518300.6589871906</v>
      </c>
      <c r="J38" s="103">
        <f t="shared" si="4"/>
        <v>5366557.4816662259</v>
      </c>
      <c r="K38" s="103">
        <f t="shared" si="5"/>
        <v>5366557.4816662259</v>
      </c>
      <c r="L38" s="103">
        <f t="shared" si="6"/>
        <v>6906771.5005654283</v>
      </c>
      <c r="M38" s="103">
        <f t="shared" si="7"/>
        <v>6906771.5005654283</v>
      </c>
      <c r="N38" s="105">
        <f t="shared" si="8"/>
        <v>8446985.5194646232</v>
      </c>
      <c r="O38" s="103">
        <f t="shared" si="7"/>
        <v>8446985.5194646232</v>
      </c>
      <c r="P38" s="110">
        <f t="shared" si="12"/>
        <v>9679156.7345839851</v>
      </c>
      <c r="Q38" s="109">
        <f t="shared" si="9"/>
        <v>9679156.7345839851</v>
      </c>
    </row>
    <row r="39" spans="1:17" x14ac:dyDescent="0.2">
      <c r="A39" s="107">
        <v>36</v>
      </c>
      <c r="B39" s="108" t="s">
        <v>62</v>
      </c>
      <c r="C39" s="101" t="s">
        <v>65</v>
      </c>
      <c r="D39" s="100" t="s">
        <v>1461</v>
      </c>
      <c r="E39" s="102">
        <v>6593090.8224562407</v>
      </c>
      <c r="F39" s="103">
        <v>6167709.9113999978</v>
      </c>
      <c r="G39" s="104">
        <f t="shared" si="0"/>
        <v>0.93548080520787236</v>
      </c>
      <c r="H39" s="103">
        <f t="shared" si="10"/>
        <v>-893237.2534350045</v>
      </c>
      <c r="I39" s="109">
        <f t="shared" si="11"/>
        <v>-893237.2534350045</v>
      </c>
      <c r="J39" s="103">
        <f t="shared" si="4"/>
        <v>-497651.80408763047</v>
      </c>
      <c r="K39" s="103">
        <f t="shared" si="5"/>
        <v>-497651.80408763047</v>
      </c>
      <c r="L39" s="103">
        <f t="shared" si="6"/>
        <v>-167997.26296481863</v>
      </c>
      <c r="M39" s="103">
        <f t="shared" si="7"/>
        <v>-167997.26296481863</v>
      </c>
      <c r="N39" s="105">
        <f t="shared" si="8"/>
        <v>161657.27815799322</v>
      </c>
      <c r="O39" s="103">
        <f t="shared" si="7"/>
        <v>161657.27815799322</v>
      </c>
      <c r="P39" s="110">
        <f t="shared" si="12"/>
        <v>425380.91105624288</v>
      </c>
      <c r="Q39" s="109">
        <f t="shared" si="9"/>
        <v>425380.91105624288</v>
      </c>
    </row>
    <row r="40" spans="1:17" x14ac:dyDescent="0.2">
      <c r="A40" s="99">
        <v>37</v>
      </c>
      <c r="B40" s="108" t="s">
        <v>48</v>
      </c>
      <c r="C40" s="101" t="s">
        <v>16</v>
      </c>
      <c r="D40" s="100" t="s">
        <v>47</v>
      </c>
      <c r="E40" s="102">
        <v>50054341.084826201</v>
      </c>
      <c r="F40" s="103">
        <v>52729026.410200022</v>
      </c>
      <c r="G40" s="104">
        <f t="shared" si="0"/>
        <v>1.0534356315037907</v>
      </c>
      <c r="H40" s="103">
        <f t="shared" si="10"/>
        <v>-12685553.542339057</v>
      </c>
      <c r="I40" s="109">
        <f t="shared" si="11"/>
        <v>-12685553.542339057</v>
      </c>
      <c r="J40" s="103">
        <f t="shared" si="4"/>
        <v>-9682293.0772494897</v>
      </c>
      <c r="K40" s="103">
        <f t="shared" si="5"/>
        <v>-9682293.0772494897</v>
      </c>
      <c r="L40" s="103">
        <f t="shared" si="6"/>
        <v>-7179576.0230081752</v>
      </c>
      <c r="M40" s="103">
        <f t="shared" si="7"/>
        <v>-7179576.0230081752</v>
      </c>
      <c r="N40" s="105">
        <f t="shared" si="8"/>
        <v>-4676858.9687668681</v>
      </c>
      <c r="O40" s="103">
        <f t="shared" si="7"/>
        <v>-4676858.9687668681</v>
      </c>
      <c r="P40" s="110">
        <f t="shared" si="12"/>
        <v>-2674685.325373821</v>
      </c>
      <c r="Q40" s="109">
        <f t="shared" si="9"/>
        <v>-2674685.325373821</v>
      </c>
    </row>
    <row r="41" spans="1:17" x14ac:dyDescent="0.2">
      <c r="A41" s="107">
        <v>38</v>
      </c>
      <c r="B41" s="108" t="s">
        <v>49</v>
      </c>
      <c r="C41" s="101" t="s">
        <v>16</v>
      </c>
      <c r="D41" s="100" t="s">
        <v>1535</v>
      </c>
      <c r="E41" s="102">
        <v>13971184.888132874</v>
      </c>
      <c r="F41" s="103">
        <v>14884903.4682</v>
      </c>
      <c r="G41" s="104">
        <f t="shared" si="0"/>
        <v>1.0654002210537803</v>
      </c>
      <c r="H41" s="103">
        <f t="shared" si="10"/>
        <v>-3707955.5576936994</v>
      </c>
      <c r="I41" s="109">
        <f t="shared" si="11"/>
        <v>-3707955.5576936994</v>
      </c>
      <c r="J41" s="103">
        <f t="shared" si="4"/>
        <v>-2869684.4644057285</v>
      </c>
      <c r="K41" s="103">
        <f t="shared" si="5"/>
        <v>-2869684.4644057285</v>
      </c>
      <c r="L41" s="103">
        <f t="shared" si="6"/>
        <v>-2171125.2199990842</v>
      </c>
      <c r="M41" s="103">
        <f t="shared" si="7"/>
        <v>-2171125.2199990842</v>
      </c>
      <c r="N41" s="105">
        <f t="shared" si="8"/>
        <v>-1472565.9755924419</v>
      </c>
      <c r="O41" s="103">
        <f t="shared" si="7"/>
        <v>-1472565.9755924419</v>
      </c>
      <c r="P41" s="110">
        <f t="shared" si="12"/>
        <v>-913718.58006712608</v>
      </c>
      <c r="Q41" s="109">
        <f t="shared" si="9"/>
        <v>-913718.58006712608</v>
      </c>
    </row>
    <row r="42" spans="1:17" x14ac:dyDescent="0.2">
      <c r="A42" s="107">
        <v>39</v>
      </c>
      <c r="B42" s="108" t="s">
        <v>54</v>
      </c>
      <c r="C42" s="101" t="s">
        <v>16</v>
      </c>
      <c r="D42" s="100" t="s">
        <v>1536</v>
      </c>
      <c r="E42" s="102">
        <v>18045010.864251114</v>
      </c>
      <c r="F42" s="103">
        <v>16584226.604799999</v>
      </c>
      <c r="G42" s="104">
        <f t="shared" si="0"/>
        <v>0.91904774840867132</v>
      </c>
      <c r="H42" s="103">
        <f t="shared" si="10"/>
        <v>-2148217.9133991059</v>
      </c>
      <c r="I42" s="109">
        <f t="shared" si="11"/>
        <v>-2148217.9133991059</v>
      </c>
      <c r="J42" s="103">
        <f t="shared" si="4"/>
        <v>-1065517.2615440413</v>
      </c>
      <c r="K42" s="103">
        <f t="shared" si="5"/>
        <v>-1065517.2615440413</v>
      </c>
      <c r="L42" s="103">
        <f t="shared" si="6"/>
        <v>-163266.71833148412</v>
      </c>
      <c r="M42" s="103">
        <f t="shared" si="7"/>
        <v>-163266.71833148412</v>
      </c>
      <c r="N42" s="105">
        <f t="shared" si="8"/>
        <v>738983.82488107122</v>
      </c>
      <c r="O42" s="103">
        <f t="shared" si="7"/>
        <v>738983.82488107122</v>
      </c>
      <c r="P42" s="110">
        <f t="shared" si="12"/>
        <v>1460784.2594511155</v>
      </c>
      <c r="Q42" s="109">
        <f t="shared" si="9"/>
        <v>1460784.2594511155</v>
      </c>
    </row>
    <row r="43" spans="1:17" x14ac:dyDescent="0.2">
      <c r="A43" s="99">
        <v>40</v>
      </c>
      <c r="B43" s="108" t="s">
        <v>63</v>
      </c>
      <c r="C43" s="101" t="s">
        <v>65</v>
      </c>
      <c r="D43" s="100" t="s">
        <v>1461</v>
      </c>
      <c r="E43" s="102">
        <v>21390469.620299261</v>
      </c>
      <c r="F43" s="103">
        <v>22168705.641800012</v>
      </c>
      <c r="G43" s="104">
        <f t="shared" si="0"/>
        <v>1.0363823719308256</v>
      </c>
      <c r="H43" s="103">
        <f t="shared" si="10"/>
        <v>-5056329.9455606043</v>
      </c>
      <c r="I43" s="109">
        <f t="shared" si="11"/>
        <v>-5056329.9455606043</v>
      </c>
      <c r="J43" s="103">
        <f t="shared" si="4"/>
        <v>-3772901.7683426477</v>
      </c>
      <c r="K43" s="103">
        <f t="shared" si="5"/>
        <v>-3772901.7683426477</v>
      </c>
      <c r="L43" s="103">
        <f t="shared" si="6"/>
        <v>-2703378.2873276845</v>
      </c>
      <c r="M43" s="103">
        <f t="shared" si="7"/>
        <v>-2703378.2873276845</v>
      </c>
      <c r="N43" s="105">
        <f t="shared" si="8"/>
        <v>-1633854.8063127212</v>
      </c>
      <c r="O43" s="103">
        <f t="shared" si="7"/>
        <v>-1633854.8063127212</v>
      </c>
      <c r="P43" s="110">
        <f t="shared" si="12"/>
        <v>-778236.02150075138</v>
      </c>
      <c r="Q43" s="109">
        <f t="shared" si="9"/>
        <v>-778236.02150075138</v>
      </c>
    </row>
    <row r="44" spans="1:17" x14ac:dyDescent="0.2">
      <c r="A44" s="107">
        <v>41</v>
      </c>
      <c r="B44" s="108" t="s">
        <v>59</v>
      </c>
      <c r="C44" s="101" t="s">
        <v>16</v>
      </c>
      <c r="D44" s="100" t="s">
        <v>1536</v>
      </c>
      <c r="E44" s="102">
        <v>16497542.91894572</v>
      </c>
      <c r="F44" s="103">
        <v>18801128.409000013</v>
      </c>
      <c r="G44" s="104">
        <f t="shared" si="0"/>
        <v>1.1396320349867897</v>
      </c>
      <c r="H44" s="103">
        <f t="shared" si="10"/>
        <v>-5603094.0738434363</v>
      </c>
      <c r="I44" s="109">
        <f t="shared" si="11"/>
        <v>-5603094.0738434363</v>
      </c>
      <c r="J44" s="103">
        <f t="shared" si="4"/>
        <v>-4613241.4987066928</v>
      </c>
      <c r="K44" s="103">
        <f t="shared" si="5"/>
        <v>-4613241.4987066928</v>
      </c>
      <c r="L44" s="103">
        <f t="shared" si="6"/>
        <v>-3788364.3527594078</v>
      </c>
      <c r="M44" s="103">
        <f t="shared" si="7"/>
        <v>-3788364.3527594078</v>
      </c>
      <c r="N44" s="105">
        <f t="shared" si="8"/>
        <v>-2963487.2068121228</v>
      </c>
      <c r="O44" s="103">
        <f t="shared" si="7"/>
        <v>-2963487.2068121228</v>
      </c>
      <c r="P44" s="110">
        <f t="shared" si="12"/>
        <v>-2303585.4900542926</v>
      </c>
      <c r="Q44" s="109">
        <f t="shared" si="9"/>
        <v>-2303585.4900542926</v>
      </c>
    </row>
    <row r="45" spans="1:17" x14ac:dyDescent="0.2">
      <c r="A45" s="107">
        <v>42</v>
      </c>
      <c r="B45" s="108" t="s">
        <v>56</v>
      </c>
      <c r="C45" s="101" t="s">
        <v>16</v>
      </c>
      <c r="D45" s="100" t="s">
        <v>43</v>
      </c>
      <c r="E45" s="102">
        <v>7631135.5841433015</v>
      </c>
      <c r="F45" s="103">
        <v>6942003.734000002</v>
      </c>
      <c r="G45" s="104">
        <f t="shared" si="0"/>
        <v>0.90969471809998459</v>
      </c>
      <c r="H45" s="103">
        <f t="shared" si="10"/>
        <v>-837095.26668536011</v>
      </c>
      <c r="I45" s="109">
        <f t="shared" si="11"/>
        <v>-837095.26668536011</v>
      </c>
      <c r="J45" s="103">
        <f t="shared" si="4"/>
        <v>-379227.13163676299</v>
      </c>
      <c r="K45" s="103">
        <f t="shared" si="5"/>
        <v>-379227.13163676299</v>
      </c>
      <c r="L45" s="103">
        <f t="shared" si="6"/>
        <v>2329.6475704023615</v>
      </c>
      <c r="M45" s="103">
        <f t="shared" si="7"/>
        <v>2329.6475704023615</v>
      </c>
      <c r="N45" s="105">
        <f t="shared" si="8"/>
        <v>383886.42677756678</v>
      </c>
      <c r="O45" s="103">
        <f t="shared" si="7"/>
        <v>383886.42677756678</v>
      </c>
      <c r="P45" s="110">
        <f t="shared" si="12"/>
        <v>689131.85014329944</v>
      </c>
      <c r="Q45" s="109">
        <f t="shared" si="9"/>
        <v>689131.85014329944</v>
      </c>
    </row>
    <row r="46" spans="1:17" x14ac:dyDescent="0.2">
      <c r="A46" s="99">
        <v>43</v>
      </c>
      <c r="B46" s="108" t="s">
        <v>25</v>
      </c>
      <c r="C46" s="101" t="s">
        <v>16</v>
      </c>
      <c r="D46" s="100" t="s">
        <v>22</v>
      </c>
      <c r="E46" s="102">
        <v>13591857.520507719</v>
      </c>
      <c r="F46" s="103">
        <v>13628906.219799997</v>
      </c>
      <c r="G46" s="104">
        <f t="shared" si="0"/>
        <v>1.0027258010346547</v>
      </c>
      <c r="H46" s="103">
        <f t="shared" si="10"/>
        <v>-2755420.2033938207</v>
      </c>
      <c r="I46" s="109">
        <f t="shared" si="11"/>
        <v>-2755420.2033938207</v>
      </c>
      <c r="J46" s="103">
        <f t="shared" si="4"/>
        <v>-1939908.752163358</v>
      </c>
      <c r="K46" s="103">
        <f t="shared" si="5"/>
        <v>-1939908.752163358</v>
      </c>
      <c r="L46" s="103">
        <f t="shared" si="6"/>
        <v>-1260315.8761379719</v>
      </c>
      <c r="M46" s="103">
        <f t="shared" si="7"/>
        <v>-1260315.8761379719</v>
      </c>
      <c r="N46" s="105">
        <f t="shared" si="8"/>
        <v>-580723.00011258759</v>
      </c>
      <c r="O46" s="103">
        <f t="shared" si="7"/>
        <v>-580723.00011258759</v>
      </c>
      <c r="P46" s="110">
        <f t="shared" si="12"/>
        <v>-37048.699292277917</v>
      </c>
      <c r="Q46" s="109">
        <f t="shared" si="9"/>
        <v>-37048.699292277917</v>
      </c>
    </row>
    <row r="47" spans="1:17" x14ac:dyDescent="0.2">
      <c r="A47" s="107">
        <v>44</v>
      </c>
      <c r="B47" s="108" t="s">
        <v>24</v>
      </c>
      <c r="C47" s="101" t="s">
        <v>16</v>
      </c>
      <c r="D47" s="100" t="s">
        <v>22</v>
      </c>
      <c r="E47" s="102">
        <v>8161235.8873888543</v>
      </c>
      <c r="F47" s="103">
        <v>9250627.3529000003</v>
      </c>
      <c r="G47" s="104">
        <f t="shared" si="0"/>
        <v>1.1334836390643392</v>
      </c>
      <c r="H47" s="103">
        <f t="shared" si="10"/>
        <v>-2721638.6429889165</v>
      </c>
      <c r="I47" s="109">
        <f t="shared" si="11"/>
        <v>-2721638.6429889165</v>
      </c>
      <c r="J47" s="103">
        <f t="shared" si="4"/>
        <v>-2231964.4897455852</v>
      </c>
      <c r="K47" s="103">
        <f t="shared" si="5"/>
        <v>-2231964.4897455852</v>
      </c>
      <c r="L47" s="103">
        <f t="shared" si="6"/>
        <v>-1823902.6953761429</v>
      </c>
      <c r="M47" s="103">
        <f t="shared" si="7"/>
        <v>-1823902.6953761429</v>
      </c>
      <c r="N47" s="105">
        <f t="shared" si="8"/>
        <v>-1415840.9010067005</v>
      </c>
      <c r="O47" s="103">
        <f t="shared" si="7"/>
        <v>-1415840.9010067005</v>
      </c>
      <c r="P47" s="110">
        <f t="shared" si="12"/>
        <v>-1089391.465511146</v>
      </c>
      <c r="Q47" s="109">
        <f t="shared" si="9"/>
        <v>-1089391.465511146</v>
      </c>
    </row>
    <row r="48" spans="1:17" x14ac:dyDescent="0.2">
      <c r="A48" s="107">
        <v>45</v>
      </c>
      <c r="B48" s="108" t="s">
        <v>23</v>
      </c>
      <c r="C48" s="101" t="s">
        <v>16</v>
      </c>
      <c r="D48" s="100" t="s">
        <v>1451</v>
      </c>
      <c r="E48" s="102">
        <v>17986893.063551113</v>
      </c>
      <c r="F48" s="103">
        <v>18134039.830200002</v>
      </c>
      <c r="G48" s="104">
        <f t="shared" si="0"/>
        <v>1.0081807773098439</v>
      </c>
      <c r="H48" s="103">
        <f t="shared" si="10"/>
        <v>-3744525.3793591112</v>
      </c>
      <c r="I48" s="109">
        <f t="shared" si="11"/>
        <v>-3744525.3793591112</v>
      </c>
      <c r="J48" s="103">
        <f t="shared" si="4"/>
        <v>-2665311.7955460455</v>
      </c>
      <c r="K48" s="103">
        <f t="shared" si="5"/>
        <v>-2665311.7955460455</v>
      </c>
      <c r="L48" s="103">
        <f t="shared" si="6"/>
        <v>-1765967.142368488</v>
      </c>
      <c r="M48" s="103">
        <f t="shared" si="7"/>
        <v>-1765967.142368488</v>
      </c>
      <c r="N48" s="105">
        <f t="shared" si="8"/>
        <v>-866622.48919093236</v>
      </c>
      <c r="O48" s="103">
        <f t="shared" si="7"/>
        <v>-866622.48919093236</v>
      </c>
      <c r="P48" s="110">
        <f t="shared" si="12"/>
        <v>-147146.76664888859</v>
      </c>
      <c r="Q48" s="109">
        <f t="shared" si="9"/>
        <v>-147146.76664888859</v>
      </c>
    </row>
    <row r="49" spans="1:17" x14ac:dyDescent="0.2">
      <c r="A49" s="99">
        <v>46</v>
      </c>
      <c r="B49" s="108" t="s">
        <v>18</v>
      </c>
      <c r="C49" s="101" t="s">
        <v>16</v>
      </c>
      <c r="D49" s="100" t="s">
        <v>1450</v>
      </c>
      <c r="E49" s="102">
        <v>7928236.2108317101</v>
      </c>
      <c r="F49" s="103">
        <v>8466022.9173000008</v>
      </c>
      <c r="G49" s="104">
        <f t="shared" si="0"/>
        <v>1.067831821879065</v>
      </c>
      <c r="H49" s="103">
        <f t="shared" si="10"/>
        <v>-2123433.9486346319</v>
      </c>
      <c r="I49" s="109">
        <f t="shared" si="11"/>
        <v>-2123433.9486346319</v>
      </c>
      <c r="J49" s="103">
        <f t="shared" si="4"/>
        <v>-1647739.7759847306</v>
      </c>
      <c r="K49" s="103">
        <f t="shared" si="5"/>
        <v>-1647739.7759847306</v>
      </c>
      <c r="L49" s="103">
        <f t="shared" si="6"/>
        <v>-1251327.9654431446</v>
      </c>
      <c r="M49" s="103">
        <f t="shared" si="7"/>
        <v>-1251327.9654431446</v>
      </c>
      <c r="N49" s="105">
        <f t="shared" si="8"/>
        <v>-854916.15490155946</v>
      </c>
      <c r="O49" s="103">
        <f t="shared" si="7"/>
        <v>-854916.15490155946</v>
      </c>
      <c r="P49" s="110">
        <f t="shared" si="12"/>
        <v>-537786.70646829065</v>
      </c>
      <c r="Q49" s="109">
        <f t="shared" si="9"/>
        <v>-537786.70646829065</v>
      </c>
    </row>
    <row r="50" spans="1:17" x14ac:dyDescent="0.2">
      <c r="A50" s="107">
        <v>47</v>
      </c>
      <c r="B50" s="108" t="s">
        <v>21</v>
      </c>
      <c r="C50" s="101" t="s">
        <v>16</v>
      </c>
      <c r="D50" s="100" t="s">
        <v>22</v>
      </c>
      <c r="E50" s="102">
        <v>21827701.767312203</v>
      </c>
      <c r="F50" s="103">
        <v>21975071.040600009</v>
      </c>
      <c r="G50" s="104">
        <f t="shared" si="0"/>
        <v>1.0067514791460317</v>
      </c>
      <c r="H50" s="103">
        <f t="shared" si="10"/>
        <v>-4512909.6267502457</v>
      </c>
      <c r="I50" s="109">
        <f t="shared" si="11"/>
        <v>-4512909.6267502457</v>
      </c>
      <c r="J50" s="103">
        <f t="shared" si="4"/>
        <v>-3203247.5207115151</v>
      </c>
      <c r="K50" s="103">
        <f t="shared" si="5"/>
        <v>-3203247.5207115151</v>
      </c>
      <c r="L50" s="103">
        <f t="shared" si="6"/>
        <v>-2111862.4323459044</v>
      </c>
      <c r="M50" s="103">
        <f t="shared" si="7"/>
        <v>-2111862.4323459044</v>
      </c>
      <c r="N50" s="105">
        <f t="shared" si="8"/>
        <v>-1020477.3439802937</v>
      </c>
      <c r="O50" s="103">
        <f t="shared" si="7"/>
        <v>-1020477.3439802937</v>
      </c>
      <c r="P50" s="110">
        <f t="shared" si="12"/>
        <v>-147369.27328780666</v>
      </c>
      <c r="Q50" s="109">
        <f t="shared" si="9"/>
        <v>-147369.27328780666</v>
      </c>
    </row>
    <row r="51" spans="1:17" x14ac:dyDescent="0.2">
      <c r="A51" s="107">
        <v>48</v>
      </c>
      <c r="B51" s="108" t="s">
        <v>39</v>
      </c>
      <c r="C51" s="101" t="s">
        <v>27</v>
      </c>
      <c r="D51" s="100" t="s">
        <v>29</v>
      </c>
      <c r="E51" s="102">
        <v>8546114.1246711519</v>
      </c>
      <c r="F51" s="103">
        <v>8976005.147300005</v>
      </c>
      <c r="G51" s="104">
        <f t="shared" si="0"/>
        <v>1.0503025136755233</v>
      </c>
      <c r="H51" s="103">
        <f t="shared" si="10"/>
        <v>-2139113.8475630833</v>
      </c>
      <c r="I51" s="109">
        <f t="shared" si="11"/>
        <v>-2139113.8475630833</v>
      </c>
      <c r="J51" s="103">
        <f t="shared" si="4"/>
        <v>-1626347.0000828141</v>
      </c>
      <c r="K51" s="103">
        <f t="shared" si="5"/>
        <v>-1626347.0000828141</v>
      </c>
      <c r="L51" s="103">
        <f t="shared" si="6"/>
        <v>-1199041.2938492568</v>
      </c>
      <c r="M51" s="103">
        <f t="shared" si="7"/>
        <v>-1199041.2938492568</v>
      </c>
      <c r="N51" s="105">
        <f t="shared" si="8"/>
        <v>-771735.58761569951</v>
      </c>
      <c r="O51" s="103">
        <f t="shared" si="7"/>
        <v>-771735.58761569951</v>
      </c>
      <c r="P51" s="110">
        <f t="shared" si="12"/>
        <v>-429891.0226288531</v>
      </c>
      <c r="Q51" s="109">
        <f t="shared" si="9"/>
        <v>-429891.0226288531</v>
      </c>
    </row>
    <row r="52" spans="1:17" x14ac:dyDescent="0.2">
      <c r="A52" s="99">
        <v>49</v>
      </c>
      <c r="B52" s="121" t="s">
        <v>1321</v>
      </c>
      <c r="C52" s="101" t="s">
        <v>27</v>
      </c>
      <c r="D52" s="100" t="s">
        <v>1456</v>
      </c>
      <c r="E52" s="102">
        <v>7621176.4771698974</v>
      </c>
      <c r="F52" s="103">
        <v>6568038.5876000011</v>
      </c>
      <c r="G52" s="104">
        <f t="shared" si="0"/>
        <v>0.86181426283400064</v>
      </c>
      <c r="H52" s="103">
        <f t="shared" si="10"/>
        <v>-471097.40586408321</v>
      </c>
      <c r="I52" s="109">
        <f t="shared" si="11"/>
        <v>-471097.40586408321</v>
      </c>
      <c r="J52" s="103">
        <f t="shared" si="4"/>
        <v>-13826.817233889364</v>
      </c>
      <c r="K52" s="103">
        <f t="shared" si="5"/>
        <v>-13826.817233889364</v>
      </c>
      <c r="L52" s="103">
        <f t="shared" si="6"/>
        <v>367232.00662460551</v>
      </c>
      <c r="M52" s="103">
        <f t="shared" si="7"/>
        <v>367232.00662460551</v>
      </c>
      <c r="N52" s="105">
        <f t="shared" si="8"/>
        <v>748290.83048310038</v>
      </c>
      <c r="O52" s="103">
        <f t="shared" si="7"/>
        <v>748290.83048310038</v>
      </c>
      <c r="P52" s="110">
        <f t="shared" si="12"/>
        <v>1053137.8895698963</v>
      </c>
      <c r="Q52" s="109">
        <f t="shared" si="9"/>
        <v>1053137.8895698963</v>
      </c>
    </row>
    <row r="53" spans="1:17" x14ac:dyDescent="0.2">
      <c r="A53" s="107">
        <v>50</v>
      </c>
      <c r="B53" s="108" t="s">
        <v>33</v>
      </c>
      <c r="C53" s="101" t="s">
        <v>27</v>
      </c>
      <c r="D53" s="100" t="s">
        <v>1537</v>
      </c>
      <c r="E53" s="102">
        <v>5802987.120386879</v>
      </c>
      <c r="F53" s="103">
        <v>5834170.7824000027</v>
      </c>
      <c r="G53" s="104">
        <f t="shared" si="0"/>
        <v>1.0053737258701765</v>
      </c>
      <c r="H53" s="103">
        <f t="shared" si="10"/>
        <v>-1191781.0860904995</v>
      </c>
      <c r="I53" s="109">
        <f t="shared" si="11"/>
        <v>-1191781.0860904995</v>
      </c>
      <c r="J53" s="103">
        <f t="shared" si="4"/>
        <v>-843601.8588672867</v>
      </c>
      <c r="K53" s="103">
        <f t="shared" si="5"/>
        <v>-843601.8588672867</v>
      </c>
      <c r="L53" s="103">
        <f t="shared" si="6"/>
        <v>-553452.50284794252</v>
      </c>
      <c r="M53" s="103">
        <f t="shared" si="7"/>
        <v>-553452.50284794252</v>
      </c>
      <c r="N53" s="105">
        <f t="shared" si="8"/>
        <v>-263303.14682859927</v>
      </c>
      <c r="O53" s="103">
        <f t="shared" si="7"/>
        <v>-263303.14682859927</v>
      </c>
      <c r="P53" s="110">
        <f t="shared" si="12"/>
        <v>-31183.662013123743</v>
      </c>
      <c r="Q53" s="109">
        <f t="shared" si="9"/>
        <v>-31183.662013123743</v>
      </c>
    </row>
    <row r="54" spans="1:17" x14ac:dyDescent="0.2">
      <c r="A54" s="107">
        <v>51</v>
      </c>
      <c r="B54" s="108" t="s">
        <v>41</v>
      </c>
      <c r="C54" s="101" t="s">
        <v>27</v>
      </c>
      <c r="D54" s="100" t="s">
        <v>1538</v>
      </c>
      <c r="E54" s="102">
        <v>10165525.567730272</v>
      </c>
      <c r="F54" s="103">
        <v>9421253.6405000035</v>
      </c>
      <c r="G54" s="104">
        <f t="shared" si="0"/>
        <v>0.92678470756171172</v>
      </c>
      <c r="H54" s="103">
        <f t="shared" si="10"/>
        <v>-1288833.1863157852</v>
      </c>
      <c r="I54" s="109">
        <f t="shared" si="11"/>
        <v>-1288833.1863157852</v>
      </c>
      <c r="J54" s="103">
        <f t="shared" si="4"/>
        <v>-678901.65225197002</v>
      </c>
      <c r="K54" s="103">
        <f t="shared" si="5"/>
        <v>-678901.65225197002</v>
      </c>
      <c r="L54" s="103">
        <f t="shared" si="6"/>
        <v>-170625.37386545539</v>
      </c>
      <c r="M54" s="103">
        <f t="shared" si="7"/>
        <v>-170625.37386545539</v>
      </c>
      <c r="N54" s="105">
        <f t="shared" si="8"/>
        <v>337650.90452105738</v>
      </c>
      <c r="O54" s="103">
        <f t="shared" si="7"/>
        <v>337650.90452105738</v>
      </c>
      <c r="P54" s="110">
        <f t="shared" si="12"/>
        <v>744271.92723026872</v>
      </c>
      <c r="Q54" s="109">
        <f t="shared" si="9"/>
        <v>744271.92723026872</v>
      </c>
    </row>
    <row r="55" spans="1:17" x14ac:dyDescent="0.2">
      <c r="A55" s="99">
        <v>52</v>
      </c>
      <c r="B55" s="189" t="s">
        <v>34</v>
      </c>
      <c r="C55" s="101" t="s">
        <v>27</v>
      </c>
      <c r="D55" s="100" t="s">
        <v>1537</v>
      </c>
      <c r="E55" s="102">
        <v>15575086.677733503</v>
      </c>
      <c r="F55" s="103">
        <v>13666722.746800004</v>
      </c>
      <c r="G55" s="104">
        <f t="shared" si="0"/>
        <v>0.87747330269039592</v>
      </c>
      <c r="H55" s="103">
        <f t="shared" si="10"/>
        <v>-1206653.4046132006</v>
      </c>
      <c r="I55" s="109">
        <f t="shared" si="11"/>
        <v>-1206653.4046132006</v>
      </c>
      <c r="J55" s="103">
        <f t="shared" si="4"/>
        <v>-272148.20394919068</v>
      </c>
      <c r="K55" s="103">
        <f t="shared" si="5"/>
        <v>-272148.20394919068</v>
      </c>
      <c r="L55" s="103">
        <f t="shared" si="6"/>
        <v>506606.12993748486</v>
      </c>
      <c r="M55" s="103">
        <f t="shared" si="7"/>
        <v>506606.12993748486</v>
      </c>
      <c r="N55" s="105">
        <f t="shared" si="8"/>
        <v>1285360.4638241585</v>
      </c>
      <c r="O55" s="103">
        <f t="shared" si="7"/>
        <v>1285360.4638241585</v>
      </c>
      <c r="P55" s="110">
        <f t="shared" si="12"/>
        <v>1908363.9309334997</v>
      </c>
      <c r="Q55" s="109">
        <f t="shared" si="9"/>
        <v>1908363.9309334997</v>
      </c>
    </row>
    <row r="56" spans="1:17" x14ac:dyDescent="0.2">
      <c r="A56" s="107">
        <v>53</v>
      </c>
      <c r="B56" s="108" t="s">
        <v>35</v>
      </c>
      <c r="C56" s="101" t="s">
        <v>27</v>
      </c>
      <c r="D56" s="100" t="s">
        <v>1537</v>
      </c>
      <c r="E56" s="102">
        <v>13959410.217526766</v>
      </c>
      <c r="F56" s="103">
        <v>13712499.958500007</v>
      </c>
      <c r="G56" s="104">
        <f t="shared" si="0"/>
        <v>0.98231227142270316</v>
      </c>
      <c r="H56" s="103">
        <f t="shared" si="10"/>
        <v>-2544971.7844785936</v>
      </c>
      <c r="I56" s="109">
        <f t="shared" si="11"/>
        <v>-2544971.7844785936</v>
      </c>
      <c r="J56" s="103">
        <f t="shared" si="4"/>
        <v>-1707407.1714269891</v>
      </c>
      <c r="K56" s="103">
        <f t="shared" si="5"/>
        <v>-1707407.1714269891</v>
      </c>
      <c r="L56" s="103">
        <f t="shared" si="6"/>
        <v>-1009436.6605506502</v>
      </c>
      <c r="M56" s="103">
        <f t="shared" si="7"/>
        <v>-1009436.6605506502</v>
      </c>
      <c r="N56" s="105">
        <f t="shared" si="8"/>
        <v>-311466.14967431314</v>
      </c>
      <c r="O56" s="103">
        <f t="shared" si="7"/>
        <v>-311466.14967431314</v>
      </c>
      <c r="P56" s="110">
        <f t="shared" si="12"/>
        <v>246910.25902675837</v>
      </c>
      <c r="Q56" s="109">
        <f t="shared" si="9"/>
        <v>246910.25902675837</v>
      </c>
    </row>
    <row r="57" spans="1:17" x14ac:dyDescent="0.2">
      <c r="A57" s="107">
        <v>54</v>
      </c>
      <c r="B57" s="108" t="s">
        <v>53</v>
      </c>
      <c r="C57" s="101" t="s">
        <v>27</v>
      </c>
      <c r="D57" s="100" t="s">
        <v>1539</v>
      </c>
      <c r="E57" s="102">
        <v>7189075.7256752877</v>
      </c>
      <c r="F57" s="103">
        <v>5302772.1223000009</v>
      </c>
      <c r="G57" s="104">
        <f t="shared" si="0"/>
        <v>0.7376152824989054</v>
      </c>
      <c r="H57" s="103">
        <f t="shared" si="10"/>
        <v>448488.45824022964</v>
      </c>
      <c r="I57" s="109">
        <f t="shared" si="11"/>
        <v>448488.45824022964</v>
      </c>
      <c r="J57" s="103">
        <f t="shared" si="4"/>
        <v>879833.0017807465</v>
      </c>
      <c r="K57" s="103">
        <f t="shared" si="5"/>
        <v>879833.0017807465</v>
      </c>
      <c r="L57" s="103">
        <f t="shared" si="6"/>
        <v>1239286.7880645115</v>
      </c>
      <c r="M57" s="103">
        <f t="shared" si="7"/>
        <v>1239286.7880645115</v>
      </c>
      <c r="N57" s="105">
        <f t="shared" si="8"/>
        <v>1598740.5743482746</v>
      </c>
      <c r="O57" s="103">
        <f t="shared" si="7"/>
        <v>1598740.5743482746</v>
      </c>
      <c r="P57" s="110">
        <f t="shared" si="12"/>
        <v>1886303.6033752868</v>
      </c>
      <c r="Q57" s="109">
        <f t="shared" si="9"/>
        <v>1886303.6033752868</v>
      </c>
    </row>
    <row r="58" spans="1:17" x14ac:dyDescent="0.2">
      <c r="A58" s="99">
        <v>55</v>
      </c>
      <c r="B58" s="108" t="s">
        <v>40</v>
      </c>
      <c r="C58" s="101" t="s">
        <v>27</v>
      </c>
      <c r="D58" s="100" t="s">
        <v>29</v>
      </c>
      <c r="E58" s="102">
        <v>15427000.247993337</v>
      </c>
      <c r="F58" s="103">
        <v>14618145.113600008</v>
      </c>
      <c r="G58" s="104">
        <f t="shared" si="0"/>
        <v>0.94756886488683756</v>
      </c>
      <c r="H58" s="103">
        <f t="shared" si="10"/>
        <v>-2276544.9152053371</v>
      </c>
      <c r="I58" s="109">
        <f t="shared" si="11"/>
        <v>-2276544.9152053371</v>
      </c>
      <c r="J58" s="103">
        <f t="shared" si="4"/>
        <v>-1350924.9003257379</v>
      </c>
      <c r="K58" s="103">
        <f t="shared" si="5"/>
        <v>-1350924.9003257379</v>
      </c>
      <c r="L58" s="103">
        <f t="shared" si="6"/>
        <v>-579574.88792607188</v>
      </c>
      <c r="M58" s="103">
        <f t="shared" si="7"/>
        <v>-579574.88792607188</v>
      </c>
      <c r="N58" s="105">
        <f t="shared" si="8"/>
        <v>191775.12447359413</v>
      </c>
      <c r="O58" s="103">
        <f t="shared" si="7"/>
        <v>191775.12447359413</v>
      </c>
      <c r="P58" s="110">
        <f t="shared" si="12"/>
        <v>808855.1343933288</v>
      </c>
      <c r="Q58" s="109">
        <f t="shared" si="9"/>
        <v>808855.1343933288</v>
      </c>
    </row>
    <row r="59" spans="1:17" x14ac:dyDescent="0.2">
      <c r="A59" s="107">
        <v>56</v>
      </c>
      <c r="B59" s="108" t="s">
        <v>38</v>
      </c>
      <c r="C59" s="101" t="s">
        <v>27</v>
      </c>
      <c r="D59" s="100" t="s">
        <v>1456</v>
      </c>
      <c r="E59" s="102">
        <v>21901135.789736643</v>
      </c>
      <c r="F59" s="103">
        <v>24365614.055899996</v>
      </c>
      <c r="G59" s="104">
        <f t="shared" si="0"/>
        <v>1.112527418204414</v>
      </c>
      <c r="H59" s="103">
        <f t="shared" si="10"/>
        <v>-6844705.4241106808</v>
      </c>
      <c r="I59" s="109">
        <f t="shared" si="11"/>
        <v>-6844705.4241106808</v>
      </c>
      <c r="J59" s="103">
        <f t="shared" si="4"/>
        <v>-5530637.2767264843</v>
      </c>
      <c r="K59" s="103">
        <f t="shared" si="5"/>
        <v>-5530637.2767264843</v>
      </c>
      <c r="L59" s="103">
        <f t="shared" si="6"/>
        <v>-4435580.4872396514</v>
      </c>
      <c r="M59" s="103">
        <f t="shared" si="7"/>
        <v>-4435580.4872396514</v>
      </c>
      <c r="N59" s="105">
        <f t="shared" si="8"/>
        <v>-3340523.6977528185</v>
      </c>
      <c r="O59" s="103">
        <f t="shared" si="7"/>
        <v>-3340523.6977528185</v>
      </c>
      <c r="P59" s="110">
        <f t="shared" si="12"/>
        <v>-2464478.2661633529</v>
      </c>
      <c r="Q59" s="109">
        <f t="shared" si="9"/>
        <v>-2464478.2661633529</v>
      </c>
    </row>
    <row r="60" spans="1:17" x14ac:dyDescent="0.2">
      <c r="A60" s="107">
        <v>57</v>
      </c>
      <c r="B60" s="108" t="s">
        <v>26</v>
      </c>
      <c r="C60" s="101" t="s">
        <v>27</v>
      </c>
      <c r="D60" s="100" t="s">
        <v>1538</v>
      </c>
      <c r="E60" s="102">
        <v>20706344.328155152</v>
      </c>
      <c r="F60" s="103">
        <v>20714176.707599998</v>
      </c>
      <c r="G60" s="104">
        <f t="shared" si="0"/>
        <v>1.0003782598859903</v>
      </c>
      <c r="H60" s="103">
        <f t="shared" si="10"/>
        <v>-4149101.245075874</v>
      </c>
      <c r="I60" s="109">
        <f t="shared" si="11"/>
        <v>-4149101.245075874</v>
      </c>
      <c r="J60" s="103">
        <f t="shared" si="4"/>
        <v>-2906720.5853865668</v>
      </c>
      <c r="K60" s="103">
        <f t="shared" si="5"/>
        <v>-2906720.5853865668</v>
      </c>
      <c r="L60" s="103">
        <f t="shared" si="6"/>
        <v>-1871403.3689788096</v>
      </c>
      <c r="M60" s="103">
        <f t="shared" si="7"/>
        <v>-1871403.3689788096</v>
      </c>
      <c r="N60" s="105">
        <f t="shared" si="8"/>
        <v>-836086.15257105231</v>
      </c>
      <c r="O60" s="103">
        <f t="shared" si="7"/>
        <v>-836086.15257105231</v>
      </c>
      <c r="P60" s="110">
        <f t="shared" si="12"/>
        <v>-7832.3794448450208</v>
      </c>
      <c r="Q60" s="109">
        <f t="shared" si="9"/>
        <v>-7832.3794448450208</v>
      </c>
    </row>
    <row r="61" spans="1:17" x14ac:dyDescent="0.2">
      <c r="A61" s="99">
        <v>58</v>
      </c>
      <c r="B61" s="108" t="s">
        <v>32</v>
      </c>
      <c r="C61" s="101" t="s">
        <v>27</v>
      </c>
      <c r="D61" s="100" t="s">
        <v>1456</v>
      </c>
      <c r="E61" s="102">
        <v>13404778.274887323</v>
      </c>
      <c r="F61" s="103">
        <v>13224639.720999999</v>
      </c>
      <c r="G61" s="104">
        <f t="shared" si="0"/>
        <v>0.98656161629880901</v>
      </c>
      <c r="H61" s="103">
        <f t="shared" si="10"/>
        <v>-2500817.1010901388</v>
      </c>
      <c r="I61" s="109">
        <f t="shared" si="11"/>
        <v>-2500817.1010901388</v>
      </c>
      <c r="J61" s="103">
        <f t="shared" si="4"/>
        <v>-1696530.4045969006</v>
      </c>
      <c r="K61" s="103">
        <f t="shared" si="5"/>
        <v>-1696530.4045969006</v>
      </c>
      <c r="L61" s="103">
        <f t="shared" si="6"/>
        <v>-1026291.4908525348</v>
      </c>
      <c r="M61" s="103">
        <f t="shared" si="7"/>
        <v>-1026291.4908525348</v>
      </c>
      <c r="N61" s="105">
        <f t="shared" si="8"/>
        <v>-356052.57710816897</v>
      </c>
      <c r="O61" s="103">
        <f t="shared" si="7"/>
        <v>-356052.57710816897</v>
      </c>
      <c r="P61" s="110">
        <f t="shared" si="12"/>
        <v>180138.55388732441</v>
      </c>
      <c r="Q61" s="109">
        <f t="shared" si="9"/>
        <v>180138.55388732441</v>
      </c>
    </row>
    <row r="62" spans="1:17" x14ac:dyDescent="0.2">
      <c r="A62" s="107">
        <v>59</v>
      </c>
      <c r="B62" s="108" t="s">
        <v>36</v>
      </c>
      <c r="C62" s="101" t="s">
        <v>27</v>
      </c>
      <c r="D62" s="100" t="s">
        <v>1540</v>
      </c>
      <c r="E62" s="102">
        <v>16197597.036143744</v>
      </c>
      <c r="F62" s="103">
        <v>14968281.281899998</v>
      </c>
      <c r="G62" s="104">
        <f t="shared" si="0"/>
        <v>0.92410505388542397</v>
      </c>
      <c r="H62" s="103">
        <f t="shared" si="10"/>
        <v>-2010203.652985001</v>
      </c>
      <c r="I62" s="109">
        <f t="shared" si="11"/>
        <v>-2010203.652985001</v>
      </c>
      <c r="J62" s="103">
        <f t="shared" si="4"/>
        <v>-1038347.8308163788</v>
      </c>
      <c r="K62" s="103">
        <f t="shared" si="5"/>
        <v>-1038347.8308163788</v>
      </c>
      <c r="L62" s="103">
        <f t="shared" si="6"/>
        <v>-228467.97900919057</v>
      </c>
      <c r="M62" s="103">
        <f t="shared" si="7"/>
        <v>-228467.97900919057</v>
      </c>
      <c r="N62" s="105">
        <f t="shared" si="8"/>
        <v>581411.87279799581</v>
      </c>
      <c r="O62" s="103">
        <f t="shared" si="7"/>
        <v>581411.87279799581</v>
      </c>
      <c r="P62" s="110">
        <f t="shared" si="12"/>
        <v>1229315.7542437464</v>
      </c>
      <c r="Q62" s="109">
        <f t="shared" si="9"/>
        <v>1229315.7542437464</v>
      </c>
    </row>
    <row r="63" spans="1:17" x14ac:dyDescent="0.2">
      <c r="A63" s="107">
        <v>60</v>
      </c>
      <c r="B63" s="108" t="s">
        <v>17</v>
      </c>
      <c r="C63" s="101" t="s">
        <v>27</v>
      </c>
      <c r="D63" s="100" t="s">
        <v>29</v>
      </c>
      <c r="E63" s="102">
        <v>16004505.118040238</v>
      </c>
      <c r="F63" s="103">
        <v>16853738.904100005</v>
      </c>
      <c r="G63" s="104">
        <f t="shared" si="0"/>
        <v>1.0530621709197689</v>
      </c>
      <c r="H63" s="103">
        <f t="shared" si="10"/>
        <v>-4050134.8096678145</v>
      </c>
      <c r="I63" s="109">
        <f t="shared" si="11"/>
        <v>-4050134.8096678145</v>
      </c>
      <c r="J63" s="103">
        <f t="shared" si="4"/>
        <v>-3089864.5025853999</v>
      </c>
      <c r="K63" s="103">
        <f t="shared" si="5"/>
        <v>-3089864.5025853999</v>
      </c>
      <c r="L63" s="103">
        <f t="shared" si="6"/>
        <v>-2289639.2466833871</v>
      </c>
      <c r="M63" s="103">
        <f t="shared" si="7"/>
        <v>-2289639.2466833871</v>
      </c>
      <c r="N63" s="105">
        <f t="shared" si="8"/>
        <v>-1489413.990781378</v>
      </c>
      <c r="O63" s="103">
        <f t="shared" si="7"/>
        <v>-1489413.990781378</v>
      </c>
      <c r="P63" s="110">
        <f t="shared" si="12"/>
        <v>-849233.78605976701</v>
      </c>
      <c r="Q63" s="109">
        <f t="shared" si="9"/>
        <v>-849233.78605976701</v>
      </c>
    </row>
    <row r="64" spans="1:17" x14ac:dyDescent="0.2">
      <c r="A64" s="99">
        <v>61</v>
      </c>
      <c r="B64" s="108" t="s">
        <v>104</v>
      </c>
      <c r="C64" s="101" t="s">
        <v>27</v>
      </c>
      <c r="D64" s="100" t="s">
        <v>1539</v>
      </c>
      <c r="E64" s="102">
        <v>16786225.501124606</v>
      </c>
      <c r="F64" s="103">
        <v>15919332.250199994</v>
      </c>
      <c r="G64" s="104">
        <f t="shared" si="0"/>
        <v>0.94835686850110923</v>
      </c>
      <c r="H64" s="103">
        <f t="shared" si="10"/>
        <v>-2490351.8493003082</v>
      </c>
      <c r="I64" s="109">
        <f t="shared" si="11"/>
        <v>-2490351.8493003082</v>
      </c>
      <c r="J64" s="103">
        <f t="shared" si="4"/>
        <v>-1483178.3192328326</v>
      </c>
      <c r="K64" s="103">
        <f t="shared" si="5"/>
        <v>-1483178.3192328326</v>
      </c>
      <c r="L64" s="103">
        <f t="shared" si="6"/>
        <v>-643867.04417660274</v>
      </c>
      <c r="M64" s="103">
        <f t="shared" si="7"/>
        <v>-643867.04417660274</v>
      </c>
      <c r="N64" s="105">
        <f t="shared" si="8"/>
        <v>195444.23087962717</v>
      </c>
      <c r="O64" s="103">
        <f t="shared" si="7"/>
        <v>195444.23087962717</v>
      </c>
      <c r="P64" s="110">
        <f t="shared" si="12"/>
        <v>866893.25092461146</v>
      </c>
      <c r="Q64" s="109">
        <f t="shared" si="9"/>
        <v>866893.25092461146</v>
      </c>
    </row>
    <row r="65" spans="1:17" x14ac:dyDescent="0.2">
      <c r="A65" s="107">
        <v>62</v>
      </c>
      <c r="B65" s="108" t="s">
        <v>97</v>
      </c>
      <c r="C65" s="101" t="s">
        <v>27</v>
      </c>
      <c r="D65" s="100" t="s">
        <v>1539</v>
      </c>
      <c r="E65" s="102">
        <v>7443789.135690921</v>
      </c>
      <c r="F65" s="103">
        <v>7892293.6694999998</v>
      </c>
      <c r="G65" s="104">
        <f t="shared" si="0"/>
        <v>1.0602521814674495</v>
      </c>
      <c r="H65" s="103">
        <f t="shared" si="10"/>
        <v>-1937262.3609472625</v>
      </c>
      <c r="I65" s="109">
        <f t="shared" si="11"/>
        <v>-1937262.3609472625</v>
      </c>
      <c r="J65" s="103">
        <f t="shared" si="4"/>
        <v>-1490635.0128058083</v>
      </c>
      <c r="K65" s="103">
        <f t="shared" si="5"/>
        <v>-1490635.0128058083</v>
      </c>
      <c r="L65" s="103">
        <f t="shared" si="6"/>
        <v>-1118445.556021262</v>
      </c>
      <c r="M65" s="103">
        <f t="shared" si="7"/>
        <v>-1118445.556021262</v>
      </c>
      <c r="N65" s="105">
        <f t="shared" si="8"/>
        <v>-746256.09923671558</v>
      </c>
      <c r="O65" s="103">
        <f t="shared" si="7"/>
        <v>-746256.09923671558</v>
      </c>
      <c r="P65" s="110">
        <f t="shared" si="12"/>
        <v>-448504.53380907886</v>
      </c>
      <c r="Q65" s="109">
        <f t="shared" si="9"/>
        <v>-448504.53380907886</v>
      </c>
    </row>
    <row r="66" spans="1:17" x14ac:dyDescent="0.2">
      <c r="A66" s="107">
        <v>63</v>
      </c>
      <c r="B66" s="108" t="s">
        <v>143</v>
      </c>
      <c r="C66" s="101" t="s">
        <v>27</v>
      </c>
      <c r="D66" s="100" t="s">
        <v>1540</v>
      </c>
      <c r="E66" s="102">
        <v>10885531.039163604</v>
      </c>
      <c r="F66" s="103">
        <v>10039193.558300007</v>
      </c>
      <c r="G66" s="104">
        <f t="shared" si="0"/>
        <v>0.92225115358923027</v>
      </c>
      <c r="H66" s="103">
        <f t="shared" si="10"/>
        <v>-1330768.7269691229</v>
      </c>
      <c r="I66" s="109">
        <f t="shared" si="11"/>
        <v>-1330768.7269691229</v>
      </c>
      <c r="J66" s="103">
        <f t="shared" si="4"/>
        <v>-677636.86461930722</v>
      </c>
      <c r="K66" s="103">
        <f t="shared" si="5"/>
        <v>-677636.86461930722</v>
      </c>
      <c r="L66" s="103">
        <f t="shared" si="6"/>
        <v>-133360.31266112626</v>
      </c>
      <c r="M66" s="103">
        <f t="shared" si="7"/>
        <v>-133360.31266112626</v>
      </c>
      <c r="N66" s="105">
        <f t="shared" si="8"/>
        <v>410916.23929705285</v>
      </c>
      <c r="O66" s="103">
        <f t="shared" si="7"/>
        <v>410916.23929705285</v>
      </c>
      <c r="P66" s="110">
        <f t="shared" si="12"/>
        <v>846337.48086359724</v>
      </c>
      <c r="Q66" s="109">
        <f t="shared" si="9"/>
        <v>846337.48086359724</v>
      </c>
    </row>
    <row r="67" spans="1:17" x14ac:dyDescent="0.2">
      <c r="A67" s="99">
        <v>64</v>
      </c>
      <c r="B67" s="190" t="s">
        <v>28</v>
      </c>
      <c r="C67" s="101" t="s">
        <v>27</v>
      </c>
      <c r="D67" s="100" t="s">
        <v>29</v>
      </c>
      <c r="E67" s="102">
        <v>8007936.3097011633</v>
      </c>
      <c r="F67" s="103">
        <v>2134036.0391000002</v>
      </c>
      <c r="G67" s="104">
        <f t="shared" ref="G67:G124" si="13">IFERROR(F67/E67,0)</f>
        <v>0.26649013635569702</v>
      </c>
      <c r="H67" s="103">
        <f t="shared" ref="H67:H95" si="14">(E67*0.8)-F67</f>
        <v>4272313.0086609311</v>
      </c>
      <c r="I67" s="109">
        <f t="shared" ref="I67:I95" si="15">H67/$Q$2</f>
        <v>4272313.0086609311</v>
      </c>
      <c r="J67" s="103">
        <f t="shared" si="4"/>
        <v>4752789.1872429997</v>
      </c>
      <c r="K67" s="103">
        <f t="shared" ref="K67:K125" si="16">J67/$Q$2</f>
        <v>4752789.1872429997</v>
      </c>
      <c r="L67" s="103">
        <f t="shared" si="6"/>
        <v>5153186.002728058</v>
      </c>
      <c r="M67" s="103">
        <f t="shared" ref="M67:O125" si="17">L67/$Q$2</f>
        <v>5153186.002728058</v>
      </c>
      <c r="N67" s="105">
        <f t="shared" si="8"/>
        <v>5553582.8182131164</v>
      </c>
      <c r="O67" s="103">
        <f t="shared" si="17"/>
        <v>5553582.8182131164</v>
      </c>
      <c r="P67" s="110">
        <f t="shared" ref="P67:P95" si="18">E67-F67</f>
        <v>5873900.2706011627</v>
      </c>
      <c r="Q67" s="109">
        <f t="shared" ref="Q67:Q125" si="19">P67/$Q$2</f>
        <v>5873900.2706011627</v>
      </c>
    </row>
    <row r="68" spans="1:17" x14ac:dyDescent="0.2">
      <c r="A68" s="107">
        <v>65</v>
      </c>
      <c r="B68" s="108" t="s">
        <v>131</v>
      </c>
      <c r="C68" s="101" t="s">
        <v>65</v>
      </c>
      <c r="D68" s="100" t="s">
        <v>1395</v>
      </c>
      <c r="E68" s="102">
        <v>5946170.483605925</v>
      </c>
      <c r="F68" s="103">
        <v>6386603.7825000016</v>
      </c>
      <c r="G68" s="104">
        <f t="shared" si="13"/>
        <v>1.0740700758762951</v>
      </c>
      <c r="H68" s="103">
        <f t="shared" si="14"/>
        <v>-1629667.395615261</v>
      </c>
      <c r="I68" s="109">
        <f t="shared" si="15"/>
        <v>-1629667.395615261</v>
      </c>
      <c r="J68" s="103">
        <f t="shared" ref="J68:J124" si="20">(E68*0.86)-F68</f>
        <v>-1272897.1665989058</v>
      </c>
      <c r="K68" s="103">
        <f t="shared" si="16"/>
        <v>-1272897.1665989058</v>
      </c>
      <c r="L68" s="103">
        <f t="shared" ref="L68:L124" si="21">(E68*0.91)-F68</f>
        <v>-975588.64241860993</v>
      </c>
      <c r="M68" s="103">
        <f t="shared" si="17"/>
        <v>-975588.64241860993</v>
      </c>
      <c r="N68" s="105">
        <f t="shared" ref="N68:N124" si="22">(E68*0.96)-F68</f>
        <v>-678280.11823831405</v>
      </c>
      <c r="O68" s="103">
        <f t="shared" si="17"/>
        <v>-678280.11823831405</v>
      </c>
      <c r="P68" s="110">
        <f t="shared" si="18"/>
        <v>-440433.29889407661</v>
      </c>
      <c r="Q68" s="109">
        <f t="shared" si="19"/>
        <v>-440433.29889407661</v>
      </c>
    </row>
    <row r="69" spans="1:17" x14ac:dyDescent="0.2">
      <c r="A69" s="107">
        <v>66</v>
      </c>
      <c r="B69" s="108" t="s">
        <v>125</v>
      </c>
      <c r="C69" s="101" t="s">
        <v>137</v>
      </c>
      <c r="D69" s="100" t="s">
        <v>1541</v>
      </c>
      <c r="E69" s="102">
        <v>6447176.5064787008</v>
      </c>
      <c r="F69" s="103">
        <v>6453712.6168</v>
      </c>
      <c r="G69" s="104">
        <f t="shared" si="13"/>
        <v>1.0010137942267798</v>
      </c>
      <c r="H69" s="103">
        <f t="shared" si="14"/>
        <v>-1295971.4116170388</v>
      </c>
      <c r="I69" s="109">
        <f t="shared" si="15"/>
        <v>-1295971.4116170388</v>
      </c>
      <c r="J69" s="103">
        <f t="shared" si="20"/>
        <v>-909140.82122831699</v>
      </c>
      <c r="K69" s="103">
        <f t="shared" si="16"/>
        <v>-909140.82122831699</v>
      </c>
      <c r="L69" s="103">
        <f t="shared" si="21"/>
        <v>-586781.99590438232</v>
      </c>
      <c r="M69" s="103">
        <f t="shared" si="17"/>
        <v>-586781.99590438232</v>
      </c>
      <c r="N69" s="105">
        <f t="shared" si="22"/>
        <v>-264423.17058044765</v>
      </c>
      <c r="O69" s="103">
        <f t="shared" si="17"/>
        <v>-264423.17058044765</v>
      </c>
      <c r="P69" s="110">
        <f t="shared" si="18"/>
        <v>-6536.1103212991729</v>
      </c>
      <c r="Q69" s="109">
        <f t="shared" si="19"/>
        <v>-6536.1103212991729</v>
      </c>
    </row>
    <row r="70" spans="1:17" x14ac:dyDescent="0.2">
      <c r="A70" s="99">
        <v>67</v>
      </c>
      <c r="B70" s="108" t="s">
        <v>126</v>
      </c>
      <c r="C70" s="101" t="s">
        <v>137</v>
      </c>
      <c r="D70" s="100" t="s">
        <v>1541</v>
      </c>
      <c r="E70" s="102">
        <v>31450974.845894225</v>
      </c>
      <c r="F70" s="103">
        <v>32520075.712100007</v>
      </c>
      <c r="G70" s="104">
        <f t="shared" si="13"/>
        <v>1.0339926145833076</v>
      </c>
      <c r="H70" s="103">
        <f t="shared" si="14"/>
        <v>-7359295.8353846259</v>
      </c>
      <c r="I70" s="109">
        <f t="shared" si="15"/>
        <v>-7359295.8353846259</v>
      </c>
      <c r="J70" s="103">
        <f t="shared" si="20"/>
        <v>-5472237.3446309753</v>
      </c>
      <c r="K70" s="103">
        <f t="shared" si="16"/>
        <v>-5472237.3446309753</v>
      </c>
      <c r="L70" s="103">
        <f t="shared" si="21"/>
        <v>-3899688.6023362614</v>
      </c>
      <c r="M70" s="103">
        <f t="shared" si="17"/>
        <v>-3899688.6023362614</v>
      </c>
      <c r="N70" s="105">
        <f t="shared" si="22"/>
        <v>-2327139.8600415513</v>
      </c>
      <c r="O70" s="103">
        <f t="shared" si="17"/>
        <v>-2327139.8600415513</v>
      </c>
      <c r="P70" s="110">
        <f t="shared" si="18"/>
        <v>-1069100.8662057817</v>
      </c>
      <c r="Q70" s="109">
        <f t="shared" si="19"/>
        <v>-1069100.8662057817</v>
      </c>
    </row>
    <row r="71" spans="1:17" x14ac:dyDescent="0.2">
      <c r="A71" s="107">
        <v>68</v>
      </c>
      <c r="B71" s="188" t="s">
        <v>127</v>
      </c>
      <c r="C71" s="101" t="s">
        <v>137</v>
      </c>
      <c r="D71" s="100" t="s">
        <v>1542</v>
      </c>
      <c r="E71" s="102">
        <v>25046832.666841399</v>
      </c>
      <c r="F71" s="103">
        <v>25483936.971499994</v>
      </c>
      <c r="G71" s="104">
        <f t="shared" si="13"/>
        <v>1.0174514802119976</v>
      </c>
      <c r="H71" s="103">
        <f t="shared" si="14"/>
        <v>-5446470.8380268738</v>
      </c>
      <c r="I71" s="109">
        <f t="shared" si="15"/>
        <v>-5446470.8380268738</v>
      </c>
      <c r="J71" s="103">
        <f t="shared" si="20"/>
        <v>-3943660.8780163899</v>
      </c>
      <c r="K71" s="103">
        <f t="shared" si="16"/>
        <v>-3943660.8780163899</v>
      </c>
      <c r="L71" s="103">
        <f t="shared" si="21"/>
        <v>-2691319.2446743213</v>
      </c>
      <c r="M71" s="103">
        <f t="shared" si="17"/>
        <v>-2691319.2446743213</v>
      </c>
      <c r="N71" s="105">
        <f t="shared" si="22"/>
        <v>-1438977.6113322526</v>
      </c>
      <c r="O71" s="103">
        <f t="shared" si="17"/>
        <v>-1438977.6113322526</v>
      </c>
      <c r="P71" s="110">
        <f t="shared" si="18"/>
        <v>-437104.30465859547</v>
      </c>
      <c r="Q71" s="109">
        <f t="shared" si="19"/>
        <v>-437104.30465859547</v>
      </c>
    </row>
    <row r="72" spans="1:17" x14ac:dyDescent="0.2">
      <c r="A72" s="107">
        <v>69</v>
      </c>
      <c r="B72" s="108" t="s">
        <v>132</v>
      </c>
      <c r="C72" s="101" t="s">
        <v>65</v>
      </c>
      <c r="D72" s="100" t="s">
        <v>1395</v>
      </c>
      <c r="E72" s="102">
        <v>14102173.205787947</v>
      </c>
      <c r="F72" s="103">
        <v>15080772.3824</v>
      </c>
      <c r="G72" s="104">
        <f t="shared" si="13"/>
        <v>1.0693935014363891</v>
      </c>
      <c r="H72" s="103">
        <f t="shared" si="14"/>
        <v>-3799033.8177696411</v>
      </c>
      <c r="I72" s="109">
        <f t="shared" si="15"/>
        <v>-3799033.8177696411</v>
      </c>
      <c r="J72" s="103">
        <f t="shared" si="20"/>
        <v>-2952903.4254223667</v>
      </c>
      <c r="K72" s="103">
        <f t="shared" si="16"/>
        <v>-2952903.4254223667</v>
      </c>
      <c r="L72" s="103">
        <f t="shared" si="21"/>
        <v>-2247794.7651329674</v>
      </c>
      <c r="M72" s="103">
        <f t="shared" si="17"/>
        <v>-2247794.7651329674</v>
      </c>
      <c r="N72" s="105">
        <f t="shared" si="22"/>
        <v>-1542686.1048435718</v>
      </c>
      <c r="O72" s="103">
        <f t="shared" si="17"/>
        <v>-1542686.1048435718</v>
      </c>
      <c r="P72" s="110">
        <f t="shared" si="18"/>
        <v>-978599.17661205307</v>
      </c>
      <c r="Q72" s="109">
        <f t="shared" si="19"/>
        <v>-978599.17661205307</v>
      </c>
    </row>
    <row r="73" spans="1:17" ht="15" x14ac:dyDescent="0.2">
      <c r="A73" s="99">
        <v>70</v>
      </c>
      <c r="B73" s="185" t="s">
        <v>1446</v>
      </c>
      <c r="C73" s="101" t="s">
        <v>137</v>
      </c>
      <c r="D73" s="100" t="s">
        <v>1448</v>
      </c>
      <c r="E73" s="102">
        <v>7295289.3275970295</v>
      </c>
      <c r="F73" s="103">
        <v>7325362.7378999991</v>
      </c>
      <c r="G73" s="104">
        <f t="shared" si="13"/>
        <v>1.0041223053606945</v>
      </c>
      <c r="H73" s="103">
        <f t="shared" si="14"/>
        <v>-1489131.275822375</v>
      </c>
      <c r="I73" s="109">
        <f t="shared" si="15"/>
        <v>-1489131.275822375</v>
      </c>
      <c r="J73" s="103">
        <f t="shared" si="20"/>
        <v>-1051413.9161665542</v>
      </c>
      <c r="K73" s="103">
        <f t="shared" si="16"/>
        <v>-1051413.9161665542</v>
      </c>
      <c r="L73" s="103">
        <f t="shared" si="21"/>
        <v>-686649.44978670217</v>
      </c>
      <c r="M73" s="103">
        <f t="shared" si="17"/>
        <v>-686649.44978670217</v>
      </c>
      <c r="N73" s="105">
        <f t="shared" si="22"/>
        <v>-321884.98340685107</v>
      </c>
      <c r="O73" s="103">
        <f t="shared" si="17"/>
        <v>-321884.98340685107</v>
      </c>
      <c r="P73" s="110">
        <f t="shared" si="18"/>
        <v>-30073.410302969627</v>
      </c>
      <c r="Q73" s="109">
        <f t="shared" si="19"/>
        <v>-30073.410302969627</v>
      </c>
    </row>
    <row r="74" spans="1:17" x14ac:dyDescent="0.2">
      <c r="A74" s="107">
        <v>71</v>
      </c>
      <c r="B74" s="108" t="s">
        <v>134</v>
      </c>
      <c r="C74" s="101" t="s">
        <v>137</v>
      </c>
      <c r="D74" s="100" t="s">
        <v>137</v>
      </c>
      <c r="E74" s="102">
        <v>12869589.747382561</v>
      </c>
      <c r="F74" s="103">
        <v>13100257.938700009</v>
      </c>
      <c r="G74" s="104">
        <f t="shared" si="13"/>
        <v>1.0179235077298685</v>
      </c>
      <c r="H74" s="103">
        <f t="shared" si="14"/>
        <v>-2804586.1407939605</v>
      </c>
      <c r="I74" s="109">
        <f t="shared" si="15"/>
        <v>-2804586.1407939605</v>
      </c>
      <c r="J74" s="103">
        <f t="shared" si="20"/>
        <v>-2032410.7559510078</v>
      </c>
      <c r="K74" s="103">
        <f t="shared" si="16"/>
        <v>-2032410.7559510078</v>
      </c>
      <c r="L74" s="103">
        <f t="shared" si="21"/>
        <v>-1388931.2685818784</v>
      </c>
      <c r="M74" s="103">
        <f t="shared" si="17"/>
        <v>-1388931.2685818784</v>
      </c>
      <c r="N74" s="105">
        <f t="shared" si="22"/>
        <v>-745451.78121275082</v>
      </c>
      <c r="O74" s="103">
        <f t="shared" si="17"/>
        <v>-745451.78121275082</v>
      </c>
      <c r="P74" s="110">
        <f t="shared" si="18"/>
        <v>-230668.19131744839</v>
      </c>
      <c r="Q74" s="109">
        <f t="shared" si="19"/>
        <v>-230668.19131744839</v>
      </c>
    </row>
    <row r="75" spans="1:17" x14ac:dyDescent="0.2">
      <c r="A75" s="107">
        <v>72</v>
      </c>
      <c r="B75" s="108" t="s">
        <v>129</v>
      </c>
      <c r="C75" s="101" t="s">
        <v>137</v>
      </c>
      <c r="D75" s="100" t="s">
        <v>137</v>
      </c>
      <c r="E75" s="102">
        <v>27047315.21955632</v>
      </c>
      <c r="F75" s="103">
        <v>30156619.052900013</v>
      </c>
      <c r="G75" s="104">
        <f t="shared" si="13"/>
        <v>1.1149579471420341</v>
      </c>
      <c r="H75" s="103">
        <f t="shared" si="14"/>
        <v>-8518766.8772549555</v>
      </c>
      <c r="I75" s="109">
        <f t="shared" si="15"/>
        <v>-8518766.8772549555</v>
      </c>
      <c r="J75" s="103">
        <f t="shared" si="20"/>
        <v>-6895927.964081578</v>
      </c>
      <c r="K75" s="103">
        <f t="shared" si="16"/>
        <v>-6895927.964081578</v>
      </c>
      <c r="L75" s="103">
        <f t="shared" si="21"/>
        <v>-5543562.2031037584</v>
      </c>
      <c r="M75" s="103">
        <f t="shared" si="17"/>
        <v>-5543562.2031037584</v>
      </c>
      <c r="N75" s="105">
        <f t="shared" si="22"/>
        <v>-4191196.4421259463</v>
      </c>
      <c r="O75" s="103">
        <f t="shared" si="17"/>
        <v>-4191196.4421259463</v>
      </c>
      <c r="P75" s="110">
        <f t="shared" si="18"/>
        <v>-3109303.8333436921</v>
      </c>
      <c r="Q75" s="109">
        <f t="shared" si="19"/>
        <v>-3109303.8333436921</v>
      </c>
    </row>
    <row r="76" spans="1:17" x14ac:dyDescent="0.2">
      <c r="A76" s="99">
        <v>73</v>
      </c>
      <c r="B76" s="108" t="s">
        <v>130</v>
      </c>
      <c r="C76" s="101" t="s">
        <v>137</v>
      </c>
      <c r="D76" s="100" t="s">
        <v>1543</v>
      </c>
      <c r="E76" s="102">
        <v>22973754.638772044</v>
      </c>
      <c r="F76" s="103">
        <v>22258541.629100002</v>
      </c>
      <c r="G76" s="104">
        <f t="shared" si="13"/>
        <v>0.96886825767412865</v>
      </c>
      <c r="H76" s="103">
        <f t="shared" si="14"/>
        <v>-3879537.9180823676</v>
      </c>
      <c r="I76" s="109">
        <f t="shared" si="15"/>
        <v>-3879537.9180823676</v>
      </c>
      <c r="J76" s="103">
        <f t="shared" si="20"/>
        <v>-2501112.6397560462</v>
      </c>
      <c r="K76" s="103">
        <f t="shared" si="16"/>
        <v>-2501112.6397560462</v>
      </c>
      <c r="L76" s="103">
        <f t="shared" si="21"/>
        <v>-1352424.907817442</v>
      </c>
      <c r="M76" s="103">
        <f t="shared" si="17"/>
        <v>-1352424.907817442</v>
      </c>
      <c r="N76" s="105">
        <f t="shared" si="22"/>
        <v>-203737.17587884143</v>
      </c>
      <c r="O76" s="103">
        <f t="shared" si="17"/>
        <v>-203737.17587884143</v>
      </c>
      <c r="P76" s="110">
        <f t="shared" si="18"/>
        <v>715213.00967204198</v>
      </c>
      <c r="Q76" s="109">
        <f t="shared" si="19"/>
        <v>715213.00967204198</v>
      </c>
    </row>
    <row r="77" spans="1:17" x14ac:dyDescent="0.2">
      <c r="A77" s="107">
        <v>74</v>
      </c>
      <c r="B77" s="108" t="s">
        <v>133</v>
      </c>
      <c r="C77" s="101" t="s">
        <v>65</v>
      </c>
      <c r="D77" s="100" t="s">
        <v>1395</v>
      </c>
      <c r="E77" s="102">
        <v>13701937.866610413</v>
      </c>
      <c r="F77" s="103">
        <v>12654713.0997</v>
      </c>
      <c r="G77" s="104">
        <f t="shared" si="13"/>
        <v>0.92357104687634406</v>
      </c>
      <c r="H77" s="103">
        <f t="shared" si="14"/>
        <v>-1693162.8064116687</v>
      </c>
      <c r="I77" s="109">
        <f t="shared" si="15"/>
        <v>-1693162.8064116687</v>
      </c>
      <c r="J77" s="103">
        <f t="shared" si="20"/>
        <v>-871046.53441504389</v>
      </c>
      <c r="K77" s="103">
        <f t="shared" si="16"/>
        <v>-871046.53441504389</v>
      </c>
      <c r="L77" s="103">
        <f t="shared" si="21"/>
        <v>-185949.64108452387</v>
      </c>
      <c r="M77" s="103">
        <f t="shared" si="17"/>
        <v>-185949.64108452387</v>
      </c>
      <c r="N77" s="105">
        <f t="shared" si="22"/>
        <v>499147.25224599615</v>
      </c>
      <c r="O77" s="103">
        <f t="shared" si="17"/>
        <v>499147.25224599615</v>
      </c>
      <c r="P77" s="110">
        <f t="shared" si="18"/>
        <v>1047224.7669104133</v>
      </c>
      <c r="Q77" s="109">
        <f t="shared" si="19"/>
        <v>1047224.7669104133</v>
      </c>
    </row>
    <row r="78" spans="1:17" x14ac:dyDescent="0.2">
      <c r="A78" s="107">
        <v>75</v>
      </c>
      <c r="B78" s="108" t="s">
        <v>1</v>
      </c>
      <c r="C78" s="101" t="s">
        <v>137</v>
      </c>
      <c r="D78" s="100" t="s">
        <v>1448</v>
      </c>
      <c r="E78" s="102">
        <v>15102560.356092714</v>
      </c>
      <c r="F78" s="103">
        <v>13752057.371300006</v>
      </c>
      <c r="G78" s="104">
        <f t="shared" si="13"/>
        <v>0.91057787865433792</v>
      </c>
      <c r="H78" s="103">
        <f t="shared" si="14"/>
        <v>-1670009.0864258353</v>
      </c>
      <c r="I78" s="109">
        <f t="shared" si="15"/>
        <v>-1670009.0864258353</v>
      </c>
      <c r="J78" s="103">
        <f t="shared" si="20"/>
        <v>-763855.46506027319</v>
      </c>
      <c r="K78" s="103">
        <f t="shared" si="16"/>
        <v>-763855.46506027319</v>
      </c>
      <c r="L78" s="103">
        <f t="shared" si="21"/>
        <v>-8727.4472556356341</v>
      </c>
      <c r="M78" s="103">
        <f t="shared" si="17"/>
        <v>-8727.4472556356341</v>
      </c>
      <c r="N78" s="105">
        <f t="shared" si="22"/>
        <v>746400.57054899819</v>
      </c>
      <c r="O78" s="103">
        <f t="shared" si="17"/>
        <v>746400.57054899819</v>
      </c>
      <c r="P78" s="110">
        <f t="shared" si="18"/>
        <v>1350502.9847927075</v>
      </c>
      <c r="Q78" s="109">
        <f t="shared" si="19"/>
        <v>1350502.9847927075</v>
      </c>
    </row>
    <row r="79" spans="1:17" x14ac:dyDescent="0.2">
      <c r="A79" s="99">
        <v>76</v>
      </c>
      <c r="B79" s="108" t="s">
        <v>9</v>
      </c>
      <c r="C79" s="101" t="s">
        <v>137</v>
      </c>
      <c r="D79" s="100" t="s">
        <v>1448</v>
      </c>
      <c r="E79" s="102">
        <v>16790767.920788579</v>
      </c>
      <c r="F79" s="103">
        <v>17037192.718700007</v>
      </c>
      <c r="G79" s="104">
        <f t="shared" si="13"/>
        <v>1.0146762077276008</v>
      </c>
      <c r="H79" s="103">
        <f t="shared" si="14"/>
        <v>-3604578.3820691425</v>
      </c>
      <c r="I79" s="109">
        <f t="shared" si="15"/>
        <v>-3604578.3820691425</v>
      </c>
      <c r="J79" s="103">
        <f t="shared" si="20"/>
        <v>-2597132.3068218287</v>
      </c>
      <c r="K79" s="103">
        <f t="shared" si="16"/>
        <v>-2597132.3068218287</v>
      </c>
      <c r="L79" s="103">
        <f t="shared" si="21"/>
        <v>-1757593.9107823987</v>
      </c>
      <c r="M79" s="103">
        <f t="shared" si="17"/>
        <v>-1757593.9107823987</v>
      </c>
      <c r="N79" s="105">
        <f t="shared" si="22"/>
        <v>-918055.51474297233</v>
      </c>
      <c r="O79" s="103">
        <f t="shared" si="17"/>
        <v>-918055.51474297233</v>
      </c>
      <c r="P79" s="110">
        <f t="shared" si="18"/>
        <v>-246424.79791142792</v>
      </c>
      <c r="Q79" s="109">
        <f t="shared" si="19"/>
        <v>-246424.79791142792</v>
      </c>
    </row>
    <row r="80" spans="1:17" x14ac:dyDescent="0.2">
      <c r="A80" s="107">
        <v>77</v>
      </c>
      <c r="B80" s="108" t="s">
        <v>128</v>
      </c>
      <c r="C80" s="101" t="s">
        <v>137</v>
      </c>
      <c r="D80" s="100" t="s">
        <v>1542</v>
      </c>
      <c r="E80" s="102">
        <v>11293166.058357494</v>
      </c>
      <c r="F80" s="103">
        <v>11324196.188200001</v>
      </c>
      <c r="G80" s="104">
        <f t="shared" si="13"/>
        <v>1.0027476909205228</v>
      </c>
      <c r="H80" s="103">
        <f t="shared" si="14"/>
        <v>-2289663.3415140044</v>
      </c>
      <c r="I80" s="109">
        <f t="shared" si="15"/>
        <v>-2289663.3415140044</v>
      </c>
      <c r="J80" s="103">
        <f t="shared" si="20"/>
        <v>-1612073.3780125566</v>
      </c>
      <c r="K80" s="103">
        <f t="shared" si="16"/>
        <v>-1612073.3780125566</v>
      </c>
      <c r="L80" s="103">
        <f t="shared" si="21"/>
        <v>-1047415.0750946812</v>
      </c>
      <c r="M80" s="103">
        <f t="shared" si="17"/>
        <v>-1047415.0750946812</v>
      </c>
      <c r="N80" s="105">
        <f t="shared" si="22"/>
        <v>-482756.77217680775</v>
      </c>
      <c r="O80" s="103">
        <f t="shared" si="17"/>
        <v>-482756.77217680775</v>
      </c>
      <c r="P80" s="110">
        <f t="shared" si="18"/>
        <v>-31030.129842506722</v>
      </c>
      <c r="Q80" s="109">
        <f t="shared" si="19"/>
        <v>-31030.129842506722</v>
      </c>
    </row>
    <row r="81" spans="1:17" x14ac:dyDescent="0.2">
      <c r="A81" s="107">
        <v>78</v>
      </c>
      <c r="B81" s="108" t="s">
        <v>135</v>
      </c>
      <c r="C81" s="101" t="s">
        <v>137</v>
      </c>
      <c r="D81" s="100" t="s">
        <v>137</v>
      </c>
      <c r="E81" s="102">
        <v>12304882.073401701</v>
      </c>
      <c r="F81" s="103">
        <v>11357006.812600005</v>
      </c>
      <c r="G81" s="104">
        <f t="shared" si="13"/>
        <v>0.92296754612133769</v>
      </c>
      <c r="H81" s="103">
        <f t="shared" si="14"/>
        <v>-1513101.1538786441</v>
      </c>
      <c r="I81" s="109">
        <f t="shared" si="15"/>
        <v>-1513101.1538786441</v>
      </c>
      <c r="J81" s="103">
        <f t="shared" si="20"/>
        <v>-774808.22947454266</v>
      </c>
      <c r="K81" s="103">
        <f t="shared" si="16"/>
        <v>-774808.22947454266</v>
      </c>
      <c r="L81" s="103">
        <f t="shared" si="21"/>
        <v>-159564.12580445781</v>
      </c>
      <c r="M81" s="103">
        <f t="shared" si="17"/>
        <v>-159564.12580445781</v>
      </c>
      <c r="N81" s="105">
        <f t="shared" si="22"/>
        <v>455679.97786562704</v>
      </c>
      <c r="O81" s="103">
        <f t="shared" si="17"/>
        <v>455679.97786562704</v>
      </c>
      <c r="P81" s="110">
        <f t="shared" si="18"/>
        <v>947875.26080169529</v>
      </c>
      <c r="Q81" s="109">
        <f t="shared" si="19"/>
        <v>947875.26080169529</v>
      </c>
    </row>
    <row r="82" spans="1:17" x14ac:dyDescent="0.2">
      <c r="A82" s="99">
        <v>79</v>
      </c>
      <c r="B82" s="108" t="s">
        <v>72</v>
      </c>
      <c r="C82" s="101" t="s">
        <v>65</v>
      </c>
      <c r="D82" s="100" t="s">
        <v>1462</v>
      </c>
      <c r="E82" s="102">
        <v>8485288.3509915471</v>
      </c>
      <c r="F82" s="103">
        <v>8490164.0198000018</v>
      </c>
      <c r="G82" s="104">
        <f t="shared" si="13"/>
        <v>1.0005746026070976</v>
      </c>
      <c r="H82" s="103">
        <f t="shared" si="14"/>
        <v>-1701933.3390067639</v>
      </c>
      <c r="I82" s="109">
        <f t="shared" si="15"/>
        <v>-1701933.3390067639</v>
      </c>
      <c r="J82" s="103">
        <f t="shared" si="20"/>
        <v>-1192816.037947271</v>
      </c>
      <c r="K82" s="103">
        <f t="shared" si="16"/>
        <v>-1192816.037947271</v>
      </c>
      <c r="L82" s="103">
        <f t="shared" si="21"/>
        <v>-768551.62039769348</v>
      </c>
      <c r="M82" s="103">
        <f t="shared" si="17"/>
        <v>-768551.62039769348</v>
      </c>
      <c r="N82" s="105">
        <f t="shared" si="22"/>
        <v>-344287.20284811687</v>
      </c>
      <c r="O82" s="103">
        <f t="shared" si="17"/>
        <v>-344287.20284811687</v>
      </c>
      <c r="P82" s="110">
        <f t="shared" si="18"/>
        <v>-4875.6688084546477</v>
      </c>
      <c r="Q82" s="109">
        <f t="shared" si="19"/>
        <v>-4875.6688084546477</v>
      </c>
    </row>
    <row r="83" spans="1:17" x14ac:dyDescent="0.2">
      <c r="A83" s="107">
        <v>80</v>
      </c>
      <c r="B83" s="108" t="s">
        <v>64</v>
      </c>
      <c r="C83" s="101" t="s">
        <v>65</v>
      </c>
      <c r="D83" s="100" t="s">
        <v>1462</v>
      </c>
      <c r="E83" s="102">
        <v>17289290.922960635</v>
      </c>
      <c r="F83" s="103">
        <v>17434085.057400007</v>
      </c>
      <c r="G83" s="104">
        <f t="shared" si="13"/>
        <v>1.0083747873226589</v>
      </c>
      <c r="H83" s="103">
        <f t="shared" si="14"/>
        <v>-3602652.3190314975</v>
      </c>
      <c r="I83" s="109">
        <f t="shared" si="15"/>
        <v>-3602652.3190314975</v>
      </c>
      <c r="J83" s="103">
        <f t="shared" si="20"/>
        <v>-2565294.863653861</v>
      </c>
      <c r="K83" s="103">
        <f t="shared" si="16"/>
        <v>-2565294.863653861</v>
      </c>
      <c r="L83" s="103">
        <f t="shared" si="21"/>
        <v>-1700830.317505829</v>
      </c>
      <c r="M83" s="103">
        <f t="shared" si="17"/>
        <v>-1700830.317505829</v>
      </c>
      <c r="N83" s="105">
        <f t="shared" si="22"/>
        <v>-836365.77135779709</v>
      </c>
      <c r="O83" s="103">
        <f t="shared" si="17"/>
        <v>-836365.77135779709</v>
      </c>
      <c r="P83" s="110">
        <f t="shared" si="18"/>
        <v>-144794.13443937153</v>
      </c>
      <c r="Q83" s="109">
        <f t="shared" si="19"/>
        <v>-144794.13443937153</v>
      </c>
    </row>
    <row r="84" spans="1:17" x14ac:dyDescent="0.2">
      <c r="A84" s="107">
        <v>81</v>
      </c>
      <c r="B84" s="108" t="s">
        <v>73</v>
      </c>
      <c r="C84" s="101" t="s">
        <v>65</v>
      </c>
      <c r="D84" s="100" t="s">
        <v>65</v>
      </c>
      <c r="E84" s="102">
        <v>11223262.571481934</v>
      </c>
      <c r="F84" s="103">
        <v>11146552.797099998</v>
      </c>
      <c r="G84" s="104">
        <f t="shared" si="13"/>
        <v>0.99316510917450573</v>
      </c>
      <c r="H84" s="103">
        <f t="shared" si="14"/>
        <v>-2167942.7399144508</v>
      </c>
      <c r="I84" s="109">
        <f t="shared" si="15"/>
        <v>-2167942.7399144508</v>
      </c>
      <c r="J84" s="103">
        <f t="shared" si="20"/>
        <v>-1494546.9856255352</v>
      </c>
      <c r="K84" s="103">
        <f t="shared" si="16"/>
        <v>-1494546.9856255352</v>
      </c>
      <c r="L84" s="103">
        <f t="shared" si="21"/>
        <v>-933383.85705143772</v>
      </c>
      <c r="M84" s="103">
        <f t="shared" si="17"/>
        <v>-933383.85705143772</v>
      </c>
      <c r="N84" s="105">
        <f t="shared" si="22"/>
        <v>-372220.72847734205</v>
      </c>
      <c r="O84" s="103">
        <f t="shared" si="17"/>
        <v>-372220.72847734205</v>
      </c>
      <c r="P84" s="110">
        <f t="shared" si="18"/>
        <v>76709.774381935596</v>
      </c>
      <c r="Q84" s="109">
        <f t="shared" si="19"/>
        <v>76709.774381935596</v>
      </c>
    </row>
    <row r="85" spans="1:17" x14ac:dyDescent="0.2">
      <c r="A85" s="99">
        <v>82</v>
      </c>
      <c r="B85" s="122" t="s">
        <v>1327</v>
      </c>
      <c r="C85" s="101" t="s">
        <v>65</v>
      </c>
      <c r="D85" s="100" t="s">
        <v>65</v>
      </c>
      <c r="E85" s="102">
        <v>13762237.252915172</v>
      </c>
      <c r="F85" s="103">
        <v>14151731.241499996</v>
      </c>
      <c r="G85" s="104">
        <f t="shared" si="13"/>
        <v>1.0283016475756745</v>
      </c>
      <c r="H85" s="103">
        <f t="shared" si="14"/>
        <v>-3141941.4391678572</v>
      </c>
      <c r="I85" s="109">
        <f t="shared" si="15"/>
        <v>-3141941.4391678572</v>
      </c>
      <c r="J85" s="103">
        <f t="shared" si="20"/>
        <v>-2316207.2039929479</v>
      </c>
      <c r="K85" s="103">
        <f t="shared" si="16"/>
        <v>-2316207.2039929479</v>
      </c>
      <c r="L85" s="103">
        <f t="shared" si="21"/>
        <v>-1628095.3413471896</v>
      </c>
      <c r="M85" s="103">
        <f t="shared" si="17"/>
        <v>-1628095.3413471896</v>
      </c>
      <c r="N85" s="105">
        <f t="shared" si="22"/>
        <v>-939983.4787014313</v>
      </c>
      <c r="O85" s="103">
        <f t="shared" si="17"/>
        <v>-939983.4787014313</v>
      </c>
      <c r="P85" s="110">
        <f t="shared" si="18"/>
        <v>-389493.98858482391</v>
      </c>
      <c r="Q85" s="109">
        <f t="shared" si="19"/>
        <v>-389493.98858482391</v>
      </c>
    </row>
    <row r="86" spans="1:17" x14ac:dyDescent="0.2">
      <c r="A86" s="107">
        <v>83</v>
      </c>
      <c r="B86" s="108" t="s">
        <v>74</v>
      </c>
      <c r="C86" s="101" t="s">
        <v>65</v>
      </c>
      <c r="D86" s="100" t="s">
        <v>65</v>
      </c>
      <c r="E86" s="102">
        <v>3827424.6404182361</v>
      </c>
      <c r="F86" s="103">
        <v>3209744.024900001</v>
      </c>
      <c r="G86" s="104">
        <f t="shared" si="13"/>
        <v>0.8386171711924969</v>
      </c>
      <c r="H86" s="103">
        <f t="shared" si="14"/>
        <v>-147804.31256541191</v>
      </c>
      <c r="I86" s="109">
        <f t="shared" si="15"/>
        <v>-147804.31256541191</v>
      </c>
      <c r="J86" s="103">
        <f t="shared" si="20"/>
        <v>81841.16585968202</v>
      </c>
      <c r="K86" s="103">
        <f t="shared" si="16"/>
        <v>81841.16585968202</v>
      </c>
      <c r="L86" s="103">
        <f t="shared" si="21"/>
        <v>273212.39788059378</v>
      </c>
      <c r="M86" s="103">
        <f t="shared" si="17"/>
        <v>273212.39788059378</v>
      </c>
      <c r="N86" s="105">
        <f t="shared" si="22"/>
        <v>464583.62990150554</v>
      </c>
      <c r="O86" s="103">
        <f t="shared" si="17"/>
        <v>464583.62990150554</v>
      </c>
      <c r="P86" s="110">
        <f t="shared" si="18"/>
        <v>617680.61551823514</v>
      </c>
      <c r="Q86" s="109">
        <f t="shared" si="19"/>
        <v>617680.61551823514</v>
      </c>
    </row>
    <row r="87" spans="1:17" x14ac:dyDescent="0.2">
      <c r="A87" s="107">
        <v>84</v>
      </c>
      <c r="B87" s="108" t="s">
        <v>75</v>
      </c>
      <c r="C87" s="101" t="s">
        <v>65</v>
      </c>
      <c r="D87" s="100" t="s">
        <v>70</v>
      </c>
      <c r="E87" s="102">
        <v>12627911.79893494</v>
      </c>
      <c r="F87" s="103">
        <v>11828050.982300002</v>
      </c>
      <c r="G87" s="104">
        <f t="shared" si="13"/>
        <v>0.93665929653528313</v>
      </c>
      <c r="H87" s="103">
        <f t="shared" si="14"/>
        <v>-1725721.5431520492</v>
      </c>
      <c r="I87" s="109">
        <f t="shared" si="15"/>
        <v>-1725721.5431520492</v>
      </c>
      <c r="J87" s="103">
        <f t="shared" si="20"/>
        <v>-968046.83521595411</v>
      </c>
      <c r="K87" s="103">
        <f t="shared" si="16"/>
        <v>-968046.83521595411</v>
      </c>
      <c r="L87" s="103">
        <f t="shared" si="21"/>
        <v>-336651.24526920542</v>
      </c>
      <c r="M87" s="103">
        <f t="shared" si="17"/>
        <v>-336651.24526920542</v>
      </c>
      <c r="N87" s="105">
        <f t="shared" si="22"/>
        <v>294744.34467753954</v>
      </c>
      <c r="O87" s="103">
        <f t="shared" si="17"/>
        <v>294744.34467753954</v>
      </c>
      <c r="P87" s="110">
        <f t="shared" si="18"/>
        <v>799860.81663493812</v>
      </c>
      <c r="Q87" s="109">
        <f t="shared" si="19"/>
        <v>799860.81663493812</v>
      </c>
    </row>
    <row r="88" spans="1:17" x14ac:dyDescent="0.2">
      <c r="A88" s="99">
        <v>85</v>
      </c>
      <c r="B88" s="108" t="s">
        <v>76</v>
      </c>
      <c r="C88" s="101" t="s">
        <v>65</v>
      </c>
      <c r="D88" s="100" t="s">
        <v>70</v>
      </c>
      <c r="E88" s="102">
        <v>9100131.0273418631</v>
      </c>
      <c r="F88" s="103">
        <v>9260277.4447999932</v>
      </c>
      <c r="G88" s="104">
        <f t="shared" si="13"/>
        <v>1.0175982540226027</v>
      </c>
      <c r="H88" s="103">
        <f t="shared" si="14"/>
        <v>-1980172.6229265025</v>
      </c>
      <c r="I88" s="109">
        <f t="shared" si="15"/>
        <v>-1980172.6229265025</v>
      </c>
      <c r="J88" s="103">
        <f t="shared" si="20"/>
        <v>-1434164.7612859914</v>
      </c>
      <c r="K88" s="103">
        <f t="shared" si="16"/>
        <v>-1434164.7612859914</v>
      </c>
      <c r="L88" s="103">
        <f t="shared" si="21"/>
        <v>-979158.2099188976</v>
      </c>
      <c r="M88" s="103">
        <f t="shared" si="17"/>
        <v>-979158.2099188976</v>
      </c>
      <c r="N88" s="105">
        <f t="shared" si="22"/>
        <v>-524151.65855180472</v>
      </c>
      <c r="O88" s="103">
        <f t="shared" si="17"/>
        <v>-524151.65855180472</v>
      </c>
      <c r="P88" s="110">
        <f t="shared" si="18"/>
        <v>-160146.41745813005</v>
      </c>
      <c r="Q88" s="109">
        <f t="shared" si="19"/>
        <v>-160146.41745813005</v>
      </c>
    </row>
    <row r="89" spans="1:17" x14ac:dyDescent="0.2">
      <c r="A89" s="107">
        <v>86</v>
      </c>
      <c r="B89" s="108" t="s">
        <v>71</v>
      </c>
      <c r="C89" s="101" t="s">
        <v>65</v>
      </c>
      <c r="D89" s="100" t="s">
        <v>70</v>
      </c>
      <c r="E89" s="102">
        <v>7034154.6800861573</v>
      </c>
      <c r="F89" s="103">
        <v>7145382.6704000002</v>
      </c>
      <c r="G89" s="104">
        <f t="shared" si="13"/>
        <v>1.015812559628342</v>
      </c>
      <c r="H89" s="103">
        <f t="shared" si="14"/>
        <v>-1518058.926331074</v>
      </c>
      <c r="I89" s="109">
        <f t="shared" si="15"/>
        <v>-1518058.926331074</v>
      </c>
      <c r="J89" s="103">
        <f t="shared" si="20"/>
        <v>-1096009.6455259053</v>
      </c>
      <c r="K89" s="103">
        <f t="shared" si="16"/>
        <v>-1096009.6455259053</v>
      </c>
      <c r="L89" s="103">
        <f t="shared" si="21"/>
        <v>-744301.91152159683</v>
      </c>
      <c r="M89" s="103">
        <f t="shared" si="17"/>
        <v>-744301.91152159683</v>
      </c>
      <c r="N89" s="105">
        <f t="shared" si="22"/>
        <v>-392594.1775172893</v>
      </c>
      <c r="O89" s="103">
        <f t="shared" si="17"/>
        <v>-392594.1775172893</v>
      </c>
      <c r="P89" s="110">
        <f t="shared" si="18"/>
        <v>-111227.99031384289</v>
      </c>
      <c r="Q89" s="109">
        <f t="shared" si="19"/>
        <v>-111227.99031384289</v>
      </c>
    </row>
    <row r="90" spans="1:17" x14ac:dyDescent="0.2">
      <c r="A90" s="107">
        <v>87</v>
      </c>
      <c r="B90" s="108" t="s">
        <v>69</v>
      </c>
      <c r="C90" s="101" t="s">
        <v>65</v>
      </c>
      <c r="D90" s="100" t="s">
        <v>70</v>
      </c>
      <c r="E90" s="102">
        <v>11034661.073377172</v>
      </c>
      <c r="F90" s="103">
        <v>11145856.583000001</v>
      </c>
      <c r="G90" s="104">
        <f t="shared" si="13"/>
        <v>1.0100769302186459</v>
      </c>
      <c r="H90" s="103">
        <f t="shared" si="14"/>
        <v>-2318127.724298263</v>
      </c>
      <c r="I90" s="109">
        <f t="shared" si="15"/>
        <v>-2318127.724298263</v>
      </c>
      <c r="J90" s="103">
        <f t="shared" si="20"/>
        <v>-1656048.0598956328</v>
      </c>
      <c r="K90" s="103">
        <f t="shared" si="16"/>
        <v>-1656048.0598956328</v>
      </c>
      <c r="L90" s="103">
        <f t="shared" si="21"/>
        <v>-1104315.0062267743</v>
      </c>
      <c r="M90" s="103">
        <f t="shared" si="17"/>
        <v>-1104315.0062267743</v>
      </c>
      <c r="N90" s="105">
        <f t="shared" si="22"/>
        <v>-552581.95255791582</v>
      </c>
      <c r="O90" s="103">
        <f t="shared" si="17"/>
        <v>-552581.95255791582</v>
      </c>
      <c r="P90" s="110">
        <f t="shared" si="18"/>
        <v>-111195.50962282903</v>
      </c>
      <c r="Q90" s="109">
        <f t="shared" si="19"/>
        <v>-111195.50962282903</v>
      </c>
    </row>
    <row r="91" spans="1:17" x14ac:dyDescent="0.2">
      <c r="A91" s="99">
        <v>88</v>
      </c>
      <c r="B91" s="111" t="s">
        <v>1266</v>
      </c>
      <c r="C91" s="101" t="s">
        <v>65</v>
      </c>
      <c r="D91" s="100" t="s">
        <v>65</v>
      </c>
      <c r="E91" s="102">
        <v>5880577.0661059245</v>
      </c>
      <c r="F91" s="103">
        <v>5940975.8799000019</v>
      </c>
      <c r="G91" s="104">
        <f t="shared" si="13"/>
        <v>1.0102708991167211</v>
      </c>
      <c r="H91" s="103">
        <f t="shared" si="14"/>
        <v>-1236514.2270152625</v>
      </c>
      <c r="I91" s="109">
        <f t="shared" si="15"/>
        <v>-1236514.2270152625</v>
      </c>
      <c r="J91" s="103">
        <f t="shared" si="20"/>
        <v>-883679.60304890666</v>
      </c>
      <c r="K91" s="103">
        <f t="shared" si="16"/>
        <v>-883679.60304890666</v>
      </c>
      <c r="L91" s="103">
        <f t="shared" si="21"/>
        <v>-589650.74974361062</v>
      </c>
      <c r="M91" s="103">
        <f t="shared" si="17"/>
        <v>-589650.74974361062</v>
      </c>
      <c r="N91" s="105">
        <f t="shared" si="22"/>
        <v>-295621.89643831458</v>
      </c>
      <c r="O91" s="103">
        <f t="shared" si="17"/>
        <v>-295621.89643831458</v>
      </c>
      <c r="P91" s="110">
        <f t="shared" si="18"/>
        <v>-60398.813794077374</v>
      </c>
      <c r="Q91" s="109">
        <f t="shared" si="19"/>
        <v>-60398.813794077374</v>
      </c>
    </row>
    <row r="92" spans="1:17" x14ac:dyDescent="0.2">
      <c r="A92" s="107">
        <v>89</v>
      </c>
      <c r="B92" s="111" t="s">
        <v>83</v>
      </c>
      <c r="C92" s="101" t="s">
        <v>80</v>
      </c>
      <c r="D92" s="100" t="s">
        <v>1465</v>
      </c>
      <c r="E92" s="102">
        <v>15017843.302376449</v>
      </c>
      <c r="F92" s="103">
        <v>15724975.198800009</v>
      </c>
      <c r="G92" s="104">
        <f t="shared" si="13"/>
        <v>1.0470861149757544</v>
      </c>
      <c r="H92" s="103">
        <f t="shared" si="14"/>
        <v>-3710700.5568988491</v>
      </c>
      <c r="I92" s="109">
        <f t="shared" si="15"/>
        <v>-3710700.5568988491</v>
      </c>
      <c r="J92" s="103">
        <f t="shared" si="20"/>
        <v>-2809629.9587562624</v>
      </c>
      <c r="K92" s="103">
        <f t="shared" si="16"/>
        <v>-2809629.9587562624</v>
      </c>
      <c r="L92" s="103">
        <f t="shared" si="21"/>
        <v>-2058737.7936374396</v>
      </c>
      <c r="M92" s="103">
        <f t="shared" si="17"/>
        <v>-2058737.7936374396</v>
      </c>
      <c r="N92" s="105">
        <f t="shared" si="22"/>
        <v>-1307845.6285186186</v>
      </c>
      <c r="O92" s="103">
        <f t="shared" si="17"/>
        <v>-1307845.6285186186</v>
      </c>
      <c r="P92" s="110">
        <f t="shared" si="18"/>
        <v>-707131.89642355964</v>
      </c>
      <c r="Q92" s="109">
        <f t="shared" si="19"/>
        <v>-707131.89642355964</v>
      </c>
    </row>
    <row r="93" spans="1:17" x14ac:dyDescent="0.2">
      <c r="A93" s="107">
        <v>90</v>
      </c>
      <c r="B93" s="108" t="s">
        <v>66</v>
      </c>
      <c r="C93" s="101" t="s">
        <v>65</v>
      </c>
      <c r="D93" s="100" t="s">
        <v>1400</v>
      </c>
      <c r="E93" s="102">
        <v>11038638.993377171</v>
      </c>
      <c r="F93" s="103">
        <v>11381404.396099998</v>
      </c>
      <c r="G93" s="104">
        <f t="shared" si="13"/>
        <v>1.0310514188323827</v>
      </c>
      <c r="H93" s="103">
        <f t="shared" si="14"/>
        <v>-2550493.2013982609</v>
      </c>
      <c r="I93" s="109">
        <f t="shared" si="15"/>
        <v>-2550493.2013982609</v>
      </c>
      <c r="J93" s="103">
        <f t="shared" si="20"/>
        <v>-1888174.8617956303</v>
      </c>
      <c r="K93" s="103">
        <f t="shared" si="16"/>
        <v>-1888174.8617956303</v>
      </c>
      <c r="L93" s="103">
        <f t="shared" si="21"/>
        <v>-1336242.9121267721</v>
      </c>
      <c r="M93" s="103">
        <f t="shared" si="17"/>
        <v>-1336242.9121267721</v>
      </c>
      <c r="N93" s="105">
        <f t="shared" si="22"/>
        <v>-784310.96245791391</v>
      </c>
      <c r="O93" s="103">
        <f t="shared" si="17"/>
        <v>-784310.96245791391</v>
      </c>
      <c r="P93" s="110">
        <f t="shared" si="18"/>
        <v>-342765.40272282623</v>
      </c>
      <c r="Q93" s="109">
        <f t="shared" si="19"/>
        <v>-342765.40272282623</v>
      </c>
    </row>
    <row r="94" spans="1:17" x14ac:dyDescent="0.2">
      <c r="A94" s="99">
        <v>91</v>
      </c>
      <c r="B94" s="124" t="s">
        <v>1403</v>
      </c>
      <c r="C94" s="101" t="s">
        <v>80</v>
      </c>
      <c r="D94" s="100" t="s">
        <v>1465</v>
      </c>
      <c r="E94" s="102">
        <v>12168971.192098912</v>
      </c>
      <c r="F94" s="103">
        <v>12189845.409</v>
      </c>
      <c r="G94" s="104">
        <f t="shared" si="13"/>
        <v>1.0017153641480097</v>
      </c>
      <c r="H94" s="103">
        <f t="shared" si="14"/>
        <v>-2454668.4553208705</v>
      </c>
      <c r="I94" s="109">
        <f t="shared" si="15"/>
        <v>-2454668.4553208705</v>
      </c>
      <c r="J94" s="103">
        <f t="shared" si="20"/>
        <v>-1724530.1837949362</v>
      </c>
      <c r="K94" s="103">
        <f t="shared" si="16"/>
        <v>-1724530.1837949362</v>
      </c>
      <c r="L94" s="103">
        <f t="shared" si="21"/>
        <v>-1116081.6241899896</v>
      </c>
      <c r="M94" s="103">
        <f t="shared" si="17"/>
        <v>-1116081.6241899896</v>
      </c>
      <c r="N94" s="105">
        <f t="shared" si="22"/>
        <v>-507633.06458504498</v>
      </c>
      <c r="O94" s="103">
        <f t="shared" si="17"/>
        <v>-507633.06458504498</v>
      </c>
      <c r="P94" s="110">
        <f t="shared" si="18"/>
        <v>-20874.216901088133</v>
      </c>
      <c r="Q94" s="109">
        <f t="shared" si="19"/>
        <v>-20874.216901088133</v>
      </c>
    </row>
    <row r="95" spans="1:17" x14ac:dyDescent="0.2">
      <c r="A95" s="107">
        <v>92</v>
      </c>
      <c r="B95" s="108" t="s">
        <v>90</v>
      </c>
      <c r="C95" s="101" t="s">
        <v>80</v>
      </c>
      <c r="D95" s="100" t="s">
        <v>91</v>
      </c>
      <c r="E95" s="102">
        <v>10631033.558160815</v>
      </c>
      <c r="F95" s="103">
        <v>11127925.121199995</v>
      </c>
      <c r="G95" s="123">
        <f t="shared" si="13"/>
        <v>1.0467397229366984</v>
      </c>
      <c r="H95" s="103">
        <f t="shared" si="14"/>
        <v>-2623098.2746713422</v>
      </c>
      <c r="I95" s="109">
        <f t="shared" si="15"/>
        <v>-2623098.2746713422</v>
      </c>
      <c r="J95" s="103">
        <f t="shared" si="20"/>
        <v>-1985236.2611816935</v>
      </c>
      <c r="K95" s="103">
        <f t="shared" si="16"/>
        <v>-1985236.2611816935</v>
      </c>
      <c r="L95" s="103">
        <f t="shared" si="21"/>
        <v>-1453684.5832736529</v>
      </c>
      <c r="M95" s="103">
        <f t="shared" si="17"/>
        <v>-1453684.5832736529</v>
      </c>
      <c r="N95" s="105">
        <f t="shared" si="22"/>
        <v>-922132.90536561236</v>
      </c>
      <c r="O95" s="103">
        <f t="shared" si="17"/>
        <v>-922132.90536561236</v>
      </c>
      <c r="P95" s="110">
        <f t="shared" si="18"/>
        <v>-496891.56303917989</v>
      </c>
      <c r="Q95" s="109">
        <f t="shared" si="19"/>
        <v>-496891.56303917989</v>
      </c>
    </row>
    <row r="96" spans="1:17" x14ac:dyDescent="0.2">
      <c r="A96" s="107">
        <v>93</v>
      </c>
      <c r="B96" s="108" t="s">
        <v>1350</v>
      </c>
      <c r="C96" s="101" t="s">
        <v>80</v>
      </c>
      <c r="D96" s="100" t="s">
        <v>91</v>
      </c>
      <c r="E96" s="102">
        <v>21116850.108015709</v>
      </c>
      <c r="F96" s="103">
        <v>25357558.626400005</v>
      </c>
      <c r="G96" s="104">
        <f t="shared" si="13"/>
        <v>1.2008210740092611</v>
      </c>
      <c r="H96" s="103">
        <f t="shared" ref="H96:H124" si="23">(E96*0.8)-F96</f>
        <v>-8464078.5399874374</v>
      </c>
      <c r="I96" s="109">
        <f t="shared" ref="I96:I125" si="24">H96/$Q$2</f>
        <v>-8464078.5399874374</v>
      </c>
      <c r="J96" s="103">
        <f t="shared" si="20"/>
        <v>-7197067.5335064977</v>
      </c>
      <c r="K96" s="103">
        <f t="shared" si="16"/>
        <v>-7197067.5335064977</v>
      </c>
      <c r="L96" s="103">
        <f t="shared" si="21"/>
        <v>-6141225.0281057097</v>
      </c>
      <c r="M96" s="103">
        <f t="shared" si="17"/>
        <v>-6141225.0281057097</v>
      </c>
      <c r="N96" s="105">
        <f t="shared" si="22"/>
        <v>-5085382.5227049254</v>
      </c>
      <c r="O96" s="103">
        <f t="shared" si="17"/>
        <v>-5085382.5227049254</v>
      </c>
      <c r="P96" s="110">
        <f t="shared" ref="P96:P125" si="25">E96-F96</f>
        <v>-4240708.5183842964</v>
      </c>
      <c r="Q96" s="109">
        <f t="shared" si="19"/>
        <v>-4240708.5183842964</v>
      </c>
    </row>
    <row r="97" spans="1:17" x14ac:dyDescent="0.2">
      <c r="A97" s="99">
        <v>94</v>
      </c>
      <c r="B97" s="108" t="s">
        <v>84</v>
      </c>
      <c r="C97" s="101" t="s">
        <v>80</v>
      </c>
      <c r="D97" s="100" t="s">
        <v>80</v>
      </c>
      <c r="E97" s="102">
        <v>12526790.334474659</v>
      </c>
      <c r="F97" s="103">
        <v>14537613.781599998</v>
      </c>
      <c r="G97" s="104">
        <f t="shared" si="13"/>
        <v>1.1605218410650175</v>
      </c>
      <c r="H97" s="103">
        <f t="shared" si="23"/>
        <v>-4516181.5140202716</v>
      </c>
      <c r="I97" s="109">
        <f t="shared" si="24"/>
        <v>-4516181.5140202716</v>
      </c>
      <c r="J97" s="103">
        <f t="shared" si="20"/>
        <v>-3764574.0939517915</v>
      </c>
      <c r="K97" s="103">
        <f t="shared" si="16"/>
        <v>-3764574.0939517915</v>
      </c>
      <c r="L97" s="103">
        <f t="shared" si="21"/>
        <v>-3138234.5772280581</v>
      </c>
      <c r="M97" s="103">
        <f t="shared" si="17"/>
        <v>-3138234.5772280581</v>
      </c>
      <c r="N97" s="105">
        <f t="shared" si="22"/>
        <v>-2511895.0605043266</v>
      </c>
      <c r="O97" s="103">
        <f t="shared" si="17"/>
        <v>-2511895.0605043266</v>
      </c>
      <c r="P97" s="110">
        <f t="shared" si="25"/>
        <v>-2010823.4471253399</v>
      </c>
      <c r="Q97" s="109">
        <f t="shared" si="19"/>
        <v>-2010823.4471253399</v>
      </c>
    </row>
    <row r="98" spans="1:17" x14ac:dyDescent="0.2">
      <c r="A98" s="107">
        <v>95</v>
      </c>
      <c r="B98" s="111" t="s">
        <v>136</v>
      </c>
      <c r="C98" s="101" t="s">
        <v>65</v>
      </c>
      <c r="D98" s="100" t="s">
        <v>1400</v>
      </c>
      <c r="E98" s="102">
        <v>9208487.7888942417</v>
      </c>
      <c r="F98" s="103">
        <v>9360012.2144000027</v>
      </c>
      <c r="G98" s="104">
        <f t="shared" si="13"/>
        <v>1.0164548652264604</v>
      </c>
      <c r="H98" s="103">
        <f t="shared" si="23"/>
        <v>-1993221.9832846094</v>
      </c>
      <c r="I98" s="109">
        <f t="shared" si="24"/>
        <v>-1993221.9832846094</v>
      </c>
      <c r="J98" s="103">
        <f t="shared" si="20"/>
        <v>-1440712.7159509547</v>
      </c>
      <c r="K98" s="103">
        <f t="shared" si="16"/>
        <v>-1440712.7159509547</v>
      </c>
      <c r="L98" s="103">
        <f t="shared" si="21"/>
        <v>-980288.32650624216</v>
      </c>
      <c r="M98" s="103">
        <f t="shared" si="17"/>
        <v>-980288.32650624216</v>
      </c>
      <c r="N98" s="105">
        <f t="shared" si="22"/>
        <v>-519863.93706153147</v>
      </c>
      <c r="O98" s="103">
        <f t="shared" si="17"/>
        <v>-519863.93706153147</v>
      </c>
      <c r="P98" s="110">
        <f t="shared" si="25"/>
        <v>-151524.42550576106</v>
      </c>
      <c r="Q98" s="109">
        <f t="shared" si="19"/>
        <v>-151524.42550576106</v>
      </c>
    </row>
    <row r="99" spans="1:17" x14ac:dyDescent="0.2">
      <c r="A99" s="107">
        <v>96</v>
      </c>
      <c r="B99" s="108" t="s">
        <v>77</v>
      </c>
      <c r="C99" s="101" t="s">
        <v>65</v>
      </c>
      <c r="D99" s="100" t="s">
        <v>1400</v>
      </c>
      <c r="E99" s="102">
        <v>20393477.098576173</v>
      </c>
      <c r="F99" s="103">
        <v>20770628.68720001</v>
      </c>
      <c r="G99" s="104">
        <f t="shared" si="13"/>
        <v>1.0184937363452438</v>
      </c>
      <c r="H99" s="103">
        <f t="shared" si="23"/>
        <v>-4455847.0083390698</v>
      </c>
      <c r="I99" s="109">
        <f t="shared" si="24"/>
        <v>-4455847.0083390698</v>
      </c>
      <c r="J99" s="103">
        <f t="shared" si="20"/>
        <v>-3232238.3824244998</v>
      </c>
      <c r="K99" s="103">
        <f t="shared" si="16"/>
        <v>-3232238.3824244998</v>
      </c>
      <c r="L99" s="103">
        <f t="shared" si="21"/>
        <v>-2212564.5274956934</v>
      </c>
      <c r="M99" s="103">
        <f t="shared" si="17"/>
        <v>-2212564.5274956934</v>
      </c>
      <c r="N99" s="105">
        <f t="shared" si="22"/>
        <v>-1192890.6725668833</v>
      </c>
      <c r="O99" s="103">
        <f t="shared" si="17"/>
        <v>-1192890.6725668833</v>
      </c>
      <c r="P99" s="110">
        <f t="shared" si="25"/>
        <v>-377151.58862383664</v>
      </c>
      <c r="Q99" s="109">
        <f t="shared" si="19"/>
        <v>-377151.58862383664</v>
      </c>
    </row>
    <row r="100" spans="1:17" x14ac:dyDescent="0.2">
      <c r="A100" s="99">
        <v>97</v>
      </c>
      <c r="B100" s="108" t="s">
        <v>79</v>
      </c>
      <c r="C100" s="101" t="s">
        <v>80</v>
      </c>
      <c r="D100" s="100" t="s">
        <v>80</v>
      </c>
      <c r="E100" s="102">
        <v>12469426.711892085</v>
      </c>
      <c r="F100" s="103">
        <v>11184281.119899999</v>
      </c>
      <c r="G100" s="104">
        <f t="shared" si="13"/>
        <v>0.89693627287881306</v>
      </c>
      <c r="H100" s="103">
        <f t="shared" si="23"/>
        <v>-1208739.7503863312</v>
      </c>
      <c r="I100" s="109">
        <f t="shared" si="24"/>
        <v>-1208739.7503863312</v>
      </c>
      <c r="J100" s="103">
        <f t="shared" si="20"/>
        <v>-460574.14767280594</v>
      </c>
      <c r="K100" s="103">
        <f t="shared" si="16"/>
        <v>-460574.14767280594</v>
      </c>
      <c r="L100" s="103">
        <f t="shared" si="21"/>
        <v>162897.18792179786</v>
      </c>
      <c r="M100" s="103">
        <f t="shared" si="17"/>
        <v>162897.18792179786</v>
      </c>
      <c r="N100" s="105">
        <f t="shared" si="22"/>
        <v>786368.52351640165</v>
      </c>
      <c r="O100" s="103">
        <f t="shared" si="17"/>
        <v>786368.52351640165</v>
      </c>
      <c r="P100" s="110">
        <f t="shared" si="25"/>
        <v>1285145.5919920858</v>
      </c>
      <c r="Q100" s="109">
        <f t="shared" si="19"/>
        <v>1285145.5919920858</v>
      </c>
    </row>
    <row r="101" spans="1:17" x14ac:dyDescent="0.2">
      <c r="A101" s="107">
        <v>98</v>
      </c>
      <c r="B101" s="108" t="s">
        <v>88</v>
      </c>
      <c r="C101" s="101" t="s">
        <v>80</v>
      </c>
      <c r="D101" s="100" t="s">
        <v>80</v>
      </c>
      <c r="E101" s="102">
        <v>9967576.8196028639</v>
      </c>
      <c r="F101" s="103">
        <v>9028737.6353999972</v>
      </c>
      <c r="G101" s="104">
        <f t="shared" si="13"/>
        <v>0.90581068988036428</v>
      </c>
      <c r="H101" s="103">
        <f t="shared" si="23"/>
        <v>-1054676.1797177056</v>
      </c>
      <c r="I101" s="109">
        <f t="shared" si="24"/>
        <v>-1054676.1797177056</v>
      </c>
      <c r="J101" s="103">
        <f t="shared" si="20"/>
        <v>-456621.57054153457</v>
      </c>
      <c r="K101" s="103">
        <f t="shared" si="16"/>
        <v>-456621.57054153457</v>
      </c>
      <c r="L101" s="103">
        <f t="shared" si="21"/>
        <v>41757.270438609645</v>
      </c>
      <c r="M101" s="103">
        <f t="shared" si="17"/>
        <v>41757.270438609645</v>
      </c>
      <c r="N101" s="105">
        <f t="shared" si="22"/>
        <v>540136.111418752</v>
      </c>
      <c r="O101" s="103">
        <f t="shared" si="17"/>
        <v>540136.111418752</v>
      </c>
      <c r="P101" s="110">
        <f t="shared" si="25"/>
        <v>938839.18420286663</v>
      </c>
      <c r="Q101" s="109">
        <f t="shared" si="19"/>
        <v>938839.18420286663</v>
      </c>
    </row>
    <row r="102" spans="1:17" x14ac:dyDescent="0.2">
      <c r="A102" s="107">
        <v>99</v>
      </c>
      <c r="B102" s="108" t="s">
        <v>85</v>
      </c>
      <c r="C102" s="101" t="s">
        <v>80</v>
      </c>
      <c r="D102" s="100" t="s">
        <v>91</v>
      </c>
      <c r="E102" s="102">
        <v>5511916.5936984699</v>
      </c>
      <c r="F102" s="103">
        <v>5301443.8826000011</v>
      </c>
      <c r="G102" s="104">
        <f t="shared" si="13"/>
        <v>0.9618149680749718</v>
      </c>
      <c r="H102" s="103">
        <f t="shared" si="23"/>
        <v>-891910.60764122475</v>
      </c>
      <c r="I102" s="109">
        <f t="shared" si="24"/>
        <v>-891910.60764122475</v>
      </c>
      <c r="J102" s="103">
        <f t="shared" si="20"/>
        <v>-561195.61201931722</v>
      </c>
      <c r="K102" s="103">
        <f t="shared" si="16"/>
        <v>-561195.61201931722</v>
      </c>
      <c r="L102" s="103">
        <f t="shared" si="21"/>
        <v>-285599.78233439289</v>
      </c>
      <c r="M102" s="103">
        <f t="shared" si="17"/>
        <v>-285599.78233439289</v>
      </c>
      <c r="N102" s="105">
        <f t="shared" si="22"/>
        <v>-10003.952649470419</v>
      </c>
      <c r="O102" s="103">
        <f t="shared" si="17"/>
        <v>-10003.952649470419</v>
      </c>
      <c r="P102" s="110">
        <f t="shared" si="25"/>
        <v>210472.71109846886</v>
      </c>
      <c r="Q102" s="109">
        <f t="shared" si="19"/>
        <v>210472.71109846886</v>
      </c>
    </row>
    <row r="103" spans="1:17" x14ac:dyDescent="0.2">
      <c r="A103" s="99">
        <v>100</v>
      </c>
      <c r="B103" s="108" t="s">
        <v>87</v>
      </c>
      <c r="C103" s="101" t="s">
        <v>80</v>
      </c>
      <c r="D103" s="100" t="s">
        <v>1464</v>
      </c>
      <c r="E103" s="102">
        <v>18866473.980585698</v>
      </c>
      <c r="F103" s="103">
        <v>20530428.086200003</v>
      </c>
      <c r="G103" s="104">
        <f t="shared" si="13"/>
        <v>1.0881963480471537</v>
      </c>
      <c r="H103" s="103">
        <f t="shared" si="23"/>
        <v>-5437248.9017314427</v>
      </c>
      <c r="I103" s="109">
        <f t="shared" si="24"/>
        <v>-5437248.9017314427</v>
      </c>
      <c r="J103" s="103">
        <f t="shared" si="20"/>
        <v>-4305260.4628963023</v>
      </c>
      <c r="K103" s="103">
        <f t="shared" si="16"/>
        <v>-4305260.4628963023</v>
      </c>
      <c r="L103" s="103">
        <f t="shared" si="21"/>
        <v>-3361936.7638670169</v>
      </c>
      <c r="M103" s="103">
        <f t="shared" si="17"/>
        <v>-3361936.7638670169</v>
      </c>
      <c r="N103" s="105">
        <f t="shared" si="22"/>
        <v>-2418613.0648377314</v>
      </c>
      <c r="O103" s="103">
        <f t="shared" si="17"/>
        <v>-2418613.0648377314</v>
      </c>
      <c r="P103" s="110">
        <f t="shared" si="25"/>
        <v>-1663954.1056143045</v>
      </c>
      <c r="Q103" s="109">
        <f t="shared" si="19"/>
        <v>-1663954.1056143045</v>
      </c>
    </row>
    <row r="104" spans="1:17" x14ac:dyDescent="0.2">
      <c r="A104" s="107">
        <v>101</v>
      </c>
      <c r="B104" s="108" t="s">
        <v>89</v>
      </c>
      <c r="C104" s="101" t="s">
        <v>80</v>
      </c>
      <c r="D104" s="100" t="s">
        <v>1464</v>
      </c>
      <c r="E104" s="102">
        <v>13913400.922733504</v>
      </c>
      <c r="F104" s="103">
        <v>14835908.256300008</v>
      </c>
      <c r="G104" s="104">
        <f t="shared" si="13"/>
        <v>1.0663035111752721</v>
      </c>
      <c r="H104" s="103">
        <f t="shared" si="23"/>
        <v>-3705187.5181132033</v>
      </c>
      <c r="I104" s="109">
        <f t="shared" si="24"/>
        <v>-3705187.5181132033</v>
      </c>
      <c r="J104" s="103">
        <f t="shared" si="20"/>
        <v>-2870383.4627491944</v>
      </c>
      <c r="K104" s="103">
        <f t="shared" si="16"/>
        <v>-2870383.4627491944</v>
      </c>
      <c r="L104" s="103">
        <f t="shared" si="21"/>
        <v>-2174713.416612519</v>
      </c>
      <c r="M104" s="103">
        <f t="shared" si="17"/>
        <v>-2174713.416612519</v>
      </c>
      <c r="N104" s="105">
        <f t="shared" si="22"/>
        <v>-1479043.3704758435</v>
      </c>
      <c r="O104" s="103">
        <f t="shared" si="17"/>
        <v>-1479043.3704758435</v>
      </c>
      <c r="P104" s="110">
        <f t="shared" si="25"/>
        <v>-922507.3335665036</v>
      </c>
      <c r="Q104" s="109">
        <f t="shared" si="19"/>
        <v>-922507.3335665036</v>
      </c>
    </row>
    <row r="105" spans="1:17" x14ac:dyDescent="0.2">
      <c r="A105" s="107">
        <v>102</v>
      </c>
      <c r="B105" s="108" t="s">
        <v>86</v>
      </c>
      <c r="C105" s="101" t="s">
        <v>80</v>
      </c>
      <c r="D105" s="100" t="s">
        <v>91</v>
      </c>
      <c r="E105" s="102">
        <v>23479750.806642119</v>
      </c>
      <c r="F105" s="103">
        <v>27468905.660100002</v>
      </c>
      <c r="G105" s="104">
        <f t="shared" si="13"/>
        <v>1.1698976657081643</v>
      </c>
      <c r="H105" s="103">
        <f t="shared" si="23"/>
        <v>-8685105.0147863068</v>
      </c>
      <c r="I105" s="109">
        <f t="shared" si="24"/>
        <v>-8685105.0147863068</v>
      </c>
      <c r="J105" s="103">
        <f t="shared" si="20"/>
        <v>-7276319.9663877785</v>
      </c>
      <c r="K105" s="103">
        <f t="shared" si="16"/>
        <v>-7276319.9663877785</v>
      </c>
      <c r="L105" s="103">
        <f t="shared" si="21"/>
        <v>-6102332.4260556735</v>
      </c>
      <c r="M105" s="103">
        <f t="shared" si="17"/>
        <v>-6102332.4260556735</v>
      </c>
      <c r="N105" s="105">
        <f t="shared" si="22"/>
        <v>-4928344.8857235685</v>
      </c>
      <c r="O105" s="103">
        <f t="shared" si="17"/>
        <v>-4928344.8857235685</v>
      </c>
      <c r="P105" s="110">
        <f t="shared" si="25"/>
        <v>-3989154.853457883</v>
      </c>
      <c r="Q105" s="109">
        <f t="shared" si="19"/>
        <v>-3989154.853457883</v>
      </c>
    </row>
    <row r="106" spans="1:17" s="120" customFormat="1" x14ac:dyDescent="0.2">
      <c r="A106" s="99">
        <v>103</v>
      </c>
      <c r="B106" s="108" t="s">
        <v>81</v>
      </c>
      <c r="C106" s="101" t="s">
        <v>80</v>
      </c>
      <c r="D106" s="100" t="s">
        <v>80</v>
      </c>
      <c r="E106" s="102">
        <v>20937633.224110231</v>
      </c>
      <c r="F106" s="103">
        <v>22469879.949200016</v>
      </c>
      <c r="G106" s="104">
        <f t="shared" si="13"/>
        <v>1.0731814674891411</v>
      </c>
      <c r="H106" s="103">
        <f t="shared" si="23"/>
        <v>-5719773.3699118309</v>
      </c>
      <c r="I106" s="109">
        <f t="shared" si="24"/>
        <v>-5719773.3699118309</v>
      </c>
      <c r="J106" s="103">
        <f t="shared" si="20"/>
        <v>-4463515.3764652163</v>
      </c>
      <c r="K106" s="103">
        <f t="shared" si="16"/>
        <v>-4463515.3764652163</v>
      </c>
      <c r="L106" s="103">
        <f t="shared" si="21"/>
        <v>-3416633.7152597047</v>
      </c>
      <c r="M106" s="103">
        <f t="shared" si="17"/>
        <v>-3416633.7152597047</v>
      </c>
      <c r="N106" s="105">
        <f t="shared" si="22"/>
        <v>-2369752.0540541932</v>
      </c>
      <c r="O106" s="103">
        <f t="shared" si="17"/>
        <v>-2369752.0540541932</v>
      </c>
      <c r="P106" s="110">
        <f t="shared" si="25"/>
        <v>-1532246.7250897847</v>
      </c>
      <c r="Q106" s="109">
        <f t="shared" si="19"/>
        <v>-1532246.7250897847</v>
      </c>
    </row>
    <row r="107" spans="1:17" x14ac:dyDescent="0.2">
      <c r="A107" s="107">
        <v>104</v>
      </c>
      <c r="B107" s="108" t="s">
        <v>114</v>
      </c>
      <c r="C107" s="101" t="s">
        <v>1399</v>
      </c>
      <c r="D107" s="100" t="s">
        <v>1397</v>
      </c>
      <c r="E107" s="102">
        <v>8723179.5719187688</v>
      </c>
      <c r="F107" s="103">
        <v>9351943.1071000025</v>
      </c>
      <c r="G107" s="104">
        <f t="shared" si="13"/>
        <v>1.0720796276171269</v>
      </c>
      <c r="H107" s="103">
        <f t="shared" si="23"/>
        <v>-2373399.4495649869</v>
      </c>
      <c r="I107" s="109">
        <f t="shared" si="24"/>
        <v>-2373399.4495649869</v>
      </c>
      <c r="J107" s="103">
        <f t="shared" si="20"/>
        <v>-1850008.6752498616</v>
      </c>
      <c r="K107" s="103">
        <f t="shared" si="16"/>
        <v>-1850008.6752498616</v>
      </c>
      <c r="L107" s="103">
        <f t="shared" si="21"/>
        <v>-1413849.696653923</v>
      </c>
      <c r="M107" s="103">
        <f t="shared" si="17"/>
        <v>-1413849.696653923</v>
      </c>
      <c r="N107" s="105">
        <f t="shared" si="22"/>
        <v>-977690.71805798449</v>
      </c>
      <c r="O107" s="103">
        <f t="shared" si="17"/>
        <v>-977690.71805798449</v>
      </c>
      <c r="P107" s="110">
        <f t="shared" si="25"/>
        <v>-628763.53518123366</v>
      </c>
      <c r="Q107" s="109">
        <f t="shared" si="19"/>
        <v>-628763.53518123366</v>
      </c>
    </row>
    <row r="108" spans="1:17" x14ac:dyDescent="0.2">
      <c r="A108" s="107">
        <v>105</v>
      </c>
      <c r="B108" s="112" t="s">
        <v>101</v>
      </c>
      <c r="C108" s="101" t="s">
        <v>27</v>
      </c>
      <c r="D108" s="100" t="s">
        <v>94</v>
      </c>
      <c r="E108" s="102">
        <v>16176812.274349764</v>
      </c>
      <c r="F108" s="103">
        <v>14322380.776499994</v>
      </c>
      <c r="G108" s="104">
        <f t="shared" si="13"/>
        <v>0.88536483786795317</v>
      </c>
      <c r="H108" s="103">
        <f t="shared" si="23"/>
        <v>-1380930.9570201822</v>
      </c>
      <c r="I108" s="109">
        <f t="shared" si="24"/>
        <v>-1380930.9570201822</v>
      </c>
      <c r="J108" s="103">
        <f t="shared" si="20"/>
        <v>-410322.22055919655</v>
      </c>
      <c r="K108" s="103">
        <f t="shared" si="16"/>
        <v>-410322.22055919655</v>
      </c>
      <c r="L108" s="103">
        <f t="shared" si="21"/>
        <v>398518.3931582924</v>
      </c>
      <c r="M108" s="103">
        <f t="shared" si="17"/>
        <v>398518.3931582924</v>
      </c>
      <c r="N108" s="105">
        <f t="shared" si="22"/>
        <v>1207359.0068757795</v>
      </c>
      <c r="O108" s="103">
        <f t="shared" si="17"/>
        <v>1207359.0068757795</v>
      </c>
      <c r="P108" s="110">
        <f t="shared" si="25"/>
        <v>1854431.4978497699</v>
      </c>
      <c r="Q108" s="109">
        <f t="shared" si="19"/>
        <v>1854431.4978497699</v>
      </c>
    </row>
    <row r="109" spans="1:17" x14ac:dyDescent="0.2">
      <c r="A109" s="99">
        <v>106</v>
      </c>
      <c r="B109" s="190" t="s">
        <v>1046</v>
      </c>
      <c r="C109" s="101" t="s">
        <v>1399</v>
      </c>
      <c r="D109" s="100" t="s">
        <v>1397</v>
      </c>
      <c r="E109" s="102">
        <v>4199432.0542229991</v>
      </c>
      <c r="F109" s="103">
        <v>3839155.8073</v>
      </c>
      <c r="G109" s="104">
        <f t="shared" si="13"/>
        <v>0.91420834001571682</v>
      </c>
      <c r="H109" s="103">
        <f t="shared" si="23"/>
        <v>-479610.16392160067</v>
      </c>
      <c r="I109" s="109">
        <f t="shared" si="24"/>
        <v>-479610.16392160067</v>
      </c>
      <c r="J109" s="103">
        <f t="shared" si="20"/>
        <v>-227644.24066822091</v>
      </c>
      <c r="K109" s="103">
        <f t="shared" si="16"/>
        <v>-227644.24066822091</v>
      </c>
      <c r="L109" s="103">
        <f t="shared" si="21"/>
        <v>-17672.637957070488</v>
      </c>
      <c r="M109" s="103">
        <f t="shared" si="17"/>
        <v>-17672.637957070488</v>
      </c>
      <c r="N109" s="105">
        <f t="shared" si="22"/>
        <v>192298.964754079</v>
      </c>
      <c r="O109" s="103">
        <f t="shared" si="17"/>
        <v>192298.964754079</v>
      </c>
      <c r="P109" s="110">
        <f t="shared" si="25"/>
        <v>360276.24692299915</v>
      </c>
      <c r="Q109" s="109">
        <f t="shared" si="19"/>
        <v>360276.24692299915</v>
      </c>
    </row>
    <row r="110" spans="1:17" x14ac:dyDescent="0.2">
      <c r="A110" s="107">
        <v>107</v>
      </c>
      <c r="B110" s="108" t="s">
        <v>106</v>
      </c>
      <c r="C110" s="101" t="s">
        <v>1399</v>
      </c>
      <c r="D110" s="100" t="s">
        <v>1396</v>
      </c>
      <c r="E110" s="102">
        <v>7684347.0939113162</v>
      </c>
      <c r="F110" s="103">
        <v>8553492.3688000012</v>
      </c>
      <c r="G110" s="104">
        <f t="shared" si="13"/>
        <v>1.1131059365573623</v>
      </c>
      <c r="H110" s="103">
        <f t="shared" si="23"/>
        <v>-2406014.693670948</v>
      </c>
      <c r="I110" s="109">
        <f t="shared" si="24"/>
        <v>-2406014.693670948</v>
      </c>
      <c r="J110" s="103">
        <f t="shared" si="20"/>
        <v>-1944953.8680362692</v>
      </c>
      <c r="K110" s="103">
        <f t="shared" si="16"/>
        <v>-1944953.8680362692</v>
      </c>
      <c r="L110" s="103">
        <f t="shared" si="21"/>
        <v>-1560736.5133407032</v>
      </c>
      <c r="M110" s="103">
        <f t="shared" si="17"/>
        <v>-1560736.5133407032</v>
      </c>
      <c r="N110" s="105">
        <f t="shared" si="22"/>
        <v>-1176519.1586451381</v>
      </c>
      <c r="O110" s="103">
        <f t="shared" si="17"/>
        <v>-1176519.1586451381</v>
      </c>
      <c r="P110" s="110">
        <f t="shared" si="25"/>
        <v>-869145.27488868497</v>
      </c>
      <c r="Q110" s="109">
        <f t="shared" si="19"/>
        <v>-869145.27488868497</v>
      </c>
    </row>
    <row r="111" spans="1:17" x14ac:dyDescent="0.2">
      <c r="A111" s="107">
        <v>108</v>
      </c>
      <c r="B111" s="108" t="s">
        <v>121</v>
      </c>
      <c r="C111" s="101" t="s">
        <v>1399</v>
      </c>
      <c r="D111" s="100" t="s">
        <v>1396</v>
      </c>
      <c r="E111" s="102">
        <v>10039260.021767018</v>
      </c>
      <c r="F111" s="103">
        <v>11268939.457400005</v>
      </c>
      <c r="G111" s="104">
        <f t="shared" si="13"/>
        <v>1.1224870591026439</v>
      </c>
      <c r="H111" s="103">
        <f t="shared" si="23"/>
        <v>-3237531.4399863901</v>
      </c>
      <c r="I111" s="109">
        <f t="shared" si="24"/>
        <v>-3237531.4399863901</v>
      </c>
      <c r="J111" s="103">
        <f t="shared" si="20"/>
        <v>-2635175.8386803698</v>
      </c>
      <c r="K111" s="103">
        <f t="shared" si="16"/>
        <v>-2635175.8386803698</v>
      </c>
      <c r="L111" s="103">
        <f t="shared" si="21"/>
        <v>-2133212.8375920188</v>
      </c>
      <c r="M111" s="103">
        <f t="shared" si="17"/>
        <v>-2133212.8375920188</v>
      </c>
      <c r="N111" s="105">
        <f t="shared" si="22"/>
        <v>-1631249.8365036678</v>
      </c>
      <c r="O111" s="103">
        <f t="shared" si="17"/>
        <v>-1631249.8365036678</v>
      </c>
      <c r="P111" s="110">
        <f t="shared" si="25"/>
        <v>-1229679.4356329869</v>
      </c>
      <c r="Q111" s="109">
        <f t="shared" si="19"/>
        <v>-1229679.4356329869</v>
      </c>
    </row>
    <row r="112" spans="1:17" x14ac:dyDescent="0.2">
      <c r="A112" s="99">
        <v>109</v>
      </c>
      <c r="B112" s="108" t="s">
        <v>1126</v>
      </c>
      <c r="C112" s="101" t="s">
        <v>1399</v>
      </c>
      <c r="D112" s="100" t="s">
        <v>1396</v>
      </c>
      <c r="E112" s="102">
        <v>6351599.2557739383</v>
      </c>
      <c r="F112" s="103">
        <v>6918009.067400001</v>
      </c>
      <c r="G112" s="104">
        <f t="shared" si="13"/>
        <v>1.0891759364558724</v>
      </c>
      <c r="H112" s="103">
        <f t="shared" si="23"/>
        <v>-1836729.6627808502</v>
      </c>
      <c r="I112" s="109">
        <f t="shared" si="24"/>
        <v>-1836729.6627808502</v>
      </c>
      <c r="J112" s="103">
        <f t="shared" si="20"/>
        <v>-1455633.707434414</v>
      </c>
      <c r="K112" s="103">
        <f t="shared" si="16"/>
        <v>-1455633.707434414</v>
      </c>
      <c r="L112" s="103">
        <f t="shared" si="21"/>
        <v>-1138053.7446457166</v>
      </c>
      <c r="M112" s="103">
        <f t="shared" si="17"/>
        <v>-1138053.7446457166</v>
      </c>
      <c r="N112" s="105">
        <f t="shared" si="22"/>
        <v>-820473.78185702022</v>
      </c>
      <c r="O112" s="103">
        <f t="shared" si="17"/>
        <v>-820473.78185702022</v>
      </c>
      <c r="P112" s="110">
        <f t="shared" si="25"/>
        <v>-566409.81162606273</v>
      </c>
      <c r="Q112" s="109">
        <f t="shared" si="19"/>
        <v>-566409.81162606273</v>
      </c>
    </row>
    <row r="113" spans="1:17" x14ac:dyDescent="0.2">
      <c r="A113" s="107">
        <v>110</v>
      </c>
      <c r="B113" s="108" t="s">
        <v>95</v>
      </c>
      <c r="C113" s="101" t="s">
        <v>1399</v>
      </c>
      <c r="D113" s="100" t="s">
        <v>1401</v>
      </c>
      <c r="E113" s="102">
        <v>5013541.3921413263</v>
      </c>
      <c r="F113" s="103">
        <v>5093097.8929000031</v>
      </c>
      <c r="G113" s="104">
        <f t="shared" si="13"/>
        <v>1.0158683243113102</v>
      </c>
      <c r="H113" s="103">
        <f t="shared" si="23"/>
        <v>-1082264.7791869417</v>
      </c>
      <c r="I113" s="109">
        <f t="shared" si="24"/>
        <v>-1082264.7791869417</v>
      </c>
      <c r="J113" s="103">
        <f t="shared" si="20"/>
        <v>-781452.29565846268</v>
      </c>
      <c r="K113" s="103">
        <f t="shared" si="16"/>
        <v>-781452.29565846268</v>
      </c>
      <c r="L113" s="103">
        <f t="shared" si="21"/>
        <v>-530775.22605139576</v>
      </c>
      <c r="M113" s="103">
        <f t="shared" si="17"/>
        <v>-530775.22605139576</v>
      </c>
      <c r="N113" s="105">
        <f t="shared" si="22"/>
        <v>-280098.15644432977</v>
      </c>
      <c r="O113" s="103">
        <f t="shared" si="17"/>
        <v>-280098.15644432977</v>
      </c>
      <c r="P113" s="110">
        <f t="shared" si="25"/>
        <v>-79556.50075867679</v>
      </c>
      <c r="Q113" s="109">
        <f t="shared" si="19"/>
        <v>-79556.50075867679</v>
      </c>
    </row>
    <row r="114" spans="1:17" x14ac:dyDescent="0.2">
      <c r="A114" s="107">
        <v>111</v>
      </c>
      <c r="B114" s="108" t="s">
        <v>110</v>
      </c>
      <c r="C114" s="101" t="s">
        <v>1399</v>
      </c>
      <c r="D114" s="100" t="s">
        <v>1397</v>
      </c>
      <c r="E114" s="102">
        <v>12519792.404732248</v>
      </c>
      <c r="F114" s="103">
        <v>12519044.394999992</v>
      </c>
      <c r="G114" s="104">
        <f t="shared" si="13"/>
        <v>0.99994025382306073</v>
      </c>
      <c r="H114" s="103">
        <f t="shared" si="23"/>
        <v>-2503210.4712141939</v>
      </c>
      <c r="I114" s="109">
        <f t="shared" si="24"/>
        <v>-2503210.4712141939</v>
      </c>
      <c r="J114" s="103">
        <f t="shared" si="20"/>
        <v>-1752022.9269302599</v>
      </c>
      <c r="K114" s="103">
        <f t="shared" si="16"/>
        <v>-1752022.9269302599</v>
      </c>
      <c r="L114" s="103">
        <f t="shared" si="21"/>
        <v>-1126033.3066936471</v>
      </c>
      <c r="M114" s="103">
        <f t="shared" si="17"/>
        <v>-1126033.3066936471</v>
      </c>
      <c r="N114" s="105">
        <f t="shared" si="22"/>
        <v>-500043.6864570342</v>
      </c>
      <c r="O114" s="103">
        <f t="shared" si="17"/>
        <v>-500043.6864570342</v>
      </c>
      <c r="P114" s="110">
        <f t="shared" si="25"/>
        <v>748.00973225571215</v>
      </c>
      <c r="Q114" s="109">
        <f t="shared" si="19"/>
        <v>748.00973225571215</v>
      </c>
    </row>
    <row r="115" spans="1:17" x14ac:dyDescent="0.2">
      <c r="A115" s="99">
        <v>112</v>
      </c>
      <c r="B115" s="108" t="s">
        <v>96</v>
      </c>
      <c r="C115" s="101" t="s">
        <v>1399</v>
      </c>
      <c r="D115" s="100" t="s">
        <v>1401</v>
      </c>
      <c r="E115" s="102">
        <v>16820210.982055247</v>
      </c>
      <c r="F115" s="103">
        <v>16583790.672400003</v>
      </c>
      <c r="G115" s="104">
        <f t="shared" si="13"/>
        <v>0.98594427204822399</v>
      </c>
      <c r="H115" s="103">
        <f t="shared" si="23"/>
        <v>-3127621.8867558055</v>
      </c>
      <c r="I115" s="109">
        <f t="shared" si="24"/>
        <v>-3127621.8867558055</v>
      </c>
      <c r="J115" s="103">
        <f t="shared" si="20"/>
        <v>-2118409.2278324906</v>
      </c>
      <c r="K115" s="103">
        <f t="shared" si="16"/>
        <v>-2118409.2278324906</v>
      </c>
      <c r="L115" s="103">
        <f t="shared" si="21"/>
        <v>-1277398.6787297279</v>
      </c>
      <c r="M115" s="103">
        <f t="shared" si="17"/>
        <v>-1277398.6787297279</v>
      </c>
      <c r="N115" s="105">
        <f t="shared" si="22"/>
        <v>-436388.12962696701</v>
      </c>
      <c r="O115" s="103">
        <f t="shared" si="17"/>
        <v>-436388.12962696701</v>
      </c>
      <c r="P115" s="110">
        <f t="shared" si="25"/>
        <v>236420.30965524353</v>
      </c>
      <c r="Q115" s="109">
        <f t="shared" si="19"/>
        <v>236420.30965524353</v>
      </c>
    </row>
    <row r="116" spans="1:17" x14ac:dyDescent="0.2">
      <c r="A116" s="107">
        <v>113</v>
      </c>
      <c r="B116" s="108" t="s">
        <v>100</v>
      </c>
      <c r="C116" s="101" t="s">
        <v>27</v>
      </c>
      <c r="D116" s="100" t="s">
        <v>94</v>
      </c>
      <c r="E116" s="102">
        <v>9556063.7818187736</v>
      </c>
      <c r="F116" s="103">
        <v>8513565.801400004</v>
      </c>
      <c r="G116" s="104">
        <f t="shared" si="13"/>
        <v>0.89090717640434647</v>
      </c>
      <c r="H116" s="103">
        <f t="shared" si="23"/>
        <v>-868714.77594498452</v>
      </c>
      <c r="I116" s="109">
        <f t="shared" si="24"/>
        <v>-868714.77594498452</v>
      </c>
      <c r="J116" s="103">
        <f t="shared" si="20"/>
        <v>-295350.94903585874</v>
      </c>
      <c r="K116" s="103">
        <f t="shared" si="16"/>
        <v>-295350.94903585874</v>
      </c>
      <c r="L116" s="103">
        <f t="shared" si="21"/>
        <v>182452.2400550805</v>
      </c>
      <c r="M116" s="103">
        <f t="shared" si="17"/>
        <v>182452.2400550805</v>
      </c>
      <c r="N116" s="105">
        <f t="shared" si="22"/>
        <v>660255.42914601788</v>
      </c>
      <c r="O116" s="103">
        <f t="shared" si="17"/>
        <v>660255.42914601788</v>
      </c>
      <c r="P116" s="110">
        <f t="shared" si="25"/>
        <v>1042497.9804187696</v>
      </c>
      <c r="Q116" s="109">
        <f t="shared" si="19"/>
        <v>1042497.9804187696</v>
      </c>
    </row>
    <row r="117" spans="1:17" x14ac:dyDescent="0.2">
      <c r="A117" s="107">
        <v>114</v>
      </c>
      <c r="B117" s="108" t="s">
        <v>1392</v>
      </c>
      <c r="C117" s="101" t="s">
        <v>1399</v>
      </c>
      <c r="D117" s="100" t="s">
        <v>1397</v>
      </c>
      <c r="E117" s="102">
        <v>13005928.362009782</v>
      </c>
      <c r="F117" s="103">
        <v>16605874.964099988</v>
      </c>
      <c r="G117" s="104">
        <f t="shared" si="13"/>
        <v>1.276792744192381</v>
      </c>
      <c r="H117" s="103">
        <f t="shared" si="23"/>
        <v>-6201132.2744921613</v>
      </c>
      <c r="I117" s="109">
        <f t="shared" si="24"/>
        <v>-6201132.2744921613</v>
      </c>
      <c r="J117" s="103">
        <f t="shared" si="20"/>
        <v>-5420776.5727715753</v>
      </c>
      <c r="K117" s="103">
        <f t="shared" si="16"/>
        <v>-5420776.5727715753</v>
      </c>
      <c r="L117" s="103">
        <f t="shared" si="21"/>
        <v>-4770480.154671086</v>
      </c>
      <c r="M117" s="103">
        <f t="shared" si="17"/>
        <v>-4770480.154671086</v>
      </c>
      <c r="N117" s="105">
        <f t="shared" si="22"/>
        <v>-4120183.7365705986</v>
      </c>
      <c r="O117" s="103">
        <f t="shared" si="17"/>
        <v>-4120183.7365705986</v>
      </c>
      <c r="P117" s="110">
        <f t="shared" si="25"/>
        <v>-3599946.602090206</v>
      </c>
      <c r="Q117" s="109">
        <f t="shared" si="19"/>
        <v>-3599946.602090206</v>
      </c>
    </row>
    <row r="118" spans="1:17" x14ac:dyDescent="0.2">
      <c r="A118" s="99">
        <v>115</v>
      </c>
      <c r="B118" s="188" t="s">
        <v>116</v>
      </c>
      <c r="C118" s="101" t="s">
        <v>1399</v>
      </c>
      <c r="D118" s="100" t="s">
        <v>1396</v>
      </c>
      <c r="E118" s="102">
        <v>11304709.915499633</v>
      </c>
      <c r="F118" s="103">
        <v>12055303.916500008</v>
      </c>
      <c r="G118" s="104">
        <f t="shared" si="13"/>
        <v>1.0663965733407499</v>
      </c>
      <c r="H118" s="103">
        <f t="shared" si="23"/>
        <v>-3011535.9841003008</v>
      </c>
      <c r="I118" s="109">
        <f t="shared" si="24"/>
        <v>-3011535.9841003008</v>
      </c>
      <c r="J118" s="103">
        <f t="shared" si="20"/>
        <v>-2333253.3891703226</v>
      </c>
      <c r="K118" s="103">
        <f t="shared" si="16"/>
        <v>-2333253.3891703226</v>
      </c>
      <c r="L118" s="103">
        <f t="shared" si="21"/>
        <v>-1768017.8933953419</v>
      </c>
      <c r="M118" s="103">
        <f t="shared" si="17"/>
        <v>-1768017.8933953419</v>
      </c>
      <c r="N118" s="105">
        <f t="shared" si="22"/>
        <v>-1202782.3976203594</v>
      </c>
      <c r="O118" s="103">
        <f t="shared" si="17"/>
        <v>-1202782.3976203594</v>
      </c>
      <c r="P118" s="110">
        <f t="shared" si="25"/>
        <v>-750594.00100037456</v>
      </c>
      <c r="Q118" s="109">
        <f t="shared" si="19"/>
        <v>-750594.00100037456</v>
      </c>
    </row>
    <row r="119" spans="1:17" x14ac:dyDescent="0.2">
      <c r="A119" s="107">
        <v>116</v>
      </c>
      <c r="B119" s="108" t="s">
        <v>93</v>
      </c>
      <c r="C119" s="101" t="s">
        <v>1399</v>
      </c>
      <c r="D119" s="100" t="s">
        <v>1401</v>
      </c>
      <c r="E119" s="102">
        <v>9445194.6710214671</v>
      </c>
      <c r="F119" s="103">
        <v>9332016.1336000059</v>
      </c>
      <c r="G119" s="104">
        <f t="shared" si="13"/>
        <v>0.98801734200686187</v>
      </c>
      <c r="H119" s="103">
        <f t="shared" si="23"/>
        <v>-1775860.3967828322</v>
      </c>
      <c r="I119" s="109">
        <f t="shared" si="24"/>
        <v>-1775860.3967828322</v>
      </c>
      <c r="J119" s="103">
        <f t="shared" si="20"/>
        <v>-1209148.7165215444</v>
      </c>
      <c r="K119" s="103">
        <f t="shared" si="16"/>
        <v>-1209148.7165215444</v>
      </c>
      <c r="L119" s="103">
        <f t="shared" si="21"/>
        <v>-736888.98297047056</v>
      </c>
      <c r="M119" s="103">
        <f t="shared" si="17"/>
        <v>-736888.98297047056</v>
      </c>
      <c r="N119" s="105">
        <f t="shared" si="22"/>
        <v>-264629.24941939861</v>
      </c>
      <c r="O119" s="103">
        <f t="shared" si="17"/>
        <v>-264629.24941939861</v>
      </c>
      <c r="P119" s="110">
        <f t="shared" si="25"/>
        <v>113178.53742146119</v>
      </c>
      <c r="Q119" s="109">
        <f t="shared" si="19"/>
        <v>113178.53742146119</v>
      </c>
    </row>
    <row r="120" spans="1:17" x14ac:dyDescent="0.2">
      <c r="A120" s="107">
        <v>117</v>
      </c>
      <c r="B120" s="108" t="s">
        <v>98</v>
      </c>
      <c r="C120" s="101" t="s">
        <v>27</v>
      </c>
      <c r="D120" s="100" t="s">
        <v>1544</v>
      </c>
      <c r="E120" s="102">
        <v>10535033.095526135</v>
      </c>
      <c r="F120" s="103">
        <v>10459880.097500004</v>
      </c>
      <c r="G120" s="104">
        <f t="shared" si="13"/>
        <v>0.99286637285856794</v>
      </c>
      <c r="H120" s="103">
        <f t="shared" si="23"/>
        <v>-2031853.6210790966</v>
      </c>
      <c r="I120" s="109">
        <f t="shared" si="24"/>
        <v>-2031853.6210790966</v>
      </c>
      <c r="J120" s="103">
        <f t="shared" si="20"/>
        <v>-1399751.6353475284</v>
      </c>
      <c r="K120" s="103">
        <f t="shared" si="16"/>
        <v>-1399751.6353475284</v>
      </c>
      <c r="L120" s="103">
        <f t="shared" si="21"/>
        <v>-872999.98057122156</v>
      </c>
      <c r="M120" s="103">
        <f t="shared" si="17"/>
        <v>-872999.98057122156</v>
      </c>
      <c r="N120" s="105">
        <f t="shared" si="22"/>
        <v>-346248.32579491474</v>
      </c>
      <c r="O120" s="103">
        <f t="shared" si="17"/>
        <v>-346248.32579491474</v>
      </c>
      <c r="P120" s="110">
        <f t="shared" si="25"/>
        <v>75152.998026130721</v>
      </c>
      <c r="Q120" s="109">
        <f t="shared" si="19"/>
        <v>75152.998026130721</v>
      </c>
    </row>
    <row r="121" spans="1:17" x14ac:dyDescent="0.2">
      <c r="A121" s="99">
        <v>118</v>
      </c>
      <c r="B121" s="108" t="s">
        <v>102</v>
      </c>
      <c r="C121" s="101" t="s">
        <v>27</v>
      </c>
      <c r="D121" s="100" t="s">
        <v>94</v>
      </c>
      <c r="E121" s="102">
        <v>20615908.044627216</v>
      </c>
      <c r="F121" s="103">
        <v>21168531.309700008</v>
      </c>
      <c r="G121" s="104">
        <f t="shared" si="13"/>
        <v>1.0268056718082235</v>
      </c>
      <c r="H121" s="103">
        <f t="shared" si="23"/>
        <v>-4675804.8739982359</v>
      </c>
      <c r="I121" s="109">
        <f t="shared" si="24"/>
        <v>-4675804.8739982359</v>
      </c>
      <c r="J121" s="103">
        <f t="shared" si="20"/>
        <v>-3438850.3913206048</v>
      </c>
      <c r="K121" s="103">
        <f t="shared" si="16"/>
        <v>-3438850.3913206048</v>
      </c>
      <c r="L121" s="103">
        <f t="shared" si="21"/>
        <v>-2408054.9890892431</v>
      </c>
      <c r="M121" s="103">
        <f t="shared" si="17"/>
        <v>-2408054.9890892431</v>
      </c>
      <c r="N121" s="105">
        <f t="shared" si="22"/>
        <v>-1377259.5868578814</v>
      </c>
      <c r="O121" s="103">
        <f t="shared" si="17"/>
        <v>-1377259.5868578814</v>
      </c>
      <c r="P121" s="110">
        <f t="shared" si="25"/>
        <v>-552623.26507279277</v>
      </c>
      <c r="Q121" s="109">
        <f t="shared" si="19"/>
        <v>-552623.26507279277</v>
      </c>
    </row>
    <row r="122" spans="1:17" x14ac:dyDescent="0.2">
      <c r="A122" s="107">
        <v>119</v>
      </c>
      <c r="B122" s="108" t="s">
        <v>105</v>
      </c>
      <c r="C122" s="101" t="s">
        <v>27</v>
      </c>
      <c r="D122" s="100" t="s">
        <v>94</v>
      </c>
      <c r="E122" s="102">
        <v>6990450.4909255998</v>
      </c>
      <c r="F122" s="103">
        <v>7122117.4019000027</v>
      </c>
      <c r="G122" s="104">
        <f t="shared" si="13"/>
        <v>1.0188352540577066</v>
      </c>
      <c r="H122" s="103">
        <f t="shared" si="23"/>
        <v>-1529757.0091595221</v>
      </c>
      <c r="I122" s="109">
        <f t="shared" si="24"/>
        <v>-1529757.0091595221</v>
      </c>
      <c r="J122" s="103">
        <f t="shared" si="20"/>
        <v>-1110329.979703987</v>
      </c>
      <c r="K122" s="103">
        <f t="shared" si="16"/>
        <v>-1110329.979703987</v>
      </c>
      <c r="L122" s="103">
        <f t="shared" si="21"/>
        <v>-760807.45515770651</v>
      </c>
      <c r="M122" s="103">
        <f t="shared" si="17"/>
        <v>-760807.45515770651</v>
      </c>
      <c r="N122" s="105">
        <f t="shared" si="22"/>
        <v>-411284.93061142694</v>
      </c>
      <c r="O122" s="103">
        <f t="shared" si="17"/>
        <v>-411284.93061142694</v>
      </c>
      <c r="P122" s="110">
        <f t="shared" si="25"/>
        <v>-131666.91097440291</v>
      </c>
      <c r="Q122" s="109">
        <f t="shared" si="19"/>
        <v>-131666.91097440291</v>
      </c>
    </row>
    <row r="123" spans="1:17" x14ac:dyDescent="0.2">
      <c r="A123" s="107">
        <v>120</v>
      </c>
      <c r="B123" s="108" t="s">
        <v>99</v>
      </c>
      <c r="C123" s="101" t="s">
        <v>27</v>
      </c>
      <c r="D123" s="100" t="s">
        <v>1544</v>
      </c>
      <c r="E123" s="102">
        <v>12106256.173407089</v>
      </c>
      <c r="F123" s="103">
        <v>11673015.028400002</v>
      </c>
      <c r="G123" s="104">
        <f t="shared" si="13"/>
        <v>0.96421344974024625</v>
      </c>
      <c r="H123" s="103">
        <f t="shared" si="23"/>
        <v>-1988010.0896743312</v>
      </c>
      <c r="I123" s="109">
        <f t="shared" si="24"/>
        <v>-1988010.0896743312</v>
      </c>
      <c r="J123" s="103">
        <f t="shared" si="20"/>
        <v>-1261634.7192699052</v>
      </c>
      <c r="K123" s="103">
        <f t="shared" si="16"/>
        <v>-1261634.7192699052</v>
      </c>
      <c r="L123" s="103">
        <f t="shared" si="21"/>
        <v>-656321.91059955023</v>
      </c>
      <c r="M123" s="103">
        <f t="shared" si="17"/>
        <v>-656321.91059955023</v>
      </c>
      <c r="N123" s="105">
        <f t="shared" si="22"/>
        <v>-51009.101929197088</v>
      </c>
      <c r="O123" s="103">
        <f t="shared" si="17"/>
        <v>-51009.101929197088</v>
      </c>
      <c r="P123" s="110">
        <f t="shared" si="25"/>
        <v>433241.14500708692</v>
      </c>
      <c r="Q123" s="109">
        <f t="shared" si="19"/>
        <v>433241.14500708692</v>
      </c>
    </row>
    <row r="124" spans="1:17" x14ac:dyDescent="0.2">
      <c r="A124" s="99">
        <v>121</v>
      </c>
      <c r="B124" s="125" t="s">
        <v>144</v>
      </c>
      <c r="C124" s="101" t="s">
        <v>1545</v>
      </c>
      <c r="D124" s="100" t="s">
        <v>144</v>
      </c>
      <c r="E124" s="102">
        <v>28437842.654352374</v>
      </c>
      <c r="F124" s="103">
        <v>28788610</v>
      </c>
      <c r="G124" s="104">
        <f t="shared" si="13"/>
        <v>1.0123345272674522</v>
      </c>
      <c r="H124" s="103">
        <f t="shared" si="23"/>
        <v>-6038335.8765181005</v>
      </c>
      <c r="I124" s="109">
        <f t="shared" si="24"/>
        <v>-6038335.8765181005</v>
      </c>
      <c r="J124" s="103">
        <f t="shared" si="20"/>
        <v>-4332065.3172569573</v>
      </c>
      <c r="K124" s="103">
        <f t="shared" si="16"/>
        <v>-4332065.3172569573</v>
      </c>
      <c r="L124" s="103">
        <f t="shared" si="21"/>
        <v>-2910173.1845393367</v>
      </c>
      <c r="M124" s="103">
        <f t="shared" si="17"/>
        <v>-2910173.1845393367</v>
      </c>
      <c r="N124" s="105">
        <f t="shared" si="22"/>
        <v>-1488281.0518217199</v>
      </c>
      <c r="O124" s="103">
        <f t="shared" si="17"/>
        <v>-1488281.0518217199</v>
      </c>
      <c r="P124" s="110">
        <f t="shared" si="25"/>
        <v>-350767.34564762563</v>
      </c>
      <c r="Q124" s="109">
        <f t="shared" si="19"/>
        <v>-350767.34564762563</v>
      </c>
    </row>
    <row r="125" spans="1:17" s="129" customFormat="1" x14ac:dyDescent="0.2">
      <c r="A125" s="254" t="s">
        <v>139</v>
      </c>
      <c r="B125" s="255"/>
      <c r="C125" s="255"/>
      <c r="D125" s="255"/>
      <c r="E125" s="126">
        <f>SUM(E4:E124)</f>
        <v>1555196716.2771719</v>
      </c>
      <c r="F125" s="126">
        <f>SUM(F4:F124)</f>
        <v>1556818178.9127002</v>
      </c>
      <c r="G125" s="215">
        <f t="shared" ref="G125" si="26">IFERROR(F125/E125,0)</f>
        <v>1.0010426093487452</v>
      </c>
      <c r="H125" s="126">
        <f>(E125*0.9)-F125</f>
        <v>-157141134.26324558</v>
      </c>
      <c r="I125" s="126">
        <f t="shared" si="24"/>
        <v>-157141134.26324558</v>
      </c>
      <c r="J125" s="126">
        <f t="shared" ref="J125" si="27">(E125*0.85)-F125</f>
        <v>-234900970.07710409</v>
      </c>
      <c r="K125" s="126">
        <f t="shared" si="16"/>
        <v>-234900970.07710409</v>
      </c>
      <c r="L125" s="126">
        <f t="shared" ref="L125:N125" si="28">(E125*0.9)-F125</f>
        <v>-157141134.26324558</v>
      </c>
      <c r="M125" s="126">
        <f t="shared" si="17"/>
        <v>-157141134.26324558</v>
      </c>
      <c r="N125" s="126">
        <f t="shared" si="28"/>
        <v>157141135.16418394</v>
      </c>
      <c r="O125" s="126">
        <f t="shared" si="17"/>
        <v>157141135.16418394</v>
      </c>
      <c r="P125" s="127">
        <f t="shared" si="25"/>
        <v>-1621462.635528326</v>
      </c>
      <c r="Q125" s="128">
        <f t="shared" si="19"/>
        <v>-1621462.635528326</v>
      </c>
    </row>
    <row r="127" spans="1:17" x14ac:dyDescent="0.2">
      <c r="E127" s="131"/>
    </row>
    <row r="129" spans="5:6" x14ac:dyDescent="0.2">
      <c r="F129" s="131"/>
    </row>
    <row r="130" spans="5:6" x14ac:dyDescent="0.2">
      <c r="E130" s="131"/>
    </row>
    <row r="132" spans="5:6" x14ac:dyDescent="0.2">
      <c r="F132" s="132"/>
    </row>
  </sheetData>
  <mergeCells count="2">
    <mergeCell ref="A125:D125"/>
    <mergeCell ref="A2:O2"/>
  </mergeCells>
  <conditionalFormatting sqref="G4:G125">
    <cfRule type="cellIs" dxfId="72" priority="1" operator="greaterThan">
      <formula>0.795</formula>
    </cfRule>
    <cfRule type="cellIs" dxfId="71" priority="2" operator="lessThan">
      <formula>10%</formula>
    </cfRule>
  </conditionalFormatting>
  <pageMargins left="0.7" right="0.7" top="0.75" bottom="0.75" header="0.3" footer="0.3"/>
  <pageSetup orientation="portrait" r:id="rId1"/>
  <ignoredErrors>
    <ignoredError sqref="P4:P38 P67:P73 J4:J38 L86 L4:L38 L87:L90 M4:M38 N125 N4:N38 P39:P66 J39:J73 L39:L73 M39:M73 N39:N73 P74:P90 J74:J90 L74:L85 M74:M90 N74:N90 L91:L124 P91:P124 J91:J124 M91:M124 N91:N124 P125 M12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workbookViewId="0">
      <selection sqref="A1:XFD1048576"/>
    </sheetView>
  </sheetViews>
  <sheetFormatPr defaultRowHeight="15" x14ac:dyDescent="0.25"/>
  <cols>
    <col min="1" max="1" width="21.5703125" customWidth="1"/>
  </cols>
  <sheetData>
    <row r="1" spans="1:2" x14ac:dyDescent="0.25">
      <c r="A1" t="s">
        <v>1267</v>
      </c>
      <c r="B1" t="s">
        <v>2</v>
      </c>
    </row>
    <row r="2" spans="1:2" x14ac:dyDescent="0.25">
      <c r="A2" t="s">
        <v>4</v>
      </c>
      <c r="B2" t="s">
        <v>2</v>
      </c>
    </row>
    <row r="3" spans="1:2" x14ac:dyDescent="0.25">
      <c r="A3" t="s">
        <v>1225</v>
      </c>
      <c r="B3" t="s">
        <v>2</v>
      </c>
    </row>
    <row r="4" spans="1:2" x14ac:dyDescent="0.25">
      <c r="A4" t="s">
        <v>6</v>
      </c>
      <c r="B4" t="s">
        <v>2</v>
      </c>
    </row>
    <row r="5" spans="1:2" x14ac:dyDescent="0.25">
      <c r="A5" t="s">
        <v>10</v>
      </c>
      <c r="B5" t="s">
        <v>2</v>
      </c>
    </row>
    <row r="6" spans="1:2" x14ac:dyDescent="0.25">
      <c r="A6" t="s">
        <v>7</v>
      </c>
      <c r="B6" t="s">
        <v>2</v>
      </c>
    </row>
    <row r="7" spans="1:2" x14ac:dyDescent="0.25">
      <c r="A7" t="s">
        <v>11</v>
      </c>
      <c r="B7" t="s">
        <v>2</v>
      </c>
    </row>
    <row r="8" spans="1:2" x14ac:dyDescent="0.25">
      <c r="A8" t="s">
        <v>12</v>
      </c>
      <c r="B8" t="s">
        <v>2</v>
      </c>
    </row>
    <row r="9" spans="1:2" x14ac:dyDescent="0.25">
      <c r="A9" t="s">
        <v>8</v>
      </c>
      <c r="B9" t="s">
        <v>2</v>
      </c>
    </row>
    <row r="10" spans="1:2" x14ac:dyDescent="0.25">
      <c r="A10" t="s">
        <v>5</v>
      </c>
      <c r="B10" t="s">
        <v>2</v>
      </c>
    </row>
    <row r="11" spans="1:2" x14ac:dyDescent="0.25">
      <c r="A11" t="s">
        <v>3</v>
      </c>
      <c r="B11" t="s">
        <v>2</v>
      </c>
    </row>
    <row r="12" spans="1:2" x14ac:dyDescent="0.25">
      <c r="A12" t="s">
        <v>1</v>
      </c>
      <c r="B12" t="s">
        <v>2</v>
      </c>
    </row>
    <row r="13" spans="1:2" x14ac:dyDescent="0.25">
      <c r="A13" t="s">
        <v>9</v>
      </c>
      <c r="B13" t="s">
        <v>2</v>
      </c>
    </row>
    <row r="14" spans="1:2" x14ac:dyDescent="0.25">
      <c r="A14" t="s">
        <v>13</v>
      </c>
      <c r="B14" t="s">
        <v>2</v>
      </c>
    </row>
    <row r="15" spans="1:2" x14ac:dyDescent="0.25">
      <c r="A15" t="s">
        <v>1126</v>
      </c>
      <c r="B15" t="s">
        <v>138</v>
      </c>
    </row>
    <row r="16" spans="1:2" x14ac:dyDescent="0.25">
      <c r="A16" t="s">
        <v>1046</v>
      </c>
      <c r="B16" t="s">
        <v>138</v>
      </c>
    </row>
    <row r="17" spans="1:2" x14ac:dyDescent="0.25">
      <c r="A17" t="s">
        <v>111</v>
      </c>
      <c r="B17" t="s">
        <v>138</v>
      </c>
    </row>
    <row r="18" spans="1:2" x14ac:dyDescent="0.25">
      <c r="A18" t="s">
        <v>112</v>
      </c>
      <c r="B18" t="s">
        <v>138</v>
      </c>
    </row>
    <row r="19" spans="1:2" x14ac:dyDescent="0.25">
      <c r="A19" t="s">
        <v>109</v>
      </c>
      <c r="B19" t="s">
        <v>138</v>
      </c>
    </row>
    <row r="20" spans="1:2" x14ac:dyDescent="0.25">
      <c r="A20" t="s">
        <v>117</v>
      </c>
      <c r="B20" t="s">
        <v>138</v>
      </c>
    </row>
    <row r="21" spans="1:2" x14ac:dyDescent="0.25">
      <c r="A21" t="s">
        <v>107</v>
      </c>
      <c r="B21" t="s">
        <v>138</v>
      </c>
    </row>
    <row r="22" spans="1:2" x14ac:dyDescent="0.25">
      <c r="A22" t="s">
        <v>113</v>
      </c>
      <c r="B22" t="s">
        <v>138</v>
      </c>
    </row>
    <row r="23" spans="1:2" x14ac:dyDescent="0.25">
      <c r="A23" t="s">
        <v>120</v>
      </c>
      <c r="B23" t="s">
        <v>138</v>
      </c>
    </row>
    <row r="24" spans="1:2" x14ac:dyDescent="0.25">
      <c r="A24" t="s">
        <v>119</v>
      </c>
      <c r="B24" t="s">
        <v>138</v>
      </c>
    </row>
    <row r="25" spans="1:2" x14ac:dyDescent="0.25">
      <c r="A25" t="s">
        <v>118</v>
      </c>
      <c r="B25" t="s">
        <v>138</v>
      </c>
    </row>
    <row r="26" spans="1:2" x14ac:dyDescent="0.25">
      <c r="A26" t="s">
        <v>114</v>
      </c>
      <c r="B26" t="s">
        <v>138</v>
      </c>
    </row>
    <row r="27" spans="1:2" x14ac:dyDescent="0.25">
      <c r="A27" t="s">
        <v>121</v>
      </c>
      <c r="B27" t="s">
        <v>138</v>
      </c>
    </row>
    <row r="28" spans="1:2" x14ac:dyDescent="0.25">
      <c r="A28" t="s">
        <v>122</v>
      </c>
      <c r="B28" t="s">
        <v>138</v>
      </c>
    </row>
    <row r="29" spans="1:2" x14ac:dyDescent="0.25">
      <c r="A29" t="s">
        <v>115</v>
      </c>
      <c r="B29" t="s">
        <v>138</v>
      </c>
    </row>
    <row r="30" spans="1:2" x14ac:dyDescent="0.25">
      <c r="A30" t="s">
        <v>1290</v>
      </c>
      <c r="B30" t="s">
        <v>138</v>
      </c>
    </row>
    <row r="31" spans="1:2" x14ac:dyDescent="0.25">
      <c r="A31" t="s">
        <v>116</v>
      </c>
      <c r="B31" t="s">
        <v>138</v>
      </c>
    </row>
    <row r="32" spans="1:2" x14ac:dyDescent="0.25">
      <c r="A32" t="s">
        <v>110</v>
      </c>
      <c r="B32" t="s">
        <v>138</v>
      </c>
    </row>
    <row r="33" spans="1:2" x14ac:dyDescent="0.25">
      <c r="A33" t="s">
        <v>124</v>
      </c>
      <c r="B33" t="s">
        <v>138</v>
      </c>
    </row>
    <row r="34" spans="1:2" x14ac:dyDescent="0.25">
      <c r="A34" t="s">
        <v>123</v>
      </c>
      <c r="B34" t="s">
        <v>138</v>
      </c>
    </row>
    <row r="35" spans="1:2" x14ac:dyDescent="0.25">
      <c r="A35" t="s">
        <v>24</v>
      </c>
      <c r="B35" t="s">
        <v>16</v>
      </c>
    </row>
    <row r="36" spans="1:2" x14ac:dyDescent="0.25">
      <c r="A36" t="s">
        <v>18</v>
      </c>
      <c r="B36" t="s">
        <v>16</v>
      </c>
    </row>
    <row r="37" spans="1:2" x14ac:dyDescent="0.25">
      <c r="A37" t="s">
        <v>25</v>
      </c>
      <c r="B37" t="s">
        <v>16</v>
      </c>
    </row>
    <row r="38" spans="1:2" x14ac:dyDescent="0.25">
      <c r="A38" t="s">
        <v>17</v>
      </c>
      <c r="B38" t="s">
        <v>16</v>
      </c>
    </row>
    <row r="39" spans="1:2" x14ac:dyDescent="0.25">
      <c r="A39" t="s">
        <v>15</v>
      </c>
      <c r="B39" t="s">
        <v>16</v>
      </c>
    </row>
    <row r="40" spans="1:2" x14ac:dyDescent="0.25">
      <c r="A40" t="s">
        <v>23</v>
      </c>
      <c r="B40" t="s">
        <v>16</v>
      </c>
    </row>
    <row r="41" spans="1:2" x14ac:dyDescent="0.25">
      <c r="A41" t="s">
        <v>21</v>
      </c>
      <c r="B41" t="s">
        <v>16</v>
      </c>
    </row>
    <row r="42" spans="1:2" x14ac:dyDescent="0.25">
      <c r="A42" t="s">
        <v>20</v>
      </c>
      <c r="B42" t="s">
        <v>16</v>
      </c>
    </row>
    <row r="43" spans="1:2" x14ac:dyDescent="0.25">
      <c r="A43" t="s">
        <v>19</v>
      </c>
      <c r="B43" t="s">
        <v>16</v>
      </c>
    </row>
    <row r="44" spans="1:2" x14ac:dyDescent="0.25">
      <c r="A44" t="s">
        <v>143</v>
      </c>
      <c r="B44" t="s">
        <v>27</v>
      </c>
    </row>
    <row r="45" spans="1:2" x14ac:dyDescent="0.25">
      <c r="A45" t="s">
        <v>33</v>
      </c>
      <c r="B45" t="s">
        <v>27</v>
      </c>
    </row>
    <row r="46" spans="1:2" x14ac:dyDescent="0.25">
      <c r="A46" t="s">
        <v>39</v>
      </c>
      <c r="B46" t="s">
        <v>27</v>
      </c>
    </row>
    <row r="47" spans="1:2" x14ac:dyDescent="0.25">
      <c r="A47" t="s">
        <v>41</v>
      </c>
      <c r="B47" t="s">
        <v>27</v>
      </c>
    </row>
    <row r="48" spans="1:2" x14ac:dyDescent="0.25">
      <c r="A48" t="s">
        <v>35</v>
      </c>
      <c r="B48" t="s">
        <v>27</v>
      </c>
    </row>
    <row r="49" spans="1:2" x14ac:dyDescent="0.25">
      <c r="A49" t="s">
        <v>40</v>
      </c>
      <c r="B49" t="s">
        <v>27</v>
      </c>
    </row>
    <row r="50" spans="1:2" x14ac:dyDescent="0.25">
      <c r="A50" t="s">
        <v>1321</v>
      </c>
      <c r="B50" t="s">
        <v>27</v>
      </c>
    </row>
    <row r="51" spans="1:2" x14ac:dyDescent="0.25">
      <c r="A51" t="s">
        <v>32</v>
      </c>
      <c r="B51" t="s">
        <v>27</v>
      </c>
    </row>
    <row r="52" spans="1:2" x14ac:dyDescent="0.25">
      <c r="A52" t="s">
        <v>34</v>
      </c>
      <c r="B52" t="s">
        <v>27</v>
      </c>
    </row>
    <row r="53" spans="1:2" x14ac:dyDescent="0.25">
      <c r="A53" t="s">
        <v>28</v>
      </c>
      <c r="B53" t="s">
        <v>27</v>
      </c>
    </row>
    <row r="54" spans="1:2" x14ac:dyDescent="0.25">
      <c r="A54" t="s">
        <v>36</v>
      </c>
      <c r="B54" t="s">
        <v>27</v>
      </c>
    </row>
    <row r="55" spans="1:2" x14ac:dyDescent="0.25">
      <c r="A55" t="s">
        <v>38</v>
      </c>
      <c r="B55" t="s">
        <v>27</v>
      </c>
    </row>
    <row r="56" spans="1:2" x14ac:dyDescent="0.25">
      <c r="A56" t="s">
        <v>26</v>
      </c>
      <c r="B56" t="s">
        <v>27</v>
      </c>
    </row>
    <row r="57" spans="1:2" x14ac:dyDescent="0.25">
      <c r="A57" t="s">
        <v>131</v>
      </c>
      <c r="B57" t="s">
        <v>137</v>
      </c>
    </row>
    <row r="58" spans="1:2" x14ac:dyDescent="0.25">
      <c r="A58" t="s">
        <v>125</v>
      </c>
      <c r="B58" t="s">
        <v>137</v>
      </c>
    </row>
    <row r="59" spans="1:2" x14ac:dyDescent="0.25">
      <c r="A59" t="s">
        <v>128</v>
      </c>
      <c r="B59" t="s">
        <v>137</v>
      </c>
    </row>
    <row r="60" spans="1:2" x14ac:dyDescent="0.25">
      <c r="A60" t="s">
        <v>134</v>
      </c>
      <c r="B60" t="s">
        <v>137</v>
      </c>
    </row>
    <row r="61" spans="1:2" x14ac:dyDescent="0.25">
      <c r="A61" t="s">
        <v>135</v>
      </c>
      <c r="B61" t="s">
        <v>137</v>
      </c>
    </row>
    <row r="62" spans="1:2" x14ac:dyDescent="0.25">
      <c r="A62" t="s">
        <v>133</v>
      </c>
      <c r="B62" t="s">
        <v>137</v>
      </c>
    </row>
    <row r="63" spans="1:2" x14ac:dyDescent="0.25">
      <c r="A63" t="s">
        <v>132</v>
      </c>
      <c r="B63" t="s">
        <v>137</v>
      </c>
    </row>
    <row r="64" spans="1:2" x14ac:dyDescent="0.25">
      <c r="A64" t="s">
        <v>130</v>
      </c>
      <c r="B64" t="s">
        <v>137</v>
      </c>
    </row>
    <row r="65" spans="1:2" x14ac:dyDescent="0.25">
      <c r="A65" t="s">
        <v>127</v>
      </c>
      <c r="B65" t="s">
        <v>137</v>
      </c>
    </row>
    <row r="66" spans="1:2" x14ac:dyDescent="0.25">
      <c r="A66" t="s">
        <v>129</v>
      </c>
      <c r="B66" t="s">
        <v>137</v>
      </c>
    </row>
    <row r="67" spans="1:2" x14ac:dyDescent="0.25">
      <c r="A67" t="s">
        <v>126</v>
      </c>
      <c r="B67" t="s">
        <v>137</v>
      </c>
    </row>
    <row r="68" spans="1:2" x14ac:dyDescent="0.25">
      <c r="A68" t="s">
        <v>44</v>
      </c>
      <c r="B68" t="s">
        <v>43</v>
      </c>
    </row>
    <row r="69" spans="1:2" x14ac:dyDescent="0.25">
      <c r="A69" t="s">
        <v>57</v>
      </c>
      <c r="B69" t="s">
        <v>43</v>
      </c>
    </row>
    <row r="70" spans="1:2" x14ac:dyDescent="0.25">
      <c r="A70" t="s">
        <v>62</v>
      </c>
      <c r="B70" t="s">
        <v>43</v>
      </c>
    </row>
    <row r="71" spans="1:2" x14ac:dyDescent="0.25">
      <c r="A71" t="s">
        <v>55</v>
      </c>
      <c r="B71" t="s">
        <v>43</v>
      </c>
    </row>
    <row r="72" spans="1:2" x14ac:dyDescent="0.25">
      <c r="A72" t="s">
        <v>56</v>
      </c>
      <c r="B72" t="s">
        <v>43</v>
      </c>
    </row>
    <row r="73" spans="1:2" x14ac:dyDescent="0.25">
      <c r="A73" t="s">
        <v>52</v>
      </c>
      <c r="B73" t="s">
        <v>43</v>
      </c>
    </row>
    <row r="74" spans="1:2" x14ac:dyDescent="0.25">
      <c r="A74" t="s">
        <v>46</v>
      </c>
      <c r="B74" t="s">
        <v>43</v>
      </c>
    </row>
    <row r="75" spans="1:2" x14ac:dyDescent="0.25">
      <c r="A75" t="s">
        <v>42</v>
      </c>
      <c r="B75" t="s">
        <v>43</v>
      </c>
    </row>
    <row r="76" spans="1:2" x14ac:dyDescent="0.25">
      <c r="A76" t="s">
        <v>49</v>
      </c>
      <c r="B76" t="s">
        <v>43</v>
      </c>
    </row>
    <row r="77" spans="1:2" x14ac:dyDescent="0.25">
      <c r="A77" t="s">
        <v>61</v>
      </c>
      <c r="B77" t="s">
        <v>43</v>
      </c>
    </row>
    <row r="78" spans="1:2" x14ac:dyDescent="0.25">
      <c r="A78" t="s">
        <v>59</v>
      </c>
      <c r="B78" t="s">
        <v>43</v>
      </c>
    </row>
    <row r="79" spans="1:2" x14ac:dyDescent="0.25">
      <c r="A79" t="s">
        <v>54</v>
      </c>
      <c r="B79" t="s">
        <v>43</v>
      </c>
    </row>
    <row r="80" spans="1:2" x14ac:dyDescent="0.25">
      <c r="A80" t="s">
        <v>60</v>
      </c>
      <c r="B80" t="s">
        <v>43</v>
      </c>
    </row>
    <row r="81" spans="1:2" x14ac:dyDescent="0.25">
      <c r="A81" t="s">
        <v>50</v>
      </c>
      <c r="B81" t="s">
        <v>43</v>
      </c>
    </row>
    <row r="82" spans="1:2" x14ac:dyDescent="0.25">
      <c r="A82" t="s">
        <v>63</v>
      </c>
      <c r="B82" t="s">
        <v>43</v>
      </c>
    </row>
    <row r="83" spans="1:2" x14ac:dyDescent="0.25">
      <c r="A83" t="s">
        <v>48</v>
      </c>
      <c r="B83" t="s">
        <v>43</v>
      </c>
    </row>
    <row r="84" spans="1:2" x14ac:dyDescent="0.25">
      <c r="A84" t="s">
        <v>74</v>
      </c>
      <c r="B84" t="s">
        <v>65</v>
      </c>
    </row>
    <row r="85" spans="1:2" x14ac:dyDescent="0.25">
      <c r="A85" t="s">
        <v>1266</v>
      </c>
      <c r="B85" t="s">
        <v>65</v>
      </c>
    </row>
    <row r="86" spans="1:2" x14ac:dyDescent="0.25">
      <c r="A86" t="s">
        <v>71</v>
      </c>
      <c r="B86" t="s">
        <v>65</v>
      </c>
    </row>
    <row r="87" spans="1:2" x14ac:dyDescent="0.25">
      <c r="A87" t="s">
        <v>136</v>
      </c>
      <c r="B87" t="s">
        <v>65</v>
      </c>
    </row>
    <row r="88" spans="1:2" x14ac:dyDescent="0.25">
      <c r="A88" t="s">
        <v>66</v>
      </c>
      <c r="B88" t="s">
        <v>65</v>
      </c>
    </row>
    <row r="89" spans="1:2" x14ac:dyDescent="0.25">
      <c r="A89" t="s">
        <v>72</v>
      </c>
      <c r="B89" t="s">
        <v>65</v>
      </c>
    </row>
    <row r="90" spans="1:2" x14ac:dyDescent="0.25">
      <c r="A90" t="s">
        <v>76</v>
      </c>
      <c r="B90" t="s">
        <v>65</v>
      </c>
    </row>
    <row r="91" spans="1:2" x14ac:dyDescent="0.25">
      <c r="A91" t="s">
        <v>75</v>
      </c>
      <c r="B91" t="s">
        <v>65</v>
      </c>
    </row>
    <row r="92" spans="1:2" x14ac:dyDescent="0.25">
      <c r="A92" t="s">
        <v>67</v>
      </c>
      <c r="B92" t="s">
        <v>65</v>
      </c>
    </row>
    <row r="93" spans="1:2" x14ac:dyDescent="0.25">
      <c r="A93" t="s">
        <v>69</v>
      </c>
      <c r="B93" t="s">
        <v>65</v>
      </c>
    </row>
    <row r="94" spans="1:2" x14ac:dyDescent="0.25">
      <c r="A94" t="s">
        <v>73</v>
      </c>
      <c r="B94" t="s">
        <v>65</v>
      </c>
    </row>
    <row r="95" spans="1:2" x14ac:dyDescent="0.25">
      <c r="A95" t="s">
        <v>77</v>
      </c>
      <c r="B95" t="s">
        <v>65</v>
      </c>
    </row>
    <row r="96" spans="1:2" x14ac:dyDescent="0.25">
      <c r="A96" t="s">
        <v>64</v>
      </c>
      <c r="B96" t="s">
        <v>65</v>
      </c>
    </row>
    <row r="97" spans="1:2" x14ac:dyDescent="0.25">
      <c r="A97" t="s">
        <v>85</v>
      </c>
      <c r="B97" t="s">
        <v>80</v>
      </c>
    </row>
    <row r="98" spans="1:2" x14ac:dyDescent="0.25">
      <c r="A98" t="s">
        <v>90</v>
      </c>
      <c r="B98" t="s">
        <v>80</v>
      </c>
    </row>
    <row r="99" spans="1:2" x14ac:dyDescent="0.25">
      <c r="A99" t="s">
        <v>88</v>
      </c>
      <c r="B99" t="s">
        <v>80</v>
      </c>
    </row>
    <row r="100" spans="1:2" x14ac:dyDescent="0.25">
      <c r="A100" t="s">
        <v>89</v>
      </c>
      <c r="B100" t="s">
        <v>80</v>
      </c>
    </row>
    <row r="101" spans="1:2" x14ac:dyDescent="0.25">
      <c r="A101" t="s">
        <v>82</v>
      </c>
      <c r="B101" t="s">
        <v>80</v>
      </c>
    </row>
    <row r="102" spans="1:2" x14ac:dyDescent="0.25">
      <c r="A102" t="s">
        <v>79</v>
      </c>
      <c r="B102" t="s">
        <v>80</v>
      </c>
    </row>
    <row r="103" spans="1:2" x14ac:dyDescent="0.25">
      <c r="A103" t="s">
        <v>83</v>
      </c>
      <c r="B103" t="s">
        <v>80</v>
      </c>
    </row>
    <row r="104" spans="1:2" x14ac:dyDescent="0.25">
      <c r="A104" t="s">
        <v>81</v>
      </c>
      <c r="B104" t="s">
        <v>80</v>
      </c>
    </row>
    <row r="105" spans="1:2" x14ac:dyDescent="0.25">
      <c r="A105" t="s">
        <v>84</v>
      </c>
      <c r="B105" t="s">
        <v>80</v>
      </c>
    </row>
    <row r="106" spans="1:2" x14ac:dyDescent="0.25">
      <c r="A106" t="s">
        <v>92</v>
      </c>
      <c r="B106" t="s">
        <v>80</v>
      </c>
    </row>
    <row r="107" spans="1:2" x14ac:dyDescent="0.25">
      <c r="A107" t="s">
        <v>87</v>
      </c>
      <c r="B107" t="s">
        <v>80</v>
      </c>
    </row>
    <row r="108" spans="1:2" x14ac:dyDescent="0.25">
      <c r="A108" t="s">
        <v>86</v>
      </c>
      <c r="B108" t="s">
        <v>80</v>
      </c>
    </row>
    <row r="109" spans="1:2" x14ac:dyDescent="0.25">
      <c r="A109" t="s">
        <v>95</v>
      </c>
      <c r="B109" t="s">
        <v>94</v>
      </c>
    </row>
    <row r="110" spans="1:2" x14ac:dyDescent="0.25">
      <c r="A110" t="s">
        <v>105</v>
      </c>
      <c r="B110" t="s">
        <v>94</v>
      </c>
    </row>
    <row r="111" spans="1:2" x14ac:dyDescent="0.25">
      <c r="A111" t="s">
        <v>97</v>
      </c>
      <c r="B111" t="s">
        <v>94</v>
      </c>
    </row>
    <row r="112" spans="1:2" x14ac:dyDescent="0.25">
      <c r="A112" t="s">
        <v>99</v>
      </c>
      <c r="B112" t="s">
        <v>94</v>
      </c>
    </row>
    <row r="113" spans="1:2" x14ac:dyDescent="0.25">
      <c r="A113" t="s">
        <v>98</v>
      </c>
      <c r="B113" t="s">
        <v>94</v>
      </c>
    </row>
    <row r="114" spans="1:2" x14ac:dyDescent="0.25">
      <c r="A114" t="s">
        <v>93</v>
      </c>
      <c r="B114" t="s">
        <v>94</v>
      </c>
    </row>
    <row r="115" spans="1:2" x14ac:dyDescent="0.25">
      <c r="A115" t="s">
        <v>100</v>
      </c>
      <c r="B115" t="s">
        <v>94</v>
      </c>
    </row>
    <row r="116" spans="1:2" x14ac:dyDescent="0.25">
      <c r="A116" t="s">
        <v>101</v>
      </c>
      <c r="B116" t="s">
        <v>94</v>
      </c>
    </row>
    <row r="117" spans="1:2" x14ac:dyDescent="0.25">
      <c r="A117" t="s">
        <v>104</v>
      </c>
      <c r="B117" t="s">
        <v>94</v>
      </c>
    </row>
    <row r="118" spans="1:2" x14ac:dyDescent="0.25">
      <c r="A118" t="s">
        <v>96</v>
      </c>
      <c r="B118" t="s">
        <v>94</v>
      </c>
    </row>
    <row r="119" spans="1:2" x14ac:dyDescent="0.25">
      <c r="A119" t="s">
        <v>106</v>
      </c>
      <c r="B119" t="s">
        <v>94</v>
      </c>
    </row>
    <row r="120" spans="1:2" x14ac:dyDescent="0.25">
      <c r="A120" t="s">
        <v>53</v>
      </c>
      <c r="B120" t="s">
        <v>94</v>
      </c>
    </row>
    <row r="121" spans="1:2" x14ac:dyDescent="0.25">
      <c r="A121" t="s">
        <v>102</v>
      </c>
      <c r="B121" t="s">
        <v>94</v>
      </c>
    </row>
    <row r="122" spans="1:2" x14ac:dyDescent="0.25">
      <c r="A122" t="s">
        <v>144</v>
      </c>
      <c r="B122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showGridLines="0" zoomScale="90" zoomScaleNormal="90" workbookViewId="0"/>
  </sheetViews>
  <sheetFormatPr defaultRowHeight="14.25" x14ac:dyDescent="0.2"/>
  <cols>
    <col min="1" max="1" width="21" style="91" bestFit="1" customWidth="1"/>
    <col min="2" max="2" width="15.28515625" style="91" bestFit="1" customWidth="1"/>
    <col min="3" max="3" width="14.7109375" style="91" bestFit="1" customWidth="1"/>
    <col min="4" max="4" width="16.42578125" style="91" customWidth="1"/>
    <col min="5" max="5" width="13.42578125" style="91" customWidth="1"/>
    <col min="6" max="10" width="15.28515625" style="91" customWidth="1"/>
    <col min="11" max="11" width="16.140625" style="91" bestFit="1" customWidth="1"/>
    <col min="12" max="12" width="15.28515625" style="91" customWidth="1"/>
    <col min="13" max="13" width="15.140625" style="91" bestFit="1" customWidth="1"/>
    <col min="14" max="14" width="14.7109375" style="91" customWidth="1"/>
    <col min="15" max="16384" width="9.140625" style="91"/>
  </cols>
  <sheetData>
    <row r="1" spans="1:14" ht="32.25" customHeight="1" x14ac:dyDescent="0.2">
      <c r="A1" s="133" t="str">
        <f>'Dealer Wise'!B1</f>
        <v xml:space="preserve">Up to 29.07.2020 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ht="32.25" customHeight="1" x14ac:dyDescent="0.2">
      <c r="A2" s="260" t="s">
        <v>1502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92" t="s">
        <v>149</v>
      </c>
      <c r="N2" s="92">
        <f>'Dealer Wise'!Q2</f>
        <v>1</v>
      </c>
    </row>
    <row r="3" spans="1:14" ht="36.75" customHeight="1" x14ac:dyDescent="0.2">
      <c r="A3" s="134" t="s">
        <v>0</v>
      </c>
      <c r="B3" s="135" t="s">
        <v>1503</v>
      </c>
      <c r="C3" s="135" t="s">
        <v>1504</v>
      </c>
      <c r="D3" s="135" t="s">
        <v>1505</v>
      </c>
      <c r="E3" s="135" t="s">
        <v>146</v>
      </c>
      <c r="F3" s="135" t="s">
        <v>148</v>
      </c>
      <c r="G3" s="135" t="s">
        <v>1057</v>
      </c>
      <c r="H3" s="135" t="s">
        <v>1061</v>
      </c>
      <c r="I3" s="135" t="s">
        <v>1059</v>
      </c>
      <c r="J3" s="135" t="s">
        <v>1062</v>
      </c>
      <c r="K3" s="135" t="s">
        <v>1081</v>
      </c>
      <c r="L3" s="135" t="s">
        <v>1083</v>
      </c>
      <c r="M3" s="135" t="s">
        <v>140</v>
      </c>
      <c r="N3" s="136" t="s">
        <v>142</v>
      </c>
    </row>
    <row r="4" spans="1:14" x14ac:dyDescent="0.2">
      <c r="A4" s="86" t="s">
        <v>1399</v>
      </c>
      <c r="B4" s="109">
        <f>SUMIFS('Dealer Wise'!E$4:E$124,'Dealer Wise'!$C$4:$C$124,'Region Wise'!$A4)</f>
        <v>216606085.34650657</v>
      </c>
      <c r="C4" s="109">
        <f>SUMIFS('Dealer Wise'!F$4:F$124,'Dealer Wise'!$C$4:$C$124,'Region Wise'!$A4)</f>
        <v>220877453.36929998</v>
      </c>
      <c r="D4" s="137">
        <f t="shared" ref="D4:D10" si="0">C4/B4</f>
        <v>1.0197195199569784</v>
      </c>
      <c r="E4" s="109">
        <f t="shared" ref="E4:E8" si="1">(B4*0.8)-C4</f>
        <v>-47592585.092094719</v>
      </c>
      <c r="F4" s="109">
        <f t="shared" ref="F4:F8" si="2">E4/$N$2</f>
        <v>-47592585.092094719</v>
      </c>
      <c r="G4" s="109">
        <f t="shared" ref="G4:G8" si="3">(B4*0.86)-C4</f>
        <v>-34596219.971304327</v>
      </c>
      <c r="H4" s="109">
        <f t="shared" ref="H4:H8" si="4">G4/$N$2</f>
        <v>-34596219.971304327</v>
      </c>
      <c r="I4" s="109">
        <f t="shared" ref="I4:I8" si="5">(B4*0.91)-C4</f>
        <v>-23765915.703978986</v>
      </c>
      <c r="J4" s="109">
        <f t="shared" ref="J4:J8" si="6">I4/$N$2</f>
        <v>-23765915.703978986</v>
      </c>
      <c r="K4" s="138">
        <f t="shared" ref="K4:K8" si="7">(B4*0.96)-C4</f>
        <v>-12935611.436653674</v>
      </c>
      <c r="L4" s="109">
        <f t="shared" ref="L4:L8" si="8">K4/$N$2</f>
        <v>-12935611.436653674</v>
      </c>
      <c r="M4" s="109">
        <f t="shared" ref="M4:M9" si="9">B4-C4</f>
        <v>-4271368.0227934122</v>
      </c>
      <c r="N4" s="109">
        <f t="shared" ref="N4:N8" si="10">M4/$N$2</f>
        <v>-4271368.0227934122</v>
      </c>
    </row>
    <row r="5" spans="1:14" x14ac:dyDescent="0.2">
      <c r="A5" s="86" t="s">
        <v>16</v>
      </c>
      <c r="B5" s="109">
        <f>SUMIFS('Dealer Wise'!E$4:E$124,'Dealer Wise'!$C$4:$C$124,'Region Wise'!$A5)</f>
        <v>359262416.99515879</v>
      </c>
      <c r="C5" s="109">
        <f>SUMIFS('Dealer Wise'!F$4:F$124,'Dealer Wise'!$C$4:$C$124,'Region Wise'!$A5)</f>
        <v>352548484.54200011</v>
      </c>
      <c r="D5" s="137">
        <f t="shared" si="0"/>
        <v>0.981311898669186</v>
      </c>
      <c r="E5" s="109">
        <f t="shared" si="1"/>
        <v>-65138550.945873082</v>
      </c>
      <c r="F5" s="109">
        <f t="shared" si="2"/>
        <v>-65138550.945873082</v>
      </c>
      <c r="G5" s="109">
        <f t="shared" si="3"/>
        <v>-43582805.926163554</v>
      </c>
      <c r="H5" s="109">
        <f t="shared" si="4"/>
        <v>-43582805.926163554</v>
      </c>
      <c r="I5" s="109">
        <f t="shared" si="5"/>
        <v>-25619685.076405585</v>
      </c>
      <c r="J5" s="109">
        <f t="shared" si="6"/>
        <v>-25619685.076405585</v>
      </c>
      <c r="K5" s="138">
        <f t="shared" si="7"/>
        <v>-7656564.226647675</v>
      </c>
      <c r="L5" s="109">
        <f t="shared" si="8"/>
        <v>-7656564.226647675</v>
      </c>
      <c r="M5" s="109">
        <f t="shared" si="9"/>
        <v>6713932.4531586766</v>
      </c>
      <c r="N5" s="109">
        <f t="shared" si="10"/>
        <v>6713932.4531586766</v>
      </c>
    </row>
    <row r="6" spans="1:14" x14ac:dyDescent="0.2">
      <c r="A6" s="86" t="s">
        <v>27</v>
      </c>
      <c r="B6" s="109">
        <f>SUMIFS('Dealer Wise'!E$4:E$124,'Dealer Wise'!$C$4:$C$124,'Region Wise'!$A6)</f>
        <v>291604742.55218506</v>
      </c>
      <c r="C6" s="109">
        <f>SUMIFS('Dealer Wise'!F$4:F$124,'Dealer Wise'!$C$4:$C$124,'Region Wise'!$A6)</f>
        <v>277470404.70200002</v>
      </c>
      <c r="D6" s="137">
        <f t="shared" ref="D6" si="11">C6/B6</f>
        <v>0.95152912217243657</v>
      </c>
      <c r="E6" s="109">
        <f t="shared" si="1"/>
        <v>-44186610.660251975</v>
      </c>
      <c r="F6" s="109">
        <f t="shared" si="2"/>
        <v>-44186610.660251975</v>
      </c>
      <c r="G6" s="109">
        <f t="shared" si="3"/>
        <v>-26690326.107120872</v>
      </c>
      <c r="H6" s="109">
        <f t="shared" si="4"/>
        <v>-26690326.107120872</v>
      </c>
      <c r="I6" s="109">
        <f t="shared" si="5"/>
        <v>-12110088.979511619</v>
      </c>
      <c r="J6" s="109">
        <f t="shared" si="6"/>
        <v>-12110088.979511619</v>
      </c>
      <c r="K6" s="138">
        <f t="shared" si="7"/>
        <v>2470148.1480976343</v>
      </c>
      <c r="L6" s="109">
        <f t="shared" si="8"/>
        <v>2470148.1480976343</v>
      </c>
      <c r="M6" s="109">
        <f t="shared" ref="M6" si="12">B6-C6</f>
        <v>14134337.850185037</v>
      </c>
      <c r="N6" s="109">
        <f t="shared" si="10"/>
        <v>14134337.850185037</v>
      </c>
    </row>
    <row r="7" spans="1:14" ht="11.25" customHeight="1" x14ac:dyDescent="0.2">
      <c r="A7" s="86" t="s">
        <v>137</v>
      </c>
      <c r="B7" s="109">
        <f>SUMIFS('Dealer Wise'!E$4:E$124,'Dealer Wise'!$C$4:$C$124,'Region Wise'!$A7)</f>
        <v>280038575.9103564</v>
      </c>
      <c r="C7" s="109">
        <f>SUMIFS('Dealer Wise'!F$4:F$124,'Dealer Wise'!$C$4:$C$124,'Region Wise'!$A7)</f>
        <v>283652352.75610006</v>
      </c>
      <c r="D7" s="137">
        <f t="shared" si="0"/>
        <v>1.0129045680010187</v>
      </c>
      <c r="E7" s="109">
        <f t="shared" si="1"/>
        <v>-59621492.027814925</v>
      </c>
      <c r="F7" s="109">
        <f t="shared" si="2"/>
        <v>-59621492.027814925</v>
      </c>
      <c r="G7" s="109">
        <f t="shared" si="3"/>
        <v>-42819177.473193556</v>
      </c>
      <c r="H7" s="109">
        <f t="shared" si="4"/>
        <v>-42819177.473193556</v>
      </c>
      <c r="I7" s="109">
        <f t="shared" si="5"/>
        <v>-28817248.677675724</v>
      </c>
      <c r="J7" s="109">
        <f t="shared" si="6"/>
        <v>-28817248.677675724</v>
      </c>
      <c r="K7" s="138">
        <f t="shared" si="7"/>
        <v>-14815319.882157922</v>
      </c>
      <c r="L7" s="109">
        <f t="shared" si="8"/>
        <v>-14815319.882157922</v>
      </c>
      <c r="M7" s="109">
        <f t="shared" si="9"/>
        <v>-3613776.8457436562</v>
      </c>
      <c r="N7" s="109">
        <f t="shared" si="10"/>
        <v>-3613776.8457436562</v>
      </c>
    </row>
    <row r="8" spans="1:14" ht="11.25" customHeight="1" x14ac:dyDescent="0.2">
      <c r="A8" s="86" t="s">
        <v>65</v>
      </c>
      <c r="B8" s="109">
        <f>SUMIFS('Dealer Wise'!E$4:E$124,'Dealer Wise'!$C$4:$C$124,'Region Wise'!$A8)</f>
        <v>202639385.26422095</v>
      </c>
      <c r="C8" s="109">
        <f>SUMIFS('Dealer Wise'!F$4:F$124,'Dealer Wise'!$C$4:$C$124,'Region Wise'!$A8)</f>
        <v>203723370.81659999</v>
      </c>
      <c r="D8" s="137">
        <f t="shared" ref="D8" si="13">C8/B8</f>
        <v>1.0053493330083174</v>
      </c>
      <c r="E8" s="109">
        <f t="shared" si="1"/>
        <v>-41611862.605223209</v>
      </c>
      <c r="F8" s="109">
        <f t="shared" si="2"/>
        <v>-41611862.605223209</v>
      </c>
      <c r="G8" s="109">
        <f t="shared" si="3"/>
        <v>-29453499.489369988</v>
      </c>
      <c r="H8" s="109">
        <f t="shared" si="4"/>
        <v>-29453499.489369988</v>
      </c>
      <c r="I8" s="109">
        <f t="shared" si="5"/>
        <v>-19321530.226158917</v>
      </c>
      <c r="J8" s="109">
        <f t="shared" si="6"/>
        <v>-19321530.226158917</v>
      </c>
      <c r="K8" s="138">
        <f t="shared" si="7"/>
        <v>-9189560.9629478753</v>
      </c>
      <c r="L8" s="109">
        <f t="shared" si="8"/>
        <v>-9189560.9629478753</v>
      </c>
      <c r="M8" s="109">
        <f t="shared" ref="M8" si="14">B8-C8</f>
        <v>-1083985.5523790419</v>
      </c>
      <c r="N8" s="109">
        <f t="shared" si="10"/>
        <v>-1083985.5523790419</v>
      </c>
    </row>
    <row r="9" spans="1:14" x14ac:dyDescent="0.2">
      <c r="A9" s="86" t="s">
        <v>80</v>
      </c>
      <c r="B9" s="109">
        <f>SUMIFS('Dealer Wise'!E$4:E$124,'Dealer Wise'!$C$4:$C$124,'Region Wise'!$A9)</f>
        <v>176607667.5543915</v>
      </c>
      <c r="C9" s="109">
        <f>SUMIFS('Dealer Wise'!F$4:F$124,'Dealer Wise'!$C$4:$C$124,'Region Wise'!$A9)</f>
        <v>189757502.72670004</v>
      </c>
      <c r="D9" s="137">
        <f t="shared" si="0"/>
        <v>1.0744578950302861</v>
      </c>
      <c r="E9" s="109">
        <f t="shared" ref="E9" si="15">(B9*0.8)-C9</f>
        <v>-48471368.683186829</v>
      </c>
      <c r="F9" s="109">
        <f t="shared" ref="F9" si="16">E9/$N$2</f>
        <v>-48471368.683186829</v>
      </c>
      <c r="G9" s="109">
        <f t="shared" ref="G9" si="17">(B9*0.86)-C9</f>
        <v>-37874908.629923344</v>
      </c>
      <c r="H9" s="109">
        <f t="shared" ref="H9" si="18">G9/$N$2</f>
        <v>-37874908.629923344</v>
      </c>
      <c r="I9" s="109">
        <f t="shared" ref="I9" si="19">(B9*0.91)-C9</f>
        <v>-29044525.252203763</v>
      </c>
      <c r="J9" s="109">
        <f t="shared" ref="J9:J10" si="20">I9/$N$2</f>
        <v>-29044525.252203763</v>
      </c>
      <c r="K9" s="138">
        <f t="shared" ref="K9" si="21">(B9*0.96)-C9</f>
        <v>-20214141.874484211</v>
      </c>
      <c r="L9" s="109">
        <f t="shared" ref="L9:L10" si="22">K9/$N$2</f>
        <v>-20214141.874484211</v>
      </c>
      <c r="M9" s="109">
        <f t="shared" si="9"/>
        <v>-13149835.172308534</v>
      </c>
      <c r="N9" s="109">
        <f t="shared" ref="N9" si="23">M9/$N$2</f>
        <v>-13149835.172308534</v>
      </c>
    </row>
    <row r="10" spans="1:14" x14ac:dyDescent="0.2">
      <c r="A10" s="139" t="s">
        <v>139</v>
      </c>
      <c r="B10" s="140">
        <f>SUM(B4:B9)</f>
        <v>1526758873.6228194</v>
      </c>
      <c r="C10" s="140">
        <f>SUM(C4:C9)</f>
        <v>1528029568.9127002</v>
      </c>
      <c r="D10" s="141">
        <f t="shared" si="0"/>
        <v>1.0008322828914467</v>
      </c>
      <c r="E10" s="142">
        <f>SUM(E4:E9)</f>
        <v>-306622470.01444471</v>
      </c>
      <c r="F10" s="142">
        <f>SUM(F4:F9)</f>
        <v>-306622470.01444471</v>
      </c>
      <c r="G10" s="142">
        <f>SUM(G4:G9)</f>
        <v>-215016937.59707564</v>
      </c>
      <c r="H10" s="142">
        <f>SUM(H4:H9)</f>
        <v>-215016937.59707564</v>
      </c>
      <c r="I10" s="142">
        <f>SUM(I4:I9)</f>
        <v>-138678993.91593459</v>
      </c>
      <c r="J10" s="142">
        <f t="shared" si="20"/>
        <v>-138678993.91593459</v>
      </c>
      <c r="K10" s="142">
        <f>SUM(K4:K9)</f>
        <v>-62341050.234793723</v>
      </c>
      <c r="L10" s="142">
        <f t="shared" si="22"/>
        <v>-62341050.234793723</v>
      </c>
      <c r="M10" s="140">
        <f>SUM(M4:M9)</f>
        <v>-1270695.2898809314</v>
      </c>
      <c r="N10" s="143">
        <f>M10/N2</f>
        <v>-1270695.2898809314</v>
      </c>
    </row>
    <row r="11" spans="1:14" x14ac:dyDescent="0.2">
      <c r="N11" s="131"/>
    </row>
    <row r="12" spans="1:14" x14ac:dyDescent="0.2">
      <c r="B12" s="131"/>
      <c r="C12" s="131"/>
      <c r="F12" s="144"/>
      <c r="G12" s="144"/>
      <c r="H12" s="144"/>
      <c r="I12" s="144"/>
      <c r="J12" s="144"/>
      <c r="K12" s="144"/>
      <c r="L12" s="144"/>
    </row>
  </sheetData>
  <mergeCells count="1">
    <mergeCell ref="A2:L2"/>
  </mergeCells>
  <pageMargins left="0.7" right="0.7" top="0.75" bottom="0.75" header="0.3" footer="0.3"/>
  <pageSetup scale="57" orientation="landscape" r:id="rId1"/>
  <ignoredErrors>
    <ignoredError sqref="M9 G9 I9 K9 K4 G4 M4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showGridLines="0" zoomScale="80" zoomScaleNormal="80" workbookViewId="0">
      <pane ySplit="3" topLeftCell="A26" activePane="bottomLeft" state="frozen"/>
      <selection activeCell="C1" sqref="C1"/>
      <selection pane="bottomLeft"/>
    </sheetView>
  </sheetViews>
  <sheetFormatPr defaultRowHeight="14.25" x14ac:dyDescent="0.2"/>
  <cols>
    <col min="1" max="1" width="3.85546875" style="91" bestFit="1" customWidth="1"/>
    <col min="2" max="2" width="17.140625" style="91" bestFit="1" customWidth="1"/>
    <col min="3" max="3" width="15.85546875" style="91" bestFit="1" customWidth="1"/>
    <col min="4" max="4" width="16" style="91" bestFit="1" customWidth="1"/>
    <col min="5" max="5" width="15.28515625" style="91" bestFit="1" customWidth="1"/>
    <col min="6" max="6" width="13.42578125" style="91" bestFit="1" customWidth="1"/>
    <col min="7" max="7" width="16" style="91" bestFit="1" customWidth="1"/>
    <col min="8" max="8" width="17" style="91" bestFit="1" customWidth="1"/>
    <col min="9" max="9" width="16" style="91" bestFit="1" customWidth="1"/>
    <col min="10" max="10" width="17" style="91" bestFit="1" customWidth="1"/>
    <col min="11" max="11" width="16" style="91" bestFit="1" customWidth="1"/>
    <col min="12" max="12" width="15" style="91" bestFit="1" customWidth="1"/>
    <col min="13" max="13" width="16.5703125" style="91" bestFit="1" customWidth="1"/>
    <col min="14" max="14" width="15" style="91" bestFit="1" customWidth="1"/>
    <col min="15" max="15" width="17.140625" style="91" bestFit="1" customWidth="1"/>
    <col min="16" max="16" width="15" style="91" bestFit="1" customWidth="1"/>
    <col min="17" max="16384" width="9.140625" style="91"/>
  </cols>
  <sheetData>
    <row r="1" spans="1:16" ht="32.25" customHeight="1" x14ac:dyDescent="0.2">
      <c r="B1" s="145" t="str">
        <f>'Dealer Wise'!B1</f>
        <v xml:space="preserve">Up to 29.07.2020 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33"/>
      <c r="P1" s="133"/>
    </row>
    <row r="2" spans="1:16" ht="32.25" customHeight="1" x14ac:dyDescent="0.2">
      <c r="A2" s="264" t="s">
        <v>1506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92" t="s">
        <v>149</v>
      </c>
      <c r="P2" s="92">
        <f>'Dealer Wise'!Q2</f>
        <v>1</v>
      </c>
    </row>
    <row r="3" spans="1:16" ht="60.75" customHeight="1" thickBot="1" x14ac:dyDescent="0.25">
      <c r="A3" s="146" t="s">
        <v>1226</v>
      </c>
      <c r="B3" s="147" t="s">
        <v>1393</v>
      </c>
      <c r="C3" s="148" t="s">
        <v>1404</v>
      </c>
      <c r="D3" s="148" t="s">
        <v>1500</v>
      </c>
      <c r="E3" s="148" t="s">
        <v>1501</v>
      </c>
      <c r="F3" s="148" t="s">
        <v>1505</v>
      </c>
      <c r="G3" s="148" t="s">
        <v>146</v>
      </c>
      <c r="H3" s="148" t="s">
        <v>148</v>
      </c>
      <c r="I3" s="148" t="s">
        <v>1057</v>
      </c>
      <c r="J3" s="148" t="s">
        <v>1061</v>
      </c>
      <c r="K3" s="148" t="s">
        <v>1059</v>
      </c>
      <c r="L3" s="148" t="s">
        <v>1062</v>
      </c>
      <c r="M3" s="148" t="s">
        <v>1081</v>
      </c>
      <c r="N3" s="148" t="s">
        <v>1083</v>
      </c>
      <c r="O3" s="149" t="s">
        <v>140</v>
      </c>
      <c r="P3" s="150" t="s">
        <v>142</v>
      </c>
    </row>
    <row r="4" spans="1:16" x14ac:dyDescent="0.2">
      <c r="A4" s="186">
        <v>1</v>
      </c>
      <c r="B4" s="108" t="s">
        <v>1399</v>
      </c>
      <c r="C4" s="108" t="s">
        <v>1396</v>
      </c>
      <c r="D4" s="151">
        <f>SUMIFS('Dealer Wise'!E$4:E$124,'Dealer Wise'!$D$4:$D$124,'Zone Wise'!$C4)</f>
        <v>35379916.286951907</v>
      </c>
      <c r="E4" s="151">
        <f>SUMIFS('Dealer Wise'!F$4:F$124,'Dealer Wise'!$D$4:$D$124,'Zone Wise'!$C4)</f>
        <v>38795744.810100019</v>
      </c>
      <c r="F4" s="152">
        <f t="shared" ref="F4:F31" si="0">E4/D4</f>
        <v>1.0965471058620868</v>
      </c>
      <c r="G4" s="153">
        <f>(D4*0.8)-E4</f>
        <v>-10491811.780538492</v>
      </c>
      <c r="H4" s="151">
        <f t="shared" ref="H4:H31" si="1">G4/$P$2</f>
        <v>-10491811.780538492</v>
      </c>
      <c r="I4" s="153">
        <f>(D4*0.86)-E4</f>
        <v>-8369016.8033213802</v>
      </c>
      <c r="J4" s="151">
        <f t="shared" ref="J4:J31" si="2">I4/$P$2</f>
        <v>-8369016.8033213802</v>
      </c>
      <c r="K4" s="151">
        <f>(D4*0.91)-E4</f>
        <v>-6600020.9889737815</v>
      </c>
      <c r="L4" s="151">
        <f t="shared" ref="L4:L31" si="3">K4/$P$2</f>
        <v>-6600020.9889737815</v>
      </c>
      <c r="M4" s="154">
        <f>(D4*0.96)-E4</f>
        <v>-4831025.1746261865</v>
      </c>
      <c r="N4" s="151">
        <f t="shared" ref="N4:N31" si="4">M4/$P$2</f>
        <v>-4831025.1746261865</v>
      </c>
      <c r="O4" s="151">
        <f t="shared" ref="O4:O31" si="5">D4-E4</f>
        <v>-3415828.523148112</v>
      </c>
      <c r="P4" s="151">
        <f t="shared" ref="P4:P31" si="6">O4/$P$2</f>
        <v>-3415828.523148112</v>
      </c>
    </row>
    <row r="5" spans="1:16" x14ac:dyDescent="0.2">
      <c r="A5" s="187">
        <v>2</v>
      </c>
      <c r="B5" s="108" t="s">
        <v>1399</v>
      </c>
      <c r="C5" s="108" t="s">
        <v>1399</v>
      </c>
      <c r="D5" s="151">
        <f>SUMIFS('Dealer Wise'!E$4:E$124,'Dealer Wise'!$D$4:$D$124,'Zone Wise'!$C5)</f>
        <v>58648181.796438232</v>
      </c>
      <c r="E5" s="151">
        <f>SUMIFS('Dealer Wise'!F$4:F$124,'Dealer Wise'!$D$4:$D$124,'Zone Wise'!$C5)</f>
        <v>59858282.923200026</v>
      </c>
      <c r="F5" s="152">
        <f t="shared" si="0"/>
        <v>1.0206332249303471</v>
      </c>
      <c r="G5" s="153">
        <f t="shared" ref="G5:G31" si="7">(D5*0.8)-E5</f>
        <v>-12939737.486049436</v>
      </c>
      <c r="H5" s="151">
        <f t="shared" si="1"/>
        <v>-12939737.486049436</v>
      </c>
      <c r="I5" s="153">
        <f t="shared" ref="I5:I31" si="8">(D5*0.86)-E5</f>
        <v>-9420846.5782631487</v>
      </c>
      <c r="J5" s="151">
        <f t="shared" si="2"/>
        <v>-9420846.5782631487</v>
      </c>
      <c r="K5" s="151">
        <f t="shared" ref="K5:K31" si="9">(D5*0.91)-E5</f>
        <v>-6488437.4884412363</v>
      </c>
      <c r="L5" s="151">
        <f t="shared" si="3"/>
        <v>-6488437.4884412363</v>
      </c>
      <c r="M5" s="154">
        <f t="shared" ref="M5:M31" si="10">(D5*0.96)-E5</f>
        <v>-3556028.398619324</v>
      </c>
      <c r="N5" s="151">
        <f t="shared" si="4"/>
        <v>-3556028.398619324</v>
      </c>
      <c r="O5" s="151">
        <f t="shared" si="5"/>
        <v>-1210101.1267617941</v>
      </c>
      <c r="P5" s="151">
        <f t="shared" si="6"/>
        <v>-1210101.1267617941</v>
      </c>
    </row>
    <row r="6" spans="1:16" x14ac:dyDescent="0.2">
      <c r="A6" s="187">
        <v>3</v>
      </c>
      <c r="B6" s="108" t="s">
        <v>1399</v>
      </c>
      <c r="C6" s="108" t="s">
        <v>1398</v>
      </c>
      <c r="D6" s="151">
        <f>SUMIFS('Dealer Wise'!E$4:E$124,'Dealer Wise'!$D$4:$D$124,'Zone Wise'!$C6)</f>
        <v>25677519.111162428</v>
      </c>
      <c r="E6" s="151">
        <f>SUMIFS('Dealer Wise'!F$4:F$124,'Dealer Wise'!$D$4:$D$124,'Zone Wise'!$C6)</f>
        <v>23534428.860500008</v>
      </c>
      <c r="F6" s="152">
        <f t="shared" si="0"/>
        <v>0.91653826674669736</v>
      </c>
      <c r="G6" s="153">
        <f t="shared" si="7"/>
        <v>-2992413.5715700649</v>
      </c>
      <c r="H6" s="151">
        <f t="shared" si="1"/>
        <v>-2992413.5715700649</v>
      </c>
      <c r="I6" s="153">
        <f t="shared" si="8"/>
        <v>-1451762.4249003194</v>
      </c>
      <c r="J6" s="151">
        <f t="shared" si="2"/>
        <v>-1451762.4249003194</v>
      </c>
      <c r="K6" s="151">
        <f t="shared" si="9"/>
        <v>-167886.46934219822</v>
      </c>
      <c r="L6" s="151">
        <f t="shared" si="3"/>
        <v>-167886.46934219822</v>
      </c>
      <c r="M6" s="154">
        <f t="shared" si="10"/>
        <v>1115989.486215923</v>
      </c>
      <c r="N6" s="151">
        <f t="shared" si="4"/>
        <v>1115989.486215923</v>
      </c>
      <c r="O6" s="151">
        <f t="shared" si="5"/>
        <v>2143090.2506624199</v>
      </c>
      <c r="P6" s="151">
        <f t="shared" si="6"/>
        <v>2143090.2506624199</v>
      </c>
    </row>
    <row r="7" spans="1:16" ht="15" thickBot="1" x14ac:dyDescent="0.25">
      <c r="A7" s="187">
        <v>4</v>
      </c>
      <c r="B7" s="108" t="s">
        <v>1399</v>
      </c>
      <c r="C7" s="108" t="s">
        <v>1401</v>
      </c>
      <c r="D7" s="151">
        <f>SUMIFS('Dealer Wise'!E$4:E$124,'Dealer Wise'!$D$4:$D$124,'Zone Wise'!$C7)</f>
        <v>31278947.045218043</v>
      </c>
      <c r="E7" s="151">
        <f>SUMIFS('Dealer Wise'!F$4:F$124,'Dealer Wise'!$D$4:$D$124,'Zone Wise'!$C7)</f>
        <v>31008904.698900014</v>
      </c>
      <c r="F7" s="152">
        <f t="shared" si="0"/>
        <v>0.99136664204432312</v>
      </c>
      <c r="G7" s="153">
        <f t="shared" si="7"/>
        <v>-5985747.0627255775</v>
      </c>
      <c r="H7" s="151">
        <f t="shared" si="1"/>
        <v>-5985747.0627255775</v>
      </c>
      <c r="I7" s="153">
        <f t="shared" si="8"/>
        <v>-4109010.2400124967</v>
      </c>
      <c r="J7" s="151">
        <f t="shared" si="2"/>
        <v>-4109010.2400124967</v>
      </c>
      <c r="K7" s="151">
        <f t="shared" si="9"/>
        <v>-2545062.8877515942</v>
      </c>
      <c r="L7" s="151">
        <f t="shared" si="3"/>
        <v>-2545062.8877515942</v>
      </c>
      <c r="M7" s="154">
        <f t="shared" si="10"/>
        <v>-981115.53549069539</v>
      </c>
      <c r="N7" s="151">
        <f t="shared" si="4"/>
        <v>-981115.53549069539</v>
      </c>
      <c r="O7" s="151">
        <f t="shared" si="5"/>
        <v>270042.34631802887</v>
      </c>
      <c r="P7" s="151">
        <f t="shared" si="6"/>
        <v>270042.34631802887</v>
      </c>
    </row>
    <row r="8" spans="1:16" x14ac:dyDescent="0.2">
      <c r="A8" s="186">
        <v>5</v>
      </c>
      <c r="B8" s="108" t="s">
        <v>1399</v>
      </c>
      <c r="C8" s="108" t="s">
        <v>1397</v>
      </c>
      <c r="D8" s="151">
        <f>SUMIFS('Dealer Wise'!E$4:E$124,'Dealer Wise'!$D$4:$D$124,'Zone Wise'!$C8)</f>
        <v>38448332.392883793</v>
      </c>
      <c r="E8" s="151">
        <f>SUMIFS('Dealer Wise'!F$4:F$124,'Dealer Wise'!$D$4:$D$124,'Zone Wise'!$C8)</f>
        <v>42316018.273499981</v>
      </c>
      <c r="F8" s="152">
        <f t="shared" si="0"/>
        <v>1.1005943727570364</v>
      </c>
      <c r="G8" s="153">
        <f t="shared" si="7"/>
        <v>-11557352.359192945</v>
      </c>
      <c r="H8" s="151">
        <f t="shared" si="1"/>
        <v>-11557352.359192945</v>
      </c>
      <c r="I8" s="153">
        <f t="shared" si="8"/>
        <v>-9250452.4156199209</v>
      </c>
      <c r="J8" s="151">
        <f t="shared" si="2"/>
        <v>-9250452.4156199209</v>
      </c>
      <c r="K8" s="151">
        <f t="shared" si="9"/>
        <v>-7328035.7959757298</v>
      </c>
      <c r="L8" s="151">
        <f t="shared" si="3"/>
        <v>-7328035.7959757298</v>
      </c>
      <c r="M8" s="154">
        <f t="shared" si="10"/>
        <v>-5405619.1763315424</v>
      </c>
      <c r="N8" s="151">
        <f t="shared" si="4"/>
        <v>-5405619.1763315424</v>
      </c>
      <c r="O8" s="151">
        <f t="shared" si="5"/>
        <v>-3867685.880616188</v>
      </c>
      <c r="P8" s="151">
        <f t="shared" si="6"/>
        <v>-3867685.880616188</v>
      </c>
    </row>
    <row r="9" spans="1:16" x14ac:dyDescent="0.2">
      <c r="A9" s="187">
        <v>6</v>
      </c>
      <c r="B9" s="108" t="s">
        <v>1399</v>
      </c>
      <c r="C9" s="108" t="s">
        <v>1449</v>
      </c>
      <c r="D9" s="151">
        <f>SUMIFS('Dealer Wise'!E$4:E$124,'Dealer Wise'!$D$4:$D$124,'Zone Wise'!$C9)</f>
        <v>27173188.713852182</v>
      </c>
      <c r="E9" s="151">
        <f>SUMIFS('Dealer Wise'!F$4:F$124,'Dealer Wise'!$D$4:$D$124,'Zone Wise'!$C9)</f>
        <v>25364073.803100005</v>
      </c>
      <c r="F9" s="152">
        <f t="shared" si="0"/>
        <v>0.93342279664697803</v>
      </c>
      <c r="G9" s="153">
        <f t="shared" si="7"/>
        <v>-3625522.8320182562</v>
      </c>
      <c r="H9" s="151">
        <f t="shared" si="1"/>
        <v>-3625522.8320182562</v>
      </c>
      <c r="I9" s="153">
        <f t="shared" si="8"/>
        <v>-1995131.5091871284</v>
      </c>
      <c r="J9" s="151">
        <f t="shared" si="2"/>
        <v>-1995131.5091871284</v>
      </c>
      <c r="K9" s="151">
        <f t="shared" si="9"/>
        <v>-636472.07349452004</v>
      </c>
      <c r="L9" s="151">
        <f t="shared" si="3"/>
        <v>-636472.07349452004</v>
      </c>
      <c r="M9" s="154">
        <f t="shared" si="10"/>
        <v>722187.36219808832</v>
      </c>
      <c r="N9" s="151">
        <f t="shared" si="4"/>
        <v>722187.36219808832</v>
      </c>
      <c r="O9" s="151">
        <f t="shared" si="5"/>
        <v>1809114.9107521772</v>
      </c>
      <c r="P9" s="151">
        <f t="shared" si="6"/>
        <v>1809114.9107521772</v>
      </c>
    </row>
    <row r="10" spans="1:16" x14ac:dyDescent="0.2">
      <c r="A10" s="187">
        <v>7</v>
      </c>
      <c r="B10" s="108" t="s">
        <v>16</v>
      </c>
      <c r="C10" s="108" t="s">
        <v>47</v>
      </c>
      <c r="D10" s="151">
        <f>SUMIFS('Dealer Wise'!E$4:E$124,'Dealer Wise'!$D$4:$D$124,'Zone Wise'!$C10)</f>
        <v>57191625.25205522</v>
      </c>
      <c r="E10" s="151">
        <f>SUMIFS('Dealer Wise'!F$4:F$124,'Dealer Wise'!$D$4:$D$124,'Zone Wise'!$C10)</f>
        <v>60343252.954100028</v>
      </c>
      <c r="F10" s="152">
        <f t="shared" si="0"/>
        <v>1.0551064546278399</v>
      </c>
      <c r="G10" s="153">
        <f t="shared" si="7"/>
        <v>-14589952.752455845</v>
      </c>
      <c r="H10" s="151">
        <f t="shared" si="1"/>
        <v>-14589952.752455845</v>
      </c>
      <c r="I10" s="153">
        <f t="shared" si="8"/>
        <v>-11158455.237332538</v>
      </c>
      <c r="J10" s="151">
        <f t="shared" si="2"/>
        <v>-11158455.237332538</v>
      </c>
      <c r="K10" s="151">
        <f t="shared" si="9"/>
        <v>-8298873.9747297764</v>
      </c>
      <c r="L10" s="151">
        <f t="shared" si="3"/>
        <v>-8298873.9747297764</v>
      </c>
      <c r="M10" s="154">
        <f t="shared" si="10"/>
        <v>-5439292.712127015</v>
      </c>
      <c r="N10" s="151">
        <f t="shared" si="4"/>
        <v>-5439292.712127015</v>
      </c>
      <c r="O10" s="151">
        <f t="shared" si="5"/>
        <v>-3151627.7020448074</v>
      </c>
      <c r="P10" s="151">
        <f t="shared" si="6"/>
        <v>-3151627.7020448074</v>
      </c>
    </row>
    <row r="11" spans="1:16" ht="15" thickBot="1" x14ac:dyDescent="0.25">
      <c r="A11" s="187">
        <v>8</v>
      </c>
      <c r="B11" s="108" t="s">
        <v>16</v>
      </c>
      <c r="C11" s="108" t="s">
        <v>1452</v>
      </c>
      <c r="D11" s="151">
        <f>SUMIFS('Dealer Wise'!E$4:E$124,'Dealer Wise'!$D$4:$D$124,'Zone Wise'!$C11)</f>
        <v>30804280.377983987</v>
      </c>
      <c r="E11" s="151">
        <f>SUMIFS('Dealer Wise'!F$4:F$124,'Dealer Wise'!$D$4:$D$124,'Zone Wise'!$C11)</f>
        <v>21125123.643400002</v>
      </c>
      <c r="F11" s="152">
        <f t="shared" si="0"/>
        <v>0.6857853319144005</v>
      </c>
      <c r="G11" s="153">
        <f t="shared" si="7"/>
        <v>3518300.6589871906</v>
      </c>
      <c r="H11" s="151">
        <f t="shared" si="1"/>
        <v>3518300.6589871906</v>
      </c>
      <c r="I11" s="153">
        <f t="shared" si="8"/>
        <v>5366557.4816662259</v>
      </c>
      <c r="J11" s="151">
        <f t="shared" si="2"/>
        <v>5366557.4816662259</v>
      </c>
      <c r="K11" s="151">
        <f t="shared" si="9"/>
        <v>6906771.5005654283</v>
      </c>
      <c r="L11" s="151">
        <f t="shared" si="3"/>
        <v>6906771.5005654283</v>
      </c>
      <c r="M11" s="154">
        <f t="shared" si="10"/>
        <v>8446985.5194646232</v>
      </c>
      <c r="N11" s="151">
        <f t="shared" si="4"/>
        <v>8446985.5194646232</v>
      </c>
      <c r="O11" s="151">
        <f t="shared" si="5"/>
        <v>9679156.7345839851</v>
      </c>
      <c r="P11" s="151">
        <f t="shared" si="6"/>
        <v>9679156.7345839851</v>
      </c>
    </row>
    <row r="12" spans="1:16" x14ac:dyDescent="0.2">
      <c r="A12" s="186">
        <v>9</v>
      </c>
      <c r="B12" s="108" t="s">
        <v>16</v>
      </c>
      <c r="C12" s="108" t="s">
        <v>51</v>
      </c>
      <c r="D12" s="151">
        <f>SUMIFS('Dealer Wise'!E$4:E$124,'Dealer Wise'!$D$4:$D$124,'Zone Wise'!$C12)</f>
        <v>46934977.632108681</v>
      </c>
      <c r="E12" s="151">
        <f>SUMIFS('Dealer Wise'!F$4:F$124,'Dealer Wise'!$D$4:$D$124,'Zone Wise'!$C12)</f>
        <v>40412458.277500018</v>
      </c>
      <c r="F12" s="152">
        <f t="shared" si="0"/>
        <v>0.86103073478090797</v>
      </c>
      <c r="G12" s="153">
        <f t="shared" si="7"/>
        <v>-2864476.1718130708</v>
      </c>
      <c r="H12" s="151">
        <f t="shared" si="1"/>
        <v>-2864476.1718130708</v>
      </c>
      <c r="I12" s="153">
        <f t="shared" si="8"/>
        <v>-48377.513886556029</v>
      </c>
      <c r="J12" s="151">
        <f t="shared" si="2"/>
        <v>-48377.513886556029</v>
      </c>
      <c r="K12" s="151">
        <f t="shared" si="9"/>
        <v>2298371.3677188829</v>
      </c>
      <c r="L12" s="151">
        <f t="shared" si="3"/>
        <v>2298371.3677188829</v>
      </c>
      <c r="M12" s="154">
        <f t="shared" si="10"/>
        <v>4645120.2493243143</v>
      </c>
      <c r="N12" s="151">
        <f t="shared" si="4"/>
        <v>4645120.2493243143</v>
      </c>
      <c r="O12" s="151">
        <f t="shared" si="5"/>
        <v>6522519.3546086624</v>
      </c>
      <c r="P12" s="151">
        <f t="shared" si="6"/>
        <v>6522519.3546086624</v>
      </c>
    </row>
    <row r="13" spans="1:16" x14ac:dyDescent="0.2">
      <c r="A13" s="187">
        <v>10</v>
      </c>
      <c r="B13" s="108" t="s">
        <v>16</v>
      </c>
      <c r="C13" s="108" t="s">
        <v>1536</v>
      </c>
      <c r="D13" s="151">
        <f>SUMIFS('Dealer Wise'!E$4:E$124,'Dealer Wise'!$D$4:$D$124,'Zone Wise'!$C13)</f>
        <v>41370460.495053075</v>
      </c>
      <c r="E13" s="151">
        <f>SUMIFS('Dealer Wise'!F$4:F$124,'Dealer Wise'!$D$4:$D$124,'Zone Wise'!$C13)</f>
        <v>43217125.36240001</v>
      </c>
      <c r="F13" s="152">
        <f t="shared" si="0"/>
        <v>1.0446372809306232</v>
      </c>
      <c r="G13" s="153">
        <f t="shared" si="7"/>
        <v>-10120756.966357548</v>
      </c>
      <c r="H13" s="151">
        <f t="shared" si="1"/>
        <v>-10120756.966357548</v>
      </c>
      <c r="I13" s="153">
        <f t="shared" si="8"/>
        <v>-7638529.3366543651</v>
      </c>
      <c r="J13" s="151">
        <f t="shared" si="2"/>
        <v>-7638529.3366543651</v>
      </c>
      <c r="K13" s="151">
        <f t="shared" si="9"/>
        <v>-5570006.3119017109</v>
      </c>
      <c r="L13" s="151">
        <f t="shared" si="3"/>
        <v>-5570006.3119017109</v>
      </c>
      <c r="M13" s="154">
        <f t="shared" si="10"/>
        <v>-3501483.2871490568</v>
      </c>
      <c r="N13" s="151">
        <f t="shared" si="4"/>
        <v>-3501483.2871490568</v>
      </c>
      <c r="O13" s="151">
        <f t="shared" si="5"/>
        <v>-1846664.867346935</v>
      </c>
      <c r="P13" s="151">
        <f t="shared" si="6"/>
        <v>-1846664.867346935</v>
      </c>
    </row>
    <row r="14" spans="1:16" x14ac:dyDescent="0.2">
      <c r="A14" s="187">
        <v>11</v>
      </c>
      <c r="B14" s="108" t="s">
        <v>16</v>
      </c>
      <c r="C14" s="108" t="s">
        <v>1535</v>
      </c>
      <c r="D14" s="151">
        <f>SUMIFS('Dealer Wise'!E$4:E$124,'Dealer Wise'!$D$4:$D$124,'Zone Wise'!$C14)</f>
        <v>26256835.505607978</v>
      </c>
      <c r="E14" s="151">
        <f>SUMIFS('Dealer Wise'!F$4:F$124,'Dealer Wise'!$D$4:$D$124,'Zone Wise'!$C14)</f>
        <v>25199328.534299999</v>
      </c>
      <c r="F14" s="152">
        <f t="shared" si="0"/>
        <v>0.95972450788739894</v>
      </c>
      <c r="G14" s="153">
        <f t="shared" si="7"/>
        <v>-4193860.1298136152</v>
      </c>
      <c r="H14" s="151">
        <f t="shared" si="1"/>
        <v>-4193860.1298136152</v>
      </c>
      <c r="I14" s="153">
        <f t="shared" si="8"/>
        <v>-2618449.9994771406</v>
      </c>
      <c r="J14" s="151">
        <f t="shared" si="2"/>
        <v>-2618449.9994771406</v>
      </c>
      <c r="K14" s="151">
        <f t="shared" si="9"/>
        <v>-1305608.2241967395</v>
      </c>
      <c r="L14" s="151">
        <f t="shared" si="3"/>
        <v>-1305608.2241967395</v>
      </c>
      <c r="M14" s="154">
        <f t="shared" si="10"/>
        <v>7233.5510836578906</v>
      </c>
      <c r="N14" s="151">
        <f t="shared" si="4"/>
        <v>7233.5510836578906</v>
      </c>
      <c r="O14" s="151">
        <f t="shared" si="5"/>
        <v>1057506.971307978</v>
      </c>
      <c r="P14" s="151">
        <f t="shared" si="6"/>
        <v>1057506.971307978</v>
      </c>
    </row>
    <row r="15" spans="1:16" ht="15" thickBot="1" x14ac:dyDescent="0.25">
      <c r="A15" s="187">
        <v>12</v>
      </c>
      <c r="B15" s="108" t="s">
        <v>16</v>
      </c>
      <c r="C15" s="108" t="s">
        <v>1450</v>
      </c>
      <c r="D15" s="151">
        <f>SUMIFS('Dealer Wise'!E$4:E$124,'Dealer Wise'!$D$4:$D$124,'Zone Wise'!$C15)</f>
        <v>38381677.277960621</v>
      </c>
      <c r="E15" s="151">
        <f>SUMIFS('Dealer Wise'!F$4:F$124,'Dealer Wise'!$D$4:$D$124,'Zone Wise'!$C15)</f>
        <v>39108981.316200003</v>
      </c>
      <c r="F15" s="152">
        <f t="shared" si="0"/>
        <v>1.0189492510442479</v>
      </c>
      <c r="G15" s="153">
        <f t="shared" si="7"/>
        <v>-8403639.4938315041</v>
      </c>
      <c r="H15" s="151">
        <f t="shared" si="1"/>
        <v>-8403639.4938315041</v>
      </c>
      <c r="I15" s="153">
        <f t="shared" si="8"/>
        <v>-6100738.8571538702</v>
      </c>
      <c r="J15" s="151">
        <f t="shared" si="2"/>
        <v>-6100738.8571538702</v>
      </c>
      <c r="K15" s="151">
        <f t="shared" si="9"/>
        <v>-4181654.9932558388</v>
      </c>
      <c r="L15" s="151">
        <f t="shared" si="3"/>
        <v>-4181654.9932558388</v>
      </c>
      <c r="M15" s="154">
        <f t="shared" si="10"/>
        <v>-2262571.1293578073</v>
      </c>
      <c r="N15" s="151">
        <f t="shared" si="4"/>
        <v>-2262571.1293578073</v>
      </c>
      <c r="O15" s="151">
        <f t="shared" si="5"/>
        <v>-727304.03823938221</v>
      </c>
      <c r="P15" s="151">
        <f t="shared" si="6"/>
        <v>-727304.03823938221</v>
      </c>
    </row>
    <row r="16" spans="1:16" x14ac:dyDescent="0.2">
      <c r="A16" s="186">
        <v>13</v>
      </c>
      <c r="B16" s="108" t="s">
        <v>16</v>
      </c>
      <c r="C16" s="108" t="s">
        <v>43</v>
      </c>
      <c r="D16" s="151">
        <f>SUMIFS('Dealer Wise'!E$4:E$124,'Dealer Wise'!$D$4:$D$124,'Zone Wise'!$C16)</f>
        <v>39880137.007006176</v>
      </c>
      <c r="E16" s="151">
        <f>SUMIFS('Dealer Wise'!F$4:F$124,'Dealer Wise'!$D$4:$D$124,'Zone Wise'!$C16)</f>
        <v>43142579.483400017</v>
      </c>
      <c r="F16" s="152">
        <f t="shared" si="0"/>
        <v>1.0818062003102118</v>
      </c>
      <c r="G16" s="153">
        <f t="shared" si="7"/>
        <v>-11238469.877795074</v>
      </c>
      <c r="H16" s="151">
        <f t="shared" si="1"/>
        <v>-11238469.877795074</v>
      </c>
      <c r="I16" s="153">
        <f t="shared" si="8"/>
        <v>-8845661.6573747098</v>
      </c>
      <c r="J16" s="151">
        <f t="shared" si="2"/>
        <v>-8845661.6573747098</v>
      </c>
      <c r="K16" s="151">
        <f t="shared" si="9"/>
        <v>-6851654.807024397</v>
      </c>
      <c r="L16" s="151">
        <f t="shared" si="3"/>
        <v>-6851654.807024397</v>
      </c>
      <c r="M16" s="154">
        <f t="shared" si="10"/>
        <v>-4857647.9566740915</v>
      </c>
      <c r="N16" s="151">
        <f t="shared" si="4"/>
        <v>-4857647.9566740915</v>
      </c>
      <c r="O16" s="151">
        <f t="shared" si="5"/>
        <v>-3262442.4763938412</v>
      </c>
      <c r="P16" s="151">
        <f t="shared" si="6"/>
        <v>-3262442.4763938412</v>
      </c>
    </row>
    <row r="17" spans="1:16" x14ac:dyDescent="0.2">
      <c r="A17" s="187">
        <v>14</v>
      </c>
      <c r="B17" s="108" t="s">
        <v>16</v>
      </c>
      <c r="C17" s="108" t="s">
        <v>22</v>
      </c>
      <c r="D17" s="151">
        <f>SUMIFS('Dealer Wise'!E$4:E$124,'Dealer Wise'!$D$4:$D$124,'Zone Wise'!$C17)</f>
        <v>43580795.175208777</v>
      </c>
      <c r="E17" s="151">
        <f>SUMIFS('Dealer Wise'!F$4:F$124,'Dealer Wise'!$D$4:$D$124,'Zone Wise'!$C17)</f>
        <v>44854604.613300011</v>
      </c>
      <c r="F17" s="152">
        <f t="shared" si="0"/>
        <v>1.0292286873832868</v>
      </c>
      <c r="G17" s="153">
        <f t="shared" si="7"/>
        <v>-9989968.4731329903</v>
      </c>
      <c r="H17" s="151">
        <f t="shared" si="1"/>
        <v>-9989968.4731329903</v>
      </c>
      <c r="I17" s="153">
        <f t="shared" si="8"/>
        <v>-7375120.762620464</v>
      </c>
      <c r="J17" s="151">
        <f t="shared" si="2"/>
        <v>-7375120.762620464</v>
      </c>
      <c r="K17" s="151">
        <f t="shared" si="9"/>
        <v>-5196081.0038600191</v>
      </c>
      <c r="L17" s="151">
        <f t="shared" si="3"/>
        <v>-5196081.0038600191</v>
      </c>
      <c r="M17" s="154">
        <f t="shared" si="10"/>
        <v>-3017041.2450995892</v>
      </c>
      <c r="N17" s="151">
        <f t="shared" si="4"/>
        <v>-3017041.2450995892</v>
      </c>
      <c r="O17" s="151">
        <f t="shared" si="5"/>
        <v>-1273809.4380912334</v>
      </c>
      <c r="P17" s="151">
        <f t="shared" si="6"/>
        <v>-1273809.4380912334</v>
      </c>
    </row>
    <row r="18" spans="1:16" x14ac:dyDescent="0.2">
      <c r="A18" s="187">
        <v>15</v>
      </c>
      <c r="B18" s="108" t="s">
        <v>16</v>
      </c>
      <c r="C18" s="108" t="s">
        <v>1451</v>
      </c>
      <c r="D18" s="151">
        <f>SUMIFS('Dealer Wise'!E$4:E$124,'Dealer Wise'!$D$4:$D$124,'Zone Wise'!$C18)</f>
        <v>34861628.272174373</v>
      </c>
      <c r="E18" s="151">
        <f>SUMIFS('Dealer Wise'!F$4:F$124,'Dealer Wise'!$D$4:$D$124,'Zone Wise'!$C18)</f>
        <v>35145030.3574</v>
      </c>
      <c r="F18" s="152">
        <f t="shared" si="0"/>
        <v>1.0081293416077135</v>
      </c>
      <c r="G18" s="153">
        <f t="shared" si="7"/>
        <v>-7255727.7396605015</v>
      </c>
      <c r="H18" s="151">
        <f t="shared" si="1"/>
        <v>-7255727.7396605015</v>
      </c>
      <c r="I18" s="153">
        <f t="shared" si="8"/>
        <v>-5164030.0433300398</v>
      </c>
      <c r="J18" s="151">
        <f t="shared" si="2"/>
        <v>-5164030.0433300398</v>
      </c>
      <c r="K18" s="151">
        <f t="shared" si="9"/>
        <v>-3420948.6297213212</v>
      </c>
      <c r="L18" s="151">
        <f t="shared" si="3"/>
        <v>-3420948.6297213212</v>
      </c>
      <c r="M18" s="154">
        <f t="shared" si="10"/>
        <v>-1677867.2161126025</v>
      </c>
      <c r="N18" s="151">
        <f t="shared" si="4"/>
        <v>-1677867.2161126025</v>
      </c>
      <c r="O18" s="151">
        <f t="shared" si="5"/>
        <v>-283402.08522562683</v>
      </c>
      <c r="P18" s="151">
        <f t="shared" si="6"/>
        <v>-283402.08522562683</v>
      </c>
    </row>
    <row r="19" spans="1:16" ht="15" thickBot="1" x14ac:dyDescent="0.25">
      <c r="A19" s="187">
        <v>16</v>
      </c>
      <c r="B19" s="108" t="s">
        <v>27</v>
      </c>
      <c r="C19" s="108" t="s">
        <v>1538</v>
      </c>
      <c r="D19" s="151">
        <f>SUMIFS('Dealer Wise'!E$4:E$124,'Dealer Wise'!$D$4:$D$124,'Zone Wise'!$C19)</f>
        <v>30871869.895885423</v>
      </c>
      <c r="E19" s="151">
        <f>SUMIFS('Dealer Wise'!F$4:F$124,'Dealer Wise'!$D$4:$D$124,'Zone Wise'!$C19)</f>
        <v>30135430.348099999</v>
      </c>
      <c r="F19" s="152">
        <f t="shared" si="0"/>
        <v>0.97614528856628879</v>
      </c>
      <c r="G19" s="153">
        <f t="shared" si="7"/>
        <v>-5437934.4313916601</v>
      </c>
      <c r="H19" s="151">
        <f t="shared" si="1"/>
        <v>-5437934.4313916601</v>
      </c>
      <c r="I19" s="153">
        <f t="shared" si="8"/>
        <v>-3585622.2376385368</v>
      </c>
      <c r="J19" s="151">
        <f t="shared" si="2"/>
        <v>-3585622.2376385368</v>
      </c>
      <c r="K19" s="151">
        <f t="shared" si="9"/>
        <v>-2042028.742844265</v>
      </c>
      <c r="L19" s="151">
        <f t="shared" si="3"/>
        <v>-2042028.742844265</v>
      </c>
      <c r="M19" s="154">
        <f t="shared" si="10"/>
        <v>-498435.24804999307</v>
      </c>
      <c r="N19" s="151">
        <f t="shared" si="4"/>
        <v>-498435.24804999307</v>
      </c>
      <c r="O19" s="151">
        <f t="shared" si="5"/>
        <v>736439.5477854237</v>
      </c>
      <c r="P19" s="151">
        <f t="shared" si="6"/>
        <v>736439.5477854237</v>
      </c>
    </row>
    <row r="20" spans="1:16" x14ac:dyDescent="0.2">
      <c r="A20" s="186">
        <v>17</v>
      </c>
      <c r="B20" s="108" t="s">
        <v>27</v>
      </c>
      <c r="C20" s="108" t="s">
        <v>29</v>
      </c>
      <c r="D20" s="151">
        <f>SUMIFS('Dealer Wise'!E$4:E$124,'Dealer Wise'!$D$4:$D$124,'Zone Wise'!$C20)</f>
        <v>47985555.80040589</v>
      </c>
      <c r="E20" s="151">
        <f>SUMIFS('Dealer Wise'!F$4:F$124,'Dealer Wise'!$D$4:$D$124,'Zone Wise'!$C20)</f>
        <v>42581925.20410002</v>
      </c>
      <c r="F20" s="152">
        <f t="shared" si="0"/>
        <v>0.88739047602611776</v>
      </c>
      <c r="G20" s="153">
        <f t="shared" si="7"/>
        <v>-4193480.5637753084</v>
      </c>
      <c r="H20" s="151">
        <f t="shared" si="1"/>
        <v>-4193480.5637753084</v>
      </c>
      <c r="I20" s="153">
        <f t="shared" si="8"/>
        <v>-1314347.215750955</v>
      </c>
      <c r="J20" s="151">
        <f t="shared" si="2"/>
        <v>-1314347.215750955</v>
      </c>
      <c r="K20" s="151">
        <f t="shared" si="9"/>
        <v>1084930.5742693394</v>
      </c>
      <c r="L20" s="151">
        <f t="shared" si="3"/>
        <v>1084930.5742693394</v>
      </c>
      <c r="M20" s="154">
        <f t="shared" si="10"/>
        <v>3484208.3642896339</v>
      </c>
      <c r="N20" s="151">
        <f t="shared" si="4"/>
        <v>3484208.3642896339</v>
      </c>
      <c r="O20" s="151">
        <f t="shared" si="5"/>
        <v>5403630.5963058695</v>
      </c>
      <c r="P20" s="151">
        <f t="shared" si="6"/>
        <v>5403630.5963058695</v>
      </c>
    </row>
    <row r="21" spans="1:16" x14ac:dyDescent="0.2">
      <c r="A21" s="187">
        <v>18</v>
      </c>
      <c r="B21" s="86" t="s">
        <v>27</v>
      </c>
      <c r="C21" s="108" t="s">
        <v>1544</v>
      </c>
      <c r="D21" s="151">
        <f>SUMIFS('Dealer Wise'!E$4:E$124,'Dealer Wise'!$D$4:$D$124,'Zone Wise'!$C21)</f>
        <v>22641289.268933222</v>
      </c>
      <c r="E21" s="151">
        <f>SUMIFS('Dealer Wise'!F$4:F$124,'Dealer Wise'!$D$4:$D$124,'Zone Wise'!$C21)</f>
        <v>22132895.125900008</v>
      </c>
      <c r="F21" s="152">
        <f t="shared" si="0"/>
        <v>0.97754570700482168</v>
      </c>
      <c r="G21" s="153">
        <f t="shared" si="7"/>
        <v>-4019863.7107534297</v>
      </c>
      <c r="H21" s="151">
        <f t="shared" si="1"/>
        <v>-4019863.7107534297</v>
      </c>
      <c r="I21" s="153">
        <f t="shared" si="8"/>
        <v>-2661386.3546174392</v>
      </c>
      <c r="J21" s="151">
        <f t="shared" si="2"/>
        <v>-2661386.3546174392</v>
      </c>
      <c r="K21" s="151">
        <f t="shared" si="9"/>
        <v>-1529321.8911707737</v>
      </c>
      <c r="L21" s="151">
        <f t="shared" si="3"/>
        <v>-1529321.8911707737</v>
      </c>
      <c r="M21" s="154">
        <f t="shared" si="10"/>
        <v>-397257.42772411555</v>
      </c>
      <c r="N21" s="151">
        <f t="shared" si="4"/>
        <v>-397257.42772411555</v>
      </c>
      <c r="O21" s="151">
        <f t="shared" si="5"/>
        <v>508394.14303321391</v>
      </c>
      <c r="P21" s="151">
        <f t="shared" si="6"/>
        <v>508394.14303321391</v>
      </c>
    </row>
    <row r="22" spans="1:16" x14ac:dyDescent="0.2">
      <c r="A22" s="187">
        <v>19</v>
      </c>
      <c r="B22" s="108" t="s">
        <v>27</v>
      </c>
      <c r="C22" s="108" t="s">
        <v>1537</v>
      </c>
      <c r="D22" s="151">
        <f>SUMIFS('Dealer Wise'!E$4:E$124,'Dealer Wise'!$D$4:$D$124,'Zone Wise'!$C22)</f>
        <v>35337484.015647151</v>
      </c>
      <c r="E22" s="151">
        <f>SUMIFS('Dealer Wise'!F$4:F$124,'Dealer Wise'!$D$4:$D$124,'Zone Wise'!$C22)</f>
        <v>33213393.487700015</v>
      </c>
      <c r="F22" s="152">
        <f t="shared" si="0"/>
        <v>0.93989129143980354</v>
      </c>
      <c r="G22" s="153">
        <f t="shared" si="7"/>
        <v>-4943406.2751822919</v>
      </c>
      <c r="H22" s="151">
        <f t="shared" si="1"/>
        <v>-4943406.2751822919</v>
      </c>
      <c r="I22" s="153">
        <f t="shared" si="8"/>
        <v>-2823157.2342434675</v>
      </c>
      <c r="J22" s="151">
        <f t="shared" si="2"/>
        <v>-2823157.2342434675</v>
      </c>
      <c r="K22" s="151">
        <f t="shared" si="9"/>
        <v>-1056283.0334611088</v>
      </c>
      <c r="L22" s="151">
        <f t="shared" si="3"/>
        <v>-1056283.0334611088</v>
      </c>
      <c r="M22" s="154">
        <f t="shared" si="10"/>
        <v>710591.16732124984</v>
      </c>
      <c r="N22" s="151">
        <f t="shared" si="4"/>
        <v>710591.16732124984</v>
      </c>
      <c r="O22" s="151">
        <f t="shared" si="5"/>
        <v>2124090.5279471353</v>
      </c>
      <c r="P22" s="151">
        <f t="shared" si="6"/>
        <v>2124090.5279471353</v>
      </c>
    </row>
    <row r="23" spans="1:16" ht="15" thickBot="1" x14ac:dyDescent="0.25">
      <c r="A23" s="187">
        <v>20</v>
      </c>
      <c r="B23" s="108" t="s">
        <v>27</v>
      </c>
      <c r="C23" s="108" t="s">
        <v>1540</v>
      </c>
      <c r="D23" s="151">
        <f>SUMIFS('Dealer Wise'!E$4:E$124,'Dealer Wise'!$D$4:$D$124,'Zone Wise'!$C23)</f>
        <v>27083128.075307347</v>
      </c>
      <c r="E23" s="151">
        <f>SUMIFS('Dealer Wise'!F$4:F$124,'Dealer Wise'!$D$4:$D$124,'Zone Wise'!$C23)</f>
        <v>25007474.840200007</v>
      </c>
      <c r="F23" s="152">
        <f t="shared" si="0"/>
        <v>0.92335991509785065</v>
      </c>
      <c r="G23" s="153">
        <f t="shared" si="7"/>
        <v>-3340972.3799541295</v>
      </c>
      <c r="H23" s="151">
        <f t="shared" si="1"/>
        <v>-3340972.3799541295</v>
      </c>
      <c r="I23" s="153">
        <f t="shared" si="8"/>
        <v>-1715984.6954356879</v>
      </c>
      <c r="J23" s="151">
        <f t="shared" si="2"/>
        <v>-1715984.6954356879</v>
      </c>
      <c r="K23" s="151">
        <f t="shared" si="9"/>
        <v>-361828.29167031869</v>
      </c>
      <c r="L23" s="151">
        <f t="shared" si="3"/>
        <v>-361828.29167031869</v>
      </c>
      <c r="M23" s="154">
        <f t="shared" si="10"/>
        <v>992328.11209504679</v>
      </c>
      <c r="N23" s="151">
        <f t="shared" si="4"/>
        <v>992328.11209504679</v>
      </c>
      <c r="O23" s="151">
        <f t="shared" si="5"/>
        <v>2075653.2351073399</v>
      </c>
      <c r="P23" s="151">
        <f t="shared" si="6"/>
        <v>2075653.2351073399</v>
      </c>
    </row>
    <row r="24" spans="1:16" x14ac:dyDescent="0.2">
      <c r="A24" s="186">
        <v>21</v>
      </c>
      <c r="B24" s="108" t="s">
        <v>27</v>
      </c>
      <c r="C24" s="108" t="s">
        <v>1539</v>
      </c>
      <c r="D24" s="151">
        <f>SUMIFS('Dealer Wise'!E$4:E$124,'Dealer Wise'!$D$4:$D$124,'Zone Wise'!$C24)</f>
        <v>31419090.362490814</v>
      </c>
      <c r="E24" s="151">
        <f>SUMIFS('Dealer Wise'!F$4:F$124,'Dealer Wise'!$D$4:$D$124,'Zone Wise'!$C24)</f>
        <v>29114398.041999996</v>
      </c>
      <c r="F24" s="152">
        <f t="shared" si="0"/>
        <v>0.92664675221653647</v>
      </c>
      <c r="G24" s="153">
        <f t="shared" si="7"/>
        <v>-3979125.7520073429</v>
      </c>
      <c r="H24" s="151">
        <f t="shared" si="1"/>
        <v>-3979125.7520073429</v>
      </c>
      <c r="I24" s="153">
        <f t="shared" si="8"/>
        <v>-2093980.3302578963</v>
      </c>
      <c r="J24" s="151">
        <f t="shared" si="2"/>
        <v>-2093980.3302578963</v>
      </c>
      <c r="K24" s="151">
        <f t="shared" si="9"/>
        <v>-523025.8121333532</v>
      </c>
      <c r="L24" s="151">
        <f t="shared" si="3"/>
        <v>-523025.8121333532</v>
      </c>
      <c r="M24" s="154">
        <f t="shared" si="10"/>
        <v>1047928.7059911862</v>
      </c>
      <c r="N24" s="151">
        <f t="shared" si="4"/>
        <v>1047928.7059911862</v>
      </c>
      <c r="O24" s="151">
        <f t="shared" si="5"/>
        <v>2304692.3204908185</v>
      </c>
      <c r="P24" s="151">
        <f t="shared" si="6"/>
        <v>2304692.3204908185</v>
      </c>
    </row>
    <row r="25" spans="1:16" x14ac:dyDescent="0.2">
      <c r="A25" s="187">
        <v>22</v>
      </c>
      <c r="B25" s="108" t="s">
        <v>27</v>
      </c>
      <c r="C25" s="108" t="s">
        <v>1456</v>
      </c>
      <c r="D25" s="151">
        <f>SUMIFS('Dealer Wise'!E$4:E$124,'Dealer Wise'!$D$4:$D$124,'Zone Wise'!$C25)</f>
        <v>42927090.541793868</v>
      </c>
      <c r="E25" s="151">
        <f>SUMIFS('Dealer Wise'!F$4:F$124,'Dealer Wise'!$D$4:$D$124,'Zone Wise'!$C25)</f>
        <v>44158292.364499994</v>
      </c>
      <c r="F25" s="152">
        <f t="shared" si="0"/>
        <v>1.0286812315292466</v>
      </c>
      <c r="G25" s="153">
        <f t="shared" si="7"/>
        <v>-9816619.9310648963</v>
      </c>
      <c r="H25" s="151">
        <f t="shared" si="1"/>
        <v>-9816619.9310648963</v>
      </c>
      <c r="I25" s="153">
        <f t="shared" si="8"/>
        <v>-7240994.4985572696</v>
      </c>
      <c r="J25" s="151">
        <f t="shared" si="2"/>
        <v>-7240994.4985572696</v>
      </c>
      <c r="K25" s="151">
        <f t="shared" si="9"/>
        <v>-5094639.9714675695</v>
      </c>
      <c r="L25" s="151">
        <f t="shared" si="3"/>
        <v>-5094639.9714675695</v>
      </c>
      <c r="M25" s="154">
        <f t="shared" si="10"/>
        <v>-2948285.4443778843</v>
      </c>
      <c r="N25" s="151">
        <f t="shared" si="4"/>
        <v>-2948285.4443778843</v>
      </c>
      <c r="O25" s="151">
        <f t="shared" si="5"/>
        <v>-1231201.8227061257</v>
      </c>
      <c r="P25" s="151">
        <f t="shared" si="6"/>
        <v>-1231201.8227061257</v>
      </c>
    </row>
    <row r="26" spans="1:16" x14ac:dyDescent="0.2">
      <c r="A26" s="187">
        <v>23</v>
      </c>
      <c r="B26" s="86" t="s">
        <v>27</v>
      </c>
      <c r="C26" s="108" t="s">
        <v>94</v>
      </c>
      <c r="D26" s="151">
        <f>SUMIFS('Dealer Wise'!E$4:E$124,'Dealer Wise'!$D$4:$D$124,'Zone Wise'!$C26)</f>
        <v>53339234.591721356</v>
      </c>
      <c r="E26" s="151">
        <f>SUMIFS('Dealer Wise'!F$4:F$124,'Dealer Wise'!$D$4:$D$124,'Zone Wise'!$C26)</f>
        <v>51126595.289500006</v>
      </c>
      <c r="F26" s="152">
        <f t="shared" si="0"/>
        <v>0.95851760305227984</v>
      </c>
      <c r="G26" s="153">
        <f t="shared" si="7"/>
        <v>-8455207.6161229163</v>
      </c>
      <c r="H26" s="151">
        <f t="shared" si="1"/>
        <v>-8455207.6161229163</v>
      </c>
      <c r="I26" s="153">
        <f t="shared" si="8"/>
        <v>-5254853.5406196415</v>
      </c>
      <c r="J26" s="151">
        <f t="shared" si="2"/>
        <v>-5254853.5406196415</v>
      </c>
      <c r="K26" s="151">
        <f t="shared" si="9"/>
        <v>-2587891.8110335693</v>
      </c>
      <c r="L26" s="151">
        <f t="shared" si="3"/>
        <v>-2587891.8110335693</v>
      </c>
      <c r="M26" s="154">
        <f t="shared" si="10"/>
        <v>79069.918552495539</v>
      </c>
      <c r="N26" s="151">
        <f t="shared" si="4"/>
        <v>79069.918552495539</v>
      </c>
      <c r="O26" s="151">
        <f t="shared" si="5"/>
        <v>2212639.3022213504</v>
      </c>
      <c r="P26" s="151">
        <f t="shared" si="6"/>
        <v>2212639.3022213504</v>
      </c>
    </row>
    <row r="27" spans="1:16" ht="15" thickBot="1" x14ac:dyDescent="0.25">
      <c r="A27" s="187">
        <v>24</v>
      </c>
      <c r="B27" s="108" t="s">
        <v>137</v>
      </c>
      <c r="C27" s="108" t="s">
        <v>1534</v>
      </c>
      <c r="D27" s="151">
        <f>SUMIFS('Dealer Wise'!E$4:E$124,'Dealer Wise'!$D$4:$D$124,'Zone Wise'!$C27)</f>
        <v>28234987.392212026</v>
      </c>
      <c r="E27" s="151">
        <f>SUMIFS('Dealer Wise'!F$4:F$124,'Dealer Wise'!$D$4:$D$124,'Zone Wise'!$C27)</f>
        <v>29080226.543199997</v>
      </c>
      <c r="F27" s="152">
        <f t="shared" si="0"/>
        <v>1.0299358784633674</v>
      </c>
      <c r="G27" s="153">
        <f t="shared" si="7"/>
        <v>-6492236.629430376</v>
      </c>
      <c r="H27" s="151">
        <f t="shared" si="1"/>
        <v>-6492236.629430376</v>
      </c>
      <c r="I27" s="153">
        <f t="shared" si="8"/>
        <v>-4798137.385897655</v>
      </c>
      <c r="J27" s="151">
        <f t="shared" si="2"/>
        <v>-4798137.385897655</v>
      </c>
      <c r="K27" s="151">
        <f t="shared" si="9"/>
        <v>-3386388.0162870549</v>
      </c>
      <c r="L27" s="151">
        <f t="shared" si="3"/>
        <v>-3386388.0162870549</v>
      </c>
      <c r="M27" s="154">
        <f t="shared" si="10"/>
        <v>-1974638.6466764547</v>
      </c>
      <c r="N27" s="151">
        <f t="shared" si="4"/>
        <v>-1974638.6466764547</v>
      </c>
      <c r="O27" s="151">
        <f t="shared" si="5"/>
        <v>-845239.15098797157</v>
      </c>
      <c r="P27" s="151">
        <f t="shared" si="6"/>
        <v>-845239.15098797157</v>
      </c>
    </row>
    <row r="28" spans="1:16" x14ac:dyDescent="0.2">
      <c r="A28" s="186">
        <v>25</v>
      </c>
      <c r="B28" s="108" t="s">
        <v>137</v>
      </c>
      <c r="C28" s="108" t="s">
        <v>1447</v>
      </c>
      <c r="D28" s="151">
        <f>SUMIFS('Dealer Wise'!E$4:E$124,'Dealer Wise'!$D$4:$D$124,'Zone Wise'!$C28)</f>
        <v>38862033.725072205</v>
      </c>
      <c r="E28" s="151">
        <f>SUMIFS('Dealer Wise'!F$4:F$124,'Dealer Wise'!$D$4:$D$124,'Zone Wise'!$C28)</f>
        <v>37630892.467700012</v>
      </c>
      <c r="F28" s="152">
        <f t="shared" si="0"/>
        <v>0.96832020511119288</v>
      </c>
      <c r="G28" s="153">
        <f t="shared" si="7"/>
        <v>-6541265.4876422472</v>
      </c>
      <c r="H28" s="151">
        <f t="shared" si="1"/>
        <v>-6541265.4876422472</v>
      </c>
      <c r="I28" s="153">
        <f t="shared" si="8"/>
        <v>-4209543.4641379155</v>
      </c>
      <c r="J28" s="151">
        <f t="shared" si="2"/>
        <v>-4209543.4641379155</v>
      </c>
      <c r="K28" s="151">
        <f t="shared" si="9"/>
        <v>-2266441.7778843045</v>
      </c>
      <c r="L28" s="151">
        <f t="shared" si="3"/>
        <v>-2266441.7778843045</v>
      </c>
      <c r="M28" s="154">
        <f t="shared" si="10"/>
        <v>-323340.09163069725</v>
      </c>
      <c r="N28" s="151">
        <f t="shared" si="4"/>
        <v>-323340.09163069725</v>
      </c>
      <c r="O28" s="151">
        <f t="shared" si="5"/>
        <v>1231141.257372193</v>
      </c>
      <c r="P28" s="151">
        <f t="shared" si="6"/>
        <v>1231141.257372193</v>
      </c>
    </row>
    <row r="29" spans="1:16" x14ac:dyDescent="0.2">
      <c r="A29" s="187">
        <v>26</v>
      </c>
      <c r="B29" s="108" t="s">
        <v>137</v>
      </c>
      <c r="C29" s="108" t="s">
        <v>1541</v>
      </c>
      <c r="D29" s="151">
        <f>SUMIFS('Dealer Wise'!E$4:E$124,'Dealer Wise'!$D$4:$D$124,'Zone Wise'!$C29)</f>
        <v>37898151.352372929</v>
      </c>
      <c r="E29" s="151">
        <f>SUMIFS('Dealer Wise'!F$4:F$124,'Dealer Wise'!$D$4:$D$124,'Zone Wise'!$C29)</f>
        <v>38973788.328900009</v>
      </c>
      <c r="F29" s="152">
        <f t="shared" si="0"/>
        <v>1.028382307266809</v>
      </c>
      <c r="G29" s="153">
        <f t="shared" si="7"/>
        <v>-8655267.2470016629</v>
      </c>
      <c r="H29" s="151">
        <f t="shared" si="1"/>
        <v>-8655267.2470016629</v>
      </c>
      <c r="I29" s="153">
        <f t="shared" si="8"/>
        <v>-6381378.1658592895</v>
      </c>
      <c r="J29" s="151">
        <f t="shared" si="2"/>
        <v>-6381378.1658592895</v>
      </c>
      <c r="K29" s="151">
        <f t="shared" si="9"/>
        <v>-4486470.5982406437</v>
      </c>
      <c r="L29" s="151">
        <f t="shared" si="3"/>
        <v>-4486470.5982406437</v>
      </c>
      <c r="M29" s="154">
        <f t="shared" si="10"/>
        <v>-2591563.030621998</v>
      </c>
      <c r="N29" s="151">
        <f t="shared" si="4"/>
        <v>-2591563.030621998</v>
      </c>
      <c r="O29" s="151">
        <f t="shared" si="5"/>
        <v>-1075636.9765270799</v>
      </c>
      <c r="P29" s="151">
        <f t="shared" si="6"/>
        <v>-1075636.9765270799</v>
      </c>
    </row>
    <row r="30" spans="1:16" x14ac:dyDescent="0.2">
      <c r="A30" s="187">
        <v>27</v>
      </c>
      <c r="B30" s="108" t="s">
        <v>137</v>
      </c>
      <c r="C30" s="108" t="s">
        <v>1542</v>
      </c>
      <c r="D30" s="151">
        <f>SUMIFS('Dealer Wise'!E$4:E$124,'Dealer Wise'!$D$4:$D$124,'Zone Wise'!$C30)</f>
        <v>36339998.725198895</v>
      </c>
      <c r="E30" s="151">
        <f>SUMIFS('Dealer Wise'!F$4:F$124,'Dealer Wise'!$D$4:$D$124,'Zone Wise'!$C30)</f>
        <v>36808133.159699991</v>
      </c>
      <c r="F30" s="152">
        <f t="shared" si="0"/>
        <v>1.0128820707463724</v>
      </c>
      <c r="G30" s="153">
        <f t="shared" si="7"/>
        <v>-7736134.1795408726</v>
      </c>
      <c r="H30" s="151">
        <f t="shared" si="1"/>
        <v>-7736134.1795408726</v>
      </c>
      <c r="I30" s="153">
        <f t="shared" si="8"/>
        <v>-5555734.2560289428</v>
      </c>
      <c r="J30" s="151">
        <f t="shared" si="2"/>
        <v>-5555734.2560289428</v>
      </c>
      <c r="K30" s="151">
        <f t="shared" si="9"/>
        <v>-3738734.319768995</v>
      </c>
      <c r="L30" s="151">
        <f t="shared" si="3"/>
        <v>-3738734.319768995</v>
      </c>
      <c r="M30" s="154">
        <f t="shared" si="10"/>
        <v>-1921734.3835090548</v>
      </c>
      <c r="N30" s="151">
        <f t="shared" si="4"/>
        <v>-1921734.3835090548</v>
      </c>
      <c r="O30" s="151">
        <f t="shared" si="5"/>
        <v>-468134.43450109661</v>
      </c>
      <c r="P30" s="151">
        <f t="shared" si="6"/>
        <v>-468134.43450109661</v>
      </c>
    </row>
    <row r="31" spans="1:16" ht="15" thickBot="1" x14ac:dyDescent="0.25">
      <c r="A31" s="187">
        <v>28</v>
      </c>
      <c r="B31" s="86" t="s">
        <v>137</v>
      </c>
      <c r="C31" s="108" t="s">
        <v>137</v>
      </c>
      <c r="D31" s="151">
        <f>SUMIFS('Dealer Wise'!E$4:E$124,'Dealer Wise'!$D$4:$D$124,'Zone Wise'!$C31)</f>
        <v>52221787.040340587</v>
      </c>
      <c r="E31" s="151">
        <f>SUMIFS('Dealer Wise'!F$4:F$124,'Dealer Wise'!$D$4:$D$124,'Zone Wise'!$C31)</f>
        <v>54613883.804200023</v>
      </c>
      <c r="F31" s="152">
        <f t="shared" si="0"/>
        <v>1.0458064899619688</v>
      </c>
      <c r="G31" s="153">
        <f t="shared" si="7"/>
        <v>-12836454.171927549</v>
      </c>
      <c r="H31" s="151">
        <f t="shared" si="1"/>
        <v>-12836454.171927549</v>
      </c>
      <c r="I31" s="153">
        <f t="shared" si="8"/>
        <v>-9703146.9495071173</v>
      </c>
      <c r="J31" s="151">
        <f t="shared" si="2"/>
        <v>-9703146.9495071173</v>
      </c>
      <c r="K31" s="151">
        <f t="shared" si="9"/>
        <v>-7092057.5974900872</v>
      </c>
      <c r="L31" s="151">
        <f t="shared" si="3"/>
        <v>-7092057.5974900872</v>
      </c>
      <c r="M31" s="154">
        <f t="shared" si="10"/>
        <v>-4480968.2454730645</v>
      </c>
      <c r="N31" s="151">
        <f t="shared" si="4"/>
        <v>-4480968.2454730645</v>
      </c>
      <c r="O31" s="151">
        <f t="shared" si="5"/>
        <v>-2392096.7638594359</v>
      </c>
      <c r="P31" s="151">
        <f t="shared" si="6"/>
        <v>-2392096.7638594359</v>
      </c>
    </row>
    <row r="32" spans="1:16" x14ac:dyDescent="0.2">
      <c r="A32" s="186">
        <v>29</v>
      </c>
      <c r="B32" s="86" t="s">
        <v>137</v>
      </c>
      <c r="C32" s="108" t="s">
        <v>1394</v>
      </c>
      <c r="D32" s="151">
        <f>SUMIFS('Dealer Wise'!E$4:E$124,'Dealer Wise'!$D$4:$D$124,'Zone Wise'!$C32)</f>
        <v>24319245.431909416</v>
      </c>
      <c r="E32" s="151">
        <f>SUMIFS('Dealer Wise'!F$4:F$124,'Dealer Wise'!$D$4:$D$124,'Zone Wise'!$C32)</f>
        <v>26172273.995400004</v>
      </c>
      <c r="F32" s="152">
        <f t="shared" ref="F32:F44" si="11">E32/D32</f>
        <v>1.0761959728018213</v>
      </c>
      <c r="G32" s="153">
        <f t="shared" ref="G32:G44" si="12">(D32*0.8)-E32</f>
        <v>-6716877.6498724706</v>
      </c>
      <c r="H32" s="151">
        <f t="shared" ref="H32:H44" si="13">G32/$P$2</f>
        <v>-6716877.6498724706</v>
      </c>
      <c r="I32" s="153">
        <f t="shared" ref="I32:I44" si="14">(D32*0.86)-E32</f>
        <v>-5257722.9239579067</v>
      </c>
      <c r="J32" s="151">
        <f t="shared" ref="J32:J44" si="15">I32/$P$2</f>
        <v>-5257722.9239579067</v>
      </c>
      <c r="K32" s="151">
        <f t="shared" ref="K32:K44" si="16">(D32*0.91)-E32</f>
        <v>-4041760.6523624361</v>
      </c>
      <c r="L32" s="151">
        <f t="shared" ref="L32:L44" si="17">K32/$P$2</f>
        <v>-4041760.6523624361</v>
      </c>
      <c r="M32" s="154">
        <f t="shared" ref="M32:M44" si="18">(D32*0.96)-E32</f>
        <v>-2825798.3807669654</v>
      </c>
      <c r="N32" s="151">
        <f t="shared" ref="N32:N44" si="19">M32/$P$2</f>
        <v>-2825798.3807669654</v>
      </c>
      <c r="O32" s="151">
        <f t="shared" ref="O32:O44" si="20">D32-E32</f>
        <v>-1853028.5634905882</v>
      </c>
      <c r="P32" s="151">
        <f t="shared" ref="P32:P44" si="21">O32/$P$2</f>
        <v>-1853028.5634905882</v>
      </c>
    </row>
    <row r="33" spans="1:16" x14ac:dyDescent="0.2">
      <c r="A33" s="187">
        <v>30</v>
      </c>
      <c r="B33" s="86" t="s">
        <v>137</v>
      </c>
      <c r="C33" s="108" t="s">
        <v>1448</v>
      </c>
      <c r="D33" s="151">
        <f>SUMIFS('Dealer Wise'!E$4:E$124,'Dealer Wise'!$D$4:$D$124,'Zone Wise'!$C33)</f>
        <v>39188617.604478322</v>
      </c>
      <c r="E33" s="151">
        <f>SUMIFS('Dealer Wise'!F$4:F$124,'Dealer Wise'!$D$4:$D$124,'Zone Wise'!$C33)</f>
        <v>38114612.827900007</v>
      </c>
      <c r="F33" s="152">
        <f t="shared" si="11"/>
        <v>0.97259396114917862</v>
      </c>
      <c r="G33" s="153">
        <f t="shared" si="12"/>
        <v>-6763718.744317349</v>
      </c>
      <c r="H33" s="151">
        <f t="shared" si="13"/>
        <v>-6763718.744317349</v>
      </c>
      <c r="I33" s="153">
        <f t="shared" si="14"/>
        <v>-4412401.6880486533</v>
      </c>
      <c r="J33" s="151">
        <f t="shared" si="15"/>
        <v>-4412401.6880486533</v>
      </c>
      <c r="K33" s="151">
        <f t="shared" si="16"/>
        <v>-2452970.8078247309</v>
      </c>
      <c r="L33" s="151">
        <f t="shared" si="17"/>
        <v>-2452970.8078247309</v>
      </c>
      <c r="M33" s="154">
        <f t="shared" si="18"/>
        <v>-493539.92760082334</v>
      </c>
      <c r="N33" s="151">
        <f t="shared" si="19"/>
        <v>-493539.92760082334</v>
      </c>
      <c r="O33" s="151">
        <f t="shared" si="20"/>
        <v>1074004.7765783146</v>
      </c>
      <c r="P33" s="151">
        <f t="shared" si="21"/>
        <v>1074004.7765783146</v>
      </c>
    </row>
    <row r="34" spans="1:16" x14ac:dyDescent="0.2">
      <c r="A34" s="187">
        <v>31</v>
      </c>
      <c r="B34" s="86" t="s">
        <v>137</v>
      </c>
      <c r="C34" s="108" t="s">
        <v>1543</v>
      </c>
      <c r="D34" s="151">
        <f>SUMIFS('Dealer Wise'!E$4:E$124,'Dealer Wise'!$D$4:$D$124,'Zone Wise'!$C34)</f>
        <v>22973754.638772044</v>
      </c>
      <c r="E34" s="151">
        <f>SUMIFS('Dealer Wise'!F$4:F$124,'Dealer Wise'!$D$4:$D$124,'Zone Wise'!$C34)</f>
        <v>22258541.629100002</v>
      </c>
      <c r="F34" s="152">
        <f t="shared" si="11"/>
        <v>0.96886825767412865</v>
      </c>
      <c r="G34" s="153">
        <f t="shared" si="12"/>
        <v>-3879537.9180823676</v>
      </c>
      <c r="H34" s="151">
        <f t="shared" si="13"/>
        <v>-3879537.9180823676</v>
      </c>
      <c r="I34" s="153">
        <f t="shared" si="14"/>
        <v>-2501112.6397560462</v>
      </c>
      <c r="J34" s="151">
        <f t="shared" si="15"/>
        <v>-2501112.6397560462</v>
      </c>
      <c r="K34" s="151">
        <f t="shared" si="16"/>
        <v>-1352424.907817442</v>
      </c>
      <c r="L34" s="151">
        <f t="shared" si="17"/>
        <v>-1352424.907817442</v>
      </c>
      <c r="M34" s="154">
        <f t="shared" si="18"/>
        <v>-203737.17587884143</v>
      </c>
      <c r="N34" s="151">
        <f t="shared" si="19"/>
        <v>-203737.17587884143</v>
      </c>
      <c r="O34" s="151">
        <f t="shared" si="20"/>
        <v>715213.00967204198</v>
      </c>
      <c r="P34" s="151">
        <f t="shared" si="21"/>
        <v>715213.00967204198</v>
      </c>
    </row>
    <row r="35" spans="1:16" ht="15" thickBot="1" x14ac:dyDescent="0.25">
      <c r="A35" s="187">
        <v>32</v>
      </c>
      <c r="B35" s="86" t="s">
        <v>65</v>
      </c>
      <c r="C35" s="108" t="s">
        <v>1400</v>
      </c>
      <c r="D35" s="151">
        <f>SUMIFS('Dealer Wise'!E$4:E$124,'Dealer Wise'!$D$4:$D$124,'Zone Wise'!$C35)</f>
        <v>40640603.880847588</v>
      </c>
      <c r="E35" s="151">
        <f>SUMIFS('Dealer Wise'!F$4:F$124,'Dealer Wise'!$D$4:$D$124,'Zone Wise'!$C35)</f>
        <v>41512045.29770001</v>
      </c>
      <c r="F35" s="152">
        <f t="shared" si="11"/>
        <v>1.0214426296274377</v>
      </c>
      <c r="G35" s="153">
        <f t="shared" si="12"/>
        <v>-8999562.1930219382</v>
      </c>
      <c r="H35" s="151">
        <f t="shared" si="13"/>
        <v>-8999562.1930219382</v>
      </c>
      <c r="I35" s="153">
        <f t="shared" si="14"/>
        <v>-6561125.9601710886</v>
      </c>
      <c r="J35" s="151">
        <f t="shared" si="15"/>
        <v>-6561125.9601710886</v>
      </c>
      <c r="K35" s="151">
        <f t="shared" si="16"/>
        <v>-4529095.766128704</v>
      </c>
      <c r="L35" s="151">
        <f t="shared" si="17"/>
        <v>-4529095.766128704</v>
      </c>
      <c r="M35" s="154">
        <f t="shared" si="18"/>
        <v>-2497065.5720863268</v>
      </c>
      <c r="N35" s="151">
        <f t="shared" si="19"/>
        <v>-2497065.5720863268</v>
      </c>
      <c r="O35" s="151">
        <f t="shared" si="20"/>
        <v>-871441.41685242206</v>
      </c>
      <c r="P35" s="151">
        <f t="shared" si="21"/>
        <v>-871441.41685242206</v>
      </c>
    </row>
    <row r="36" spans="1:16" x14ac:dyDescent="0.2">
      <c r="A36" s="186">
        <v>33</v>
      </c>
      <c r="B36" s="86" t="s">
        <v>65</v>
      </c>
      <c r="C36" s="108" t="s">
        <v>1395</v>
      </c>
      <c r="D36" s="151">
        <f>SUMIFS('Dealer Wise'!E$4:E$124,'Dealer Wise'!$D$4:$D$124,'Zone Wise'!$C36)</f>
        <v>33750281.556004286</v>
      </c>
      <c r="E36" s="151">
        <f>SUMIFS('Dealer Wise'!F$4:F$124,'Dealer Wise'!$D$4:$D$124,'Zone Wise'!$C36)</f>
        <v>34122089.264600001</v>
      </c>
      <c r="F36" s="152">
        <f t="shared" si="11"/>
        <v>1.0110164327956419</v>
      </c>
      <c r="G36" s="153">
        <f t="shared" si="12"/>
        <v>-7121864.0197965726</v>
      </c>
      <c r="H36" s="151">
        <f t="shared" si="13"/>
        <v>-7121864.0197965726</v>
      </c>
      <c r="I36" s="153">
        <f t="shared" si="14"/>
        <v>-5096847.1264363155</v>
      </c>
      <c r="J36" s="151">
        <f t="shared" si="15"/>
        <v>-5096847.1264363155</v>
      </c>
      <c r="K36" s="151">
        <f t="shared" si="16"/>
        <v>-3409333.0486361012</v>
      </c>
      <c r="L36" s="151">
        <f t="shared" si="17"/>
        <v>-3409333.0486361012</v>
      </c>
      <c r="M36" s="154">
        <f t="shared" si="18"/>
        <v>-1721818.9708358869</v>
      </c>
      <c r="N36" s="151">
        <f t="shared" si="19"/>
        <v>-1721818.9708358869</v>
      </c>
      <c r="O36" s="151">
        <f t="shared" si="20"/>
        <v>-371807.70859571546</v>
      </c>
      <c r="P36" s="151">
        <f t="shared" si="21"/>
        <v>-371807.70859571546</v>
      </c>
    </row>
    <row r="37" spans="1:16" x14ac:dyDescent="0.2">
      <c r="A37" s="187">
        <v>34</v>
      </c>
      <c r="B37" s="86" t="s">
        <v>65</v>
      </c>
      <c r="C37" s="108" t="s">
        <v>1462</v>
      </c>
      <c r="D37" s="151">
        <f>SUMIFS('Dealer Wise'!E$4:E$124,'Dealer Wise'!$D$4:$D$124,'Zone Wise'!$C37)</f>
        <v>25774579.273952182</v>
      </c>
      <c r="E37" s="151">
        <f>SUMIFS('Dealer Wise'!F$4:F$124,'Dealer Wise'!$D$4:$D$124,'Zone Wise'!$C37)</f>
        <v>25924249.07720001</v>
      </c>
      <c r="F37" s="152">
        <f t="shared" si="11"/>
        <v>1.0058068766770942</v>
      </c>
      <c r="G37" s="153">
        <f t="shared" si="12"/>
        <v>-5304585.6580382623</v>
      </c>
      <c r="H37" s="151">
        <f t="shared" si="13"/>
        <v>-5304585.6580382623</v>
      </c>
      <c r="I37" s="153">
        <f t="shared" si="14"/>
        <v>-3758110.9016011357</v>
      </c>
      <c r="J37" s="151">
        <f t="shared" si="15"/>
        <v>-3758110.9016011357</v>
      </c>
      <c r="K37" s="151">
        <f t="shared" si="16"/>
        <v>-2469381.9379035234</v>
      </c>
      <c r="L37" s="151">
        <f t="shared" si="17"/>
        <v>-2469381.9379035234</v>
      </c>
      <c r="M37" s="154">
        <f t="shared" si="18"/>
        <v>-1180652.9742059149</v>
      </c>
      <c r="N37" s="151">
        <f t="shared" si="19"/>
        <v>-1180652.9742059149</v>
      </c>
      <c r="O37" s="151">
        <f t="shared" si="20"/>
        <v>-149669.80324782804</v>
      </c>
      <c r="P37" s="151">
        <f t="shared" si="21"/>
        <v>-149669.80324782804</v>
      </c>
    </row>
    <row r="38" spans="1:16" x14ac:dyDescent="0.2">
      <c r="A38" s="187">
        <v>35</v>
      </c>
      <c r="B38" s="86" t="s">
        <v>65</v>
      </c>
      <c r="C38" s="108" t="s">
        <v>70</v>
      </c>
      <c r="D38" s="151">
        <f>SUMIFS('Dealer Wise'!E$4:E$124,'Dealer Wise'!$D$4:$D$124,'Zone Wise'!$C38)</f>
        <v>39796858.579740129</v>
      </c>
      <c r="E38" s="151">
        <f>SUMIFS('Dealer Wise'!F$4:F$124,'Dealer Wise'!$D$4:$D$124,'Zone Wise'!$C38)</f>
        <v>39379567.680500001</v>
      </c>
      <c r="F38" s="152">
        <f t="shared" si="11"/>
        <v>0.98951447641516699</v>
      </c>
      <c r="G38" s="153">
        <f t="shared" si="12"/>
        <v>-7542080.8167078942</v>
      </c>
      <c r="H38" s="151">
        <f t="shared" si="13"/>
        <v>-7542080.8167078942</v>
      </c>
      <c r="I38" s="153">
        <f t="shared" si="14"/>
        <v>-5154269.3019234911</v>
      </c>
      <c r="J38" s="151">
        <f t="shared" si="15"/>
        <v>-5154269.3019234911</v>
      </c>
      <c r="K38" s="151">
        <f t="shared" si="16"/>
        <v>-3164426.3729364797</v>
      </c>
      <c r="L38" s="151">
        <f t="shared" si="17"/>
        <v>-3164426.3729364797</v>
      </c>
      <c r="M38" s="154">
        <f t="shared" si="18"/>
        <v>-1174583.4439494759</v>
      </c>
      <c r="N38" s="151">
        <f t="shared" si="19"/>
        <v>-1174583.4439494759</v>
      </c>
      <c r="O38" s="151">
        <f t="shared" si="20"/>
        <v>417290.8992401287</v>
      </c>
      <c r="P38" s="151">
        <f t="shared" si="21"/>
        <v>417290.8992401287</v>
      </c>
    </row>
    <row r="39" spans="1:16" ht="15" thickBot="1" x14ac:dyDescent="0.25">
      <c r="A39" s="187">
        <v>36</v>
      </c>
      <c r="B39" s="86" t="s">
        <v>65</v>
      </c>
      <c r="C39" s="108" t="s">
        <v>65</v>
      </c>
      <c r="D39" s="151">
        <f>SUMIFS('Dealer Wise'!E$4:E$124,'Dealer Wise'!$D$4:$D$124,'Zone Wise'!$C39)</f>
        <v>34693501.530921265</v>
      </c>
      <c r="E39" s="151">
        <f>SUMIFS('Dealer Wise'!F$4:F$124,'Dealer Wise'!$D$4:$D$124,'Zone Wise'!$C39)</f>
        <v>34449003.943399996</v>
      </c>
      <c r="F39" s="152">
        <f t="shared" si="11"/>
        <v>0.99295264021409435</v>
      </c>
      <c r="G39" s="153">
        <f t="shared" si="12"/>
        <v>-6694202.7186629809</v>
      </c>
      <c r="H39" s="151">
        <f t="shared" si="13"/>
        <v>-6694202.7186629809</v>
      </c>
      <c r="I39" s="153">
        <f t="shared" si="14"/>
        <v>-4612592.6268077083</v>
      </c>
      <c r="J39" s="151">
        <f t="shared" si="15"/>
        <v>-4612592.6268077083</v>
      </c>
      <c r="K39" s="151">
        <f t="shared" si="16"/>
        <v>-2877917.5502616428</v>
      </c>
      <c r="L39" s="151">
        <f t="shared" si="17"/>
        <v>-2877917.5502616428</v>
      </c>
      <c r="M39" s="154">
        <f t="shared" si="18"/>
        <v>-1143242.473715581</v>
      </c>
      <c r="N39" s="151">
        <f t="shared" si="19"/>
        <v>-1143242.473715581</v>
      </c>
      <c r="O39" s="151">
        <f t="shared" si="20"/>
        <v>244497.58752126992</v>
      </c>
      <c r="P39" s="151">
        <f t="shared" si="21"/>
        <v>244497.58752126992</v>
      </c>
    </row>
    <row r="40" spans="1:16" x14ac:dyDescent="0.2">
      <c r="A40" s="186">
        <v>37</v>
      </c>
      <c r="B40" s="86" t="s">
        <v>65</v>
      </c>
      <c r="C40" s="108" t="s">
        <v>1461</v>
      </c>
      <c r="D40" s="151">
        <f>SUMIFS('Dealer Wise'!E$4:E$124,'Dealer Wise'!$D$4:$D$124,'Zone Wise'!$C40)</f>
        <v>27983560.442755502</v>
      </c>
      <c r="E40" s="151">
        <f>SUMIFS('Dealer Wise'!F$4:F$124,'Dealer Wise'!$D$4:$D$124,'Zone Wise'!$C40)</f>
        <v>28336415.55320001</v>
      </c>
      <c r="F40" s="152">
        <f t="shared" si="11"/>
        <v>1.0126093715332016</v>
      </c>
      <c r="G40" s="153">
        <f t="shared" si="12"/>
        <v>-5949567.1989956088</v>
      </c>
      <c r="H40" s="151">
        <f t="shared" si="13"/>
        <v>-5949567.1989956088</v>
      </c>
      <c r="I40" s="153">
        <f t="shared" si="14"/>
        <v>-4270553.5724302791</v>
      </c>
      <c r="J40" s="151">
        <f t="shared" si="15"/>
        <v>-4270553.5724302791</v>
      </c>
      <c r="K40" s="151">
        <f t="shared" si="16"/>
        <v>-2871375.5502925031</v>
      </c>
      <c r="L40" s="151">
        <f t="shared" si="17"/>
        <v>-2871375.5502925031</v>
      </c>
      <c r="M40" s="154">
        <f t="shared" si="18"/>
        <v>-1472197.5281547308</v>
      </c>
      <c r="N40" s="151">
        <f t="shared" si="19"/>
        <v>-1472197.5281547308</v>
      </c>
      <c r="O40" s="151">
        <f t="shared" si="20"/>
        <v>-352855.11044450849</v>
      </c>
      <c r="P40" s="151">
        <f t="shared" si="21"/>
        <v>-352855.11044450849</v>
      </c>
    </row>
    <row r="41" spans="1:16" x14ac:dyDescent="0.2">
      <c r="A41" s="187">
        <v>38</v>
      </c>
      <c r="B41" s="86" t="s">
        <v>80</v>
      </c>
      <c r="C41" s="108" t="s">
        <v>91</v>
      </c>
      <c r="D41" s="151">
        <f>SUMIFS('Dealer Wise'!E$4:E$124,'Dealer Wise'!$D$4:$D$124,'Zone Wise'!$C41)</f>
        <v>60739551.066517115</v>
      </c>
      <c r="E41" s="151">
        <f>SUMIFS('Dealer Wise'!F$4:F$124,'Dealer Wise'!$D$4:$D$124,'Zone Wise'!$C41)</f>
        <v>69255833.290300012</v>
      </c>
      <c r="F41" s="152">
        <f t="shared" si="11"/>
        <v>1.1402098315553328</v>
      </c>
      <c r="G41" s="153">
        <f t="shared" si="12"/>
        <v>-20664192.437086314</v>
      </c>
      <c r="H41" s="151">
        <f t="shared" si="13"/>
        <v>-20664192.437086314</v>
      </c>
      <c r="I41" s="153">
        <f t="shared" si="14"/>
        <v>-17019819.373095296</v>
      </c>
      <c r="J41" s="151">
        <f t="shared" si="15"/>
        <v>-17019819.373095296</v>
      </c>
      <c r="K41" s="151">
        <f t="shared" si="16"/>
        <v>-13982841.819769435</v>
      </c>
      <c r="L41" s="151">
        <f t="shared" si="17"/>
        <v>-13982841.819769435</v>
      </c>
      <c r="M41" s="154">
        <f t="shared" si="18"/>
        <v>-10945864.26644358</v>
      </c>
      <c r="N41" s="151">
        <f t="shared" si="19"/>
        <v>-10945864.26644358</v>
      </c>
      <c r="O41" s="151">
        <f t="shared" si="20"/>
        <v>-8516282.223782897</v>
      </c>
      <c r="P41" s="151">
        <f t="shared" si="21"/>
        <v>-8516282.223782897</v>
      </c>
    </row>
    <row r="42" spans="1:16" x14ac:dyDescent="0.2">
      <c r="A42" s="187">
        <v>39</v>
      </c>
      <c r="B42" s="86" t="s">
        <v>80</v>
      </c>
      <c r="C42" s="108" t="s">
        <v>1465</v>
      </c>
      <c r="D42" s="151">
        <f>SUMIFS('Dealer Wise'!E$4:E$124,'Dealer Wise'!$D$4:$D$124,'Zone Wise'!$C42)</f>
        <v>27186814.494475361</v>
      </c>
      <c r="E42" s="151">
        <f>SUMIFS('Dealer Wise'!F$4:F$124,'Dealer Wise'!$D$4:$D$124,'Zone Wise'!$C42)</f>
        <v>27914820.607800007</v>
      </c>
      <c r="F42" s="152">
        <f t="shared" si="11"/>
        <v>1.0267779115303333</v>
      </c>
      <c r="G42" s="153">
        <f t="shared" si="12"/>
        <v>-6165369.0122197159</v>
      </c>
      <c r="H42" s="151">
        <f t="shared" si="13"/>
        <v>-6165369.0122197159</v>
      </c>
      <c r="I42" s="153">
        <f t="shared" si="14"/>
        <v>-4534160.1425511986</v>
      </c>
      <c r="J42" s="151">
        <f t="shared" si="15"/>
        <v>-4534160.1425511986</v>
      </c>
      <c r="K42" s="151">
        <f t="shared" si="16"/>
        <v>-3174819.4178274274</v>
      </c>
      <c r="L42" s="151">
        <f t="shared" si="17"/>
        <v>-3174819.4178274274</v>
      </c>
      <c r="M42" s="154">
        <f t="shared" si="18"/>
        <v>-1815478.6931036599</v>
      </c>
      <c r="N42" s="151">
        <f t="shared" si="19"/>
        <v>-1815478.6931036599</v>
      </c>
      <c r="O42" s="151">
        <f t="shared" si="20"/>
        <v>-728006.11332464591</v>
      </c>
      <c r="P42" s="151">
        <f t="shared" si="21"/>
        <v>-728006.11332464591</v>
      </c>
    </row>
    <row r="43" spans="1:16" ht="15" thickBot="1" x14ac:dyDescent="0.25">
      <c r="A43" s="187">
        <v>40</v>
      </c>
      <c r="B43" s="86" t="s">
        <v>80</v>
      </c>
      <c r="C43" s="108" t="s">
        <v>80</v>
      </c>
      <c r="D43" s="151">
        <f>SUMIFS('Dealer Wise'!E$4:E$124,'Dealer Wise'!$D$4:$D$124,'Zone Wise'!$C43)</f>
        <v>55901427.090079837</v>
      </c>
      <c r="E43" s="151">
        <f>SUMIFS('Dealer Wise'!F$4:F$124,'Dealer Wise'!$D$4:$D$124,'Zone Wise'!$C43)</f>
        <v>57220512.486100018</v>
      </c>
      <c r="F43" s="152">
        <f t="shared" si="11"/>
        <v>1.0235966318694261</v>
      </c>
      <c r="G43" s="153">
        <f t="shared" si="12"/>
        <v>-12499370.814036146</v>
      </c>
      <c r="H43" s="151">
        <f t="shared" si="13"/>
        <v>-12499370.814036146</v>
      </c>
      <c r="I43" s="153">
        <f t="shared" si="14"/>
        <v>-9145285.1886313558</v>
      </c>
      <c r="J43" s="151">
        <f t="shared" si="15"/>
        <v>-9145285.1886313558</v>
      </c>
      <c r="K43" s="151">
        <f t="shared" si="16"/>
        <v>-6350213.8341273665</v>
      </c>
      <c r="L43" s="151">
        <f t="shared" si="17"/>
        <v>-6350213.8341273665</v>
      </c>
      <c r="M43" s="154">
        <f t="shared" si="18"/>
        <v>-3555142.4796233773</v>
      </c>
      <c r="N43" s="151">
        <f t="shared" si="19"/>
        <v>-3555142.4796233773</v>
      </c>
      <c r="O43" s="151">
        <f t="shared" si="20"/>
        <v>-1319085.3960201815</v>
      </c>
      <c r="P43" s="151">
        <f t="shared" si="21"/>
        <v>-1319085.3960201815</v>
      </c>
    </row>
    <row r="44" spans="1:16" x14ac:dyDescent="0.2">
      <c r="A44" s="186">
        <v>41</v>
      </c>
      <c r="B44" s="86" t="s">
        <v>80</v>
      </c>
      <c r="C44" s="108" t="s">
        <v>1464</v>
      </c>
      <c r="D44" s="151">
        <f>SUMIFS('Dealer Wise'!E$4:E$124,'Dealer Wise'!$D$4:$D$124,'Zone Wise'!$C44)</f>
        <v>32779874.903319202</v>
      </c>
      <c r="E44" s="151">
        <f>SUMIFS('Dealer Wise'!F$4:F$124,'Dealer Wise'!$D$4:$D$124,'Zone Wise'!$C44)</f>
        <v>35366336.342500009</v>
      </c>
      <c r="F44" s="152">
        <f t="shared" si="11"/>
        <v>1.0789039447773765</v>
      </c>
      <c r="G44" s="153">
        <f t="shared" si="12"/>
        <v>-9142436.419844646</v>
      </c>
      <c r="H44" s="151">
        <f t="shared" si="13"/>
        <v>-9142436.419844646</v>
      </c>
      <c r="I44" s="153">
        <f t="shared" si="14"/>
        <v>-7175643.9256454967</v>
      </c>
      <c r="J44" s="151">
        <f t="shared" si="15"/>
        <v>-7175643.9256454967</v>
      </c>
      <c r="K44" s="151">
        <f t="shared" si="16"/>
        <v>-5536650.180479534</v>
      </c>
      <c r="L44" s="151">
        <f t="shared" si="17"/>
        <v>-5536650.180479534</v>
      </c>
      <c r="M44" s="154">
        <f t="shared" si="18"/>
        <v>-3897656.435313575</v>
      </c>
      <c r="N44" s="151">
        <f t="shared" si="19"/>
        <v>-3897656.435313575</v>
      </c>
      <c r="O44" s="151">
        <f t="shared" si="20"/>
        <v>-2586461.4391808063</v>
      </c>
      <c r="P44" s="151">
        <f t="shared" si="21"/>
        <v>-2586461.4391808063</v>
      </c>
    </row>
    <row r="45" spans="1:16" x14ac:dyDescent="0.2">
      <c r="A45" s="262" t="s">
        <v>139</v>
      </c>
      <c r="B45" s="262"/>
      <c r="C45" s="263"/>
      <c r="D45" s="155">
        <f>SUM(D4:D44)</f>
        <v>1526758873.6228189</v>
      </c>
      <c r="E45" s="155">
        <f>SUM(E4:E44)</f>
        <v>1528029568.9127002</v>
      </c>
      <c r="F45" s="156">
        <f t="shared" ref="F45" si="22">E45/D45</f>
        <v>1.0008322828914471</v>
      </c>
      <c r="G45" s="155">
        <f t="shared" ref="G45:P45" si="23">SUM(G4:G44)</f>
        <v>-306622470.01444459</v>
      </c>
      <c r="H45" s="155">
        <f t="shared" si="23"/>
        <v>-306622470.01444459</v>
      </c>
      <c r="I45" s="155">
        <f t="shared" si="23"/>
        <v>-215016937.59707573</v>
      </c>
      <c r="J45" s="155">
        <f t="shared" si="23"/>
        <v>-215016937.59707573</v>
      </c>
      <c r="K45" s="155">
        <f t="shared" si="23"/>
        <v>-138678993.91593456</v>
      </c>
      <c r="L45" s="155">
        <f t="shared" si="23"/>
        <v>-138678993.91593456</v>
      </c>
      <c r="M45" s="155">
        <f t="shared" si="23"/>
        <v>-62341050.2347937</v>
      </c>
      <c r="N45" s="155">
        <f t="shared" si="23"/>
        <v>-62341050.2347937</v>
      </c>
      <c r="O45" s="155">
        <f t="shared" si="23"/>
        <v>-1270695.2898808718</v>
      </c>
      <c r="P45" s="155">
        <f t="shared" si="23"/>
        <v>-1270695.2898808718</v>
      </c>
    </row>
    <row r="49" spans="4:4" x14ac:dyDescent="0.2">
      <c r="D49" s="131"/>
    </row>
  </sheetData>
  <mergeCells count="2">
    <mergeCell ref="A45:C45"/>
    <mergeCell ref="A2:N2"/>
  </mergeCells>
  <pageMargins left="0.7" right="0.7" top="0.75" bottom="0.75" header="0.3" footer="0.3"/>
  <pageSetup orientation="portrait" r:id="rId1"/>
  <ignoredErrors>
    <ignoredError sqref="O4:O29 F45 I4:I29 K4:K29 M4:M29 O30:O31 I30:I31 K30:K31 M30:M3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544"/>
  <sheetViews>
    <sheetView showGridLines="0" zoomScale="90" zoomScaleNormal="90" workbookViewId="0">
      <pane ySplit="6" topLeftCell="A516" activePane="bottomLeft" state="frozen"/>
      <selection pane="bottomLeft" activeCell="H7" sqref="H7:I536"/>
    </sheetView>
  </sheetViews>
  <sheetFormatPr defaultRowHeight="14.25" x14ac:dyDescent="0.2"/>
  <cols>
    <col min="1" max="1" width="4.85546875" style="130" customWidth="1"/>
    <col min="2" max="2" width="32.28515625" style="120" customWidth="1"/>
    <col min="3" max="3" width="14.28515625" style="120" customWidth="1"/>
    <col min="4" max="4" width="10.7109375" style="164" customWidth="1"/>
    <col min="5" max="5" width="28.42578125" style="120" customWidth="1"/>
    <col min="6" max="6" width="12.28515625" style="91" bestFit="1" customWidth="1"/>
    <col min="7" max="7" width="16.28515625" style="91" customWidth="1"/>
    <col min="8" max="8" width="10.140625" style="91" bestFit="1" customWidth="1"/>
    <col min="9" max="9" width="15" style="91" bestFit="1" customWidth="1"/>
    <col min="10" max="10" width="8.7109375" style="91" bestFit="1" customWidth="1"/>
    <col min="11" max="11" width="13" style="91" bestFit="1" customWidth="1"/>
    <col min="12" max="12" width="15" style="91" bestFit="1" customWidth="1"/>
    <col min="13" max="13" width="12.28515625" style="91" bestFit="1" customWidth="1"/>
    <col min="14" max="14" width="8.5703125" style="91" bestFit="1" customWidth="1"/>
    <col min="15" max="16384" width="9.140625" style="91"/>
  </cols>
  <sheetData>
    <row r="4" spans="1:16" s="98" customFormat="1" x14ac:dyDescent="0.25">
      <c r="A4" s="274" t="s">
        <v>1045</v>
      </c>
      <c r="B4" s="273" t="s">
        <v>150</v>
      </c>
      <c r="C4" s="273" t="s">
        <v>0</v>
      </c>
      <c r="D4" s="278" t="s">
        <v>151</v>
      </c>
      <c r="E4" s="273" t="s">
        <v>152</v>
      </c>
      <c r="F4" s="273" t="s">
        <v>1547</v>
      </c>
      <c r="G4" s="273"/>
      <c r="H4" s="273"/>
      <c r="I4" s="273"/>
      <c r="J4" s="273"/>
      <c r="K4" s="273"/>
      <c r="L4" s="266" t="s">
        <v>153</v>
      </c>
      <c r="M4" s="266"/>
      <c r="N4" s="268" t="s">
        <v>154</v>
      </c>
    </row>
    <row r="5" spans="1:16" s="98" customFormat="1" ht="13.5" customHeight="1" x14ac:dyDescent="0.25">
      <c r="A5" s="275"/>
      <c r="B5" s="271"/>
      <c r="C5" s="271"/>
      <c r="D5" s="279"/>
      <c r="E5" s="271"/>
      <c r="F5" s="271" t="s">
        <v>1507</v>
      </c>
      <c r="G5" s="271"/>
      <c r="H5" s="272" t="s">
        <v>1508</v>
      </c>
      <c r="I5" s="272"/>
      <c r="J5" s="271" t="s">
        <v>155</v>
      </c>
      <c r="K5" s="271"/>
      <c r="L5" s="267"/>
      <c r="M5" s="267"/>
      <c r="N5" s="269"/>
    </row>
    <row r="6" spans="1:16" s="98" customFormat="1" x14ac:dyDescent="0.25">
      <c r="A6" s="276"/>
      <c r="B6" s="277"/>
      <c r="C6" s="277"/>
      <c r="D6" s="280"/>
      <c r="E6" s="277"/>
      <c r="F6" s="157" t="s">
        <v>156</v>
      </c>
      <c r="G6" s="157" t="s">
        <v>157</v>
      </c>
      <c r="H6" s="158" t="s">
        <v>156</v>
      </c>
      <c r="I6" s="158" t="s">
        <v>157</v>
      </c>
      <c r="J6" s="157" t="s">
        <v>156</v>
      </c>
      <c r="K6" s="157" t="s">
        <v>157</v>
      </c>
      <c r="L6" s="157" t="s">
        <v>158</v>
      </c>
      <c r="M6" s="157" t="s">
        <v>159</v>
      </c>
      <c r="N6" s="270"/>
    </row>
    <row r="7" spans="1:16" x14ac:dyDescent="0.2">
      <c r="A7" s="165">
        <v>1</v>
      </c>
      <c r="B7" s="218" t="s">
        <v>123</v>
      </c>
      <c r="C7" s="219" t="s">
        <v>1399</v>
      </c>
      <c r="D7" s="219" t="s">
        <v>252</v>
      </c>
      <c r="E7" s="219" t="s">
        <v>1129</v>
      </c>
      <c r="F7" s="191">
        <v>7317</v>
      </c>
      <c r="G7" s="191">
        <v>12505346.1</v>
      </c>
      <c r="H7" s="109">
        <v>10719</v>
      </c>
      <c r="I7" s="109">
        <v>15040435</v>
      </c>
      <c r="J7" s="159">
        <f t="shared" ref="J7:J70" si="0">IFERROR(H7/F7,0)</f>
        <v>1.4649446494464944</v>
      </c>
      <c r="K7" s="159">
        <f t="shared" ref="K7:K70" si="1">IFERROR(I7/G7,0)</f>
        <v>1.2027204109128975</v>
      </c>
      <c r="L7" s="159">
        <f t="shared" ref="L7:L70" si="2">IF((J7*0.3)&gt;30%,30%,(J7*0.3))</f>
        <v>0.3</v>
      </c>
      <c r="M7" s="159">
        <f t="shared" ref="M7:M70" si="3">IF((K7*0.7)&gt;70%,70%,(K7*0.7))</f>
        <v>0.7</v>
      </c>
      <c r="N7" s="160">
        <f t="shared" ref="N7:N70" si="4">L7+M7</f>
        <v>1</v>
      </c>
      <c r="O7" s="161"/>
      <c r="P7" s="161"/>
    </row>
    <row r="8" spans="1:16" x14ac:dyDescent="0.2">
      <c r="A8" s="165">
        <v>2</v>
      </c>
      <c r="B8" s="218" t="s">
        <v>123</v>
      </c>
      <c r="C8" s="219" t="s">
        <v>1399</v>
      </c>
      <c r="D8" s="219" t="s">
        <v>253</v>
      </c>
      <c r="E8" s="219" t="s">
        <v>254</v>
      </c>
      <c r="F8" s="191">
        <v>6671</v>
      </c>
      <c r="G8" s="191">
        <v>11407419.449999999</v>
      </c>
      <c r="H8" s="109">
        <v>7056</v>
      </c>
      <c r="I8" s="109">
        <v>10627700</v>
      </c>
      <c r="J8" s="159">
        <f t="shared" si="0"/>
        <v>1.0577124868835257</v>
      </c>
      <c r="K8" s="159">
        <f t="shared" si="1"/>
        <v>0.93164804245012667</v>
      </c>
      <c r="L8" s="159">
        <f t="shared" si="2"/>
        <v>0.3</v>
      </c>
      <c r="M8" s="159">
        <f t="shared" si="3"/>
        <v>0.65215362971508861</v>
      </c>
      <c r="N8" s="160">
        <f t="shared" si="4"/>
        <v>0.95215362971508855</v>
      </c>
      <c r="O8" s="161"/>
      <c r="P8" s="161"/>
    </row>
    <row r="9" spans="1:16" x14ac:dyDescent="0.2">
      <c r="A9" s="165">
        <v>3</v>
      </c>
      <c r="B9" s="219" t="s">
        <v>123</v>
      </c>
      <c r="C9" s="219" t="s">
        <v>1399</v>
      </c>
      <c r="D9" s="219" t="s">
        <v>255</v>
      </c>
      <c r="E9" s="219" t="s">
        <v>1304</v>
      </c>
      <c r="F9" s="191">
        <v>430</v>
      </c>
      <c r="G9" s="191">
        <v>737873.32499999995</v>
      </c>
      <c r="H9" s="109">
        <v>454</v>
      </c>
      <c r="I9" s="109">
        <v>790085</v>
      </c>
      <c r="J9" s="159">
        <f t="shared" si="0"/>
        <v>1.0558139534883721</v>
      </c>
      <c r="K9" s="159">
        <f t="shared" si="1"/>
        <v>1.0707596727392199</v>
      </c>
      <c r="L9" s="159">
        <f t="shared" si="2"/>
        <v>0.3</v>
      </c>
      <c r="M9" s="159">
        <f t="shared" si="3"/>
        <v>0.7</v>
      </c>
      <c r="N9" s="160">
        <f t="shared" si="4"/>
        <v>1</v>
      </c>
      <c r="O9" s="161"/>
      <c r="P9" s="161"/>
    </row>
    <row r="10" spans="1:16" x14ac:dyDescent="0.2">
      <c r="A10" s="165">
        <v>4</v>
      </c>
      <c r="B10" s="219" t="s">
        <v>123</v>
      </c>
      <c r="C10" s="219" t="s">
        <v>1399</v>
      </c>
      <c r="D10" s="219" t="s">
        <v>259</v>
      </c>
      <c r="E10" s="219" t="s">
        <v>1130</v>
      </c>
      <c r="F10" s="191">
        <v>2588</v>
      </c>
      <c r="G10" s="191">
        <v>4434949.6500000004</v>
      </c>
      <c r="H10" s="109">
        <v>2050</v>
      </c>
      <c r="I10" s="109">
        <v>3658490</v>
      </c>
      <c r="J10" s="159">
        <f t="shared" si="0"/>
        <v>0.79211746522411131</v>
      </c>
      <c r="K10" s="159">
        <f t="shared" si="1"/>
        <v>0.82492255577242002</v>
      </c>
      <c r="L10" s="159">
        <f t="shared" si="2"/>
        <v>0.23763523956723337</v>
      </c>
      <c r="M10" s="159">
        <f t="shared" si="3"/>
        <v>0.57744578904069399</v>
      </c>
      <c r="N10" s="160">
        <f t="shared" si="4"/>
        <v>0.8150810286079273</v>
      </c>
      <c r="O10" s="161"/>
      <c r="P10" s="161"/>
    </row>
    <row r="11" spans="1:16" x14ac:dyDescent="0.2">
      <c r="A11" s="165">
        <v>5</v>
      </c>
      <c r="B11" s="218" t="s">
        <v>123</v>
      </c>
      <c r="C11" s="219" t="s">
        <v>1399</v>
      </c>
      <c r="D11" s="219" t="s">
        <v>257</v>
      </c>
      <c r="E11" s="219" t="s">
        <v>258</v>
      </c>
      <c r="F11" s="191">
        <v>2588</v>
      </c>
      <c r="G11" s="191">
        <v>4434949.6500000004</v>
      </c>
      <c r="H11" s="109">
        <v>678</v>
      </c>
      <c r="I11" s="109">
        <v>1231890</v>
      </c>
      <c r="J11" s="159">
        <f t="shared" si="0"/>
        <v>0.26197836166924265</v>
      </c>
      <c r="K11" s="159">
        <f t="shared" si="1"/>
        <v>0.27776865516387539</v>
      </c>
      <c r="L11" s="159">
        <f t="shared" si="2"/>
        <v>7.8593508500772791E-2</v>
      </c>
      <c r="M11" s="159">
        <f t="shared" si="3"/>
        <v>0.19443805861471275</v>
      </c>
      <c r="N11" s="160">
        <f t="shared" si="4"/>
        <v>0.27303156711548554</v>
      </c>
      <c r="O11" s="161"/>
      <c r="P11" s="161"/>
    </row>
    <row r="12" spans="1:16" x14ac:dyDescent="0.2">
      <c r="A12" s="165">
        <v>6</v>
      </c>
      <c r="B12" s="219" t="s">
        <v>123</v>
      </c>
      <c r="C12" s="219" t="s">
        <v>1399</v>
      </c>
      <c r="D12" s="219" t="s">
        <v>260</v>
      </c>
      <c r="E12" s="219" t="s">
        <v>261</v>
      </c>
      <c r="F12" s="191">
        <v>1938</v>
      </c>
      <c r="G12" s="191">
        <v>3312560.4750000001</v>
      </c>
      <c r="H12" s="109">
        <v>530</v>
      </c>
      <c r="I12" s="109">
        <v>1107535</v>
      </c>
      <c r="J12" s="159">
        <f t="shared" si="0"/>
        <v>0.27347781217750256</v>
      </c>
      <c r="K12" s="159">
        <f t="shared" si="1"/>
        <v>0.33434408469176702</v>
      </c>
      <c r="L12" s="159">
        <f t="shared" si="2"/>
        <v>8.2043343653250764E-2</v>
      </c>
      <c r="M12" s="159">
        <f t="shared" si="3"/>
        <v>0.2340408592842369</v>
      </c>
      <c r="N12" s="160">
        <f t="shared" si="4"/>
        <v>0.31608420293748768</v>
      </c>
      <c r="O12" s="161"/>
      <c r="P12" s="161"/>
    </row>
    <row r="13" spans="1:16" x14ac:dyDescent="0.2">
      <c r="A13" s="165">
        <v>7</v>
      </c>
      <c r="B13" s="218" t="s">
        <v>124</v>
      </c>
      <c r="C13" s="219" t="s">
        <v>1399</v>
      </c>
      <c r="D13" s="219" t="s">
        <v>250</v>
      </c>
      <c r="E13" s="219" t="s">
        <v>251</v>
      </c>
      <c r="F13" s="191">
        <v>3320</v>
      </c>
      <c r="G13" s="191">
        <v>5677341.25</v>
      </c>
      <c r="H13" s="109">
        <v>3932</v>
      </c>
      <c r="I13" s="109">
        <v>6676100</v>
      </c>
      <c r="J13" s="159">
        <f t="shared" si="0"/>
        <v>1.1843373493975904</v>
      </c>
      <c r="K13" s="159">
        <f t="shared" si="1"/>
        <v>1.1759201545265576</v>
      </c>
      <c r="L13" s="159">
        <f t="shared" si="2"/>
        <v>0.3</v>
      </c>
      <c r="M13" s="159">
        <f t="shared" si="3"/>
        <v>0.7</v>
      </c>
      <c r="N13" s="160">
        <f t="shared" si="4"/>
        <v>1</v>
      </c>
      <c r="O13" s="161"/>
      <c r="P13" s="161"/>
    </row>
    <row r="14" spans="1:16" x14ac:dyDescent="0.2">
      <c r="A14" s="165">
        <v>8</v>
      </c>
      <c r="B14" s="219" t="s">
        <v>124</v>
      </c>
      <c r="C14" s="219" t="s">
        <v>1399</v>
      </c>
      <c r="D14" s="219" t="s">
        <v>248</v>
      </c>
      <c r="E14" s="219" t="s">
        <v>249</v>
      </c>
      <c r="F14" s="191">
        <v>1551</v>
      </c>
      <c r="G14" s="191">
        <v>2652021.2000000002</v>
      </c>
      <c r="H14" s="109">
        <v>1151</v>
      </c>
      <c r="I14" s="109">
        <v>2262955</v>
      </c>
      <c r="J14" s="159">
        <f t="shared" si="0"/>
        <v>0.74210186976144421</v>
      </c>
      <c r="K14" s="159">
        <f t="shared" si="1"/>
        <v>0.85329446084367644</v>
      </c>
      <c r="L14" s="159">
        <f t="shared" si="2"/>
        <v>0.22263056092843325</v>
      </c>
      <c r="M14" s="159">
        <f t="shared" si="3"/>
        <v>0.59730612259057347</v>
      </c>
      <c r="N14" s="160">
        <f t="shared" si="4"/>
        <v>0.81993668351900673</v>
      </c>
      <c r="O14" s="161"/>
      <c r="P14" s="161"/>
    </row>
    <row r="15" spans="1:16" x14ac:dyDescent="0.2">
      <c r="A15" s="165">
        <v>9</v>
      </c>
      <c r="B15" s="219" t="s">
        <v>124</v>
      </c>
      <c r="C15" s="219" t="s">
        <v>1399</v>
      </c>
      <c r="D15" s="219" t="s">
        <v>246</v>
      </c>
      <c r="E15" s="219" t="s">
        <v>247</v>
      </c>
      <c r="F15" s="191">
        <v>3156</v>
      </c>
      <c r="G15" s="191">
        <v>5391822.8250000002</v>
      </c>
      <c r="H15" s="109">
        <v>3483</v>
      </c>
      <c r="I15" s="109">
        <v>5660145</v>
      </c>
      <c r="J15" s="159">
        <f t="shared" si="0"/>
        <v>1.1036121673003803</v>
      </c>
      <c r="K15" s="159">
        <f t="shared" si="1"/>
        <v>1.0497646498612461</v>
      </c>
      <c r="L15" s="159">
        <f t="shared" si="2"/>
        <v>0.3</v>
      </c>
      <c r="M15" s="159">
        <f t="shared" si="3"/>
        <v>0.7</v>
      </c>
      <c r="N15" s="160">
        <f t="shared" si="4"/>
        <v>1</v>
      </c>
      <c r="O15" s="161"/>
      <c r="P15" s="161"/>
    </row>
    <row r="16" spans="1:16" x14ac:dyDescent="0.2">
      <c r="A16" s="165">
        <v>10</v>
      </c>
      <c r="B16" s="219" t="s">
        <v>124</v>
      </c>
      <c r="C16" s="219" t="s">
        <v>1399</v>
      </c>
      <c r="D16" s="219" t="s">
        <v>972</v>
      </c>
      <c r="E16" s="219" t="s">
        <v>973</v>
      </c>
      <c r="F16" s="191">
        <v>997</v>
      </c>
      <c r="G16" s="191">
        <v>1704560.5</v>
      </c>
      <c r="H16" s="109">
        <v>693</v>
      </c>
      <c r="I16" s="109">
        <v>986845</v>
      </c>
      <c r="J16" s="159">
        <f t="shared" si="0"/>
        <v>0.69508525576730196</v>
      </c>
      <c r="K16" s="159">
        <f t="shared" si="1"/>
        <v>0.57894395652134378</v>
      </c>
      <c r="L16" s="159">
        <f t="shared" si="2"/>
        <v>0.20852557673019059</v>
      </c>
      <c r="M16" s="159">
        <f t="shared" si="3"/>
        <v>0.40526076956494061</v>
      </c>
      <c r="N16" s="160">
        <f t="shared" si="4"/>
        <v>0.61378634629513118</v>
      </c>
      <c r="O16" s="161"/>
      <c r="P16" s="161"/>
    </row>
    <row r="17" spans="1:16" x14ac:dyDescent="0.2">
      <c r="A17" s="165">
        <v>11</v>
      </c>
      <c r="B17" s="219" t="s">
        <v>124</v>
      </c>
      <c r="C17" s="219" t="s">
        <v>1399</v>
      </c>
      <c r="D17" s="219" t="s">
        <v>245</v>
      </c>
      <c r="E17" s="219" t="s">
        <v>1098</v>
      </c>
      <c r="F17" s="191">
        <v>891</v>
      </c>
      <c r="G17" s="191">
        <v>1533349.075</v>
      </c>
      <c r="H17" s="109">
        <v>489</v>
      </c>
      <c r="I17" s="109">
        <v>920220</v>
      </c>
      <c r="J17" s="159">
        <f t="shared" si="0"/>
        <v>0.54882154882154888</v>
      </c>
      <c r="K17" s="159">
        <f t="shared" si="1"/>
        <v>0.60013731706852202</v>
      </c>
      <c r="L17" s="159">
        <f t="shared" si="2"/>
        <v>0.16464646464646465</v>
      </c>
      <c r="M17" s="159">
        <f t="shared" si="3"/>
        <v>0.42009612194796542</v>
      </c>
      <c r="N17" s="160">
        <f t="shared" si="4"/>
        <v>0.58474258659443001</v>
      </c>
      <c r="O17" s="161"/>
      <c r="P17" s="161"/>
    </row>
    <row r="18" spans="1:16" x14ac:dyDescent="0.2">
      <c r="A18" s="165">
        <v>12</v>
      </c>
      <c r="B18" s="219" t="s">
        <v>124</v>
      </c>
      <c r="C18" s="219" t="s">
        <v>1399</v>
      </c>
      <c r="D18" s="219" t="s">
        <v>244</v>
      </c>
      <c r="E18" s="219" t="s">
        <v>1099</v>
      </c>
      <c r="F18" s="191">
        <v>1162</v>
      </c>
      <c r="G18" s="191">
        <v>1988441.825</v>
      </c>
      <c r="H18" s="109">
        <v>1055</v>
      </c>
      <c r="I18" s="109">
        <v>1824785</v>
      </c>
      <c r="J18" s="159">
        <f t="shared" si="0"/>
        <v>0.90791738382099829</v>
      </c>
      <c r="K18" s="159">
        <f t="shared" si="1"/>
        <v>0.91769594516550668</v>
      </c>
      <c r="L18" s="159">
        <f t="shared" si="2"/>
        <v>0.27237521514629948</v>
      </c>
      <c r="M18" s="159">
        <f t="shared" si="3"/>
        <v>0.64238716161585463</v>
      </c>
      <c r="N18" s="160">
        <f t="shared" si="4"/>
        <v>0.91476237676215411</v>
      </c>
      <c r="O18" s="161"/>
      <c r="P18" s="161"/>
    </row>
    <row r="19" spans="1:16" x14ac:dyDescent="0.2">
      <c r="A19" s="165">
        <v>13</v>
      </c>
      <c r="B19" s="219" t="s">
        <v>112</v>
      </c>
      <c r="C19" s="219" t="s">
        <v>1399</v>
      </c>
      <c r="D19" s="219" t="s">
        <v>301</v>
      </c>
      <c r="E19" s="219" t="s">
        <v>1305</v>
      </c>
      <c r="F19" s="191">
        <v>1493</v>
      </c>
      <c r="G19" s="191">
        <v>2853395.3250000002</v>
      </c>
      <c r="H19" s="109">
        <v>1467</v>
      </c>
      <c r="I19" s="109">
        <v>2215080</v>
      </c>
      <c r="J19" s="159">
        <f t="shared" si="0"/>
        <v>0.98258539852645677</v>
      </c>
      <c r="K19" s="159">
        <f t="shared" si="1"/>
        <v>0.77629621826060846</v>
      </c>
      <c r="L19" s="159">
        <f t="shared" si="2"/>
        <v>0.29477561955793702</v>
      </c>
      <c r="M19" s="159">
        <f t="shared" si="3"/>
        <v>0.54340735278242591</v>
      </c>
      <c r="N19" s="160">
        <f t="shared" si="4"/>
        <v>0.83818297234036288</v>
      </c>
      <c r="O19" s="161"/>
      <c r="P19" s="161"/>
    </row>
    <row r="20" spans="1:16" x14ac:dyDescent="0.2">
      <c r="A20" s="165">
        <v>14</v>
      </c>
      <c r="B20" s="219" t="s">
        <v>112</v>
      </c>
      <c r="C20" s="219" t="s">
        <v>1399</v>
      </c>
      <c r="D20" s="219" t="s">
        <v>303</v>
      </c>
      <c r="E20" s="219" t="s">
        <v>304</v>
      </c>
      <c r="F20" s="191">
        <v>1587</v>
      </c>
      <c r="G20" s="191">
        <v>2413943.5</v>
      </c>
      <c r="H20" s="109">
        <v>1472</v>
      </c>
      <c r="I20" s="109">
        <v>1917365</v>
      </c>
      <c r="J20" s="159">
        <f t="shared" si="0"/>
        <v>0.92753623188405798</v>
      </c>
      <c r="K20" s="159">
        <f t="shared" si="1"/>
        <v>0.79428743879051023</v>
      </c>
      <c r="L20" s="159">
        <f t="shared" si="2"/>
        <v>0.27826086956521739</v>
      </c>
      <c r="M20" s="159">
        <f t="shared" si="3"/>
        <v>0.5560012071533571</v>
      </c>
      <c r="N20" s="160">
        <f t="shared" si="4"/>
        <v>0.83426207671857444</v>
      </c>
      <c r="O20" s="161"/>
      <c r="P20" s="161"/>
    </row>
    <row r="21" spans="1:16" x14ac:dyDescent="0.2">
      <c r="A21" s="165">
        <v>15</v>
      </c>
      <c r="B21" s="219" t="s">
        <v>1290</v>
      </c>
      <c r="C21" s="219" t="s">
        <v>1399</v>
      </c>
      <c r="D21" s="219" t="s">
        <v>1306</v>
      </c>
      <c r="E21" s="219" t="s">
        <v>1307</v>
      </c>
      <c r="F21" s="191">
        <v>1645</v>
      </c>
      <c r="G21" s="191">
        <v>2516723.4500000002</v>
      </c>
      <c r="H21" s="109">
        <v>1829</v>
      </c>
      <c r="I21" s="109">
        <v>2185860</v>
      </c>
      <c r="J21" s="159">
        <f t="shared" si="0"/>
        <v>1.111854103343465</v>
      </c>
      <c r="K21" s="159">
        <f t="shared" si="1"/>
        <v>0.86853404572520665</v>
      </c>
      <c r="L21" s="159">
        <f t="shared" si="2"/>
        <v>0.3</v>
      </c>
      <c r="M21" s="159">
        <f t="shared" si="3"/>
        <v>0.60797383200764465</v>
      </c>
      <c r="N21" s="160">
        <f t="shared" si="4"/>
        <v>0.9079738320076447</v>
      </c>
      <c r="O21" s="161"/>
      <c r="P21" s="161"/>
    </row>
    <row r="22" spans="1:16" x14ac:dyDescent="0.2">
      <c r="A22" s="165">
        <v>16</v>
      </c>
      <c r="B22" s="219" t="s">
        <v>1290</v>
      </c>
      <c r="C22" s="219" t="s">
        <v>1399</v>
      </c>
      <c r="D22" s="219" t="s">
        <v>271</v>
      </c>
      <c r="E22" s="219" t="s">
        <v>1296</v>
      </c>
      <c r="F22" s="191">
        <v>1887</v>
      </c>
      <c r="G22" s="191">
        <v>2875749.5</v>
      </c>
      <c r="H22" s="109">
        <v>1865</v>
      </c>
      <c r="I22" s="109">
        <v>2102450</v>
      </c>
      <c r="J22" s="159">
        <f t="shared" si="0"/>
        <v>0.98834128245892949</v>
      </c>
      <c r="K22" s="159">
        <f t="shared" si="1"/>
        <v>0.73109636287861657</v>
      </c>
      <c r="L22" s="159">
        <f t="shared" si="2"/>
        <v>0.29650238473767881</v>
      </c>
      <c r="M22" s="159">
        <f t="shared" si="3"/>
        <v>0.51176745401503154</v>
      </c>
      <c r="N22" s="160">
        <f t="shared" si="4"/>
        <v>0.8082698387527103</v>
      </c>
      <c r="O22" s="161"/>
      <c r="P22" s="161"/>
    </row>
    <row r="23" spans="1:16" x14ac:dyDescent="0.2">
      <c r="A23" s="165">
        <v>17</v>
      </c>
      <c r="B23" s="219" t="s">
        <v>1290</v>
      </c>
      <c r="C23" s="219" t="s">
        <v>1399</v>
      </c>
      <c r="D23" s="219" t="s">
        <v>276</v>
      </c>
      <c r="E23" s="219" t="s">
        <v>277</v>
      </c>
      <c r="F23" s="191">
        <v>942</v>
      </c>
      <c r="G23" s="191">
        <v>1448915.05</v>
      </c>
      <c r="H23" s="109">
        <v>592</v>
      </c>
      <c r="I23" s="109">
        <v>1045775</v>
      </c>
      <c r="J23" s="159">
        <f t="shared" si="0"/>
        <v>0.6284501061571125</v>
      </c>
      <c r="K23" s="159">
        <f t="shared" si="1"/>
        <v>0.72176419176541784</v>
      </c>
      <c r="L23" s="159">
        <f t="shared" si="2"/>
        <v>0.18853503184713374</v>
      </c>
      <c r="M23" s="159">
        <f t="shared" si="3"/>
        <v>0.50523493423579247</v>
      </c>
      <c r="N23" s="160">
        <f t="shared" si="4"/>
        <v>0.69376996608292618</v>
      </c>
      <c r="O23" s="161"/>
      <c r="P23" s="161"/>
    </row>
    <row r="24" spans="1:16" x14ac:dyDescent="0.2">
      <c r="A24" s="165">
        <v>18</v>
      </c>
      <c r="B24" s="219" t="s">
        <v>1290</v>
      </c>
      <c r="C24" s="219" t="s">
        <v>1399</v>
      </c>
      <c r="D24" s="219" t="s">
        <v>272</v>
      </c>
      <c r="E24" s="219" t="s">
        <v>273</v>
      </c>
      <c r="F24" s="191">
        <v>1556</v>
      </c>
      <c r="G24" s="191">
        <v>3450421.125</v>
      </c>
      <c r="H24" s="109">
        <v>2126</v>
      </c>
      <c r="I24" s="109">
        <v>2865715</v>
      </c>
      <c r="J24" s="159">
        <f t="shared" si="0"/>
        <v>1.3663239074550129</v>
      </c>
      <c r="K24" s="159">
        <f t="shared" si="1"/>
        <v>0.83054064886065171</v>
      </c>
      <c r="L24" s="159">
        <f t="shared" si="2"/>
        <v>0.3</v>
      </c>
      <c r="M24" s="159">
        <f t="shared" si="3"/>
        <v>0.58137845420245615</v>
      </c>
      <c r="N24" s="160">
        <f t="shared" si="4"/>
        <v>0.88137845420245609</v>
      </c>
      <c r="O24" s="161"/>
      <c r="P24" s="161"/>
    </row>
    <row r="25" spans="1:16" x14ac:dyDescent="0.2">
      <c r="A25" s="165">
        <v>19</v>
      </c>
      <c r="B25" s="219" t="s">
        <v>120</v>
      </c>
      <c r="C25" s="219" t="s">
        <v>1399</v>
      </c>
      <c r="D25" s="219" t="s">
        <v>278</v>
      </c>
      <c r="E25" s="219" t="s">
        <v>1467</v>
      </c>
      <c r="F25" s="191">
        <v>998</v>
      </c>
      <c r="G25" s="191">
        <v>1821098.65</v>
      </c>
      <c r="H25" s="109">
        <v>1338</v>
      </c>
      <c r="I25" s="109">
        <v>1629590</v>
      </c>
      <c r="J25" s="159">
        <f t="shared" si="0"/>
        <v>1.3406813627254508</v>
      </c>
      <c r="K25" s="159">
        <f t="shared" si="1"/>
        <v>0.89483894790652885</v>
      </c>
      <c r="L25" s="159">
        <f t="shared" si="2"/>
        <v>0.3</v>
      </c>
      <c r="M25" s="159">
        <f t="shared" si="3"/>
        <v>0.62638726353457019</v>
      </c>
      <c r="N25" s="160">
        <f t="shared" si="4"/>
        <v>0.92638726353457024</v>
      </c>
      <c r="O25" s="161"/>
      <c r="P25" s="161"/>
    </row>
    <row r="26" spans="1:16" x14ac:dyDescent="0.2">
      <c r="A26" s="165">
        <v>20</v>
      </c>
      <c r="B26" s="219" t="s">
        <v>120</v>
      </c>
      <c r="C26" s="219" t="s">
        <v>1399</v>
      </c>
      <c r="D26" s="219" t="s">
        <v>282</v>
      </c>
      <c r="E26" s="219" t="s">
        <v>283</v>
      </c>
      <c r="F26" s="191">
        <v>714</v>
      </c>
      <c r="G26" s="191">
        <v>1119088.5</v>
      </c>
      <c r="H26" s="109">
        <v>617</v>
      </c>
      <c r="I26" s="109">
        <v>673745</v>
      </c>
      <c r="J26" s="159">
        <f t="shared" si="0"/>
        <v>0.86414565826330536</v>
      </c>
      <c r="K26" s="159">
        <f t="shared" si="1"/>
        <v>0.60204800603348174</v>
      </c>
      <c r="L26" s="159">
        <f t="shared" si="2"/>
        <v>0.25924369747899162</v>
      </c>
      <c r="M26" s="159">
        <f t="shared" si="3"/>
        <v>0.42143360422343717</v>
      </c>
      <c r="N26" s="160">
        <f t="shared" si="4"/>
        <v>0.68067730170242879</v>
      </c>
      <c r="O26" s="161"/>
      <c r="P26" s="161"/>
    </row>
    <row r="27" spans="1:16" x14ac:dyDescent="0.2">
      <c r="A27" s="165">
        <v>21</v>
      </c>
      <c r="B27" s="219" t="s">
        <v>120</v>
      </c>
      <c r="C27" s="219" t="s">
        <v>1399</v>
      </c>
      <c r="D27" s="219" t="s">
        <v>280</v>
      </c>
      <c r="E27" s="219" t="s">
        <v>1468</v>
      </c>
      <c r="F27" s="191">
        <v>744</v>
      </c>
      <c r="G27" s="191">
        <v>1266964.125</v>
      </c>
      <c r="H27" s="109">
        <v>771</v>
      </c>
      <c r="I27" s="109">
        <v>890865</v>
      </c>
      <c r="J27" s="159">
        <f t="shared" si="0"/>
        <v>1.0362903225806452</v>
      </c>
      <c r="K27" s="159">
        <f t="shared" si="1"/>
        <v>0.70314934923670391</v>
      </c>
      <c r="L27" s="159">
        <f t="shared" si="2"/>
        <v>0.3</v>
      </c>
      <c r="M27" s="159">
        <f t="shared" si="3"/>
        <v>0.49220454446569273</v>
      </c>
      <c r="N27" s="160">
        <f t="shared" si="4"/>
        <v>0.79220454446569266</v>
      </c>
      <c r="O27" s="161"/>
      <c r="P27" s="161"/>
    </row>
    <row r="28" spans="1:16" x14ac:dyDescent="0.2">
      <c r="A28" s="165">
        <v>22</v>
      </c>
      <c r="B28" s="219" t="s">
        <v>107</v>
      </c>
      <c r="C28" s="219" t="s">
        <v>1399</v>
      </c>
      <c r="D28" s="219" t="s">
        <v>264</v>
      </c>
      <c r="E28" s="219" t="s">
        <v>265</v>
      </c>
      <c r="F28" s="191">
        <v>671</v>
      </c>
      <c r="G28" s="191">
        <v>1231154.8</v>
      </c>
      <c r="H28" s="109">
        <v>740</v>
      </c>
      <c r="I28" s="109">
        <v>895570</v>
      </c>
      <c r="J28" s="159">
        <f t="shared" si="0"/>
        <v>1.1028315946348732</v>
      </c>
      <c r="K28" s="159">
        <f t="shared" si="1"/>
        <v>0.72742274164061249</v>
      </c>
      <c r="L28" s="159">
        <f t="shared" si="2"/>
        <v>0.3</v>
      </c>
      <c r="M28" s="159">
        <f t="shared" si="3"/>
        <v>0.50919591914842877</v>
      </c>
      <c r="N28" s="160">
        <f t="shared" si="4"/>
        <v>0.80919591914842881</v>
      </c>
      <c r="O28" s="161"/>
      <c r="P28" s="161"/>
    </row>
    <row r="29" spans="1:16" x14ac:dyDescent="0.2">
      <c r="A29" s="165">
        <v>23</v>
      </c>
      <c r="B29" s="220" t="s">
        <v>107</v>
      </c>
      <c r="C29" s="220" t="s">
        <v>1399</v>
      </c>
      <c r="D29" s="219" t="s">
        <v>268</v>
      </c>
      <c r="E29" s="220" t="s">
        <v>269</v>
      </c>
      <c r="F29" s="191">
        <v>1033</v>
      </c>
      <c r="G29" s="191">
        <v>1776473.925</v>
      </c>
      <c r="H29" s="109">
        <v>1501</v>
      </c>
      <c r="I29" s="109">
        <v>2138010</v>
      </c>
      <c r="J29" s="159">
        <f t="shared" si="0"/>
        <v>1.4530493707647629</v>
      </c>
      <c r="K29" s="159">
        <f t="shared" si="1"/>
        <v>1.203513302341322</v>
      </c>
      <c r="L29" s="159">
        <f t="shared" si="2"/>
        <v>0.3</v>
      </c>
      <c r="M29" s="159">
        <f t="shared" si="3"/>
        <v>0.7</v>
      </c>
      <c r="N29" s="160">
        <f t="shared" si="4"/>
        <v>1</v>
      </c>
      <c r="O29" s="161"/>
      <c r="P29" s="161"/>
    </row>
    <row r="30" spans="1:16" x14ac:dyDescent="0.2">
      <c r="A30" s="165">
        <v>24</v>
      </c>
      <c r="B30" s="220" t="s">
        <v>107</v>
      </c>
      <c r="C30" s="220" t="s">
        <v>1399</v>
      </c>
      <c r="D30" s="219" t="s">
        <v>262</v>
      </c>
      <c r="E30" s="220" t="s">
        <v>263</v>
      </c>
      <c r="F30" s="191">
        <v>621</v>
      </c>
      <c r="G30" s="191">
        <v>1044661.075</v>
      </c>
      <c r="H30" s="109">
        <v>925</v>
      </c>
      <c r="I30" s="109">
        <v>1113865</v>
      </c>
      <c r="J30" s="159">
        <f t="shared" si="0"/>
        <v>1.4895330112721417</v>
      </c>
      <c r="K30" s="159">
        <f t="shared" si="1"/>
        <v>1.0662453370343103</v>
      </c>
      <c r="L30" s="159">
        <f t="shared" si="2"/>
        <v>0.3</v>
      </c>
      <c r="M30" s="159">
        <f t="shared" si="3"/>
        <v>0.7</v>
      </c>
      <c r="N30" s="160">
        <f t="shared" si="4"/>
        <v>1</v>
      </c>
      <c r="O30" s="161"/>
      <c r="P30" s="161"/>
    </row>
    <row r="31" spans="1:16" x14ac:dyDescent="0.2">
      <c r="A31" s="165">
        <v>25</v>
      </c>
      <c r="B31" s="220" t="s">
        <v>107</v>
      </c>
      <c r="C31" s="220" t="s">
        <v>1399</v>
      </c>
      <c r="D31" s="219" t="s">
        <v>266</v>
      </c>
      <c r="E31" s="220" t="s">
        <v>267</v>
      </c>
      <c r="F31" s="191">
        <v>795</v>
      </c>
      <c r="G31" s="191">
        <v>1273447.825</v>
      </c>
      <c r="H31" s="109">
        <v>918</v>
      </c>
      <c r="I31" s="109">
        <v>891465</v>
      </c>
      <c r="J31" s="159">
        <f t="shared" si="0"/>
        <v>1.1547169811320754</v>
      </c>
      <c r="K31" s="159">
        <f t="shared" si="1"/>
        <v>0.70004045905846202</v>
      </c>
      <c r="L31" s="159">
        <f t="shared" si="2"/>
        <v>0.3</v>
      </c>
      <c r="M31" s="159">
        <f t="shared" si="3"/>
        <v>0.49002832134092339</v>
      </c>
      <c r="N31" s="160">
        <f t="shared" si="4"/>
        <v>0.79002832134092338</v>
      </c>
      <c r="O31" s="161"/>
      <c r="P31" s="161"/>
    </row>
    <row r="32" spans="1:16" x14ac:dyDescent="0.2">
      <c r="A32" s="165">
        <v>26</v>
      </c>
      <c r="B32" s="220" t="s">
        <v>113</v>
      </c>
      <c r="C32" s="220" t="s">
        <v>1399</v>
      </c>
      <c r="D32" s="219" t="s">
        <v>309</v>
      </c>
      <c r="E32" s="220" t="s">
        <v>1295</v>
      </c>
      <c r="F32" s="191">
        <v>856</v>
      </c>
      <c r="G32" s="191">
        <v>1379305.35</v>
      </c>
      <c r="H32" s="109">
        <v>847</v>
      </c>
      <c r="I32" s="109">
        <v>1097025</v>
      </c>
      <c r="J32" s="159">
        <f t="shared" si="0"/>
        <v>0.98948598130841126</v>
      </c>
      <c r="K32" s="159">
        <f t="shared" si="1"/>
        <v>0.79534600514672105</v>
      </c>
      <c r="L32" s="159">
        <f t="shared" si="2"/>
        <v>0.29684579439252334</v>
      </c>
      <c r="M32" s="159">
        <f t="shared" si="3"/>
        <v>0.55674220360270466</v>
      </c>
      <c r="N32" s="160">
        <f t="shared" si="4"/>
        <v>0.853587997995228</v>
      </c>
      <c r="O32" s="161"/>
      <c r="P32" s="161"/>
    </row>
    <row r="33" spans="1:16" x14ac:dyDescent="0.2">
      <c r="A33" s="165">
        <v>27</v>
      </c>
      <c r="B33" s="219" t="s">
        <v>113</v>
      </c>
      <c r="C33" s="219" t="s">
        <v>1399</v>
      </c>
      <c r="D33" s="219" t="s">
        <v>310</v>
      </c>
      <c r="E33" s="219" t="s">
        <v>311</v>
      </c>
      <c r="F33" s="191">
        <v>1355</v>
      </c>
      <c r="G33" s="191">
        <v>2652148.2250000001</v>
      </c>
      <c r="H33" s="109">
        <v>3226</v>
      </c>
      <c r="I33" s="109">
        <v>4347270</v>
      </c>
      <c r="J33" s="159">
        <f t="shared" si="0"/>
        <v>2.3808118081180814</v>
      </c>
      <c r="K33" s="159">
        <f t="shared" si="1"/>
        <v>1.6391504664110543</v>
      </c>
      <c r="L33" s="159">
        <f t="shared" si="2"/>
        <v>0.3</v>
      </c>
      <c r="M33" s="159">
        <f t="shared" si="3"/>
        <v>0.7</v>
      </c>
      <c r="N33" s="160">
        <f t="shared" si="4"/>
        <v>1</v>
      </c>
      <c r="O33" s="161"/>
      <c r="P33" s="161"/>
    </row>
    <row r="34" spans="1:16" x14ac:dyDescent="0.2">
      <c r="A34" s="165">
        <v>28</v>
      </c>
      <c r="B34" s="219" t="s">
        <v>113</v>
      </c>
      <c r="C34" s="219" t="s">
        <v>1399</v>
      </c>
      <c r="D34" s="219" t="s">
        <v>307</v>
      </c>
      <c r="E34" s="219" t="s">
        <v>308</v>
      </c>
      <c r="F34" s="191">
        <v>623</v>
      </c>
      <c r="G34" s="191">
        <v>820095.72499999998</v>
      </c>
      <c r="H34" s="109">
        <v>98</v>
      </c>
      <c r="I34" s="109">
        <v>127460</v>
      </c>
      <c r="J34" s="159">
        <f t="shared" si="0"/>
        <v>0.15730337078651685</v>
      </c>
      <c r="K34" s="159">
        <f t="shared" si="1"/>
        <v>0.1554208808977757</v>
      </c>
      <c r="L34" s="159">
        <f t="shared" si="2"/>
        <v>4.7191011235955052E-2</v>
      </c>
      <c r="M34" s="159">
        <f t="shared" si="3"/>
        <v>0.10879461662844299</v>
      </c>
      <c r="N34" s="160">
        <f t="shared" si="4"/>
        <v>0.15598562786439804</v>
      </c>
      <c r="O34" s="161"/>
      <c r="P34" s="161"/>
    </row>
    <row r="35" spans="1:16" x14ac:dyDescent="0.2">
      <c r="A35" s="165">
        <v>29</v>
      </c>
      <c r="B35" s="219" t="s">
        <v>111</v>
      </c>
      <c r="C35" s="219" t="s">
        <v>1399</v>
      </c>
      <c r="D35" s="219" t="s">
        <v>298</v>
      </c>
      <c r="E35" s="219" t="s">
        <v>1469</v>
      </c>
      <c r="F35" s="191">
        <v>1540</v>
      </c>
      <c r="G35" s="191">
        <v>2620554.1</v>
      </c>
      <c r="H35" s="109">
        <v>1620</v>
      </c>
      <c r="I35" s="109">
        <v>2642920</v>
      </c>
      <c r="J35" s="159">
        <f t="shared" si="0"/>
        <v>1.051948051948052</v>
      </c>
      <c r="K35" s="159">
        <f t="shared" si="1"/>
        <v>1.0085347980413759</v>
      </c>
      <c r="L35" s="159">
        <f t="shared" si="2"/>
        <v>0.3</v>
      </c>
      <c r="M35" s="159">
        <f t="shared" si="3"/>
        <v>0.7</v>
      </c>
      <c r="N35" s="160">
        <f t="shared" si="4"/>
        <v>1</v>
      </c>
      <c r="O35" s="161"/>
      <c r="P35" s="161"/>
    </row>
    <row r="36" spans="1:16" x14ac:dyDescent="0.2">
      <c r="A36" s="165">
        <v>30</v>
      </c>
      <c r="B36" s="219" t="s">
        <v>109</v>
      </c>
      <c r="C36" s="219" t="s">
        <v>1399</v>
      </c>
      <c r="D36" s="219" t="s">
        <v>285</v>
      </c>
      <c r="E36" s="219" t="s">
        <v>286</v>
      </c>
      <c r="F36" s="191">
        <v>1800</v>
      </c>
      <c r="G36" s="191">
        <v>3100132.625</v>
      </c>
      <c r="H36" s="109">
        <v>1077</v>
      </c>
      <c r="I36" s="109">
        <v>1943765</v>
      </c>
      <c r="J36" s="159">
        <f t="shared" si="0"/>
        <v>0.59833333333333338</v>
      </c>
      <c r="K36" s="159">
        <f t="shared" si="1"/>
        <v>0.62699414351668259</v>
      </c>
      <c r="L36" s="159">
        <f t="shared" si="2"/>
        <v>0.17950000000000002</v>
      </c>
      <c r="M36" s="159">
        <f t="shared" si="3"/>
        <v>0.43889590046167776</v>
      </c>
      <c r="N36" s="160">
        <f t="shared" si="4"/>
        <v>0.61839590046167781</v>
      </c>
      <c r="O36" s="161"/>
      <c r="P36" s="161"/>
    </row>
    <row r="37" spans="1:16" x14ac:dyDescent="0.2">
      <c r="A37" s="165">
        <v>31</v>
      </c>
      <c r="B37" s="219" t="s">
        <v>109</v>
      </c>
      <c r="C37" s="219" t="s">
        <v>1399</v>
      </c>
      <c r="D37" s="219" t="s">
        <v>284</v>
      </c>
      <c r="E37" s="219" t="s">
        <v>971</v>
      </c>
      <c r="F37" s="191">
        <v>1521</v>
      </c>
      <c r="G37" s="191">
        <v>2581320.625</v>
      </c>
      <c r="H37" s="109">
        <v>1493</v>
      </c>
      <c r="I37" s="109">
        <v>1927025</v>
      </c>
      <c r="J37" s="159">
        <f t="shared" si="0"/>
        <v>0.98159105851413542</v>
      </c>
      <c r="K37" s="159">
        <f t="shared" si="1"/>
        <v>0.74652678994497246</v>
      </c>
      <c r="L37" s="159">
        <f t="shared" si="2"/>
        <v>0.29447731755424061</v>
      </c>
      <c r="M37" s="159">
        <f t="shared" si="3"/>
        <v>0.52256875296148064</v>
      </c>
      <c r="N37" s="160">
        <f t="shared" si="4"/>
        <v>0.8170460705157212</v>
      </c>
      <c r="O37" s="161"/>
      <c r="P37" s="161"/>
    </row>
    <row r="38" spans="1:16" x14ac:dyDescent="0.2">
      <c r="A38" s="165">
        <v>32</v>
      </c>
      <c r="B38" s="219" t="s">
        <v>117</v>
      </c>
      <c r="C38" s="219" t="s">
        <v>1399</v>
      </c>
      <c r="D38" s="219" t="s">
        <v>314</v>
      </c>
      <c r="E38" s="219" t="s">
        <v>315</v>
      </c>
      <c r="F38" s="191">
        <v>963</v>
      </c>
      <c r="G38" s="191">
        <v>1622549.925</v>
      </c>
      <c r="H38" s="109">
        <v>777</v>
      </c>
      <c r="I38" s="109">
        <v>1027485</v>
      </c>
      <c r="J38" s="159">
        <f t="shared" si="0"/>
        <v>0.80685358255451711</v>
      </c>
      <c r="K38" s="159">
        <f t="shared" si="1"/>
        <v>0.63325324180702791</v>
      </c>
      <c r="L38" s="159">
        <f t="shared" si="2"/>
        <v>0.24205607476635513</v>
      </c>
      <c r="M38" s="159">
        <f t="shared" si="3"/>
        <v>0.4432772692649195</v>
      </c>
      <c r="N38" s="160">
        <f t="shared" si="4"/>
        <v>0.68533334403127466</v>
      </c>
      <c r="O38" s="161"/>
      <c r="P38" s="161"/>
    </row>
    <row r="39" spans="1:16" x14ac:dyDescent="0.2">
      <c r="A39" s="165">
        <v>33</v>
      </c>
      <c r="B39" s="219" t="s">
        <v>117</v>
      </c>
      <c r="C39" s="219" t="s">
        <v>1399</v>
      </c>
      <c r="D39" s="219" t="s">
        <v>318</v>
      </c>
      <c r="E39" s="219" t="s">
        <v>317</v>
      </c>
      <c r="F39" s="191">
        <v>902</v>
      </c>
      <c r="G39" s="191">
        <v>1509541.925</v>
      </c>
      <c r="H39" s="109">
        <v>455</v>
      </c>
      <c r="I39" s="109">
        <v>632090</v>
      </c>
      <c r="J39" s="159">
        <f t="shared" si="0"/>
        <v>0.50443458980044342</v>
      </c>
      <c r="K39" s="159">
        <f t="shared" si="1"/>
        <v>0.41872967522912619</v>
      </c>
      <c r="L39" s="159">
        <f t="shared" si="2"/>
        <v>0.15133037694013302</v>
      </c>
      <c r="M39" s="159">
        <f t="shared" si="3"/>
        <v>0.29311077266038832</v>
      </c>
      <c r="N39" s="160">
        <f t="shared" si="4"/>
        <v>0.44444114960052133</v>
      </c>
      <c r="O39" s="161"/>
      <c r="P39" s="161"/>
    </row>
    <row r="40" spans="1:16" x14ac:dyDescent="0.2">
      <c r="A40" s="165">
        <v>34</v>
      </c>
      <c r="B40" s="219" t="s">
        <v>117</v>
      </c>
      <c r="C40" s="219" t="s">
        <v>1399</v>
      </c>
      <c r="D40" s="219" t="s">
        <v>316</v>
      </c>
      <c r="E40" s="219" t="s">
        <v>1337</v>
      </c>
      <c r="F40" s="191">
        <v>1204</v>
      </c>
      <c r="G40" s="191">
        <v>2086239.875</v>
      </c>
      <c r="H40" s="109">
        <v>1103</v>
      </c>
      <c r="I40" s="109">
        <v>1983085</v>
      </c>
      <c r="J40" s="159">
        <f t="shared" si="0"/>
        <v>0.91611295681063121</v>
      </c>
      <c r="K40" s="159">
        <f t="shared" si="1"/>
        <v>0.95055464319509275</v>
      </c>
      <c r="L40" s="159">
        <f t="shared" si="2"/>
        <v>0.27483388704318934</v>
      </c>
      <c r="M40" s="159">
        <f t="shared" si="3"/>
        <v>0.66538825023656489</v>
      </c>
      <c r="N40" s="160">
        <f t="shared" si="4"/>
        <v>0.94022213727975423</v>
      </c>
      <c r="O40" s="161"/>
      <c r="P40" s="161"/>
    </row>
    <row r="41" spans="1:16" x14ac:dyDescent="0.2">
      <c r="A41" s="165">
        <v>35</v>
      </c>
      <c r="B41" s="219" t="s">
        <v>119</v>
      </c>
      <c r="C41" s="219" t="s">
        <v>1399</v>
      </c>
      <c r="D41" s="219" t="s">
        <v>325</v>
      </c>
      <c r="E41" s="219" t="s">
        <v>1231</v>
      </c>
      <c r="F41" s="191">
        <v>2433</v>
      </c>
      <c r="G41" s="191">
        <v>4301530</v>
      </c>
      <c r="H41" s="109">
        <v>2090</v>
      </c>
      <c r="I41" s="109">
        <v>3138915</v>
      </c>
      <c r="J41" s="159">
        <f t="shared" si="0"/>
        <v>0.8590217838060008</v>
      </c>
      <c r="K41" s="159">
        <f t="shared" si="1"/>
        <v>0.7297205877908558</v>
      </c>
      <c r="L41" s="159">
        <f t="shared" si="2"/>
        <v>0.25770653514180025</v>
      </c>
      <c r="M41" s="159">
        <f t="shared" si="3"/>
        <v>0.51080441145359901</v>
      </c>
      <c r="N41" s="160">
        <f t="shared" si="4"/>
        <v>0.7685109465953992</v>
      </c>
      <c r="O41" s="161"/>
      <c r="P41" s="161"/>
    </row>
    <row r="42" spans="1:16" x14ac:dyDescent="0.2">
      <c r="A42" s="165">
        <v>36</v>
      </c>
      <c r="B42" s="219" t="s">
        <v>119</v>
      </c>
      <c r="C42" s="219" t="s">
        <v>1399</v>
      </c>
      <c r="D42" s="219" t="s">
        <v>327</v>
      </c>
      <c r="E42" s="219" t="s">
        <v>1324</v>
      </c>
      <c r="F42" s="191">
        <v>859</v>
      </c>
      <c r="G42" s="191">
        <v>1377146.35</v>
      </c>
      <c r="H42" s="109">
        <v>368</v>
      </c>
      <c r="I42" s="109">
        <v>530865</v>
      </c>
      <c r="J42" s="159">
        <f t="shared" si="0"/>
        <v>0.42840512223515714</v>
      </c>
      <c r="K42" s="159">
        <f t="shared" si="1"/>
        <v>0.38548190611694971</v>
      </c>
      <c r="L42" s="159">
        <f t="shared" si="2"/>
        <v>0.12852153667054714</v>
      </c>
      <c r="M42" s="159">
        <f t="shared" si="3"/>
        <v>0.26983733428186479</v>
      </c>
      <c r="N42" s="160">
        <f t="shared" si="4"/>
        <v>0.39835887095241196</v>
      </c>
      <c r="O42" s="161"/>
      <c r="P42" s="161"/>
    </row>
    <row r="43" spans="1:16" x14ac:dyDescent="0.2">
      <c r="A43" s="165">
        <v>37</v>
      </c>
      <c r="B43" s="219" t="s">
        <v>119</v>
      </c>
      <c r="C43" s="219" t="s">
        <v>1399</v>
      </c>
      <c r="D43" s="219" t="s">
        <v>328</v>
      </c>
      <c r="E43" s="219" t="s">
        <v>1232</v>
      </c>
      <c r="F43" s="191">
        <v>705</v>
      </c>
      <c r="G43" s="191">
        <v>1153245.0249999999</v>
      </c>
      <c r="H43" s="109">
        <v>1000</v>
      </c>
      <c r="I43" s="109">
        <v>1210775</v>
      </c>
      <c r="J43" s="159">
        <f t="shared" si="0"/>
        <v>1.4184397163120568</v>
      </c>
      <c r="K43" s="159">
        <f t="shared" si="1"/>
        <v>1.0498853008275497</v>
      </c>
      <c r="L43" s="159">
        <f t="shared" si="2"/>
        <v>0.3</v>
      </c>
      <c r="M43" s="159">
        <f t="shared" si="3"/>
        <v>0.7</v>
      </c>
      <c r="N43" s="160">
        <f t="shared" si="4"/>
        <v>1</v>
      </c>
      <c r="O43" s="161"/>
      <c r="P43" s="161"/>
    </row>
    <row r="44" spans="1:16" x14ac:dyDescent="0.2">
      <c r="A44" s="165">
        <v>38</v>
      </c>
      <c r="B44" s="219" t="s">
        <v>118</v>
      </c>
      <c r="C44" s="219" t="s">
        <v>1399</v>
      </c>
      <c r="D44" s="219" t="s">
        <v>319</v>
      </c>
      <c r="E44" s="219" t="s">
        <v>320</v>
      </c>
      <c r="F44" s="191">
        <v>1453</v>
      </c>
      <c r="G44" s="191">
        <v>2660701.6</v>
      </c>
      <c r="H44" s="109">
        <v>1144</v>
      </c>
      <c r="I44" s="109">
        <v>1889375</v>
      </c>
      <c r="J44" s="159">
        <f t="shared" si="0"/>
        <v>0.78733654507914663</v>
      </c>
      <c r="K44" s="159">
        <f t="shared" si="1"/>
        <v>0.71010405676457666</v>
      </c>
      <c r="L44" s="159">
        <f t="shared" si="2"/>
        <v>0.23620096352374398</v>
      </c>
      <c r="M44" s="159">
        <f t="shared" si="3"/>
        <v>0.49707283973520361</v>
      </c>
      <c r="N44" s="160">
        <f t="shared" si="4"/>
        <v>0.73327380325894764</v>
      </c>
      <c r="O44" s="161"/>
      <c r="P44" s="161"/>
    </row>
    <row r="45" spans="1:16" x14ac:dyDescent="0.2">
      <c r="A45" s="165">
        <v>39</v>
      </c>
      <c r="B45" s="221" t="s">
        <v>118</v>
      </c>
      <c r="C45" s="222" t="s">
        <v>1399</v>
      </c>
      <c r="D45" s="219" t="s">
        <v>321</v>
      </c>
      <c r="E45" s="223" t="s">
        <v>1338</v>
      </c>
      <c r="F45" s="192">
        <v>2316</v>
      </c>
      <c r="G45" s="191">
        <v>3881821.6</v>
      </c>
      <c r="H45" s="109">
        <v>2522</v>
      </c>
      <c r="I45" s="109">
        <v>3760895</v>
      </c>
      <c r="J45" s="159">
        <f t="shared" si="0"/>
        <v>1.0889464594127807</v>
      </c>
      <c r="K45" s="159">
        <f t="shared" si="1"/>
        <v>0.96884797590904226</v>
      </c>
      <c r="L45" s="159">
        <f t="shared" si="2"/>
        <v>0.3</v>
      </c>
      <c r="M45" s="159">
        <f t="shared" si="3"/>
        <v>0.67819358313632949</v>
      </c>
      <c r="N45" s="160">
        <f t="shared" si="4"/>
        <v>0.97819358313632954</v>
      </c>
      <c r="O45" s="161"/>
      <c r="P45" s="161"/>
    </row>
    <row r="46" spans="1:16" x14ac:dyDescent="0.2">
      <c r="A46" s="165">
        <v>40</v>
      </c>
      <c r="B46" s="221" t="s">
        <v>118</v>
      </c>
      <c r="C46" s="222" t="s">
        <v>1399</v>
      </c>
      <c r="D46" s="219" t="s">
        <v>323</v>
      </c>
      <c r="E46" s="223" t="s">
        <v>324</v>
      </c>
      <c r="F46" s="192">
        <v>2379</v>
      </c>
      <c r="G46" s="191">
        <v>3996334.125</v>
      </c>
      <c r="H46" s="109">
        <v>2654</v>
      </c>
      <c r="I46" s="109">
        <v>3860175</v>
      </c>
      <c r="J46" s="159">
        <f t="shared" si="0"/>
        <v>1.1155947877259353</v>
      </c>
      <c r="K46" s="159">
        <f t="shared" si="1"/>
        <v>0.96592899373747931</v>
      </c>
      <c r="L46" s="159">
        <f t="shared" si="2"/>
        <v>0.3</v>
      </c>
      <c r="M46" s="159">
        <f t="shared" si="3"/>
        <v>0.67615029561623552</v>
      </c>
      <c r="N46" s="160">
        <f t="shared" si="4"/>
        <v>0.97615029561623556</v>
      </c>
      <c r="O46" s="161"/>
      <c r="P46" s="161"/>
    </row>
    <row r="47" spans="1:16" x14ac:dyDescent="0.2">
      <c r="A47" s="165">
        <v>41</v>
      </c>
      <c r="B47" s="221" t="s">
        <v>1512</v>
      </c>
      <c r="C47" s="222" t="s">
        <v>1399</v>
      </c>
      <c r="D47" s="219" t="s">
        <v>1159</v>
      </c>
      <c r="E47" s="223" t="s">
        <v>361</v>
      </c>
      <c r="F47" s="192">
        <v>2489</v>
      </c>
      <c r="G47" s="191">
        <v>3889265.9</v>
      </c>
      <c r="H47" s="109">
        <v>2492</v>
      </c>
      <c r="I47" s="109">
        <v>3340150</v>
      </c>
      <c r="J47" s="159">
        <f t="shared" si="0"/>
        <v>1.0012053033346726</v>
      </c>
      <c r="K47" s="159">
        <f t="shared" si="1"/>
        <v>0.85881245609872037</v>
      </c>
      <c r="L47" s="159">
        <f t="shared" si="2"/>
        <v>0.3</v>
      </c>
      <c r="M47" s="159">
        <f t="shared" si="3"/>
        <v>0.6011687192691042</v>
      </c>
      <c r="N47" s="160">
        <f t="shared" si="4"/>
        <v>0.90116871926910425</v>
      </c>
      <c r="O47" s="161"/>
      <c r="P47" s="161"/>
    </row>
    <row r="48" spans="1:16" x14ac:dyDescent="0.2">
      <c r="A48" s="165">
        <v>42</v>
      </c>
      <c r="B48" s="221" t="s">
        <v>1512</v>
      </c>
      <c r="C48" s="222" t="s">
        <v>1399</v>
      </c>
      <c r="D48" s="219" t="s">
        <v>1160</v>
      </c>
      <c r="E48" s="223" t="s">
        <v>985</v>
      </c>
      <c r="F48" s="192">
        <v>2158</v>
      </c>
      <c r="G48" s="191">
        <v>3648791.2749999999</v>
      </c>
      <c r="H48" s="109">
        <v>1812</v>
      </c>
      <c r="I48" s="109">
        <v>2713945</v>
      </c>
      <c r="J48" s="159">
        <f t="shared" si="0"/>
        <v>0.83966635773864684</v>
      </c>
      <c r="K48" s="159">
        <f t="shared" si="1"/>
        <v>0.74379288796123311</v>
      </c>
      <c r="L48" s="159">
        <f t="shared" si="2"/>
        <v>0.25189990732159406</v>
      </c>
      <c r="M48" s="159">
        <f t="shared" si="3"/>
        <v>0.52065502157286314</v>
      </c>
      <c r="N48" s="160">
        <f t="shared" si="4"/>
        <v>0.7725549288944572</v>
      </c>
      <c r="O48" s="161"/>
      <c r="P48" s="161"/>
    </row>
    <row r="49" spans="1:16" x14ac:dyDescent="0.2">
      <c r="A49" s="165">
        <v>43</v>
      </c>
      <c r="B49" s="221" t="s">
        <v>1512</v>
      </c>
      <c r="C49" s="222" t="s">
        <v>1399</v>
      </c>
      <c r="D49" s="219" t="s">
        <v>1158</v>
      </c>
      <c r="E49" s="223" t="s">
        <v>1238</v>
      </c>
      <c r="F49" s="192">
        <v>3163</v>
      </c>
      <c r="G49" s="191">
        <v>5826638.7750000004</v>
      </c>
      <c r="H49" s="109">
        <v>3438</v>
      </c>
      <c r="I49" s="109">
        <v>6198045</v>
      </c>
      <c r="J49" s="159">
        <f t="shared" si="0"/>
        <v>1.0869427758457162</v>
      </c>
      <c r="K49" s="159">
        <f t="shared" si="1"/>
        <v>1.0637427922584748</v>
      </c>
      <c r="L49" s="159">
        <f t="shared" si="2"/>
        <v>0.3</v>
      </c>
      <c r="M49" s="159">
        <f t="shared" si="3"/>
        <v>0.7</v>
      </c>
      <c r="N49" s="160">
        <f t="shared" si="4"/>
        <v>1</v>
      </c>
      <c r="O49" s="161"/>
      <c r="P49" s="161"/>
    </row>
    <row r="50" spans="1:16" x14ac:dyDescent="0.2">
      <c r="A50" s="165">
        <v>44</v>
      </c>
      <c r="B50" s="221" t="s">
        <v>110</v>
      </c>
      <c r="C50" s="222" t="s">
        <v>1399</v>
      </c>
      <c r="D50" s="219" t="s">
        <v>287</v>
      </c>
      <c r="E50" s="223" t="s">
        <v>288</v>
      </c>
      <c r="F50" s="192">
        <v>1626</v>
      </c>
      <c r="G50" s="191">
        <v>2731014.05</v>
      </c>
      <c r="H50" s="109">
        <v>1389</v>
      </c>
      <c r="I50" s="109">
        <v>2527720</v>
      </c>
      <c r="J50" s="159">
        <f t="shared" si="0"/>
        <v>0.85424354243542433</v>
      </c>
      <c r="K50" s="159">
        <f t="shared" si="1"/>
        <v>0.92556096516603426</v>
      </c>
      <c r="L50" s="159">
        <f t="shared" si="2"/>
        <v>0.25627306273062728</v>
      </c>
      <c r="M50" s="159">
        <f t="shared" si="3"/>
        <v>0.64789267561622399</v>
      </c>
      <c r="N50" s="160">
        <f t="shared" si="4"/>
        <v>0.90416573834685132</v>
      </c>
      <c r="O50" s="161"/>
      <c r="P50" s="161"/>
    </row>
    <row r="51" spans="1:16" x14ac:dyDescent="0.2">
      <c r="A51" s="165">
        <v>45</v>
      </c>
      <c r="B51" s="223" t="s">
        <v>110</v>
      </c>
      <c r="C51" s="222" t="s">
        <v>1399</v>
      </c>
      <c r="D51" s="219" t="s">
        <v>291</v>
      </c>
      <c r="E51" s="223" t="s">
        <v>1282</v>
      </c>
      <c r="F51" s="192">
        <v>1780</v>
      </c>
      <c r="G51" s="191">
        <v>2975458.375</v>
      </c>
      <c r="H51" s="109">
        <v>1271</v>
      </c>
      <c r="I51" s="109">
        <v>2176165</v>
      </c>
      <c r="J51" s="159">
        <f t="shared" si="0"/>
        <v>0.71404494382022476</v>
      </c>
      <c r="K51" s="159">
        <f t="shared" si="1"/>
        <v>0.73137134711219076</v>
      </c>
      <c r="L51" s="159">
        <f t="shared" si="2"/>
        <v>0.21421348314606742</v>
      </c>
      <c r="M51" s="159">
        <f t="shared" si="3"/>
        <v>0.51195994297853353</v>
      </c>
      <c r="N51" s="160">
        <f t="shared" si="4"/>
        <v>0.7261734261246009</v>
      </c>
      <c r="O51" s="161"/>
      <c r="P51" s="161"/>
    </row>
    <row r="52" spans="1:16" x14ac:dyDescent="0.2">
      <c r="A52" s="165">
        <v>46</v>
      </c>
      <c r="B52" s="223" t="s">
        <v>110</v>
      </c>
      <c r="C52" s="222" t="s">
        <v>1399</v>
      </c>
      <c r="D52" s="219" t="s">
        <v>295</v>
      </c>
      <c r="E52" s="223" t="s">
        <v>1494</v>
      </c>
      <c r="F52" s="192">
        <v>1028</v>
      </c>
      <c r="G52" s="191">
        <v>1814043.6</v>
      </c>
      <c r="H52" s="109">
        <v>715</v>
      </c>
      <c r="I52" s="109">
        <v>1061755</v>
      </c>
      <c r="J52" s="159">
        <f t="shared" si="0"/>
        <v>0.69552529182879375</v>
      </c>
      <c r="K52" s="159">
        <f t="shared" si="1"/>
        <v>0.58529739858512764</v>
      </c>
      <c r="L52" s="159">
        <f t="shared" si="2"/>
        <v>0.20865758754863811</v>
      </c>
      <c r="M52" s="159">
        <f t="shared" si="3"/>
        <v>0.40970817900958933</v>
      </c>
      <c r="N52" s="160">
        <f t="shared" si="4"/>
        <v>0.61836576655822739</v>
      </c>
      <c r="O52" s="161"/>
      <c r="P52" s="161"/>
    </row>
    <row r="53" spans="1:16" x14ac:dyDescent="0.2">
      <c r="A53" s="165">
        <v>47</v>
      </c>
      <c r="B53" s="223" t="s">
        <v>110</v>
      </c>
      <c r="C53" s="222" t="s">
        <v>1399</v>
      </c>
      <c r="D53" s="219" t="s">
        <v>297</v>
      </c>
      <c r="E53" s="223" t="s">
        <v>1131</v>
      </c>
      <c r="F53" s="192">
        <v>1240</v>
      </c>
      <c r="G53" s="191">
        <v>2079760.7749999999</v>
      </c>
      <c r="H53" s="109">
        <v>1250</v>
      </c>
      <c r="I53" s="109">
        <v>1748535</v>
      </c>
      <c r="J53" s="159">
        <f t="shared" si="0"/>
        <v>1.0080645161290323</v>
      </c>
      <c r="K53" s="159">
        <f t="shared" si="1"/>
        <v>0.84073852195813248</v>
      </c>
      <c r="L53" s="159">
        <f t="shared" si="2"/>
        <v>0.3</v>
      </c>
      <c r="M53" s="159">
        <f t="shared" si="3"/>
        <v>0.58851696537069265</v>
      </c>
      <c r="N53" s="160">
        <f t="shared" si="4"/>
        <v>0.88851696537069258</v>
      </c>
      <c r="O53" s="161"/>
      <c r="P53" s="161"/>
    </row>
    <row r="54" spans="1:16" x14ac:dyDescent="0.2">
      <c r="A54" s="165">
        <v>48</v>
      </c>
      <c r="B54" s="223" t="s">
        <v>110</v>
      </c>
      <c r="C54" s="222" t="s">
        <v>1399</v>
      </c>
      <c r="D54" s="219" t="s">
        <v>289</v>
      </c>
      <c r="E54" s="223" t="s">
        <v>1318</v>
      </c>
      <c r="F54" s="192">
        <v>1161</v>
      </c>
      <c r="G54" s="191">
        <v>1937398.3</v>
      </c>
      <c r="H54" s="109">
        <v>1065</v>
      </c>
      <c r="I54" s="109">
        <v>1653300</v>
      </c>
      <c r="J54" s="159">
        <f t="shared" si="0"/>
        <v>0.91731266149870805</v>
      </c>
      <c r="K54" s="159">
        <f t="shared" si="1"/>
        <v>0.85336092222234317</v>
      </c>
      <c r="L54" s="159">
        <f t="shared" si="2"/>
        <v>0.27519379844961239</v>
      </c>
      <c r="M54" s="159">
        <f t="shared" si="3"/>
        <v>0.59735264555564016</v>
      </c>
      <c r="N54" s="160">
        <f t="shared" si="4"/>
        <v>0.87254644400525261</v>
      </c>
      <c r="O54" s="161"/>
      <c r="P54" s="161"/>
    </row>
    <row r="55" spans="1:16" x14ac:dyDescent="0.2">
      <c r="A55" s="165">
        <v>49</v>
      </c>
      <c r="B55" s="223" t="s">
        <v>110</v>
      </c>
      <c r="C55" s="222" t="s">
        <v>1399</v>
      </c>
      <c r="D55" s="219" t="s">
        <v>293</v>
      </c>
      <c r="E55" s="223" t="s">
        <v>1375</v>
      </c>
      <c r="F55" s="192">
        <v>974</v>
      </c>
      <c r="G55" s="191">
        <v>1831760.85</v>
      </c>
      <c r="H55" s="109">
        <v>447</v>
      </c>
      <c r="I55" s="109">
        <v>719995</v>
      </c>
      <c r="J55" s="159">
        <f t="shared" si="0"/>
        <v>0.45893223819301848</v>
      </c>
      <c r="K55" s="159">
        <f t="shared" si="1"/>
        <v>0.39306168160543442</v>
      </c>
      <c r="L55" s="159">
        <f t="shared" si="2"/>
        <v>0.13767967145790555</v>
      </c>
      <c r="M55" s="159">
        <f t="shared" si="3"/>
        <v>0.27514317712380409</v>
      </c>
      <c r="N55" s="160">
        <f t="shared" si="4"/>
        <v>0.41282284858170964</v>
      </c>
      <c r="O55" s="161"/>
      <c r="P55" s="161"/>
    </row>
    <row r="56" spans="1:16" x14ac:dyDescent="0.2">
      <c r="A56" s="165">
        <v>50</v>
      </c>
      <c r="B56" s="223" t="s">
        <v>114</v>
      </c>
      <c r="C56" s="222" t="s">
        <v>1399</v>
      </c>
      <c r="D56" s="219" t="s">
        <v>1297</v>
      </c>
      <c r="E56" s="223" t="s">
        <v>1298</v>
      </c>
      <c r="F56" s="192">
        <v>1971</v>
      </c>
      <c r="G56" s="191">
        <v>4254300.8</v>
      </c>
      <c r="H56" s="109">
        <v>2005</v>
      </c>
      <c r="I56" s="109">
        <v>3744550</v>
      </c>
      <c r="J56" s="159">
        <f t="shared" si="0"/>
        <v>1.017250126839168</v>
      </c>
      <c r="K56" s="159">
        <f t="shared" si="1"/>
        <v>0.88017988760926358</v>
      </c>
      <c r="L56" s="159">
        <f t="shared" si="2"/>
        <v>0.3</v>
      </c>
      <c r="M56" s="159">
        <f t="shared" si="3"/>
        <v>0.61612592132648447</v>
      </c>
      <c r="N56" s="160">
        <f t="shared" si="4"/>
        <v>0.91612592132648452</v>
      </c>
      <c r="O56" s="161"/>
      <c r="P56" s="161"/>
    </row>
    <row r="57" spans="1:16" x14ac:dyDescent="0.2">
      <c r="A57" s="165">
        <v>51</v>
      </c>
      <c r="B57" s="223" t="s">
        <v>114</v>
      </c>
      <c r="C57" s="222" t="s">
        <v>1399</v>
      </c>
      <c r="D57" s="219" t="s">
        <v>1044</v>
      </c>
      <c r="E57" s="223" t="s">
        <v>312</v>
      </c>
      <c r="F57" s="192">
        <v>1617</v>
      </c>
      <c r="G57" s="191">
        <v>2344509.7749999999</v>
      </c>
      <c r="H57" s="109">
        <v>1147</v>
      </c>
      <c r="I57" s="109">
        <v>1927750</v>
      </c>
      <c r="J57" s="159">
        <f t="shared" si="0"/>
        <v>0.70933828076685224</v>
      </c>
      <c r="K57" s="159">
        <f t="shared" si="1"/>
        <v>0.8222401205386316</v>
      </c>
      <c r="L57" s="159">
        <f t="shared" si="2"/>
        <v>0.21280148423005565</v>
      </c>
      <c r="M57" s="159">
        <f t="shared" si="3"/>
        <v>0.5755680843770421</v>
      </c>
      <c r="N57" s="160">
        <f t="shared" si="4"/>
        <v>0.78836956860709773</v>
      </c>
      <c r="O57" s="161"/>
      <c r="P57" s="161"/>
    </row>
    <row r="58" spans="1:16" x14ac:dyDescent="0.2">
      <c r="A58" s="165">
        <v>52</v>
      </c>
      <c r="B58" s="223" t="s">
        <v>114</v>
      </c>
      <c r="C58" s="222" t="s">
        <v>1399</v>
      </c>
      <c r="D58" s="219" t="s">
        <v>1043</v>
      </c>
      <c r="E58" s="223" t="s">
        <v>1280</v>
      </c>
      <c r="F58" s="192">
        <v>1941</v>
      </c>
      <c r="G58" s="191">
        <v>2860106.5249999999</v>
      </c>
      <c r="H58" s="109">
        <v>1237</v>
      </c>
      <c r="I58" s="109">
        <v>2440140</v>
      </c>
      <c r="J58" s="159">
        <f t="shared" si="0"/>
        <v>0.63730036063884599</v>
      </c>
      <c r="K58" s="159">
        <f t="shared" si="1"/>
        <v>0.85316402681889625</v>
      </c>
      <c r="L58" s="159">
        <f t="shared" si="2"/>
        <v>0.1911901081916538</v>
      </c>
      <c r="M58" s="159">
        <f t="shared" si="3"/>
        <v>0.59721481877322735</v>
      </c>
      <c r="N58" s="160">
        <f t="shared" si="4"/>
        <v>0.78840492696488118</v>
      </c>
      <c r="O58" s="161"/>
      <c r="P58" s="161"/>
    </row>
    <row r="59" spans="1:16" x14ac:dyDescent="0.2">
      <c r="A59" s="165">
        <v>53</v>
      </c>
      <c r="B59" s="223" t="s">
        <v>1046</v>
      </c>
      <c r="C59" s="222" t="s">
        <v>1399</v>
      </c>
      <c r="D59" s="219" t="s">
        <v>1156</v>
      </c>
      <c r="E59" s="223" t="s">
        <v>1299</v>
      </c>
      <c r="F59" s="192">
        <v>1263</v>
      </c>
      <c r="G59" s="191">
        <v>1963493.9</v>
      </c>
      <c r="H59" s="109">
        <v>1534</v>
      </c>
      <c r="I59" s="109">
        <v>1834760</v>
      </c>
      <c r="J59" s="159">
        <f t="shared" si="0"/>
        <v>1.2145684877276326</v>
      </c>
      <c r="K59" s="159">
        <f t="shared" si="1"/>
        <v>0.93443631273822658</v>
      </c>
      <c r="L59" s="159">
        <f t="shared" si="2"/>
        <v>0.3</v>
      </c>
      <c r="M59" s="159">
        <f t="shared" si="3"/>
        <v>0.65410541891675855</v>
      </c>
      <c r="N59" s="160">
        <f t="shared" si="4"/>
        <v>0.9541054189167586</v>
      </c>
      <c r="O59" s="161"/>
      <c r="P59" s="161"/>
    </row>
    <row r="60" spans="1:16" x14ac:dyDescent="0.2">
      <c r="A60" s="165">
        <v>54</v>
      </c>
      <c r="B60" s="223" t="s">
        <v>1046</v>
      </c>
      <c r="C60" s="222" t="s">
        <v>1399</v>
      </c>
      <c r="D60" s="219" t="s">
        <v>1157</v>
      </c>
      <c r="E60" s="223" t="s">
        <v>1281</v>
      </c>
      <c r="F60" s="192">
        <v>1254</v>
      </c>
      <c r="G60" s="191">
        <v>2351948.2250000001</v>
      </c>
      <c r="H60" s="109">
        <v>1438</v>
      </c>
      <c r="I60" s="109">
        <v>1928340</v>
      </c>
      <c r="J60" s="159">
        <f t="shared" si="0"/>
        <v>1.1467304625199362</v>
      </c>
      <c r="K60" s="159">
        <f t="shared" si="1"/>
        <v>0.819890497376914</v>
      </c>
      <c r="L60" s="159">
        <f t="shared" si="2"/>
        <v>0.3</v>
      </c>
      <c r="M60" s="159">
        <f t="shared" si="3"/>
        <v>0.57392334816383972</v>
      </c>
      <c r="N60" s="160">
        <f t="shared" si="4"/>
        <v>0.87392334816383976</v>
      </c>
      <c r="O60" s="161"/>
      <c r="P60" s="161"/>
    </row>
    <row r="61" spans="1:16" x14ac:dyDescent="0.2">
      <c r="A61" s="165">
        <v>55</v>
      </c>
      <c r="B61" s="223" t="s">
        <v>1126</v>
      </c>
      <c r="C61" s="222" t="s">
        <v>1399</v>
      </c>
      <c r="D61" s="219" t="s">
        <v>242</v>
      </c>
      <c r="E61" s="223" t="s">
        <v>1474</v>
      </c>
      <c r="F61" s="192">
        <v>1648</v>
      </c>
      <c r="G61" s="191">
        <v>2863754.6749999998</v>
      </c>
      <c r="H61" s="109">
        <v>1371</v>
      </c>
      <c r="I61" s="109">
        <v>2442050</v>
      </c>
      <c r="J61" s="159">
        <f t="shared" si="0"/>
        <v>0.83191747572815533</v>
      </c>
      <c r="K61" s="159">
        <f t="shared" si="1"/>
        <v>0.85274413388779546</v>
      </c>
      <c r="L61" s="159">
        <f t="shared" si="2"/>
        <v>0.24957524271844658</v>
      </c>
      <c r="M61" s="159">
        <f t="shared" si="3"/>
        <v>0.59692089372145674</v>
      </c>
      <c r="N61" s="160">
        <f t="shared" si="4"/>
        <v>0.84649613643990329</v>
      </c>
      <c r="O61" s="161"/>
      <c r="P61" s="161"/>
    </row>
    <row r="62" spans="1:16" x14ac:dyDescent="0.2">
      <c r="A62" s="165">
        <v>56</v>
      </c>
      <c r="B62" s="223" t="s">
        <v>1126</v>
      </c>
      <c r="C62" s="222" t="s">
        <v>1399</v>
      </c>
      <c r="D62" s="219" t="s">
        <v>243</v>
      </c>
      <c r="E62" s="223" t="s">
        <v>1275</v>
      </c>
      <c r="F62" s="192">
        <v>1432</v>
      </c>
      <c r="G62" s="191">
        <v>2455779.15</v>
      </c>
      <c r="H62" s="109">
        <v>1127</v>
      </c>
      <c r="I62" s="109">
        <v>2328575</v>
      </c>
      <c r="J62" s="159">
        <f t="shared" si="0"/>
        <v>0.78701117318435754</v>
      </c>
      <c r="K62" s="159">
        <f t="shared" si="1"/>
        <v>0.94820212151406214</v>
      </c>
      <c r="L62" s="159">
        <f t="shared" si="2"/>
        <v>0.23610335195530724</v>
      </c>
      <c r="M62" s="159">
        <f t="shared" si="3"/>
        <v>0.66374148505984343</v>
      </c>
      <c r="N62" s="160">
        <f t="shared" si="4"/>
        <v>0.89984483701515061</v>
      </c>
      <c r="O62" s="161"/>
      <c r="P62" s="161"/>
    </row>
    <row r="63" spans="1:16" x14ac:dyDescent="0.2">
      <c r="A63" s="165">
        <v>57</v>
      </c>
      <c r="B63" s="223" t="s">
        <v>1126</v>
      </c>
      <c r="C63" s="222" t="s">
        <v>1399</v>
      </c>
      <c r="D63" s="219" t="s">
        <v>241</v>
      </c>
      <c r="E63" s="223" t="s">
        <v>1276</v>
      </c>
      <c r="F63" s="192">
        <v>728</v>
      </c>
      <c r="G63" s="191">
        <v>1183944.6499999999</v>
      </c>
      <c r="H63" s="109">
        <v>1121</v>
      </c>
      <c r="I63" s="109">
        <v>1736110</v>
      </c>
      <c r="J63" s="159">
        <f t="shared" si="0"/>
        <v>1.5398351648351649</v>
      </c>
      <c r="K63" s="159">
        <f t="shared" si="1"/>
        <v>1.4663776723008124</v>
      </c>
      <c r="L63" s="159">
        <f t="shared" si="2"/>
        <v>0.3</v>
      </c>
      <c r="M63" s="159">
        <f t="shared" si="3"/>
        <v>0.7</v>
      </c>
      <c r="N63" s="160">
        <f t="shared" si="4"/>
        <v>1</v>
      </c>
      <c r="O63" s="161"/>
      <c r="P63" s="161"/>
    </row>
    <row r="64" spans="1:16" x14ac:dyDescent="0.2">
      <c r="A64" s="165">
        <v>58</v>
      </c>
      <c r="B64" s="223" t="s">
        <v>121</v>
      </c>
      <c r="C64" s="222" t="s">
        <v>1399</v>
      </c>
      <c r="D64" s="219" t="s">
        <v>235</v>
      </c>
      <c r="E64" s="223" t="s">
        <v>1274</v>
      </c>
      <c r="F64" s="192">
        <v>2607</v>
      </c>
      <c r="G64" s="191">
        <v>4468012.5</v>
      </c>
      <c r="H64" s="109">
        <v>2825</v>
      </c>
      <c r="I64" s="109">
        <v>5522910</v>
      </c>
      <c r="J64" s="159">
        <f t="shared" si="0"/>
        <v>1.0836210203298811</v>
      </c>
      <c r="K64" s="159">
        <f t="shared" si="1"/>
        <v>1.2360999437669433</v>
      </c>
      <c r="L64" s="159">
        <f t="shared" si="2"/>
        <v>0.3</v>
      </c>
      <c r="M64" s="159">
        <f t="shared" si="3"/>
        <v>0.7</v>
      </c>
      <c r="N64" s="160">
        <f t="shared" si="4"/>
        <v>1</v>
      </c>
      <c r="O64" s="161"/>
      <c r="P64" s="161"/>
    </row>
    <row r="65" spans="1:16" x14ac:dyDescent="0.2">
      <c r="A65" s="165">
        <v>59</v>
      </c>
      <c r="B65" s="223" t="s">
        <v>121</v>
      </c>
      <c r="C65" s="222" t="s">
        <v>1399</v>
      </c>
      <c r="D65" s="219" t="s">
        <v>238</v>
      </c>
      <c r="E65" s="223" t="s">
        <v>1294</v>
      </c>
      <c r="F65" s="192">
        <v>1197</v>
      </c>
      <c r="G65" s="191">
        <v>2012621.35</v>
      </c>
      <c r="H65" s="109">
        <v>1556</v>
      </c>
      <c r="I65" s="109">
        <v>2472050</v>
      </c>
      <c r="J65" s="159">
        <f t="shared" si="0"/>
        <v>1.2999164578111946</v>
      </c>
      <c r="K65" s="159">
        <f t="shared" si="1"/>
        <v>1.2282737634677283</v>
      </c>
      <c r="L65" s="159">
        <f t="shared" si="2"/>
        <v>0.3</v>
      </c>
      <c r="M65" s="159">
        <f t="shared" si="3"/>
        <v>0.7</v>
      </c>
      <c r="N65" s="160">
        <f t="shared" si="4"/>
        <v>1</v>
      </c>
      <c r="O65" s="161"/>
      <c r="P65" s="161"/>
    </row>
    <row r="66" spans="1:16" x14ac:dyDescent="0.2">
      <c r="A66" s="165">
        <v>60</v>
      </c>
      <c r="B66" s="223" t="s">
        <v>121</v>
      </c>
      <c r="C66" s="222" t="s">
        <v>1399</v>
      </c>
      <c r="D66" s="219" t="s">
        <v>240</v>
      </c>
      <c r="E66" s="223" t="s">
        <v>1323</v>
      </c>
      <c r="F66" s="192">
        <v>1145</v>
      </c>
      <c r="G66" s="191">
        <v>1954627.925</v>
      </c>
      <c r="H66" s="109">
        <v>1443</v>
      </c>
      <c r="I66" s="109">
        <v>2514890</v>
      </c>
      <c r="J66" s="159">
        <f t="shared" si="0"/>
        <v>1.2602620087336245</v>
      </c>
      <c r="K66" s="159">
        <f t="shared" si="1"/>
        <v>1.2866336185184708</v>
      </c>
      <c r="L66" s="159">
        <f t="shared" si="2"/>
        <v>0.3</v>
      </c>
      <c r="M66" s="159">
        <f t="shared" si="3"/>
        <v>0.7</v>
      </c>
      <c r="N66" s="160">
        <f t="shared" si="4"/>
        <v>1</v>
      </c>
      <c r="O66" s="161"/>
      <c r="P66" s="161"/>
    </row>
    <row r="67" spans="1:16" x14ac:dyDescent="0.2">
      <c r="A67" s="165">
        <v>61</v>
      </c>
      <c r="B67" s="223" t="s">
        <v>121</v>
      </c>
      <c r="C67" s="222" t="s">
        <v>1399</v>
      </c>
      <c r="D67" s="219" t="s">
        <v>237</v>
      </c>
      <c r="E67" s="223" t="s">
        <v>982</v>
      </c>
      <c r="F67" s="192">
        <v>1075</v>
      </c>
      <c r="G67" s="191">
        <v>1867591.65</v>
      </c>
      <c r="H67" s="109">
        <v>1256</v>
      </c>
      <c r="I67" s="109">
        <v>2490590</v>
      </c>
      <c r="J67" s="159">
        <f t="shared" si="0"/>
        <v>1.1683720930232557</v>
      </c>
      <c r="K67" s="159">
        <f t="shared" si="1"/>
        <v>1.3335838163551439</v>
      </c>
      <c r="L67" s="159">
        <f t="shared" si="2"/>
        <v>0.3</v>
      </c>
      <c r="M67" s="159">
        <f t="shared" si="3"/>
        <v>0.7</v>
      </c>
      <c r="N67" s="160">
        <f t="shared" si="4"/>
        <v>1</v>
      </c>
      <c r="O67" s="161"/>
      <c r="P67" s="161"/>
    </row>
    <row r="68" spans="1:16" x14ac:dyDescent="0.2">
      <c r="A68" s="165">
        <v>62</v>
      </c>
      <c r="B68" s="223" t="s">
        <v>116</v>
      </c>
      <c r="C68" s="222" t="s">
        <v>1399</v>
      </c>
      <c r="D68" s="219" t="s">
        <v>1161</v>
      </c>
      <c r="E68" s="223" t="s">
        <v>1277</v>
      </c>
      <c r="F68" s="192">
        <v>1897</v>
      </c>
      <c r="G68" s="191">
        <v>3140723.125</v>
      </c>
      <c r="H68" s="109">
        <v>1006</v>
      </c>
      <c r="I68" s="109">
        <v>1652775</v>
      </c>
      <c r="J68" s="159">
        <f t="shared" si="0"/>
        <v>0.53031101739588826</v>
      </c>
      <c r="K68" s="159">
        <f t="shared" si="1"/>
        <v>0.52624027468196521</v>
      </c>
      <c r="L68" s="159">
        <f t="shared" si="2"/>
        <v>0.15909330521876647</v>
      </c>
      <c r="M68" s="159">
        <f t="shared" si="3"/>
        <v>0.36836819227737561</v>
      </c>
      <c r="N68" s="160">
        <f t="shared" si="4"/>
        <v>0.52746149749614202</v>
      </c>
      <c r="O68" s="161"/>
      <c r="P68" s="161"/>
    </row>
    <row r="69" spans="1:16" x14ac:dyDescent="0.2">
      <c r="A69" s="165">
        <v>63</v>
      </c>
      <c r="B69" s="223" t="s">
        <v>116</v>
      </c>
      <c r="C69" s="222" t="s">
        <v>1399</v>
      </c>
      <c r="D69" s="219" t="s">
        <v>1162</v>
      </c>
      <c r="E69" s="223" t="s">
        <v>1278</v>
      </c>
      <c r="F69" s="192">
        <v>2571</v>
      </c>
      <c r="G69" s="191">
        <v>4634472.375</v>
      </c>
      <c r="H69" s="109">
        <v>1635</v>
      </c>
      <c r="I69" s="109">
        <v>2762150</v>
      </c>
      <c r="J69" s="159">
        <f t="shared" si="0"/>
        <v>0.6359393232205367</v>
      </c>
      <c r="K69" s="159">
        <f t="shared" si="1"/>
        <v>0.59600096332433095</v>
      </c>
      <c r="L69" s="159">
        <f t="shared" si="2"/>
        <v>0.19078179696616102</v>
      </c>
      <c r="M69" s="159">
        <f t="shared" si="3"/>
        <v>0.41720067432703162</v>
      </c>
      <c r="N69" s="160">
        <f t="shared" si="4"/>
        <v>0.60798247129319261</v>
      </c>
      <c r="O69" s="161"/>
      <c r="P69" s="161"/>
    </row>
    <row r="70" spans="1:16" x14ac:dyDescent="0.2">
      <c r="A70" s="165">
        <v>64</v>
      </c>
      <c r="B70" s="223" t="s">
        <v>116</v>
      </c>
      <c r="C70" s="222" t="s">
        <v>1399</v>
      </c>
      <c r="D70" s="219" t="s">
        <v>1163</v>
      </c>
      <c r="E70" s="223" t="s">
        <v>1279</v>
      </c>
      <c r="F70" s="192">
        <v>2917</v>
      </c>
      <c r="G70" s="191">
        <v>4824438.45</v>
      </c>
      <c r="H70" s="109">
        <v>1853</v>
      </c>
      <c r="I70" s="109">
        <v>3382665</v>
      </c>
      <c r="J70" s="159">
        <f t="shared" si="0"/>
        <v>0.63524168666438119</v>
      </c>
      <c r="K70" s="159">
        <f t="shared" si="1"/>
        <v>0.7011520687967322</v>
      </c>
      <c r="L70" s="159">
        <f t="shared" si="2"/>
        <v>0.19057250599931436</v>
      </c>
      <c r="M70" s="159">
        <f t="shared" si="3"/>
        <v>0.49080644815771252</v>
      </c>
      <c r="N70" s="160">
        <f t="shared" si="4"/>
        <v>0.68137895415702687</v>
      </c>
      <c r="O70" s="161"/>
      <c r="P70" s="161"/>
    </row>
    <row r="71" spans="1:16" x14ac:dyDescent="0.2">
      <c r="A71" s="165">
        <v>65</v>
      </c>
      <c r="B71" s="223" t="s">
        <v>106</v>
      </c>
      <c r="C71" s="222" t="s">
        <v>1399</v>
      </c>
      <c r="D71" s="219" t="s">
        <v>232</v>
      </c>
      <c r="E71" s="223" t="s">
        <v>1359</v>
      </c>
      <c r="F71" s="192">
        <v>952</v>
      </c>
      <c r="G71" s="191">
        <v>1557790.3</v>
      </c>
      <c r="H71" s="109">
        <v>692</v>
      </c>
      <c r="I71" s="109">
        <v>1377545</v>
      </c>
      <c r="J71" s="159">
        <f t="shared" ref="J71:J134" si="5">IFERROR(H71/F71,0)</f>
        <v>0.72689075630252098</v>
      </c>
      <c r="K71" s="159">
        <f t="shared" ref="K71:K134" si="6">IFERROR(I71/G71,0)</f>
        <v>0.88429424679303748</v>
      </c>
      <c r="L71" s="159">
        <f t="shared" ref="L71:L134" si="7">IF((J71*0.3)&gt;30%,30%,(J71*0.3))</f>
        <v>0.21806722689075628</v>
      </c>
      <c r="M71" s="159">
        <f t="shared" ref="M71:M134" si="8">IF((K71*0.7)&gt;70%,70%,(K71*0.7))</f>
        <v>0.61900597275512614</v>
      </c>
      <c r="N71" s="160">
        <f t="shared" ref="N71:N134" si="9">L71+M71</f>
        <v>0.83707319964588245</v>
      </c>
      <c r="O71" s="161"/>
      <c r="P71" s="161"/>
    </row>
    <row r="72" spans="1:16" x14ac:dyDescent="0.2">
      <c r="A72" s="165">
        <v>66</v>
      </c>
      <c r="B72" s="223" t="s">
        <v>106</v>
      </c>
      <c r="C72" s="222" t="s">
        <v>1399</v>
      </c>
      <c r="D72" s="219" t="s">
        <v>234</v>
      </c>
      <c r="E72" s="223" t="s">
        <v>1360</v>
      </c>
      <c r="F72" s="192">
        <v>1139</v>
      </c>
      <c r="G72" s="191">
        <v>1873816.2</v>
      </c>
      <c r="H72" s="109">
        <v>823</v>
      </c>
      <c r="I72" s="109">
        <v>1327120</v>
      </c>
      <c r="J72" s="159">
        <f t="shared" si="5"/>
        <v>0.72256365232660225</v>
      </c>
      <c r="K72" s="159">
        <f t="shared" si="6"/>
        <v>0.70824449057490269</v>
      </c>
      <c r="L72" s="159">
        <f t="shared" si="7"/>
        <v>0.21676909569798067</v>
      </c>
      <c r="M72" s="159">
        <f t="shared" si="8"/>
        <v>0.49577114340243184</v>
      </c>
      <c r="N72" s="160">
        <f t="shared" si="9"/>
        <v>0.71254023910041253</v>
      </c>
      <c r="O72" s="161"/>
      <c r="P72" s="161"/>
    </row>
    <row r="73" spans="1:16" x14ac:dyDescent="0.2">
      <c r="A73" s="165">
        <v>67</v>
      </c>
      <c r="B73" s="223" t="s">
        <v>106</v>
      </c>
      <c r="C73" s="222" t="s">
        <v>1399</v>
      </c>
      <c r="D73" s="219" t="s">
        <v>233</v>
      </c>
      <c r="E73" s="223" t="s">
        <v>1361</v>
      </c>
      <c r="F73" s="192">
        <v>1044</v>
      </c>
      <c r="G73" s="191">
        <v>1712169.25</v>
      </c>
      <c r="H73" s="109">
        <v>910</v>
      </c>
      <c r="I73" s="109">
        <v>1671065</v>
      </c>
      <c r="J73" s="159">
        <f t="shared" si="5"/>
        <v>0.87164750957854409</v>
      </c>
      <c r="K73" s="159">
        <f t="shared" si="6"/>
        <v>0.97599288154485897</v>
      </c>
      <c r="L73" s="159">
        <f t="shared" si="7"/>
        <v>0.2614942528735632</v>
      </c>
      <c r="M73" s="159">
        <f t="shared" si="8"/>
        <v>0.68319501708140129</v>
      </c>
      <c r="N73" s="160">
        <f t="shared" si="9"/>
        <v>0.94468926995496449</v>
      </c>
      <c r="O73" s="161"/>
      <c r="P73" s="161"/>
    </row>
    <row r="74" spans="1:16" x14ac:dyDescent="0.2">
      <c r="A74" s="165">
        <v>68</v>
      </c>
      <c r="B74" s="223" t="s">
        <v>106</v>
      </c>
      <c r="C74" s="222" t="s">
        <v>1399</v>
      </c>
      <c r="D74" s="219" t="s">
        <v>231</v>
      </c>
      <c r="E74" s="223" t="s">
        <v>1362</v>
      </c>
      <c r="F74" s="192">
        <v>1477</v>
      </c>
      <c r="G74" s="191">
        <v>2697991.55</v>
      </c>
      <c r="H74" s="109">
        <v>1343</v>
      </c>
      <c r="I74" s="109">
        <v>2684030</v>
      </c>
      <c r="J74" s="159">
        <f t="shared" si="5"/>
        <v>0.90927555856465814</v>
      </c>
      <c r="K74" s="159">
        <f t="shared" si="6"/>
        <v>0.99482520617976</v>
      </c>
      <c r="L74" s="159">
        <f t="shared" si="7"/>
        <v>0.27278266756939745</v>
      </c>
      <c r="M74" s="159">
        <f t="shared" si="8"/>
        <v>0.69637764432583193</v>
      </c>
      <c r="N74" s="160">
        <f t="shared" si="9"/>
        <v>0.96916031189522944</v>
      </c>
      <c r="O74" s="161"/>
      <c r="P74" s="161"/>
    </row>
    <row r="75" spans="1:16" x14ac:dyDescent="0.2">
      <c r="A75" s="165">
        <v>69</v>
      </c>
      <c r="B75" s="223" t="s">
        <v>96</v>
      </c>
      <c r="C75" s="222" t="s">
        <v>1399</v>
      </c>
      <c r="D75" s="219" t="s">
        <v>889</v>
      </c>
      <c r="E75" s="223" t="s">
        <v>1409</v>
      </c>
      <c r="F75" s="192">
        <v>1210</v>
      </c>
      <c r="G75" s="191">
        <v>1925454.5249999999</v>
      </c>
      <c r="H75" s="109">
        <v>831</v>
      </c>
      <c r="I75" s="109">
        <v>1381630</v>
      </c>
      <c r="J75" s="159">
        <f t="shared" si="5"/>
        <v>0.68677685950413225</v>
      </c>
      <c r="K75" s="159">
        <f t="shared" si="6"/>
        <v>0.71756044199485836</v>
      </c>
      <c r="L75" s="159">
        <f t="shared" si="7"/>
        <v>0.20603305785123968</v>
      </c>
      <c r="M75" s="159">
        <f t="shared" si="8"/>
        <v>0.50229230939640079</v>
      </c>
      <c r="N75" s="160">
        <f t="shared" si="9"/>
        <v>0.7083253672476405</v>
      </c>
      <c r="O75" s="161"/>
      <c r="P75" s="161"/>
    </row>
    <row r="76" spans="1:16" x14ac:dyDescent="0.2">
      <c r="A76" s="165">
        <v>70</v>
      </c>
      <c r="B76" s="223" t="s">
        <v>96</v>
      </c>
      <c r="C76" s="222" t="s">
        <v>1399</v>
      </c>
      <c r="D76" s="219" t="s">
        <v>886</v>
      </c>
      <c r="E76" s="223" t="s">
        <v>1356</v>
      </c>
      <c r="F76" s="192">
        <v>1556</v>
      </c>
      <c r="G76" s="191">
        <v>3051537.5249999999</v>
      </c>
      <c r="H76" s="109">
        <v>1326</v>
      </c>
      <c r="I76" s="109">
        <v>2822695</v>
      </c>
      <c r="J76" s="159">
        <f t="shared" si="5"/>
        <v>0.8521850899742931</v>
      </c>
      <c r="K76" s="159">
        <f t="shared" si="6"/>
        <v>0.92500746816148038</v>
      </c>
      <c r="L76" s="159">
        <f t="shared" si="7"/>
        <v>0.25565552699228794</v>
      </c>
      <c r="M76" s="159">
        <f t="shared" si="8"/>
        <v>0.6475052277130362</v>
      </c>
      <c r="N76" s="160">
        <f t="shared" si="9"/>
        <v>0.9031607547053242</v>
      </c>
      <c r="O76" s="161"/>
      <c r="P76" s="161"/>
    </row>
    <row r="77" spans="1:16" x14ac:dyDescent="0.2">
      <c r="A77" s="165">
        <v>71</v>
      </c>
      <c r="B77" s="223" t="s">
        <v>96</v>
      </c>
      <c r="C77" s="222" t="s">
        <v>1399</v>
      </c>
      <c r="D77" s="219" t="s">
        <v>887</v>
      </c>
      <c r="E77" s="223" t="s">
        <v>1194</v>
      </c>
      <c r="F77" s="192">
        <v>1713</v>
      </c>
      <c r="G77" s="191">
        <v>2720275.1749999998</v>
      </c>
      <c r="H77" s="109">
        <v>1373</v>
      </c>
      <c r="I77" s="109">
        <v>2233575</v>
      </c>
      <c r="J77" s="159">
        <f t="shared" si="5"/>
        <v>0.80151780502043202</v>
      </c>
      <c r="K77" s="159">
        <f t="shared" si="6"/>
        <v>0.82108421255581254</v>
      </c>
      <c r="L77" s="159">
        <f t="shared" si="7"/>
        <v>0.2404553415061296</v>
      </c>
      <c r="M77" s="159">
        <f t="shared" si="8"/>
        <v>0.57475894878906875</v>
      </c>
      <c r="N77" s="160">
        <f t="shared" si="9"/>
        <v>0.81521429029519832</v>
      </c>
      <c r="O77" s="161"/>
      <c r="P77" s="161"/>
    </row>
    <row r="78" spans="1:16" x14ac:dyDescent="0.2">
      <c r="A78" s="165">
        <v>72</v>
      </c>
      <c r="B78" s="223" t="s">
        <v>96</v>
      </c>
      <c r="C78" s="222" t="s">
        <v>1399</v>
      </c>
      <c r="D78" s="219" t="s">
        <v>888</v>
      </c>
      <c r="E78" s="223" t="s">
        <v>1357</v>
      </c>
      <c r="F78" s="192">
        <v>1588</v>
      </c>
      <c r="G78" s="191">
        <v>2847626.45</v>
      </c>
      <c r="H78" s="109">
        <v>1188</v>
      </c>
      <c r="I78" s="109">
        <v>2486900</v>
      </c>
      <c r="J78" s="159">
        <f t="shared" si="5"/>
        <v>0.74811083123425692</v>
      </c>
      <c r="K78" s="159">
        <f t="shared" si="6"/>
        <v>0.87332381675272042</v>
      </c>
      <c r="L78" s="159">
        <f t="shared" si="7"/>
        <v>0.22443324937027706</v>
      </c>
      <c r="M78" s="159">
        <f t="shared" si="8"/>
        <v>0.61132667172690425</v>
      </c>
      <c r="N78" s="160">
        <f t="shared" si="9"/>
        <v>0.83575992109718134</v>
      </c>
      <c r="O78" s="161"/>
      <c r="P78" s="161"/>
    </row>
    <row r="79" spans="1:16" x14ac:dyDescent="0.2">
      <c r="A79" s="165">
        <v>73</v>
      </c>
      <c r="B79" s="223" t="s">
        <v>96</v>
      </c>
      <c r="C79" s="222" t="s">
        <v>1399</v>
      </c>
      <c r="D79" s="219" t="s">
        <v>1123</v>
      </c>
      <c r="E79" s="223" t="s">
        <v>1358</v>
      </c>
      <c r="F79" s="192">
        <v>1711</v>
      </c>
      <c r="G79" s="191">
        <v>2674911.5499999998</v>
      </c>
      <c r="H79" s="109">
        <v>1639</v>
      </c>
      <c r="I79" s="109">
        <v>2778265</v>
      </c>
      <c r="J79" s="159">
        <f t="shared" si="5"/>
        <v>0.95791934541203971</v>
      </c>
      <c r="K79" s="159">
        <f t="shared" si="6"/>
        <v>1.0386380813227265</v>
      </c>
      <c r="L79" s="159">
        <f t="shared" si="7"/>
        <v>0.28737580362361193</v>
      </c>
      <c r="M79" s="159">
        <f t="shared" si="8"/>
        <v>0.7</v>
      </c>
      <c r="N79" s="160">
        <f t="shared" si="9"/>
        <v>0.98737580362361188</v>
      </c>
      <c r="O79" s="161"/>
      <c r="P79" s="161"/>
    </row>
    <row r="80" spans="1:16" x14ac:dyDescent="0.2">
      <c r="A80" s="165">
        <v>74</v>
      </c>
      <c r="B80" s="223" t="s">
        <v>96</v>
      </c>
      <c r="C80" s="222" t="s">
        <v>1399</v>
      </c>
      <c r="D80" s="219" t="s">
        <v>891</v>
      </c>
      <c r="E80" s="223" t="s">
        <v>770</v>
      </c>
      <c r="F80" s="192">
        <v>1433</v>
      </c>
      <c r="G80" s="191">
        <v>2581674.9750000001</v>
      </c>
      <c r="H80" s="109">
        <v>1744</v>
      </c>
      <c r="I80" s="109">
        <v>2788455</v>
      </c>
      <c r="J80" s="159">
        <f t="shared" si="5"/>
        <v>1.2170272156315423</v>
      </c>
      <c r="K80" s="159">
        <f t="shared" si="6"/>
        <v>1.080095297433791</v>
      </c>
      <c r="L80" s="159">
        <f t="shared" si="7"/>
        <v>0.3</v>
      </c>
      <c r="M80" s="159">
        <f t="shared" si="8"/>
        <v>0.7</v>
      </c>
      <c r="N80" s="160">
        <f t="shared" si="9"/>
        <v>1</v>
      </c>
      <c r="O80" s="161"/>
      <c r="P80" s="161"/>
    </row>
    <row r="81" spans="1:16" x14ac:dyDescent="0.2">
      <c r="A81" s="165">
        <v>75</v>
      </c>
      <c r="B81" s="223" t="s">
        <v>96</v>
      </c>
      <c r="C81" s="222" t="s">
        <v>1399</v>
      </c>
      <c r="D81" s="219" t="s">
        <v>892</v>
      </c>
      <c r="E81" s="223" t="s">
        <v>1193</v>
      </c>
      <c r="F81" s="192">
        <v>1182</v>
      </c>
      <c r="G81" s="191">
        <v>1955955.25</v>
      </c>
      <c r="H81" s="109">
        <v>1245</v>
      </c>
      <c r="I81" s="109">
        <v>1821475</v>
      </c>
      <c r="J81" s="159">
        <f t="shared" si="5"/>
        <v>1.0532994923857868</v>
      </c>
      <c r="K81" s="159">
        <f t="shared" si="6"/>
        <v>0.9312457429688128</v>
      </c>
      <c r="L81" s="159">
        <f t="shared" si="7"/>
        <v>0.3</v>
      </c>
      <c r="M81" s="159">
        <f t="shared" si="8"/>
        <v>0.65187202007816891</v>
      </c>
      <c r="N81" s="160">
        <f t="shared" si="9"/>
        <v>0.95187202007816896</v>
      </c>
      <c r="O81" s="161"/>
      <c r="P81" s="161"/>
    </row>
    <row r="82" spans="1:16" s="163" customFormat="1" x14ac:dyDescent="0.2">
      <c r="A82" s="165">
        <v>76</v>
      </c>
      <c r="B82" s="223" t="s">
        <v>93</v>
      </c>
      <c r="C82" s="222" t="s">
        <v>1399</v>
      </c>
      <c r="D82" s="219" t="s">
        <v>894</v>
      </c>
      <c r="E82" s="223" t="s">
        <v>895</v>
      </c>
      <c r="F82" s="192">
        <v>639</v>
      </c>
      <c r="G82" s="191">
        <v>1039600.55</v>
      </c>
      <c r="H82" s="109">
        <v>161</v>
      </c>
      <c r="I82" s="109">
        <v>305470</v>
      </c>
      <c r="J82" s="159">
        <f t="shared" si="5"/>
        <v>0.2519561815336463</v>
      </c>
      <c r="K82" s="159">
        <f t="shared" si="6"/>
        <v>0.29383401153452637</v>
      </c>
      <c r="L82" s="159">
        <f t="shared" si="7"/>
        <v>7.5586854460093889E-2</v>
      </c>
      <c r="M82" s="159">
        <f t="shared" si="8"/>
        <v>0.20568380807416844</v>
      </c>
      <c r="N82" s="160">
        <f t="shared" si="9"/>
        <v>0.28127066253426236</v>
      </c>
      <c r="O82" s="162"/>
      <c r="P82" s="162"/>
    </row>
    <row r="83" spans="1:16" x14ac:dyDescent="0.2">
      <c r="A83" s="165">
        <v>77</v>
      </c>
      <c r="B83" s="223" t="s">
        <v>93</v>
      </c>
      <c r="C83" s="222" t="s">
        <v>1399</v>
      </c>
      <c r="D83" s="219" t="s">
        <v>898</v>
      </c>
      <c r="E83" s="223" t="s">
        <v>899</v>
      </c>
      <c r="F83" s="192">
        <v>1716</v>
      </c>
      <c r="G83" s="191">
        <v>2998231.6749999998</v>
      </c>
      <c r="H83" s="109">
        <v>1448</v>
      </c>
      <c r="I83" s="109">
        <v>2850710</v>
      </c>
      <c r="J83" s="159">
        <f t="shared" si="5"/>
        <v>0.84382284382284378</v>
      </c>
      <c r="K83" s="159">
        <f t="shared" si="6"/>
        <v>0.95079710609754675</v>
      </c>
      <c r="L83" s="159">
        <f t="shared" si="7"/>
        <v>0.25314685314685315</v>
      </c>
      <c r="M83" s="159">
        <f t="shared" si="8"/>
        <v>0.66555797426828267</v>
      </c>
      <c r="N83" s="160">
        <f t="shared" si="9"/>
        <v>0.91870482741513582</v>
      </c>
      <c r="O83" s="161"/>
      <c r="P83" s="161"/>
    </row>
    <row r="84" spans="1:16" x14ac:dyDescent="0.2">
      <c r="A84" s="165">
        <v>78</v>
      </c>
      <c r="B84" s="223" t="s">
        <v>93</v>
      </c>
      <c r="C84" s="222" t="s">
        <v>1399</v>
      </c>
      <c r="D84" s="219" t="s">
        <v>896</v>
      </c>
      <c r="E84" s="223" t="s">
        <v>1077</v>
      </c>
      <c r="F84" s="192">
        <v>1758</v>
      </c>
      <c r="G84" s="191">
        <v>2993751.5750000002</v>
      </c>
      <c r="H84" s="109">
        <v>869</v>
      </c>
      <c r="I84" s="109">
        <v>1721820</v>
      </c>
      <c r="J84" s="159">
        <f t="shared" si="5"/>
        <v>0.49431171786120592</v>
      </c>
      <c r="K84" s="159">
        <f t="shared" si="6"/>
        <v>0.57513790201513293</v>
      </c>
      <c r="L84" s="159">
        <f t="shared" si="7"/>
        <v>0.14829351535836177</v>
      </c>
      <c r="M84" s="159">
        <f t="shared" si="8"/>
        <v>0.40259653141059304</v>
      </c>
      <c r="N84" s="160">
        <f t="shared" si="9"/>
        <v>0.55089004676895481</v>
      </c>
      <c r="O84" s="161"/>
      <c r="P84" s="161"/>
    </row>
    <row r="85" spans="1:16" x14ac:dyDescent="0.2">
      <c r="A85" s="165">
        <v>79</v>
      </c>
      <c r="B85" s="223" t="s">
        <v>93</v>
      </c>
      <c r="C85" s="222" t="s">
        <v>1399</v>
      </c>
      <c r="D85" s="219" t="s">
        <v>893</v>
      </c>
      <c r="E85" s="223" t="s">
        <v>1355</v>
      </c>
      <c r="F85" s="193">
        <v>1162</v>
      </c>
      <c r="G85" s="191">
        <v>2043324.925</v>
      </c>
      <c r="H85" s="109">
        <v>1339</v>
      </c>
      <c r="I85" s="109">
        <v>2223270</v>
      </c>
      <c r="J85" s="159">
        <f t="shared" si="5"/>
        <v>1.1523235800344234</v>
      </c>
      <c r="K85" s="159">
        <f t="shared" si="6"/>
        <v>1.0880648362863776</v>
      </c>
      <c r="L85" s="159">
        <f t="shared" si="7"/>
        <v>0.3</v>
      </c>
      <c r="M85" s="159">
        <f t="shared" si="8"/>
        <v>0.7</v>
      </c>
      <c r="N85" s="160">
        <f t="shared" si="9"/>
        <v>1</v>
      </c>
      <c r="O85" s="161"/>
      <c r="P85" s="161"/>
    </row>
    <row r="86" spans="1:16" x14ac:dyDescent="0.2">
      <c r="A86" s="165">
        <v>80</v>
      </c>
      <c r="B86" s="223" t="s">
        <v>93</v>
      </c>
      <c r="C86" s="222" t="s">
        <v>1399</v>
      </c>
      <c r="D86" s="219" t="s">
        <v>897</v>
      </c>
      <c r="E86" s="223" t="s">
        <v>463</v>
      </c>
      <c r="F86" s="193">
        <v>569</v>
      </c>
      <c r="G86" s="191">
        <v>886799.02500000002</v>
      </c>
      <c r="H86" s="109">
        <v>165</v>
      </c>
      <c r="I86" s="109">
        <v>368355</v>
      </c>
      <c r="J86" s="159">
        <f t="shared" si="5"/>
        <v>0.28998242530755713</v>
      </c>
      <c r="K86" s="159">
        <f t="shared" si="6"/>
        <v>0.41537596413121902</v>
      </c>
      <c r="L86" s="159">
        <f t="shared" si="7"/>
        <v>8.6994727592267132E-2</v>
      </c>
      <c r="M86" s="159">
        <f t="shared" si="8"/>
        <v>0.29076317489185327</v>
      </c>
      <c r="N86" s="160">
        <f t="shared" si="9"/>
        <v>0.37775790248412039</v>
      </c>
      <c r="O86" s="161"/>
      <c r="P86" s="161"/>
    </row>
    <row r="87" spans="1:16" x14ac:dyDescent="0.2">
      <c r="A87" s="165">
        <v>81</v>
      </c>
      <c r="B87" s="223" t="s">
        <v>95</v>
      </c>
      <c r="C87" s="222" t="s">
        <v>1399</v>
      </c>
      <c r="D87" s="219" t="s">
        <v>880</v>
      </c>
      <c r="E87" s="223" t="s">
        <v>806</v>
      </c>
      <c r="F87" s="193">
        <v>2061</v>
      </c>
      <c r="G87" s="191">
        <v>3609470.5249999999</v>
      </c>
      <c r="H87" s="109">
        <v>1716</v>
      </c>
      <c r="I87" s="109">
        <v>2850055</v>
      </c>
      <c r="J87" s="159">
        <f t="shared" si="5"/>
        <v>0.83260553129548764</v>
      </c>
      <c r="K87" s="159">
        <f t="shared" si="6"/>
        <v>0.78960473018407595</v>
      </c>
      <c r="L87" s="159">
        <f t="shared" si="7"/>
        <v>0.24978165938864627</v>
      </c>
      <c r="M87" s="159">
        <f t="shared" si="8"/>
        <v>0.55272331112885309</v>
      </c>
      <c r="N87" s="160">
        <f t="shared" si="9"/>
        <v>0.80250497051749936</v>
      </c>
      <c r="O87" s="161"/>
      <c r="P87" s="161"/>
    </row>
    <row r="88" spans="1:16" x14ac:dyDescent="0.2">
      <c r="A88" s="165">
        <v>82</v>
      </c>
      <c r="B88" s="223" t="s">
        <v>95</v>
      </c>
      <c r="C88" s="222" t="s">
        <v>1399</v>
      </c>
      <c r="D88" s="219" t="s">
        <v>878</v>
      </c>
      <c r="E88" s="223" t="s">
        <v>879</v>
      </c>
      <c r="F88" s="193">
        <v>952</v>
      </c>
      <c r="G88" s="191">
        <v>1542770.3</v>
      </c>
      <c r="H88" s="109">
        <v>815</v>
      </c>
      <c r="I88" s="109">
        <v>1389045</v>
      </c>
      <c r="J88" s="159">
        <f t="shared" si="5"/>
        <v>0.85609243697478987</v>
      </c>
      <c r="K88" s="159">
        <f t="shared" si="6"/>
        <v>0.90035762290731158</v>
      </c>
      <c r="L88" s="159">
        <f t="shared" si="7"/>
        <v>0.25682773109243695</v>
      </c>
      <c r="M88" s="159">
        <f t="shared" si="8"/>
        <v>0.63025033603511804</v>
      </c>
      <c r="N88" s="160">
        <f t="shared" si="9"/>
        <v>0.88707806712755499</v>
      </c>
      <c r="O88" s="161"/>
      <c r="P88" s="161"/>
    </row>
    <row r="89" spans="1:16" x14ac:dyDescent="0.2">
      <c r="A89" s="165">
        <v>83</v>
      </c>
      <c r="B89" s="223" t="s">
        <v>48</v>
      </c>
      <c r="C89" s="222" t="s">
        <v>16</v>
      </c>
      <c r="D89" s="219" t="s">
        <v>618</v>
      </c>
      <c r="E89" s="223" t="s">
        <v>1253</v>
      </c>
      <c r="F89" s="193">
        <v>1821</v>
      </c>
      <c r="G89" s="191">
        <v>2893315.6</v>
      </c>
      <c r="H89" s="109">
        <v>1583</v>
      </c>
      <c r="I89" s="109">
        <v>2896900</v>
      </c>
      <c r="J89" s="159">
        <f t="shared" si="5"/>
        <v>0.8693025809994509</v>
      </c>
      <c r="K89" s="159">
        <f t="shared" si="6"/>
        <v>1.0012388555192526</v>
      </c>
      <c r="L89" s="159">
        <f t="shared" si="7"/>
        <v>0.26079077429983527</v>
      </c>
      <c r="M89" s="159">
        <f t="shared" si="8"/>
        <v>0.7</v>
      </c>
      <c r="N89" s="160">
        <f t="shared" si="9"/>
        <v>0.96079077429983517</v>
      </c>
      <c r="O89" s="161"/>
      <c r="P89" s="161"/>
    </row>
    <row r="90" spans="1:16" x14ac:dyDescent="0.2">
      <c r="A90" s="165">
        <v>84</v>
      </c>
      <c r="B90" s="223" t="s">
        <v>48</v>
      </c>
      <c r="C90" s="222" t="s">
        <v>16</v>
      </c>
      <c r="D90" s="219" t="s">
        <v>615</v>
      </c>
      <c r="E90" s="223" t="s">
        <v>616</v>
      </c>
      <c r="F90" s="193">
        <v>1870</v>
      </c>
      <c r="G90" s="191">
        <v>3192696.4750000001</v>
      </c>
      <c r="H90" s="109">
        <v>1195</v>
      </c>
      <c r="I90" s="109">
        <v>2812555</v>
      </c>
      <c r="J90" s="159">
        <f t="shared" si="5"/>
        <v>0.63903743315508021</v>
      </c>
      <c r="K90" s="159">
        <f t="shared" si="6"/>
        <v>0.88093403867963993</v>
      </c>
      <c r="L90" s="159">
        <f t="shared" si="7"/>
        <v>0.19171122994652406</v>
      </c>
      <c r="M90" s="159">
        <f t="shared" si="8"/>
        <v>0.6166538270757479</v>
      </c>
      <c r="N90" s="160">
        <f t="shared" si="9"/>
        <v>0.80836505702227202</v>
      </c>
      <c r="O90" s="161"/>
      <c r="P90" s="161"/>
    </row>
    <row r="91" spans="1:16" x14ac:dyDescent="0.2">
      <c r="A91" s="165">
        <v>85</v>
      </c>
      <c r="B91" s="223" t="s">
        <v>48</v>
      </c>
      <c r="C91" s="222" t="s">
        <v>16</v>
      </c>
      <c r="D91" s="219" t="s">
        <v>605</v>
      </c>
      <c r="E91" s="223" t="s">
        <v>1325</v>
      </c>
      <c r="F91" s="193">
        <v>2445</v>
      </c>
      <c r="G91" s="191">
        <v>3957329.6749999998</v>
      </c>
      <c r="H91" s="109">
        <v>2126</v>
      </c>
      <c r="I91" s="109">
        <v>3903940</v>
      </c>
      <c r="J91" s="159">
        <f t="shared" si="5"/>
        <v>0.86952965235173829</v>
      </c>
      <c r="K91" s="159">
        <f t="shared" si="6"/>
        <v>0.98650866129822767</v>
      </c>
      <c r="L91" s="159">
        <f t="shared" si="7"/>
        <v>0.26085889570552145</v>
      </c>
      <c r="M91" s="159">
        <f t="shared" si="8"/>
        <v>0.69055606290875937</v>
      </c>
      <c r="N91" s="160">
        <f t="shared" si="9"/>
        <v>0.95141495861428083</v>
      </c>
      <c r="O91" s="161"/>
      <c r="P91" s="161"/>
    </row>
    <row r="92" spans="1:16" x14ac:dyDescent="0.2">
      <c r="A92" s="165">
        <v>86</v>
      </c>
      <c r="B92" s="223" t="s">
        <v>48</v>
      </c>
      <c r="C92" s="222" t="s">
        <v>16</v>
      </c>
      <c r="D92" s="219" t="s">
        <v>622</v>
      </c>
      <c r="E92" s="223" t="s">
        <v>623</v>
      </c>
      <c r="F92" s="193">
        <v>2283</v>
      </c>
      <c r="G92" s="191">
        <v>3051791.4249999998</v>
      </c>
      <c r="H92" s="109">
        <v>1657</v>
      </c>
      <c r="I92" s="109">
        <v>3199355</v>
      </c>
      <c r="J92" s="159">
        <f t="shared" si="5"/>
        <v>0.72579938677179145</v>
      </c>
      <c r="K92" s="159">
        <f t="shared" si="6"/>
        <v>1.0483530996879973</v>
      </c>
      <c r="L92" s="159">
        <f t="shared" si="7"/>
        <v>0.21773981603153744</v>
      </c>
      <c r="M92" s="159">
        <f t="shared" si="8"/>
        <v>0.7</v>
      </c>
      <c r="N92" s="160">
        <f t="shared" si="9"/>
        <v>0.91773981603153743</v>
      </c>
      <c r="O92" s="161"/>
      <c r="P92" s="161"/>
    </row>
    <row r="93" spans="1:16" x14ac:dyDescent="0.2">
      <c r="A93" s="165">
        <v>87</v>
      </c>
      <c r="B93" s="223" t="s">
        <v>48</v>
      </c>
      <c r="C93" s="222" t="s">
        <v>16</v>
      </c>
      <c r="D93" s="219" t="s">
        <v>612</v>
      </c>
      <c r="E93" s="223" t="s">
        <v>613</v>
      </c>
      <c r="F93" s="193">
        <v>1913</v>
      </c>
      <c r="G93" s="191">
        <v>2234911.5249999999</v>
      </c>
      <c r="H93" s="109">
        <v>1336</v>
      </c>
      <c r="I93" s="109">
        <v>2167740</v>
      </c>
      <c r="J93" s="159">
        <f t="shared" si="5"/>
        <v>0.69837950862519604</v>
      </c>
      <c r="K93" s="159">
        <f t="shared" si="6"/>
        <v>0.96994443661477836</v>
      </c>
      <c r="L93" s="159">
        <f t="shared" si="7"/>
        <v>0.20951385258755881</v>
      </c>
      <c r="M93" s="159">
        <f t="shared" si="8"/>
        <v>0.67896110563034484</v>
      </c>
      <c r="N93" s="160">
        <f t="shared" si="9"/>
        <v>0.88847495821790368</v>
      </c>
      <c r="O93" s="161"/>
      <c r="P93" s="161"/>
    </row>
    <row r="94" spans="1:16" x14ac:dyDescent="0.2">
      <c r="A94" s="165">
        <v>88</v>
      </c>
      <c r="B94" s="223" t="s">
        <v>48</v>
      </c>
      <c r="C94" s="222" t="s">
        <v>16</v>
      </c>
      <c r="D94" s="219" t="s">
        <v>620</v>
      </c>
      <c r="E94" s="223" t="s">
        <v>621</v>
      </c>
      <c r="F94" s="193">
        <v>4950</v>
      </c>
      <c r="G94" s="191">
        <v>9558375.0749999993</v>
      </c>
      <c r="H94" s="109">
        <v>3966</v>
      </c>
      <c r="I94" s="109">
        <v>8467885</v>
      </c>
      <c r="J94" s="159">
        <f t="shared" si="5"/>
        <v>0.80121212121212126</v>
      </c>
      <c r="K94" s="159">
        <f t="shared" si="6"/>
        <v>0.88591260894833646</v>
      </c>
      <c r="L94" s="159">
        <f t="shared" si="7"/>
        <v>0.24036363636363636</v>
      </c>
      <c r="M94" s="159">
        <f t="shared" si="8"/>
        <v>0.62013882626383543</v>
      </c>
      <c r="N94" s="160">
        <f t="shared" si="9"/>
        <v>0.86050246262747176</v>
      </c>
      <c r="O94" s="161"/>
      <c r="P94" s="161"/>
    </row>
    <row r="95" spans="1:16" x14ac:dyDescent="0.2">
      <c r="A95" s="165">
        <v>89</v>
      </c>
      <c r="B95" s="223" t="s">
        <v>48</v>
      </c>
      <c r="C95" s="222" t="s">
        <v>16</v>
      </c>
      <c r="D95" s="219" t="s">
        <v>603</v>
      </c>
      <c r="E95" s="223" t="s">
        <v>604</v>
      </c>
      <c r="F95" s="193">
        <v>1844</v>
      </c>
      <c r="G95" s="191">
        <v>3032471.2250000001</v>
      </c>
      <c r="H95" s="109">
        <v>1240</v>
      </c>
      <c r="I95" s="109">
        <v>1960875</v>
      </c>
      <c r="J95" s="159">
        <f t="shared" si="5"/>
        <v>0.67245119305856837</v>
      </c>
      <c r="K95" s="159">
        <f t="shared" si="6"/>
        <v>0.64662608628710072</v>
      </c>
      <c r="L95" s="159">
        <f t="shared" si="7"/>
        <v>0.2017353579175705</v>
      </c>
      <c r="M95" s="159">
        <f t="shared" si="8"/>
        <v>0.45263826040097049</v>
      </c>
      <c r="N95" s="160">
        <f t="shared" si="9"/>
        <v>0.65437361831854102</v>
      </c>
      <c r="O95" s="161"/>
      <c r="P95" s="161"/>
    </row>
    <row r="96" spans="1:16" x14ac:dyDescent="0.2">
      <c r="A96" s="165">
        <v>90</v>
      </c>
      <c r="B96" s="223" t="s">
        <v>48</v>
      </c>
      <c r="C96" s="222" t="s">
        <v>16</v>
      </c>
      <c r="D96" s="219" t="s">
        <v>619</v>
      </c>
      <c r="E96" s="223" t="s">
        <v>1254</v>
      </c>
      <c r="F96" s="193">
        <v>2019</v>
      </c>
      <c r="G96" s="191">
        <v>2816137.0249999999</v>
      </c>
      <c r="H96" s="109">
        <v>1924</v>
      </c>
      <c r="I96" s="109">
        <v>3470990</v>
      </c>
      <c r="J96" s="159">
        <f t="shared" si="5"/>
        <v>0.95294700346706285</v>
      </c>
      <c r="K96" s="159">
        <f t="shared" si="6"/>
        <v>1.232535906167421</v>
      </c>
      <c r="L96" s="159">
        <f t="shared" si="7"/>
        <v>0.28588410104011885</v>
      </c>
      <c r="M96" s="159">
        <f t="shared" si="8"/>
        <v>0.7</v>
      </c>
      <c r="N96" s="160">
        <f t="shared" si="9"/>
        <v>0.98588410104011881</v>
      </c>
      <c r="O96" s="161"/>
      <c r="P96" s="161"/>
    </row>
    <row r="97" spans="1:16" x14ac:dyDescent="0.2">
      <c r="A97" s="165">
        <v>91</v>
      </c>
      <c r="B97" s="223" t="s">
        <v>48</v>
      </c>
      <c r="C97" s="222" t="s">
        <v>16</v>
      </c>
      <c r="D97" s="219" t="s">
        <v>617</v>
      </c>
      <c r="E97" s="223" t="s">
        <v>1255</v>
      </c>
      <c r="F97" s="193">
        <v>1534</v>
      </c>
      <c r="G97" s="191">
        <v>2521662.9500000002</v>
      </c>
      <c r="H97" s="109">
        <v>1188</v>
      </c>
      <c r="I97" s="109">
        <v>1608440</v>
      </c>
      <c r="J97" s="159">
        <f t="shared" si="5"/>
        <v>0.77444589308996092</v>
      </c>
      <c r="K97" s="159">
        <f t="shared" si="6"/>
        <v>0.63784892425849371</v>
      </c>
      <c r="L97" s="159">
        <f t="shared" si="7"/>
        <v>0.23233376792698826</v>
      </c>
      <c r="M97" s="159">
        <f t="shared" si="8"/>
        <v>0.44649424698094559</v>
      </c>
      <c r="N97" s="160">
        <f t="shared" si="9"/>
        <v>0.67882801490793387</v>
      </c>
      <c r="O97" s="161"/>
      <c r="P97" s="161"/>
    </row>
    <row r="98" spans="1:16" x14ac:dyDescent="0.2">
      <c r="A98" s="165">
        <v>92</v>
      </c>
      <c r="B98" s="223" t="s">
        <v>48</v>
      </c>
      <c r="C98" s="222" t="s">
        <v>16</v>
      </c>
      <c r="D98" s="219" t="s">
        <v>606</v>
      </c>
      <c r="E98" s="223" t="s">
        <v>657</v>
      </c>
      <c r="F98" s="193">
        <v>1870</v>
      </c>
      <c r="G98" s="191">
        <v>3192696.4750000001</v>
      </c>
      <c r="H98" s="109">
        <v>1404</v>
      </c>
      <c r="I98" s="109">
        <v>2930790</v>
      </c>
      <c r="J98" s="159">
        <f t="shared" si="5"/>
        <v>0.7508021390374332</v>
      </c>
      <c r="K98" s="159">
        <f t="shared" si="6"/>
        <v>0.91796699841315166</v>
      </c>
      <c r="L98" s="159">
        <f t="shared" si="7"/>
        <v>0.22524064171122996</v>
      </c>
      <c r="M98" s="159">
        <f t="shared" si="8"/>
        <v>0.64257689888920611</v>
      </c>
      <c r="N98" s="160">
        <f t="shared" si="9"/>
        <v>0.86781754060043603</v>
      </c>
      <c r="O98" s="161"/>
      <c r="P98" s="161"/>
    </row>
    <row r="99" spans="1:16" x14ac:dyDescent="0.2">
      <c r="A99" s="165">
        <v>93</v>
      </c>
      <c r="B99" s="223" t="s">
        <v>48</v>
      </c>
      <c r="C99" s="222" t="s">
        <v>16</v>
      </c>
      <c r="D99" s="219" t="s">
        <v>614</v>
      </c>
      <c r="E99" s="223" t="s">
        <v>1256</v>
      </c>
      <c r="F99" s="193">
        <v>1150</v>
      </c>
      <c r="G99" s="191">
        <v>4058341.3250000002</v>
      </c>
      <c r="H99" s="109">
        <v>1251</v>
      </c>
      <c r="I99" s="109">
        <v>3423090</v>
      </c>
      <c r="J99" s="159">
        <f t="shared" si="5"/>
        <v>1.0878260869565217</v>
      </c>
      <c r="K99" s="159">
        <f t="shared" si="6"/>
        <v>0.84347020762232217</v>
      </c>
      <c r="L99" s="159">
        <f t="shared" si="7"/>
        <v>0.3</v>
      </c>
      <c r="M99" s="159">
        <f t="shared" si="8"/>
        <v>0.59042914533562552</v>
      </c>
      <c r="N99" s="160">
        <f t="shared" si="9"/>
        <v>0.89042914533562545</v>
      </c>
      <c r="O99" s="161"/>
      <c r="P99" s="161"/>
    </row>
    <row r="100" spans="1:16" x14ac:dyDescent="0.2">
      <c r="A100" s="165">
        <v>94</v>
      </c>
      <c r="B100" s="223" t="s">
        <v>48</v>
      </c>
      <c r="C100" s="222" t="s">
        <v>16</v>
      </c>
      <c r="D100" s="219" t="s">
        <v>610</v>
      </c>
      <c r="E100" s="223" t="s">
        <v>463</v>
      </c>
      <c r="F100" s="193">
        <v>1247</v>
      </c>
      <c r="G100" s="191">
        <v>2125010.7749999999</v>
      </c>
      <c r="H100" s="109">
        <v>1262</v>
      </c>
      <c r="I100" s="109">
        <v>1634960</v>
      </c>
      <c r="J100" s="159">
        <f t="shared" si="5"/>
        <v>1.0120288692862871</v>
      </c>
      <c r="K100" s="159">
        <f t="shared" si="6"/>
        <v>0.76938903992145646</v>
      </c>
      <c r="L100" s="159">
        <f t="shared" si="7"/>
        <v>0.3</v>
      </c>
      <c r="M100" s="159">
        <f t="shared" si="8"/>
        <v>0.53857232794501952</v>
      </c>
      <c r="N100" s="160">
        <f t="shared" si="9"/>
        <v>0.83857232794501946</v>
      </c>
      <c r="O100" s="161"/>
      <c r="P100" s="161"/>
    </row>
    <row r="101" spans="1:16" x14ac:dyDescent="0.2">
      <c r="A101" s="165">
        <v>95</v>
      </c>
      <c r="B101" s="223" t="s">
        <v>48</v>
      </c>
      <c r="C101" s="222" t="s">
        <v>16</v>
      </c>
      <c r="D101" s="219" t="s">
        <v>601</v>
      </c>
      <c r="E101" s="223" t="s">
        <v>602</v>
      </c>
      <c r="F101" s="193">
        <v>2182</v>
      </c>
      <c r="G101" s="191">
        <v>3722312.2749999999</v>
      </c>
      <c r="H101" s="109">
        <v>1990</v>
      </c>
      <c r="I101" s="109">
        <v>2981060</v>
      </c>
      <c r="J101" s="159">
        <f t="shared" si="5"/>
        <v>0.91200733272227319</v>
      </c>
      <c r="K101" s="159">
        <f t="shared" si="6"/>
        <v>0.80086241555324644</v>
      </c>
      <c r="L101" s="159">
        <f t="shared" si="7"/>
        <v>0.27360219981668193</v>
      </c>
      <c r="M101" s="159">
        <f t="shared" si="8"/>
        <v>0.56060369088727247</v>
      </c>
      <c r="N101" s="160">
        <f t="shared" si="9"/>
        <v>0.83420589070395446</v>
      </c>
      <c r="O101" s="161"/>
      <c r="P101" s="161"/>
    </row>
    <row r="102" spans="1:16" x14ac:dyDescent="0.2">
      <c r="A102" s="165">
        <v>96</v>
      </c>
      <c r="B102" s="223" t="s">
        <v>48</v>
      </c>
      <c r="C102" s="222" t="s">
        <v>16</v>
      </c>
      <c r="D102" s="219" t="s">
        <v>608</v>
      </c>
      <c r="E102" s="223" t="s">
        <v>609</v>
      </c>
      <c r="F102" s="193">
        <v>932</v>
      </c>
      <c r="G102" s="191">
        <v>1587607.5</v>
      </c>
      <c r="H102" s="109">
        <v>931</v>
      </c>
      <c r="I102" s="109">
        <v>1250665</v>
      </c>
      <c r="J102" s="159">
        <f t="shared" si="5"/>
        <v>0.99892703862660948</v>
      </c>
      <c r="K102" s="159">
        <f t="shared" si="6"/>
        <v>0.78776712758033707</v>
      </c>
      <c r="L102" s="159">
        <f t="shared" si="7"/>
        <v>0.29967811158798285</v>
      </c>
      <c r="M102" s="159">
        <f t="shared" si="8"/>
        <v>0.55143698930623586</v>
      </c>
      <c r="N102" s="160">
        <f t="shared" si="9"/>
        <v>0.85111510089421871</v>
      </c>
      <c r="O102" s="161"/>
      <c r="P102" s="161"/>
    </row>
    <row r="103" spans="1:16" x14ac:dyDescent="0.2">
      <c r="A103" s="165">
        <v>97</v>
      </c>
      <c r="B103" s="223" t="s">
        <v>48</v>
      </c>
      <c r="C103" s="222" t="s">
        <v>16</v>
      </c>
      <c r="D103" s="219" t="s">
        <v>1384</v>
      </c>
      <c r="E103" s="223" t="s">
        <v>1513</v>
      </c>
      <c r="F103" s="193">
        <v>625</v>
      </c>
      <c r="G103" s="191">
        <v>1069770.7</v>
      </c>
      <c r="H103" s="109">
        <v>543</v>
      </c>
      <c r="I103" s="109">
        <v>574725</v>
      </c>
      <c r="J103" s="159">
        <f t="shared" si="5"/>
        <v>0.86880000000000002</v>
      </c>
      <c r="K103" s="159">
        <f t="shared" si="6"/>
        <v>0.53724129853247993</v>
      </c>
      <c r="L103" s="159">
        <f t="shared" si="7"/>
        <v>0.26063999999999998</v>
      </c>
      <c r="M103" s="159">
        <f t="shared" si="8"/>
        <v>0.37606890897273593</v>
      </c>
      <c r="N103" s="160">
        <f t="shared" si="9"/>
        <v>0.63670890897273591</v>
      </c>
      <c r="O103" s="161"/>
      <c r="P103" s="161"/>
    </row>
    <row r="104" spans="1:16" x14ac:dyDescent="0.2">
      <c r="A104" s="165">
        <v>98</v>
      </c>
      <c r="B104" s="223" t="s">
        <v>48</v>
      </c>
      <c r="C104" s="222" t="s">
        <v>16</v>
      </c>
      <c r="D104" s="219" t="s">
        <v>596</v>
      </c>
      <c r="E104" s="223" t="s">
        <v>1514</v>
      </c>
      <c r="F104" s="193">
        <v>1559</v>
      </c>
      <c r="G104" s="191">
        <v>2659551.2000000002</v>
      </c>
      <c r="H104" s="109">
        <v>1104</v>
      </c>
      <c r="I104" s="109">
        <v>1632185</v>
      </c>
      <c r="J104" s="159">
        <f t="shared" si="5"/>
        <v>0.70814624759461198</v>
      </c>
      <c r="K104" s="159">
        <f t="shared" si="6"/>
        <v>0.61370692919918213</v>
      </c>
      <c r="L104" s="159">
        <f t="shared" si="7"/>
        <v>0.2124438742783836</v>
      </c>
      <c r="M104" s="159">
        <f t="shared" si="8"/>
        <v>0.42959485043942747</v>
      </c>
      <c r="N104" s="160">
        <f t="shared" si="9"/>
        <v>0.64203872471781109</v>
      </c>
      <c r="O104" s="161"/>
      <c r="P104" s="161"/>
    </row>
    <row r="105" spans="1:16" x14ac:dyDescent="0.2">
      <c r="A105" s="165">
        <v>99</v>
      </c>
      <c r="B105" s="223" t="s">
        <v>48</v>
      </c>
      <c r="C105" s="222" t="s">
        <v>16</v>
      </c>
      <c r="D105" s="219" t="s">
        <v>594</v>
      </c>
      <c r="E105" s="223" t="s">
        <v>1293</v>
      </c>
      <c r="F105" s="193">
        <v>932</v>
      </c>
      <c r="G105" s="191">
        <v>1587607.5</v>
      </c>
      <c r="H105" s="109">
        <v>783</v>
      </c>
      <c r="I105" s="109">
        <v>1481355</v>
      </c>
      <c r="J105" s="159">
        <f t="shared" si="5"/>
        <v>0.84012875536480691</v>
      </c>
      <c r="K105" s="159">
        <f t="shared" si="6"/>
        <v>0.93307382334739541</v>
      </c>
      <c r="L105" s="159">
        <f t="shared" si="7"/>
        <v>0.25203862660944204</v>
      </c>
      <c r="M105" s="159">
        <f t="shared" si="8"/>
        <v>0.65315167634317672</v>
      </c>
      <c r="N105" s="160">
        <f t="shared" si="9"/>
        <v>0.90519030295261871</v>
      </c>
      <c r="O105" s="161"/>
      <c r="P105" s="161"/>
    </row>
    <row r="106" spans="1:16" x14ac:dyDescent="0.2">
      <c r="A106" s="165">
        <v>100</v>
      </c>
      <c r="B106" s="223" t="s">
        <v>597</v>
      </c>
      <c r="C106" s="222" t="s">
        <v>16</v>
      </c>
      <c r="D106" s="219" t="s">
        <v>599</v>
      </c>
      <c r="E106" s="223" t="s">
        <v>600</v>
      </c>
      <c r="F106" s="193">
        <v>2356</v>
      </c>
      <c r="G106" s="191">
        <v>4023560.7</v>
      </c>
      <c r="H106" s="109">
        <v>2550</v>
      </c>
      <c r="I106" s="109">
        <v>3826140</v>
      </c>
      <c r="J106" s="159">
        <f t="shared" si="5"/>
        <v>1.0823429541595926</v>
      </c>
      <c r="K106" s="159">
        <f t="shared" si="6"/>
        <v>0.95093383330839265</v>
      </c>
      <c r="L106" s="159">
        <f t="shared" si="7"/>
        <v>0.3</v>
      </c>
      <c r="M106" s="159">
        <f t="shared" si="8"/>
        <v>0.66565368331587482</v>
      </c>
      <c r="N106" s="160">
        <f t="shared" si="9"/>
        <v>0.96565368331587487</v>
      </c>
      <c r="O106" s="161"/>
      <c r="P106" s="161"/>
    </row>
    <row r="107" spans="1:16" x14ac:dyDescent="0.2">
      <c r="A107" s="165">
        <v>101</v>
      </c>
      <c r="B107" s="223" t="s">
        <v>597</v>
      </c>
      <c r="C107" s="222" t="s">
        <v>16</v>
      </c>
      <c r="D107" s="219" t="s">
        <v>598</v>
      </c>
      <c r="E107" s="223" t="s">
        <v>1252</v>
      </c>
      <c r="F107" s="193">
        <v>1926</v>
      </c>
      <c r="G107" s="191">
        <v>3294657</v>
      </c>
      <c r="H107" s="109">
        <v>1427</v>
      </c>
      <c r="I107" s="109">
        <v>2675575</v>
      </c>
      <c r="J107" s="159">
        <f t="shared" si="5"/>
        <v>0.74091381100726894</v>
      </c>
      <c r="K107" s="159">
        <f t="shared" si="6"/>
        <v>0.81209515891942619</v>
      </c>
      <c r="L107" s="159">
        <f t="shared" si="7"/>
        <v>0.22227414330218068</v>
      </c>
      <c r="M107" s="159">
        <f t="shared" si="8"/>
        <v>0.56846661124359832</v>
      </c>
      <c r="N107" s="160">
        <f t="shared" si="9"/>
        <v>0.79074075454577897</v>
      </c>
      <c r="O107" s="161"/>
      <c r="P107" s="161"/>
    </row>
    <row r="108" spans="1:16" x14ac:dyDescent="0.2">
      <c r="A108" s="165">
        <v>102</v>
      </c>
      <c r="B108" s="223" t="s">
        <v>42</v>
      </c>
      <c r="C108" s="222" t="s">
        <v>16</v>
      </c>
      <c r="D108" s="219" t="s">
        <v>584</v>
      </c>
      <c r="E108" s="223" t="s">
        <v>1012</v>
      </c>
      <c r="F108" s="193">
        <v>2947</v>
      </c>
      <c r="G108" s="191">
        <v>5024029.8250000002</v>
      </c>
      <c r="H108" s="109">
        <v>2610</v>
      </c>
      <c r="I108" s="109">
        <v>3960840</v>
      </c>
      <c r="J108" s="159">
        <f t="shared" si="5"/>
        <v>0.88564642008822536</v>
      </c>
      <c r="K108" s="159">
        <f t="shared" si="6"/>
        <v>0.78837907774562221</v>
      </c>
      <c r="L108" s="159">
        <f t="shared" si="7"/>
        <v>0.26569392602646758</v>
      </c>
      <c r="M108" s="159">
        <f t="shared" si="8"/>
        <v>0.55186535442193552</v>
      </c>
      <c r="N108" s="160">
        <f t="shared" si="9"/>
        <v>0.81755928044840309</v>
      </c>
      <c r="O108" s="161"/>
      <c r="P108" s="161"/>
    </row>
    <row r="109" spans="1:16" x14ac:dyDescent="0.2">
      <c r="A109" s="165">
        <v>103</v>
      </c>
      <c r="B109" s="223" t="s">
        <v>42</v>
      </c>
      <c r="C109" s="222" t="s">
        <v>16</v>
      </c>
      <c r="D109" s="219" t="s">
        <v>586</v>
      </c>
      <c r="E109" s="223" t="s">
        <v>1013</v>
      </c>
      <c r="F109" s="193">
        <v>2617</v>
      </c>
      <c r="G109" s="191">
        <v>4477340.5999999996</v>
      </c>
      <c r="H109" s="109">
        <v>803</v>
      </c>
      <c r="I109" s="109">
        <v>2292235</v>
      </c>
      <c r="J109" s="159">
        <f t="shared" si="5"/>
        <v>0.30683989300726022</v>
      </c>
      <c r="K109" s="159">
        <f t="shared" si="6"/>
        <v>0.51196350798060797</v>
      </c>
      <c r="L109" s="159">
        <f t="shared" si="7"/>
        <v>9.2051967902178067E-2</v>
      </c>
      <c r="M109" s="159">
        <f t="shared" si="8"/>
        <v>0.35837445558642556</v>
      </c>
      <c r="N109" s="160">
        <f t="shared" si="9"/>
        <v>0.45042642348860362</v>
      </c>
      <c r="O109" s="161"/>
      <c r="P109" s="161"/>
    </row>
    <row r="110" spans="1:16" x14ac:dyDescent="0.2">
      <c r="A110" s="165">
        <v>104</v>
      </c>
      <c r="B110" s="223" t="s">
        <v>49</v>
      </c>
      <c r="C110" s="222" t="s">
        <v>16</v>
      </c>
      <c r="D110" s="219" t="s">
        <v>591</v>
      </c>
      <c r="E110" s="223" t="s">
        <v>1329</v>
      </c>
      <c r="F110" s="193">
        <v>2182</v>
      </c>
      <c r="G110" s="191">
        <v>3722312.2749999999</v>
      </c>
      <c r="H110" s="109">
        <v>2199</v>
      </c>
      <c r="I110" s="109">
        <v>4847435</v>
      </c>
      <c r="J110" s="159">
        <f t="shared" si="5"/>
        <v>1.0077910174152154</v>
      </c>
      <c r="K110" s="159">
        <f t="shared" si="6"/>
        <v>1.302264464095775</v>
      </c>
      <c r="L110" s="159">
        <f t="shared" si="7"/>
        <v>0.3</v>
      </c>
      <c r="M110" s="159">
        <f t="shared" si="8"/>
        <v>0.7</v>
      </c>
      <c r="N110" s="160">
        <f t="shared" si="9"/>
        <v>1</v>
      </c>
      <c r="O110" s="161"/>
      <c r="P110" s="161"/>
    </row>
    <row r="111" spans="1:16" x14ac:dyDescent="0.2">
      <c r="A111" s="165">
        <v>105</v>
      </c>
      <c r="B111" s="223" t="s">
        <v>49</v>
      </c>
      <c r="C111" s="222" t="s">
        <v>16</v>
      </c>
      <c r="D111" s="219" t="s">
        <v>592</v>
      </c>
      <c r="E111" s="223" t="s">
        <v>593</v>
      </c>
      <c r="F111" s="193">
        <v>2940</v>
      </c>
      <c r="G111" s="191">
        <v>5031310.9749999996</v>
      </c>
      <c r="H111" s="109">
        <v>2421</v>
      </c>
      <c r="I111" s="109">
        <v>4078905</v>
      </c>
      <c r="J111" s="159">
        <f t="shared" si="5"/>
        <v>0.82346938775510203</v>
      </c>
      <c r="K111" s="159">
        <f t="shared" si="6"/>
        <v>0.8107042121362813</v>
      </c>
      <c r="L111" s="159">
        <f t="shared" si="7"/>
        <v>0.2470408163265306</v>
      </c>
      <c r="M111" s="159">
        <f t="shared" si="8"/>
        <v>0.56749294849539689</v>
      </c>
      <c r="N111" s="160">
        <f t="shared" si="9"/>
        <v>0.81453376482192752</v>
      </c>
      <c r="O111" s="161"/>
      <c r="P111" s="161"/>
    </row>
    <row r="112" spans="1:16" x14ac:dyDescent="0.2">
      <c r="A112" s="165">
        <v>106</v>
      </c>
      <c r="B112" s="223" t="s">
        <v>49</v>
      </c>
      <c r="C112" s="222" t="s">
        <v>16</v>
      </c>
      <c r="D112" s="219" t="s">
        <v>588</v>
      </c>
      <c r="E112" s="223" t="s">
        <v>589</v>
      </c>
      <c r="F112" s="193">
        <v>2014</v>
      </c>
      <c r="G112" s="191">
        <v>3448641.95</v>
      </c>
      <c r="H112" s="109">
        <v>1712</v>
      </c>
      <c r="I112" s="109">
        <v>2177035</v>
      </c>
      <c r="J112" s="159">
        <f t="shared" si="5"/>
        <v>0.85004965243296926</v>
      </c>
      <c r="K112" s="159">
        <f t="shared" si="6"/>
        <v>0.63127313057245615</v>
      </c>
      <c r="L112" s="159">
        <f t="shared" si="7"/>
        <v>0.25501489572989078</v>
      </c>
      <c r="M112" s="159">
        <f t="shared" si="8"/>
        <v>0.44189119140071925</v>
      </c>
      <c r="N112" s="160">
        <f t="shared" si="9"/>
        <v>0.69690608713061009</v>
      </c>
      <c r="O112" s="161"/>
      <c r="P112" s="161"/>
    </row>
    <row r="113" spans="1:16" x14ac:dyDescent="0.2">
      <c r="A113" s="165">
        <v>107</v>
      </c>
      <c r="B113" s="223" t="s">
        <v>49</v>
      </c>
      <c r="C113" s="222" t="s">
        <v>16</v>
      </c>
      <c r="D113" s="219" t="s">
        <v>590</v>
      </c>
      <c r="E113" s="223" t="s">
        <v>1015</v>
      </c>
      <c r="F113" s="193">
        <v>1261</v>
      </c>
      <c r="G113" s="191">
        <v>2158867.875</v>
      </c>
      <c r="H113" s="109">
        <v>749</v>
      </c>
      <c r="I113" s="109">
        <v>1035175</v>
      </c>
      <c r="J113" s="159">
        <f t="shared" si="5"/>
        <v>0.59397303727200634</v>
      </c>
      <c r="K113" s="159">
        <f t="shared" si="6"/>
        <v>0.47949900593152323</v>
      </c>
      <c r="L113" s="159">
        <f t="shared" si="7"/>
        <v>0.17819191118160191</v>
      </c>
      <c r="M113" s="159">
        <f t="shared" si="8"/>
        <v>0.33564930415206623</v>
      </c>
      <c r="N113" s="160">
        <f t="shared" si="9"/>
        <v>0.51384121533366811</v>
      </c>
      <c r="O113" s="161"/>
      <c r="P113" s="161"/>
    </row>
    <row r="114" spans="1:16" x14ac:dyDescent="0.2">
      <c r="A114" s="165">
        <v>108</v>
      </c>
      <c r="B114" s="223" t="s">
        <v>44</v>
      </c>
      <c r="C114" s="222" t="s">
        <v>16</v>
      </c>
      <c r="D114" s="219" t="s">
        <v>674</v>
      </c>
      <c r="E114" s="223" t="s">
        <v>1140</v>
      </c>
      <c r="F114" s="193">
        <v>364</v>
      </c>
      <c r="G114" s="191">
        <v>620268.32499999995</v>
      </c>
      <c r="H114" s="109">
        <v>158</v>
      </c>
      <c r="I114" s="109">
        <v>213660</v>
      </c>
      <c r="J114" s="159">
        <f t="shared" si="5"/>
        <v>0.43406593406593408</v>
      </c>
      <c r="K114" s="159">
        <f t="shared" si="6"/>
        <v>0.34446382539363107</v>
      </c>
      <c r="L114" s="159">
        <f t="shared" si="7"/>
        <v>0.13021978021978023</v>
      </c>
      <c r="M114" s="159">
        <f t="shared" si="8"/>
        <v>0.24112467777554172</v>
      </c>
      <c r="N114" s="160">
        <f t="shared" si="9"/>
        <v>0.37134445799532195</v>
      </c>
      <c r="O114" s="161"/>
      <c r="P114" s="161"/>
    </row>
    <row r="115" spans="1:16" x14ac:dyDescent="0.2">
      <c r="A115" s="165">
        <v>109</v>
      </c>
      <c r="B115" s="223" t="s">
        <v>44</v>
      </c>
      <c r="C115" s="222" t="s">
        <v>16</v>
      </c>
      <c r="D115" s="219" t="s">
        <v>673</v>
      </c>
      <c r="E115" s="223" t="s">
        <v>1017</v>
      </c>
      <c r="F115" s="193">
        <v>1450</v>
      </c>
      <c r="G115" s="191">
        <v>2475458.25</v>
      </c>
      <c r="H115" s="109">
        <v>494</v>
      </c>
      <c r="I115" s="109">
        <v>1102830</v>
      </c>
      <c r="J115" s="159">
        <f t="shared" si="5"/>
        <v>0.34068965517241379</v>
      </c>
      <c r="K115" s="159">
        <f t="shared" si="6"/>
        <v>0.44550539278939566</v>
      </c>
      <c r="L115" s="159">
        <f t="shared" si="7"/>
        <v>0.10220689655172413</v>
      </c>
      <c r="M115" s="159">
        <f t="shared" si="8"/>
        <v>0.31185377495257693</v>
      </c>
      <c r="N115" s="160">
        <f t="shared" si="9"/>
        <v>0.41406067150430104</v>
      </c>
      <c r="O115" s="161"/>
      <c r="P115" s="161"/>
    </row>
    <row r="116" spans="1:16" x14ac:dyDescent="0.2">
      <c r="A116" s="165">
        <v>110</v>
      </c>
      <c r="B116" s="223" t="s">
        <v>50</v>
      </c>
      <c r="C116" s="222" t="s">
        <v>16</v>
      </c>
      <c r="D116" s="219" t="s">
        <v>638</v>
      </c>
      <c r="E116" s="223" t="s">
        <v>644</v>
      </c>
      <c r="F116" s="193">
        <v>1628</v>
      </c>
      <c r="G116" s="191">
        <v>3530385.7</v>
      </c>
      <c r="H116" s="109">
        <v>1316</v>
      </c>
      <c r="I116" s="109">
        <v>2146435</v>
      </c>
      <c r="J116" s="159">
        <f t="shared" si="5"/>
        <v>0.80835380835380832</v>
      </c>
      <c r="K116" s="159">
        <f t="shared" si="6"/>
        <v>0.60798880983457415</v>
      </c>
      <c r="L116" s="159">
        <f t="shared" si="7"/>
        <v>0.2425061425061425</v>
      </c>
      <c r="M116" s="159">
        <f t="shared" si="8"/>
        <v>0.42559216688420187</v>
      </c>
      <c r="N116" s="160">
        <f t="shared" si="9"/>
        <v>0.66809830939034431</v>
      </c>
      <c r="O116" s="161"/>
      <c r="P116" s="161"/>
    </row>
    <row r="117" spans="1:16" x14ac:dyDescent="0.2">
      <c r="A117" s="165">
        <v>111</v>
      </c>
      <c r="B117" s="223" t="s">
        <v>50</v>
      </c>
      <c r="C117" s="222" t="s">
        <v>16</v>
      </c>
      <c r="D117" s="219" t="s">
        <v>636</v>
      </c>
      <c r="E117" s="223" t="s">
        <v>637</v>
      </c>
      <c r="F117" s="193">
        <v>1043</v>
      </c>
      <c r="G117" s="191">
        <v>1780977.75</v>
      </c>
      <c r="H117" s="109">
        <v>821</v>
      </c>
      <c r="I117" s="109">
        <v>1009800</v>
      </c>
      <c r="J117" s="159">
        <f t="shared" si="5"/>
        <v>0.78715244487056568</v>
      </c>
      <c r="K117" s="159">
        <f t="shared" si="6"/>
        <v>0.566991923397134</v>
      </c>
      <c r="L117" s="159">
        <f t="shared" si="7"/>
        <v>0.23614573346116968</v>
      </c>
      <c r="M117" s="159">
        <f t="shared" si="8"/>
        <v>0.39689434637799376</v>
      </c>
      <c r="N117" s="160">
        <f t="shared" si="9"/>
        <v>0.63304007983916344</v>
      </c>
      <c r="O117" s="161"/>
      <c r="P117" s="161"/>
    </row>
    <row r="118" spans="1:16" x14ac:dyDescent="0.2">
      <c r="A118" s="165">
        <v>112</v>
      </c>
      <c r="B118" s="223" t="s">
        <v>50</v>
      </c>
      <c r="C118" s="222" t="s">
        <v>16</v>
      </c>
      <c r="D118" s="219" t="s">
        <v>632</v>
      </c>
      <c r="E118" s="223" t="s">
        <v>633</v>
      </c>
      <c r="F118" s="193">
        <v>1789</v>
      </c>
      <c r="G118" s="191">
        <v>2557388.625</v>
      </c>
      <c r="H118" s="109">
        <v>1091</v>
      </c>
      <c r="I118" s="109">
        <v>1442200</v>
      </c>
      <c r="J118" s="159">
        <f t="shared" si="5"/>
        <v>0.60983789826718837</v>
      </c>
      <c r="K118" s="159">
        <f t="shared" si="6"/>
        <v>0.5639346268696257</v>
      </c>
      <c r="L118" s="159">
        <f t="shared" si="7"/>
        <v>0.1829513694801565</v>
      </c>
      <c r="M118" s="159">
        <f t="shared" si="8"/>
        <v>0.39475423880873795</v>
      </c>
      <c r="N118" s="160">
        <f t="shared" si="9"/>
        <v>0.5777056082888945</v>
      </c>
      <c r="O118" s="161"/>
      <c r="P118" s="161"/>
    </row>
    <row r="119" spans="1:16" x14ac:dyDescent="0.2">
      <c r="A119" s="165">
        <v>113</v>
      </c>
      <c r="B119" s="223" t="s">
        <v>50</v>
      </c>
      <c r="C119" s="222" t="s">
        <v>16</v>
      </c>
      <c r="D119" s="219" t="s">
        <v>643</v>
      </c>
      <c r="E119" s="223" t="s">
        <v>1052</v>
      </c>
      <c r="F119" s="193">
        <v>1758</v>
      </c>
      <c r="G119" s="191">
        <v>2812697.2749999999</v>
      </c>
      <c r="H119" s="109">
        <v>837</v>
      </c>
      <c r="I119" s="109">
        <v>1133860</v>
      </c>
      <c r="J119" s="159">
        <f t="shared" si="5"/>
        <v>0.47610921501706482</v>
      </c>
      <c r="K119" s="159">
        <f t="shared" si="6"/>
        <v>0.40312194635307846</v>
      </c>
      <c r="L119" s="159">
        <f t="shared" si="7"/>
        <v>0.14283276450511945</v>
      </c>
      <c r="M119" s="159">
        <f t="shared" si="8"/>
        <v>0.28218536244715492</v>
      </c>
      <c r="N119" s="160">
        <f t="shared" si="9"/>
        <v>0.42501812695227437</v>
      </c>
      <c r="O119" s="161"/>
      <c r="P119" s="161"/>
    </row>
    <row r="120" spans="1:16" x14ac:dyDescent="0.2">
      <c r="A120" s="165">
        <v>114</v>
      </c>
      <c r="B120" s="223" t="s">
        <v>50</v>
      </c>
      <c r="C120" s="222" t="s">
        <v>16</v>
      </c>
      <c r="D120" s="219" t="s">
        <v>639</v>
      </c>
      <c r="E120" s="223" t="s">
        <v>1378</v>
      </c>
      <c r="F120" s="193">
        <v>2301</v>
      </c>
      <c r="G120" s="191">
        <v>2478898.9500000002</v>
      </c>
      <c r="H120" s="109">
        <v>1235</v>
      </c>
      <c r="I120" s="109">
        <v>1661825</v>
      </c>
      <c r="J120" s="159">
        <f t="shared" si="5"/>
        <v>0.53672316384180796</v>
      </c>
      <c r="K120" s="159">
        <f t="shared" si="6"/>
        <v>0.6703883593157357</v>
      </c>
      <c r="L120" s="159">
        <f t="shared" si="7"/>
        <v>0.16101694915254239</v>
      </c>
      <c r="M120" s="159">
        <f t="shared" si="8"/>
        <v>0.46927185152101497</v>
      </c>
      <c r="N120" s="160">
        <f t="shared" si="9"/>
        <v>0.63028880067355741</v>
      </c>
      <c r="O120" s="161"/>
      <c r="P120" s="161"/>
    </row>
    <row r="121" spans="1:16" x14ac:dyDescent="0.2">
      <c r="A121" s="165">
        <v>115</v>
      </c>
      <c r="B121" s="223" t="s">
        <v>50</v>
      </c>
      <c r="C121" s="222" t="s">
        <v>16</v>
      </c>
      <c r="D121" s="219" t="s">
        <v>641</v>
      </c>
      <c r="E121" s="226" t="s">
        <v>1301</v>
      </c>
      <c r="F121" s="193">
        <v>1909</v>
      </c>
      <c r="G121" s="191">
        <v>2993825.15</v>
      </c>
      <c r="H121" s="109">
        <v>1381</v>
      </c>
      <c r="I121" s="109">
        <v>1762585</v>
      </c>
      <c r="J121" s="159">
        <f t="shared" si="5"/>
        <v>0.7234154007333683</v>
      </c>
      <c r="K121" s="159">
        <f t="shared" si="6"/>
        <v>0.58874012732507108</v>
      </c>
      <c r="L121" s="159">
        <f t="shared" si="7"/>
        <v>0.21702462022001048</v>
      </c>
      <c r="M121" s="159">
        <f t="shared" si="8"/>
        <v>0.41211808912754971</v>
      </c>
      <c r="N121" s="160">
        <f t="shared" si="9"/>
        <v>0.62914270934756023</v>
      </c>
      <c r="O121" s="161"/>
      <c r="P121" s="161"/>
    </row>
    <row r="122" spans="1:16" x14ac:dyDescent="0.2">
      <c r="A122" s="165">
        <v>116</v>
      </c>
      <c r="B122" s="223" t="s">
        <v>50</v>
      </c>
      <c r="C122" s="222" t="s">
        <v>16</v>
      </c>
      <c r="D122" s="219" t="s">
        <v>634</v>
      </c>
      <c r="E122" s="223" t="s">
        <v>635</v>
      </c>
      <c r="F122" s="193">
        <v>1978</v>
      </c>
      <c r="G122" s="191">
        <v>3383218.0249999999</v>
      </c>
      <c r="H122" s="109">
        <v>1376</v>
      </c>
      <c r="I122" s="109">
        <v>1686290</v>
      </c>
      <c r="J122" s="159">
        <f t="shared" si="5"/>
        <v>0.69565217391304346</v>
      </c>
      <c r="K122" s="159">
        <f t="shared" si="6"/>
        <v>0.49842782449706297</v>
      </c>
      <c r="L122" s="159">
        <f t="shared" si="7"/>
        <v>0.20869565217391303</v>
      </c>
      <c r="M122" s="159">
        <f t="shared" si="8"/>
        <v>0.34889947714794406</v>
      </c>
      <c r="N122" s="160">
        <f t="shared" si="9"/>
        <v>0.55759512932185706</v>
      </c>
      <c r="O122" s="161"/>
      <c r="P122" s="161"/>
    </row>
    <row r="123" spans="1:16" x14ac:dyDescent="0.2">
      <c r="A123" s="165">
        <v>117</v>
      </c>
      <c r="B123" s="223" t="s">
        <v>50</v>
      </c>
      <c r="C123" s="222" t="s">
        <v>16</v>
      </c>
      <c r="D123" s="219" t="s">
        <v>642</v>
      </c>
      <c r="E123" s="223" t="s">
        <v>1116</v>
      </c>
      <c r="F123" s="193">
        <v>2213</v>
      </c>
      <c r="G123" s="191">
        <v>5471255.875</v>
      </c>
      <c r="H123" s="109">
        <v>1635</v>
      </c>
      <c r="I123" s="109">
        <v>2799030</v>
      </c>
      <c r="J123" s="159">
        <f t="shared" si="5"/>
        <v>0.73881608676005428</v>
      </c>
      <c r="K123" s="159">
        <f t="shared" si="6"/>
        <v>0.51158821008348476</v>
      </c>
      <c r="L123" s="159">
        <f t="shared" si="7"/>
        <v>0.22164482602801627</v>
      </c>
      <c r="M123" s="159">
        <f t="shared" si="8"/>
        <v>0.35811174705843929</v>
      </c>
      <c r="N123" s="160">
        <f t="shared" si="9"/>
        <v>0.57975657308645556</v>
      </c>
      <c r="O123" s="161"/>
      <c r="P123" s="161"/>
    </row>
    <row r="124" spans="1:16" x14ac:dyDescent="0.2">
      <c r="A124" s="165">
        <v>118</v>
      </c>
      <c r="B124" s="223" t="s">
        <v>50</v>
      </c>
      <c r="C124" s="222" t="s">
        <v>16</v>
      </c>
      <c r="D124" s="219" t="s">
        <v>1354</v>
      </c>
      <c r="E124" s="223" t="s">
        <v>1072</v>
      </c>
      <c r="F124" s="193">
        <v>576</v>
      </c>
      <c r="G124" s="191">
        <v>940461.92500000005</v>
      </c>
      <c r="H124" s="109">
        <v>423</v>
      </c>
      <c r="I124" s="109">
        <v>446205</v>
      </c>
      <c r="J124" s="159">
        <f t="shared" si="5"/>
        <v>0.734375</v>
      </c>
      <c r="K124" s="159">
        <f t="shared" si="6"/>
        <v>0.47445301945636981</v>
      </c>
      <c r="L124" s="159">
        <f t="shared" si="7"/>
        <v>0.22031249999999999</v>
      </c>
      <c r="M124" s="159">
        <f t="shared" si="8"/>
        <v>0.33211711361945884</v>
      </c>
      <c r="N124" s="160">
        <f t="shared" si="9"/>
        <v>0.55242961361945886</v>
      </c>
      <c r="O124" s="161"/>
      <c r="P124" s="161"/>
    </row>
    <row r="125" spans="1:16" x14ac:dyDescent="0.2">
      <c r="A125" s="165">
        <v>119</v>
      </c>
      <c r="B125" s="223" t="s">
        <v>52</v>
      </c>
      <c r="C125" s="222" t="s">
        <v>16</v>
      </c>
      <c r="D125" s="219" t="s">
        <v>647</v>
      </c>
      <c r="E125" s="223" t="s">
        <v>1388</v>
      </c>
      <c r="F125" s="193">
        <v>3869</v>
      </c>
      <c r="G125" s="191">
        <v>5482338.4249999998</v>
      </c>
      <c r="H125" s="109">
        <v>2409</v>
      </c>
      <c r="I125" s="109">
        <v>3209315</v>
      </c>
      <c r="J125" s="159">
        <f t="shared" si="5"/>
        <v>0.62264150943396224</v>
      </c>
      <c r="K125" s="159">
        <f t="shared" si="6"/>
        <v>0.58539162510749232</v>
      </c>
      <c r="L125" s="159">
        <f t="shared" si="7"/>
        <v>0.18679245283018867</v>
      </c>
      <c r="M125" s="159">
        <f t="shared" si="8"/>
        <v>0.40977413757524461</v>
      </c>
      <c r="N125" s="160">
        <f t="shared" si="9"/>
        <v>0.59656659040543325</v>
      </c>
      <c r="O125" s="161"/>
      <c r="P125" s="161"/>
    </row>
    <row r="126" spans="1:16" x14ac:dyDescent="0.2">
      <c r="A126" s="165">
        <v>120</v>
      </c>
      <c r="B126" s="223" t="s">
        <v>52</v>
      </c>
      <c r="C126" s="222" t="s">
        <v>16</v>
      </c>
      <c r="D126" s="219" t="s">
        <v>645</v>
      </c>
      <c r="E126" s="223" t="s">
        <v>646</v>
      </c>
      <c r="F126" s="193">
        <v>1609</v>
      </c>
      <c r="G126" s="191">
        <v>4199614.375</v>
      </c>
      <c r="H126" s="109">
        <v>1939</v>
      </c>
      <c r="I126" s="109">
        <v>2670560</v>
      </c>
      <c r="J126" s="159">
        <f t="shared" si="5"/>
        <v>1.2050963331261653</v>
      </c>
      <c r="K126" s="159">
        <f t="shared" si="6"/>
        <v>0.63590600506028605</v>
      </c>
      <c r="L126" s="159">
        <f t="shared" si="7"/>
        <v>0.3</v>
      </c>
      <c r="M126" s="159">
        <f t="shared" si="8"/>
        <v>0.44513420354220018</v>
      </c>
      <c r="N126" s="160">
        <f t="shared" si="9"/>
        <v>0.74513420354220017</v>
      </c>
      <c r="O126" s="161"/>
      <c r="P126" s="161"/>
    </row>
    <row r="127" spans="1:16" x14ac:dyDescent="0.2">
      <c r="A127" s="165">
        <v>121</v>
      </c>
      <c r="B127" s="223" t="s">
        <v>52</v>
      </c>
      <c r="C127" s="222" t="s">
        <v>16</v>
      </c>
      <c r="D127" s="219" t="s">
        <v>1071</v>
      </c>
      <c r="E127" s="223" t="s">
        <v>1302</v>
      </c>
      <c r="F127" s="193">
        <v>1764</v>
      </c>
      <c r="G127" s="191">
        <v>2700277.8250000002</v>
      </c>
      <c r="H127" s="109">
        <v>1612</v>
      </c>
      <c r="I127" s="109">
        <v>1848090</v>
      </c>
      <c r="J127" s="159">
        <f t="shared" si="5"/>
        <v>0.91383219954648531</v>
      </c>
      <c r="K127" s="159">
        <f t="shared" si="6"/>
        <v>0.68440735352852067</v>
      </c>
      <c r="L127" s="159">
        <f t="shared" si="7"/>
        <v>0.27414965986394557</v>
      </c>
      <c r="M127" s="159">
        <f t="shared" si="8"/>
        <v>0.47908514746996445</v>
      </c>
      <c r="N127" s="160">
        <f t="shared" si="9"/>
        <v>0.75323480733391002</v>
      </c>
      <c r="O127" s="161"/>
      <c r="P127" s="161"/>
    </row>
    <row r="128" spans="1:16" x14ac:dyDescent="0.2">
      <c r="A128" s="165">
        <v>122</v>
      </c>
      <c r="B128" s="223" t="s">
        <v>55</v>
      </c>
      <c r="C128" s="222" t="s">
        <v>16</v>
      </c>
      <c r="D128" s="219" t="s">
        <v>628</v>
      </c>
      <c r="E128" s="223" t="s">
        <v>629</v>
      </c>
      <c r="F128" s="193">
        <v>1263</v>
      </c>
      <c r="G128" s="191">
        <v>2196291.4</v>
      </c>
      <c r="H128" s="109">
        <v>1878</v>
      </c>
      <c r="I128" s="109">
        <v>2489040</v>
      </c>
      <c r="J128" s="159">
        <f t="shared" si="5"/>
        <v>1.486935866983373</v>
      </c>
      <c r="K128" s="159">
        <f t="shared" si="6"/>
        <v>1.1332922398184504</v>
      </c>
      <c r="L128" s="159">
        <f t="shared" si="7"/>
        <v>0.3</v>
      </c>
      <c r="M128" s="159">
        <f t="shared" si="8"/>
        <v>0.7</v>
      </c>
      <c r="N128" s="160">
        <f t="shared" si="9"/>
        <v>1</v>
      </c>
      <c r="O128" s="161"/>
      <c r="P128" s="161"/>
    </row>
    <row r="129" spans="1:16" x14ac:dyDescent="0.2">
      <c r="A129" s="165">
        <v>123</v>
      </c>
      <c r="B129" s="223" t="s">
        <v>55</v>
      </c>
      <c r="C129" s="222" t="s">
        <v>16</v>
      </c>
      <c r="D129" s="219" t="s">
        <v>627</v>
      </c>
      <c r="E129" s="223" t="s">
        <v>1300</v>
      </c>
      <c r="F129" s="193">
        <v>1091</v>
      </c>
      <c r="G129" s="191">
        <v>1805706.25</v>
      </c>
      <c r="H129" s="109">
        <v>1303</v>
      </c>
      <c r="I129" s="109">
        <v>1941955</v>
      </c>
      <c r="J129" s="159">
        <f t="shared" si="5"/>
        <v>1.1943171402383135</v>
      </c>
      <c r="K129" s="159">
        <f t="shared" si="6"/>
        <v>1.075454548601136</v>
      </c>
      <c r="L129" s="159">
        <f t="shared" si="7"/>
        <v>0.3</v>
      </c>
      <c r="M129" s="159">
        <f t="shared" si="8"/>
        <v>0.7</v>
      </c>
      <c r="N129" s="160">
        <f t="shared" si="9"/>
        <v>1</v>
      </c>
      <c r="O129" s="161"/>
      <c r="P129" s="161"/>
    </row>
    <row r="130" spans="1:16" x14ac:dyDescent="0.2">
      <c r="A130" s="165">
        <v>124</v>
      </c>
      <c r="B130" s="223" t="s">
        <v>55</v>
      </c>
      <c r="C130" s="222" t="s">
        <v>16</v>
      </c>
      <c r="D130" s="219" t="s">
        <v>624</v>
      </c>
      <c r="E130" s="223" t="s">
        <v>1288</v>
      </c>
      <c r="F130" s="193">
        <v>1255</v>
      </c>
      <c r="G130" s="191">
        <v>2125769.4</v>
      </c>
      <c r="H130" s="109">
        <v>1731</v>
      </c>
      <c r="I130" s="109">
        <v>2178815</v>
      </c>
      <c r="J130" s="159">
        <f t="shared" si="5"/>
        <v>1.3792828685258964</v>
      </c>
      <c r="K130" s="159">
        <f t="shared" si="6"/>
        <v>1.0249536003293678</v>
      </c>
      <c r="L130" s="159">
        <f t="shared" si="7"/>
        <v>0.3</v>
      </c>
      <c r="M130" s="159">
        <f t="shared" si="8"/>
        <v>0.7</v>
      </c>
      <c r="N130" s="160">
        <f t="shared" si="9"/>
        <v>1</v>
      </c>
      <c r="O130" s="161"/>
      <c r="P130" s="161"/>
    </row>
    <row r="131" spans="1:16" x14ac:dyDescent="0.2">
      <c r="A131" s="165">
        <v>125</v>
      </c>
      <c r="B131" s="223" t="s">
        <v>55</v>
      </c>
      <c r="C131" s="222" t="s">
        <v>16</v>
      </c>
      <c r="D131" s="219" t="s">
        <v>625</v>
      </c>
      <c r="E131" s="223" t="s">
        <v>626</v>
      </c>
      <c r="F131" s="193">
        <v>794</v>
      </c>
      <c r="G131" s="191">
        <v>1293601.125</v>
      </c>
      <c r="H131" s="109">
        <v>1310</v>
      </c>
      <c r="I131" s="109">
        <v>1519200</v>
      </c>
      <c r="J131" s="159">
        <f t="shared" si="5"/>
        <v>1.649874055415617</v>
      </c>
      <c r="K131" s="159">
        <f t="shared" si="6"/>
        <v>1.1743960102075515</v>
      </c>
      <c r="L131" s="159">
        <f t="shared" si="7"/>
        <v>0.3</v>
      </c>
      <c r="M131" s="159">
        <f t="shared" si="8"/>
        <v>0.7</v>
      </c>
      <c r="N131" s="160">
        <f t="shared" si="9"/>
        <v>1</v>
      </c>
      <c r="O131" s="161"/>
      <c r="P131" s="161"/>
    </row>
    <row r="132" spans="1:16" x14ac:dyDescent="0.2">
      <c r="A132" s="165">
        <v>126</v>
      </c>
      <c r="B132" s="223" t="s">
        <v>55</v>
      </c>
      <c r="C132" s="222" t="s">
        <v>16</v>
      </c>
      <c r="D132" s="219" t="s">
        <v>630</v>
      </c>
      <c r="E132" s="223" t="s">
        <v>1389</v>
      </c>
      <c r="F132" s="193">
        <v>1326</v>
      </c>
      <c r="G132" s="191">
        <v>2372070.2999999998</v>
      </c>
      <c r="H132" s="109">
        <v>1925</v>
      </c>
      <c r="I132" s="109">
        <v>2561765</v>
      </c>
      <c r="J132" s="159">
        <f t="shared" si="5"/>
        <v>1.451734539969834</v>
      </c>
      <c r="K132" s="159">
        <f t="shared" si="6"/>
        <v>1.079970100380246</v>
      </c>
      <c r="L132" s="159">
        <f t="shared" si="7"/>
        <v>0.3</v>
      </c>
      <c r="M132" s="159">
        <f t="shared" si="8"/>
        <v>0.7</v>
      </c>
      <c r="N132" s="160">
        <f t="shared" si="9"/>
        <v>1</v>
      </c>
      <c r="O132" s="161"/>
      <c r="P132" s="161"/>
    </row>
    <row r="133" spans="1:16" x14ac:dyDescent="0.2">
      <c r="A133" s="165">
        <v>127</v>
      </c>
      <c r="B133" s="223" t="s">
        <v>54</v>
      </c>
      <c r="C133" s="222" t="s">
        <v>16</v>
      </c>
      <c r="D133" s="219" t="s">
        <v>660</v>
      </c>
      <c r="E133" s="223" t="s">
        <v>661</v>
      </c>
      <c r="F133" s="193">
        <v>2334</v>
      </c>
      <c r="G133" s="191">
        <v>4026485.65</v>
      </c>
      <c r="H133" s="109">
        <v>1801</v>
      </c>
      <c r="I133" s="109">
        <v>2768385</v>
      </c>
      <c r="J133" s="159">
        <f t="shared" si="5"/>
        <v>0.77163667523564694</v>
      </c>
      <c r="K133" s="159">
        <f t="shared" si="6"/>
        <v>0.68754373929036605</v>
      </c>
      <c r="L133" s="159">
        <f t="shared" si="7"/>
        <v>0.23149100257069408</v>
      </c>
      <c r="M133" s="159">
        <f t="shared" si="8"/>
        <v>0.48128061750325618</v>
      </c>
      <c r="N133" s="160">
        <f t="shared" si="9"/>
        <v>0.71277162007395023</v>
      </c>
      <c r="O133" s="161"/>
      <c r="P133" s="161"/>
    </row>
    <row r="134" spans="1:16" x14ac:dyDescent="0.2">
      <c r="A134" s="165">
        <v>128</v>
      </c>
      <c r="B134" s="223" t="s">
        <v>54</v>
      </c>
      <c r="C134" s="222" t="s">
        <v>16</v>
      </c>
      <c r="D134" s="219" t="s">
        <v>658</v>
      </c>
      <c r="E134" s="223" t="s">
        <v>659</v>
      </c>
      <c r="F134" s="193">
        <v>969</v>
      </c>
      <c r="G134" s="191">
        <v>1657060.925</v>
      </c>
      <c r="H134" s="109">
        <v>981</v>
      </c>
      <c r="I134" s="109">
        <v>1228340</v>
      </c>
      <c r="J134" s="159">
        <f t="shared" si="5"/>
        <v>1.0123839009287925</v>
      </c>
      <c r="K134" s="159">
        <f t="shared" si="6"/>
        <v>0.74127630521490928</v>
      </c>
      <c r="L134" s="159">
        <f t="shared" si="7"/>
        <v>0.3</v>
      </c>
      <c r="M134" s="159">
        <f t="shared" si="8"/>
        <v>0.51889341365043651</v>
      </c>
      <c r="N134" s="160">
        <f t="shared" si="9"/>
        <v>0.81889341365043644</v>
      </c>
      <c r="O134" s="161"/>
      <c r="P134" s="161"/>
    </row>
    <row r="135" spans="1:16" x14ac:dyDescent="0.2">
      <c r="A135" s="165">
        <v>129</v>
      </c>
      <c r="B135" s="223" t="s">
        <v>54</v>
      </c>
      <c r="C135" s="222" t="s">
        <v>16</v>
      </c>
      <c r="D135" s="219" t="s">
        <v>654</v>
      </c>
      <c r="E135" s="223" t="s">
        <v>655</v>
      </c>
      <c r="F135" s="193">
        <v>2561</v>
      </c>
      <c r="G135" s="191">
        <v>4310960.125</v>
      </c>
      <c r="H135" s="109">
        <v>2077</v>
      </c>
      <c r="I135" s="109">
        <v>3584825</v>
      </c>
      <c r="J135" s="159">
        <f t="shared" ref="J135:J198" si="10">IFERROR(H135/F135,0)</f>
        <v>0.81101132370167905</v>
      </c>
      <c r="K135" s="159">
        <f t="shared" ref="K135:K198" si="11">IFERROR(I135/G135,0)</f>
        <v>0.83156069554227208</v>
      </c>
      <c r="L135" s="159">
        <f t="shared" ref="L135:L198" si="12">IF((J135*0.3)&gt;30%,30%,(J135*0.3))</f>
        <v>0.24330339711050369</v>
      </c>
      <c r="M135" s="159">
        <f t="shared" ref="M135:M198" si="13">IF((K135*0.7)&gt;70%,70%,(K135*0.7))</f>
        <v>0.58209248687959037</v>
      </c>
      <c r="N135" s="160">
        <f t="shared" ref="N135:N198" si="14">L135+M135</f>
        <v>0.82539588399009411</v>
      </c>
      <c r="O135" s="161"/>
      <c r="P135" s="161"/>
    </row>
    <row r="136" spans="1:16" x14ac:dyDescent="0.2">
      <c r="A136" s="165">
        <v>130</v>
      </c>
      <c r="B136" s="223" t="s">
        <v>54</v>
      </c>
      <c r="C136" s="222" t="s">
        <v>16</v>
      </c>
      <c r="D136" s="219" t="s">
        <v>652</v>
      </c>
      <c r="E136" s="223" t="s">
        <v>1387</v>
      </c>
      <c r="F136" s="193">
        <v>1513</v>
      </c>
      <c r="G136" s="191">
        <v>2579224.15</v>
      </c>
      <c r="H136" s="109">
        <v>1093</v>
      </c>
      <c r="I136" s="109">
        <v>1384305</v>
      </c>
      <c r="J136" s="159">
        <f t="shared" si="10"/>
        <v>0.72240581625908795</v>
      </c>
      <c r="K136" s="159">
        <f t="shared" si="11"/>
        <v>0.53671372455162536</v>
      </c>
      <c r="L136" s="159">
        <f t="shared" si="12"/>
        <v>0.21672174487772639</v>
      </c>
      <c r="M136" s="159">
        <f t="shared" si="13"/>
        <v>0.37569960718613771</v>
      </c>
      <c r="N136" s="160">
        <f t="shared" si="14"/>
        <v>0.59242135206386415</v>
      </c>
      <c r="O136" s="161"/>
      <c r="P136" s="161"/>
    </row>
    <row r="137" spans="1:16" x14ac:dyDescent="0.2">
      <c r="A137" s="165">
        <v>131</v>
      </c>
      <c r="B137" s="223" t="s">
        <v>54</v>
      </c>
      <c r="C137" s="222" t="s">
        <v>16</v>
      </c>
      <c r="D137" s="219" t="s">
        <v>662</v>
      </c>
      <c r="E137" s="223" t="s">
        <v>663</v>
      </c>
      <c r="F137" s="193">
        <v>1734</v>
      </c>
      <c r="G137" s="191">
        <v>2973185.625</v>
      </c>
      <c r="H137" s="109">
        <v>2005</v>
      </c>
      <c r="I137" s="109">
        <v>3150270</v>
      </c>
      <c r="J137" s="159">
        <f t="shared" si="10"/>
        <v>1.1562860438292963</v>
      </c>
      <c r="K137" s="159">
        <f t="shared" si="11"/>
        <v>1.0595604840515129</v>
      </c>
      <c r="L137" s="159">
        <f t="shared" si="12"/>
        <v>0.3</v>
      </c>
      <c r="M137" s="159">
        <f t="shared" si="13"/>
        <v>0.7</v>
      </c>
      <c r="N137" s="160">
        <f t="shared" si="14"/>
        <v>1</v>
      </c>
      <c r="O137" s="161"/>
      <c r="P137" s="161"/>
    </row>
    <row r="138" spans="1:16" x14ac:dyDescent="0.2">
      <c r="A138" s="165">
        <v>132</v>
      </c>
      <c r="B138" s="223" t="s">
        <v>54</v>
      </c>
      <c r="C138" s="222" t="s">
        <v>16</v>
      </c>
      <c r="D138" s="219" t="s">
        <v>656</v>
      </c>
      <c r="E138" s="223" t="s">
        <v>657</v>
      </c>
      <c r="F138" s="193">
        <v>1711</v>
      </c>
      <c r="G138" s="191">
        <v>2955533.3</v>
      </c>
      <c r="H138" s="109">
        <v>1067</v>
      </c>
      <c r="I138" s="109">
        <v>1595145</v>
      </c>
      <c r="J138" s="159">
        <f t="shared" si="10"/>
        <v>0.62361192285213329</v>
      </c>
      <c r="K138" s="159">
        <f t="shared" si="11"/>
        <v>0.53971477837857562</v>
      </c>
      <c r="L138" s="159">
        <f t="shared" si="12"/>
        <v>0.18708357685563998</v>
      </c>
      <c r="M138" s="159">
        <f t="shared" si="13"/>
        <v>0.37780034486500291</v>
      </c>
      <c r="N138" s="160">
        <f t="shared" si="14"/>
        <v>0.56488392172064295</v>
      </c>
      <c r="O138" s="161"/>
      <c r="P138" s="161"/>
    </row>
    <row r="139" spans="1:16" x14ac:dyDescent="0.2">
      <c r="A139" s="165">
        <v>133</v>
      </c>
      <c r="B139" s="223" t="s">
        <v>59</v>
      </c>
      <c r="C139" s="222" t="s">
        <v>16</v>
      </c>
      <c r="D139" s="219" t="s">
        <v>694</v>
      </c>
      <c r="E139" s="223" t="s">
        <v>440</v>
      </c>
      <c r="F139" s="193">
        <v>3670</v>
      </c>
      <c r="G139" s="191">
        <v>6260234.4749999996</v>
      </c>
      <c r="H139" s="109">
        <v>2859</v>
      </c>
      <c r="I139" s="109">
        <v>5659180</v>
      </c>
      <c r="J139" s="159">
        <f t="shared" si="10"/>
        <v>0.7790190735694823</v>
      </c>
      <c r="K139" s="159">
        <f t="shared" si="11"/>
        <v>0.90398850436029399</v>
      </c>
      <c r="L139" s="159">
        <f t="shared" si="12"/>
        <v>0.23370572207084467</v>
      </c>
      <c r="M139" s="159">
        <f t="shared" si="13"/>
        <v>0.6327919530522057</v>
      </c>
      <c r="N139" s="160">
        <f t="shared" si="14"/>
        <v>0.86649767512305043</v>
      </c>
      <c r="O139" s="161"/>
      <c r="P139" s="161"/>
    </row>
    <row r="140" spans="1:16" x14ac:dyDescent="0.2">
      <c r="A140" s="165">
        <v>134</v>
      </c>
      <c r="B140" s="223" t="s">
        <v>59</v>
      </c>
      <c r="C140" s="222" t="s">
        <v>16</v>
      </c>
      <c r="D140" s="219" t="s">
        <v>691</v>
      </c>
      <c r="E140" s="223" t="s">
        <v>1332</v>
      </c>
      <c r="F140" s="193">
        <v>1680</v>
      </c>
      <c r="G140" s="191">
        <v>2867445.5750000002</v>
      </c>
      <c r="H140" s="109">
        <v>2155</v>
      </c>
      <c r="I140" s="109">
        <v>2619925</v>
      </c>
      <c r="J140" s="159">
        <f t="shared" si="10"/>
        <v>1.2827380952380953</v>
      </c>
      <c r="K140" s="159">
        <f t="shared" si="11"/>
        <v>0.91367906782328379</v>
      </c>
      <c r="L140" s="159">
        <f t="shared" si="12"/>
        <v>0.3</v>
      </c>
      <c r="M140" s="159">
        <f t="shared" si="13"/>
        <v>0.63957534747629863</v>
      </c>
      <c r="N140" s="160">
        <f t="shared" si="14"/>
        <v>0.93957534747629867</v>
      </c>
      <c r="O140" s="161"/>
      <c r="P140" s="161"/>
    </row>
    <row r="141" spans="1:16" x14ac:dyDescent="0.2">
      <c r="A141" s="165">
        <v>135</v>
      </c>
      <c r="B141" s="223" t="s">
        <v>59</v>
      </c>
      <c r="C141" s="222" t="s">
        <v>16</v>
      </c>
      <c r="D141" s="219" t="s">
        <v>692</v>
      </c>
      <c r="E141" s="223" t="s">
        <v>1406</v>
      </c>
      <c r="F141" s="193">
        <v>1979</v>
      </c>
      <c r="G141" s="191">
        <v>3378358.9</v>
      </c>
      <c r="H141" s="109">
        <v>3320</v>
      </c>
      <c r="I141" s="109">
        <v>4113610</v>
      </c>
      <c r="J141" s="159">
        <f t="shared" si="10"/>
        <v>1.6776149570490146</v>
      </c>
      <c r="K141" s="159">
        <f t="shared" si="11"/>
        <v>1.2176355803997023</v>
      </c>
      <c r="L141" s="159">
        <f t="shared" si="12"/>
        <v>0.3</v>
      </c>
      <c r="M141" s="159">
        <f t="shared" si="13"/>
        <v>0.7</v>
      </c>
      <c r="N141" s="160">
        <f t="shared" si="14"/>
        <v>1</v>
      </c>
      <c r="O141" s="161"/>
      <c r="P141" s="161"/>
    </row>
    <row r="142" spans="1:16" x14ac:dyDescent="0.2">
      <c r="A142" s="165">
        <v>136</v>
      </c>
      <c r="B142" s="223" t="s">
        <v>59</v>
      </c>
      <c r="C142" s="222" t="s">
        <v>16</v>
      </c>
      <c r="D142" s="219" t="s">
        <v>690</v>
      </c>
      <c r="E142" s="223" t="s">
        <v>1331</v>
      </c>
      <c r="F142" s="193">
        <v>2577</v>
      </c>
      <c r="G142" s="191">
        <v>4409703.6500000004</v>
      </c>
      <c r="H142" s="109">
        <v>2353</v>
      </c>
      <c r="I142" s="109">
        <v>3241815</v>
      </c>
      <c r="J142" s="159">
        <f t="shared" si="10"/>
        <v>0.91307722157547533</v>
      </c>
      <c r="K142" s="159">
        <f t="shared" si="11"/>
        <v>0.73515484424900068</v>
      </c>
      <c r="L142" s="159">
        <f t="shared" si="12"/>
        <v>0.27392316647264259</v>
      </c>
      <c r="M142" s="159">
        <f t="shared" si="13"/>
        <v>0.51460839097430044</v>
      </c>
      <c r="N142" s="160">
        <f t="shared" si="14"/>
        <v>0.78853155744694303</v>
      </c>
      <c r="O142" s="161"/>
      <c r="P142" s="161"/>
    </row>
    <row r="143" spans="1:16" x14ac:dyDescent="0.2">
      <c r="A143" s="165">
        <v>137</v>
      </c>
      <c r="B143" s="223" t="s">
        <v>57</v>
      </c>
      <c r="C143" s="222" t="s">
        <v>16</v>
      </c>
      <c r="D143" s="219" t="s">
        <v>689</v>
      </c>
      <c r="E143" s="223" t="s">
        <v>1171</v>
      </c>
      <c r="F143" s="193">
        <v>2628</v>
      </c>
      <c r="G143" s="191">
        <v>4491497.3250000002</v>
      </c>
      <c r="H143" s="109">
        <v>2704</v>
      </c>
      <c r="I143" s="109">
        <v>4414965</v>
      </c>
      <c r="J143" s="159">
        <f t="shared" si="10"/>
        <v>1.0289193302891932</v>
      </c>
      <c r="K143" s="159">
        <f t="shared" si="11"/>
        <v>0.98296062104411919</v>
      </c>
      <c r="L143" s="159">
        <f t="shared" si="12"/>
        <v>0.3</v>
      </c>
      <c r="M143" s="159">
        <f t="shared" si="13"/>
        <v>0.68807243473088342</v>
      </c>
      <c r="N143" s="160">
        <f t="shared" si="14"/>
        <v>0.98807243473088335</v>
      </c>
      <c r="O143" s="161"/>
      <c r="P143" s="161"/>
    </row>
    <row r="144" spans="1:16" x14ac:dyDescent="0.2">
      <c r="A144" s="165">
        <v>138</v>
      </c>
      <c r="B144" s="223" t="s">
        <v>57</v>
      </c>
      <c r="C144" s="222" t="s">
        <v>16</v>
      </c>
      <c r="D144" s="219" t="s">
        <v>688</v>
      </c>
      <c r="E144" s="223" t="s">
        <v>1333</v>
      </c>
      <c r="F144" s="193">
        <v>1467</v>
      </c>
      <c r="G144" s="191">
        <v>2509495.4750000001</v>
      </c>
      <c r="H144" s="109">
        <v>1401</v>
      </c>
      <c r="I144" s="109">
        <v>1948695</v>
      </c>
      <c r="J144" s="159">
        <f t="shared" si="10"/>
        <v>0.95501022494887522</v>
      </c>
      <c r="K144" s="159">
        <f t="shared" si="11"/>
        <v>0.7765285968487351</v>
      </c>
      <c r="L144" s="159">
        <f t="shared" si="12"/>
        <v>0.28650306748466253</v>
      </c>
      <c r="M144" s="159">
        <f t="shared" si="13"/>
        <v>0.54357001779411451</v>
      </c>
      <c r="N144" s="160">
        <f t="shared" si="14"/>
        <v>0.83007308527877699</v>
      </c>
      <c r="O144" s="161"/>
      <c r="P144" s="161"/>
    </row>
    <row r="145" spans="1:16" x14ac:dyDescent="0.2">
      <c r="A145" s="165">
        <v>139</v>
      </c>
      <c r="B145" s="223" t="s">
        <v>60</v>
      </c>
      <c r="C145" s="222" t="s">
        <v>16</v>
      </c>
      <c r="D145" s="219" t="s">
        <v>667</v>
      </c>
      <c r="E145" s="223" t="s">
        <v>1330</v>
      </c>
      <c r="F145" s="193">
        <v>1502</v>
      </c>
      <c r="G145" s="191">
        <v>2288917.875</v>
      </c>
      <c r="H145" s="109">
        <v>1367</v>
      </c>
      <c r="I145" s="109">
        <v>1700645</v>
      </c>
      <c r="J145" s="159">
        <f t="shared" si="10"/>
        <v>0.91011984021304926</v>
      </c>
      <c r="K145" s="159">
        <f t="shared" si="11"/>
        <v>0.74299083360515938</v>
      </c>
      <c r="L145" s="159">
        <f t="shared" si="12"/>
        <v>0.27303595206391479</v>
      </c>
      <c r="M145" s="159">
        <f t="shared" si="13"/>
        <v>0.52009358352361157</v>
      </c>
      <c r="N145" s="160">
        <f t="shared" si="14"/>
        <v>0.7931295355875263</v>
      </c>
      <c r="O145" s="161"/>
      <c r="P145" s="161"/>
    </row>
    <row r="146" spans="1:16" x14ac:dyDescent="0.2">
      <c r="A146" s="165">
        <v>140</v>
      </c>
      <c r="B146" s="223" t="s">
        <v>60</v>
      </c>
      <c r="C146" s="222" t="s">
        <v>16</v>
      </c>
      <c r="D146" s="219" t="s">
        <v>669</v>
      </c>
      <c r="E146" s="223" t="s">
        <v>670</v>
      </c>
      <c r="F146" s="193">
        <v>1718</v>
      </c>
      <c r="G146" s="191">
        <v>2997413.3</v>
      </c>
      <c r="H146" s="109">
        <v>1579</v>
      </c>
      <c r="I146" s="109">
        <v>2916915</v>
      </c>
      <c r="J146" s="159">
        <f t="shared" si="10"/>
        <v>0.91909196740395804</v>
      </c>
      <c r="K146" s="159">
        <f t="shared" si="11"/>
        <v>0.97314407726155083</v>
      </c>
      <c r="L146" s="159">
        <f t="shared" si="12"/>
        <v>0.27572759022118742</v>
      </c>
      <c r="M146" s="159">
        <f t="shared" si="13"/>
        <v>0.68120085408308551</v>
      </c>
      <c r="N146" s="160">
        <f t="shared" si="14"/>
        <v>0.95692844430427293</v>
      </c>
      <c r="O146" s="161"/>
      <c r="P146" s="161"/>
    </row>
    <row r="147" spans="1:16" x14ac:dyDescent="0.2">
      <c r="A147" s="165">
        <v>141</v>
      </c>
      <c r="B147" s="223" t="s">
        <v>60</v>
      </c>
      <c r="C147" s="222" t="s">
        <v>16</v>
      </c>
      <c r="D147" s="219" t="s">
        <v>671</v>
      </c>
      <c r="E147" s="223" t="s">
        <v>1515</v>
      </c>
      <c r="F147" s="193">
        <v>1809</v>
      </c>
      <c r="G147" s="191">
        <v>3041820.5750000002</v>
      </c>
      <c r="H147" s="109">
        <v>1709</v>
      </c>
      <c r="I147" s="109">
        <v>2968125</v>
      </c>
      <c r="J147" s="159">
        <f t="shared" si="10"/>
        <v>0.94472084024322833</v>
      </c>
      <c r="K147" s="159">
        <f t="shared" si="11"/>
        <v>0.97577254371750699</v>
      </c>
      <c r="L147" s="159">
        <f t="shared" si="12"/>
        <v>0.2834162520729685</v>
      </c>
      <c r="M147" s="159">
        <f t="shared" si="13"/>
        <v>0.68304078060225482</v>
      </c>
      <c r="N147" s="160">
        <f t="shared" si="14"/>
        <v>0.96645703267522332</v>
      </c>
      <c r="O147" s="161"/>
      <c r="P147" s="161"/>
    </row>
    <row r="148" spans="1:16" x14ac:dyDescent="0.2">
      <c r="A148" s="165">
        <v>142</v>
      </c>
      <c r="B148" s="223" t="s">
        <v>60</v>
      </c>
      <c r="C148" s="222" t="s">
        <v>16</v>
      </c>
      <c r="D148" s="219" t="s">
        <v>665</v>
      </c>
      <c r="E148" s="223" t="s">
        <v>1018</v>
      </c>
      <c r="F148" s="193">
        <v>2666</v>
      </c>
      <c r="G148" s="191">
        <v>5186215.8</v>
      </c>
      <c r="H148" s="109">
        <v>1736</v>
      </c>
      <c r="I148" s="109">
        <v>4216045</v>
      </c>
      <c r="J148" s="159">
        <f t="shared" si="10"/>
        <v>0.65116279069767447</v>
      </c>
      <c r="K148" s="159">
        <f t="shared" si="11"/>
        <v>0.81293281316986465</v>
      </c>
      <c r="L148" s="159">
        <f t="shared" si="12"/>
        <v>0.19534883720930232</v>
      </c>
      <c r="M148" s="159">
        <f t="shared" si="13"/>
        <v>0.56905296921890525</v>
      </c>
      <c r="N148" s="160">
        <f t="shared" si="14"/>
        <v>0.76440180642820754</v>
      </c>
      <c r="O148" s="161"/>
      <c r="P148" s="161"/>
    </row>
    <row r="149" spans="1:16" x14ac:dyDescent="0.2">
      <c r="A149" s="165">
        <v>143</v>
      </c>
      <c r="B149" s="223" t="s">
        <v>60</v>
      </c>
      <c r="C149" s="222" t="s">
        <v>16</v>
      </c>
      <c r="D149" s="219" t="s">
        <v>666</v>
      </c>
      <c r="E149" s="223" t="s">
        <v>1019</v>
      </c>
      <c r="F149" s="193">
        <v>1959</v>
      </c>
      <c r="G149" s="191">
        <v>3381748</v>
      </c>
      <c r="H149" s="109">
        <v>1237</v>
      </c>
      <c r="I149" s="109">
        <v>2429280</v>
      </c>
      <c r="J149" s="159">
        <f t="shared" si="10"/>
        <v>0.63144461459928536</v>
      </c>
      <c r="K149" s="159">
        <f t="shared" si="11"/>
        <v>0.71835039157264235</v>
      </c>
      <c r="L149" s="159">
        <f t="shared" si="12"/>
        <v>0.1894333843797856</v>
      </c>
      <c r="M149" s="159">
        <f t="shared" si="13"/>
        <v>0.50284527410084967</v>
      </c>
      <c r="N149" s="160">
        <f t="shared" si="14"/>
        <v>0.6922786584806353</v>
      </c>
      <c r="O149" s="161"/>
      <c r="P149" s="161"/>
    </row>
    <row r="150" spans="1:16" x14ac:dyDescent="0.2">
      <c r="A150" s="165">
        <v>144</v>
      </c>
      <c r="B150" s="223" t="s">
        <v>60</v>
      </c>
      <c r="C150" s="222" t="s">
        <v>16</v>
      </c>
      <c r="D150" s="219" t="s">
        <v>672</v>
      </c>
      <c r="E150" s="223" t="s">
        <v>1470</v>
      </c>
      <c r="F150" s="193">
        <v>1239</v>
      </c>
      <c r="G150" s="191">
        <v>1642636.925</v>
      </c>
      <c r="H150" s="109">
        <v>1083</v>
      </c>
      <c r="I150" s="109">
        <v>1231455</v>
      </c>
      <c r="J150" s="159">
        <f t="shared" si="10"/>
        <v>0.87409200968523004</v>
      </c>
      <c r="K150" s="159">
        <f t="shared" si="11"/>
        <v>0.74968179593308482</v>
      </c>
      <c r="L150" s="159">
        <f t="shared" si="12"/>
        <v>0.26222760290556901</v>
      </c>
      <c r="M150" s="159">
        <f t="shared" si="13"/>
        <v>0.52477725715315937</v>
      </c>
      <c r="N150" s="160">
        <f t="shared" si="14"/>
        <v>0.78700486005872838</v>
      </c>
      <c r="O150" s="161"/>
      <c r="P150" s="161"/>
    </row>
    <row r="151" spans="1:16" x14ac:dyDescent="0.2">
      <c r="A151" s="165">
        <v>145</v>
      </c>
      <c r="B151" s="223" t="s">
        <v>60</v>
      </c>
      <c r="C151" s="222" t="s">
        <v>16</v>
      </c>
      <c r="D151" s="219" t="s">
        <v>1516</v>
      </c>
      <c r="E151" s="223" t="s">
        <v>1517</v>
      </c>
      <c r="F151" s="193">
        <v>474</v>
      </c>
      <c r="G151" s="191">
        <v>887830.9</v>
      </c>
      <c r="H151" s="109">
        <v>670</v>
      </c>
      <c r="I151" s="109">
        <v>1046800</v>
      </c>
      <c r="J151" s="159">
        <f t="shared" si="10"/>
        <v>1.4135021097046414</v>
      </c>
      <c r="K151" s="159">
        <f t="shared" si="11"/>
        <v>1.1790533535158554</v>
      </c>
      <c r="L151" s="159">
        <f t="shared" si="12"/>
        <v>0.3</v>
      </c>
      <c r="M151" s="159">
        <f t="shared" si="13"/>
        <v>0.7</v>
      </c>
      <c r="N151" s="160">
        <f t="shared" si="14"/>
        <v>1</v>
      </c>
      <c r="O151" s="161"/>
      <c r="P151" s="161"/>
    </row>
    <row r="152" spans="1:16" x14ac:dyDescent="0.2">
      <c r="A152" s="165">
        <v>146</v>
      </c>
      <c r="B152" s="223" t="s">
        <v>56</v>
      </c>
      <c r="C152" s="222" t="s">
        <v>16</v>
      </c>
      <c r="D152" s="219" t="s">
        <v>681</v>
      </c>
      <c r="E152" s="223" t="s">
        <v>1053</v>
      </c>
      <c r="F152" s="193">
        <v>1870</v>
      </c>
      <c r="G152" s="191">
        <v>3227229.1</v>
      </c>
      <c r="H152" s="109">
        <v>2147</v>
      </c>
      <c r="I152" s="109">
        <v>3886205</v>
      </c>
      <c r="J152" s="159">
        <f t="shared" si="10"/>
        <v>1.1481283422459894</v>
      </c>
      <c r="K152" s="159">
        <f t="shared" si="11"/>
        <v>1.2041924758301168</v>
      </c>
      <c r="L152" s="159">
        <f t="shared" si="12"/>
        <v>0.3</v>
      </c>
      <c r="M152" s="159">
        <f t="shared" si="13"/>
        <v>0.7</v>
      </c>
      <c r="N152" s="160">
        <f t="shared" si="14"/>
        <v>1</v>
      </c>
      <c r="O152" s="161"/>
      <c r="P152" s="161"/>
    </row>
    <row r="153" spans="1:16" x14ac:dyDescent="0.2">
      <c r="A153" s="165">
        <v>147</v>
      </c>
      <c r="B153" s="223" t="s">
        <v>56</v>
      </c>
      <c r="C153" s="222" t="s">
        <v>16</v>
      </c>
      <c r="D153" s="219" t="s">
        <v>682</v>
      </c>
      <c r="E153" s="223" t="s">
        <v>683</v>
      </c>
      <c r="F153" s="193">
        <v>727</v>
      </c>
      <c r="G153" s="191">
        <v>1207132.0249999999</v>
      </c>
      <c r="H153" s="109">
        <v>1704</v>
      </c>
      <c r="I153" s="109">
        <v>2099720</v>
      </c>
      <c r="J153" s="159">
        <f t="shared" si="10"/>
        <v>2.3438789546079781</v>
      </c>
      <c r="K153" s="159">
        <f t="shared" si="11"/>
        <v>1.7394286262929692</v>
      </c>
      <c r="L153" s="159">
        <f t="shared" si="12"/>
        <v>0.3</v>
      </c>
      <c r="M153" s="159">
        <f t="shared" si="13"/>
        <v>0.7</v>
      </c>
      <c r="N153" s="160">
        <f t="shared" si="14"/>
        <v>1</v>
      </c>
      <c r="O153" s="161"/>
      <c r="P153" s="161"/>
    </row>
    <row r="154" spans="1:16" x14ac:dyDescent="0.2">
      <c r="A154" s="165">
        <v>148</v>
      </c>
      <c r="B154" s="223" t="s">
        <v>56</v>
      </c>
      <c r="C154" s="222" t="s">
        <v>16</v>
      </c>
      <c r="D154" s="219" t="s">
        <v>684</v>
      </c>
      <c r="E154" s="223" t="s">
        <v>685</v>
      </c>
      <c r="F154" s="193">
        <v>414</v>
      </c>
      <c r="G154" s="191">
        <v>719599.85</v>
      </c>
      <c r="H154" s="109">
        <v>690</v>
      </c>
      <c r="I154" s="109">
        <v>794340</v>
      </c>
      <c r="J154" s="159">
        <f t="shared" si="10"/>
        <v>1.6666666666666667</v>
      </c>
      <c r="K154" s="159">
        <f t="shared" si="11"/>
        <v>1.1038634874645958</v>
      </c>
      <c r="L154" s="159">
        <f t="shared" si="12"/>
        <v>0.3</v>
      </c>
      <c r="M154" s="159">
        <f t="shared" si="13"/>
        <v>0.7</v>
      </c>
      <c r="N154" s="160">
        <f t="shared" si="14"/>
        <v>1</v>
      </c>
      <c r="O154" s="161"/>
      <c r="P154" s="161"/>
    </row>
    <row r="155" spans="1:16" x14ac:dyDescent="0.2">
      <c r="A155" s="165">
        <v>149</v>
      </c>
      <c r="B155" s="223" t="s">
        <v>56</v>
      </c>
      <c r="C155" s="222" t="s">
        <v>16</v>
      </c>
      <c r="D155" s="219" t="s">
        <v>686</v>
      </c>
      <c r="E155" s="223" t="s">
        <v>687</v>
      </c>
      <c r="F155" s="193">
        <v>1551</v>
      </c>
      <c r="G155" s="191">
        <v>2670636.2000000002</v>
      </c>
      <c r="H155" s="109">
        <v>1653</v>
      </c>
      <c r="I155" s="109">
        <v>2290045</v>
      </c>
      <c r="J155" s="159">
        <f t="shared" si="10"/>
        <v>1.0657640232108316</v>
      </c>
      <c r="K155" s="159">
        <f t="shared" si="11"/>
        <v>0.85749043617397225</v>
      </c>
      <c r="L155" s="159">
        <f t="shared" si="12"/>
        <v>0.3</v>
      </c>
      <c r="M155" s="159">
        <f t="shared" si="13"/>
        <v>0.6002433053217805</v>
      </c>
      <c r="N155" s="160">
        <f t="shared" si="14"/>
        <v>0.90024330532178043</v>
      </c>
      <c r="O155" s="161"/>
      <c r="P155" s="161"/>
    </row>
    <row r="156" spans="1:16" x14ac:dyDescent="0.2">
      <c r="A156" s="165">
        <v>150</v>
      </c>
      <c r="B156" s="223" t="s">
        <v>61</v>
      </c>
      <c r="C156" s="222" t="s">
        <v>16</v>
      </c>
      <c r="D156" s="219" t="s">
        <v>677</v>
      </c>
      <c r="E156" s="223" t="s">
        <v>1054</v>
      </c>
      <c r="F156" s="193">
        <v>1287</v>
      </c>
      <c r="G156" s="191">
        <v>2179619.2000000002</v>
      </c>
      <c r="H156" s="109">
        <v>1300</v>
      </c>
      <c r="I156" s="109">
        <v>2159975</v>
      </c>
      <c r="J156" s="159">
        <f t="shared" si="10"/>
        <v>1.0101010101010102</v>
      </c>
      <c r="K156" s="159">
        <f t="shared" si="11"/>
        <v>0.9909873247583797</v>
      </c>
      <c r="L156" s="159">
        <f t="shared" si="12"/>
        <v>0.3</v>
      </c>
      <c r="M156" s="159">
        <f t="shared" si="13"/>
        <v>0.6936911273308658</v>
      </c>
      <c r="N156" s="160">
        <f t="shared" si="14"/>
        <v>0.99369112733086573</v>
      </c>
      <c r="O156" s="161"/>
      <c r="P156" s="161"/>
    </row>
    <row r="157" spans="1:16" x14ac:dyDescent="0.2">
      <c r="A157" s="165">
        <v>151</v>
      </c>
      <c r="B157" s="223" t="s">
        <v>61</v>
      </c>
      <c r="C157" s="222" t="s">
        <v>16</v>
      </c>
      <c r="D157" s="219" t="s">
        <v>679</v>
      </c>
      <c r="E157" s="223" t="s">
        <v>1390</v>
      </c>
      <c r="F157" s="193">
        <v>1637</v>
      </c>
      <c r="G157" s="191">
        <v>2809279.6749999998</v>
      </c>
      <c r="H157" s="109">
        <v>1563</v>
      </c>
      <c r="I157" s="109">
        <v>2279920</v>
      </c>
      <c r="J157" s="159">
        <f t="shared" si="10"/>
        <v>0.95479535736102628</v>
      </c>
      <c r="K157" s="159">
        <f t="shared" si="11"/>
        <v>0.81156747058300638</v>
      </c>
      <c r="L157" s="159">
        <f t="shared" si="12"/>
        <v>0.28643860720830788</v>
      </c>
      <c r="M157" s="159">
        <f t="shared" si="13"/>
        <v>0.56809722940810448</v>
      </c>
      <c r="N157" s="160">
        <f t="shared" si="14"/>
        <v>0.85453583661641241</v>
      </c>
      <c r="O157" s="161"/>
      <c r="P157" s="161"/>
    </row>
    <row r="158" spans="1:16" x14ac:dyDescent="0.2">
      <c r="A158" s="165">
        <v>152</v>
      </c>
      <c r="B158" s="223" t="s">
        <v>61</v>
      </c>
      <c r="C158" s="222" t="s">
        <v>16</v>
      </c>
      <c r="D158" s="219" t="s">
        <v>678</v>
      </c>
      <c r="E158" s="223" t="s">
        <v>1055</v>
      </c>
      <c r="F158" s="193">
        <v>1552</v>
      </c>
      <c r="G158" s="191">
        <v>2668899.7250000001</v>
      </c>
      <c r="H158" s="109">
        <v>1561</v>
      </c>
      <c r="I158" s="109">
        <v>2316390</v>
      </c>
      <c r="J158" s="159">
        <f t="shared" si="10"/>
        <v>1.0057989690721649</v>
      </c>
      <c r="K158" s="159">
        <f t="shared" si="11"/>
        <v>0.86791945695899086</v>
      </c>
      <c r="L158" s="159">
        <f t="shared" si="12"/>
        <v>0.3</v>
      </c>
      <c r="M158" s="159">
        <f t="shared" si="13"/>
        <v>0.60754361987129357</v>
      </c>
      <c r="N158" s="160">
        <f t="shared" si="14"/>
        <v>0.90754361987129362</v>
      </c>
      <c r="O158" s="161"/>
      <c r="P158" s="161"/>
    </row>
    <row r="159" spans="1:16" x14ac:dyDescent="0.2">
      <c r="A159" s="165">
        <v>153</v>
      </c>
      <c r="B159" s="223" t="s">
        <v>61</v>
      </c>
      <c r="C159" s="222" t="s">
        <v>16</v>
      </c>
      <c r="D159" s="219" t="s">
        <v>675</v>
      </c>
      <c r="E159" s="223" t="s">
        <v>1391</v>
      </c>
      <c r="F159" s="193">
        <v>1459</v>
      </c>
      <c r="G159" s="191">
        <v>2484026.25</v>
      </c>
      <c r="H159" s="109">
        <v>1403</v>
      </c>
      <c r="I159" s="109">
        <v>2273655</v>
      </c>
      <c r="J159" s="159">
        <f t="shared" si="10"/>
        <v>0.96161754626456475</v>
      </c>
      <c r="K159" s="159">
        <f t="shared" si="11"/>
        <v>0.91531037564518491</v>
      </c>
      <c r="L159" s="159">
        <f t="shared" si="12"/>
        <v>0.2884852638793694</v>
      </c>
      <c r="M159" s="159">
        <f t="shared" si="13"/>
        <v>0.64071726295162945</v>
      </c>
      <c r="N159" s="160">
        <f t="shared" si="14"/>
        <v>0.92920252683099891</v>
      </c>
      <c r="O159" s="161"/>
      <c r="P159" s="161"/>
    </row>
    <row r="160" spans="1:16" x14ac:dyDescent="0.2">
      <c r="A160" s="165">
        <v>154</v>
      </c>
      <c r="B160" s="223" t="s">
        <v>61</v>
      </c>
      <c r="C160" s="222" t="s">
        <v>16</v>
      </c>
      <c r="D160" s="219" t="s">
        <v>680</v>
      </c>
      <c r="E160" s="223" t="s">
        <v>1056</v>
      </c>
      <c r="F160" s="193">
        <v>2672</v>
      </c>
      <c r="G160" s="191">
        <v>4572878.5999999996</v>
      </c>
      <c r="H160" s="109">
        <v>2891</v>
      </c>
      <c r="I160" s="109">
        <v>4391020</v>
      </c>
      <c r="J160" s="159">
        <f t="shared" si="10"/>
        <v>1.0819610778443114</v>
      </c>
      <c r="K160" s="159">
        <f t="shared" si="11"/>
        <v>0.96023104571374374</v>
      </c>
      <c r="L160" s="159">
        <f t="shared" si="12"/>
        <v>0.3</v>
      </c>
      <c r="M160" s="159">
        <f t="shared" si="13"/>
        <v>0.67216173199962059</v>
      </c>
      <c r="N160" s="160">
        <f t="shared" si="14"/>
        <v>0.97216173199962053</v>
      </c>
      <c r="O160" s="161"/>
      <c r="P160" s="161"/>
    </row>
    <row r="161" spans="1:16" x14ac:dyDescent="0.2">
      <c r="A161" s="165">
        <v>155</v>
      </c>
      <c r="B161" s="223" t="s">
        <v>1476</v>
      </c>
      <c r="C161" s="222" t="s">
        <v>16</v>
      </c>
      <c r="D161" s="219" t="s">
        <v>331</v>
      </c>
      <c r="E161" s="223" t="s">
        <v>1376</v>
      </c>
      <c r="F161" s="193">
        <v>2351</v>
      </c>
      <c r="G161" s="191">
        <v>3674215.05</v>
      </c>
      <c r="H161" s="109">
        <v>1519</v>
      </c>
      <c r="I161" s="109">
        <v>2604720</v>
      </c>
      <c r="J161" s="159">
        <f t="shared" si="10"/>
        <v>0.6461080391322841</v>
      </c>
      <c r="K161" s="159">
        <f t="shared" si="11"/>
        <v>0.70891876620014393</v>
      </c>
      <c r="L161" s="159">
        <f t="shared" si="12"/>
        <v>0.19383241173968521</v>
      </c>
      <c r="M161" s="159">
        <f t="shared" si="13"/>
        <v>0.4962431363401007</v>
      </c>
      <c r="N161" s="160">
        <f t="shared" si="14"/>
        <v>0.69007554807978588</v>
      </c>
      <c r="O161" s="161"/>
      <c r="P161" s="161"/>
    </row>
    <row r="162" spans="1:16" x14ac:dyDescent="0.2">
      <c r="A162" s="165">
        <v>156</v>
      </c>
      <c r="B162" s="223" t="s">
        <v>1476</v>
      </c>
      <c r="C162" s="222" t="s">
        <v>16</v>
      </c>
      <c r="D162" s="219" t="s">
        <v>330</v>
      </c>
      <c r="E162" s="223" t="s">
        <v>1102</v>
      </c>
      <c r="F162" s="193">
        <v>2601</v>
      </c>
      <c r="G162" s="191">
        <v>4305045.3</v>
      </c>
      <c r="H162" s="109">
        <v>2347</v>
      </c>
      <c r="I162" s="109">
        <v>4432580</v>
      </c>
      <c r="J162" s="159">
        <f t="shared" si="10"/>
        <v>0.90234525182622072</v>
      </c>
      <c r="K162" s="159">
        <f t="shared" si="11"/>
        <v>1.0296244734056574</v>
      </c>
      <c r="L162" s="159">
        <f t="shared" si="12"/>
        <v>0.27070357554786623</v>
      </c>
      <c r="M162" s="159">
        <f t="shared" si="13"/>
        <v>0.7</v>
      </c>
      <c r="N162" s="160">
        <f t="shared" si="14"/>
        <v>0.97070357554786613</v>
      </c>
      <c r="O162" s="161"/>
      <c r="P162" s="161"/>
    </row>
    <row r="163" spans="1:16" x14ac:dyDescent="0.2">
      <c r="A163" s="165">
        <v>157</v>
      </c>
      <c r="B163" s="223" t="s">
        <v>1476</v>
      </c>
      <c r="C163" s="222" t="s">
        <v>16</v>
      </c>
      <c r="D163" s="219" t="s">
        <v>332</v>
      </c>
      <c r="E163" s="223" t="s">
        <v>1103</v>
      </c>
      <c r="F163" s="193">
        <v>3643</v>
      </c>
      <c r="G163" s="191">
        <v>6646691.9500000002</v>
      </c>
      <c r="H163" s="109">
        <v>1889</v>
      </c>
      <c r="I163" s="109">
        <v>5648100</v>
      </c>
      <c r="J163" s="159">
        <f t="shared" si="10"/>
        <v>0.51852868514960193</v>
      </c>
      <c r="K163" s="159">
        <f t="shared" si="11"/>
        <v>0.84976106046256583</v>
      </c>
      <c r="L163" s="159">
        <f t="shared" si="12"/>
        <v>0.15555860554488057</v>
      </c>
      <c r="M163" s="159">
        <f t="shared" si="13"/>
        <v>0.59483274232379602</v>
      </c>
      <c r="N163" s="160">
        <f t="shared" si="14"/>
        <v>0.75039134786867656</v>
      </c>
      <c r="O163" s="161"/>
      <c r="P163" s="161"/>
    </row>
    <row r="164" spans="1:16" x14ac:dyDescent="0.2">
      <c r="A164" s="165">
        <v>158</v>
      </c>
      <c r="B164" s="223" t="s">
        <v>1476</v>
      </c>
      <c r="C164" s="222" t="s">
        <v>16</v>
      </c>
      <c r="D164" s="219" t="s">
        <v>333</v>
      </c>
      <c r="E164" s="223" t="s">
        <v>1104</v>
      </c>
      <c r="F164" s="193">
        <v>1534</v>
      </c>
      <c r="G164" s="191">
        <v>2676562.7749999999</v>
      </c>
      <c r="H164" s="109">
        <v>1372</v>
      </c>
      <c r="I164" s="109">
        <v>2140505</v>
      </c>
      <c r="J164" s="159">
        <f t="shared" si="10"/>
        <v>0.894393741851369</v>
      </c>
      <c r="K164" s="159">
        <f t="shared" si="11"/>
        <v>0.79972157574372604</v>
      </c>
      <c r="L164" s="159">
        <f t="shared" si="12"/>
        <v>0.26831812255541071</v>
      </c>
      <c r="M164" s="159">
        <f t="shared" si="13"/>
        <v>0.55980510302060815</v>
      </c>
      <c r="N164" s="160">
        <f t="shared" si="14"/>
        <v>0.82812322557601892</v>
      </c>
      <c r="O164" s="161"/>
      <c r="P164" s="161"/>
    </row>
    <row r="165" spans="1:16" x14ac:dyDescent="0.2">
      <c r="A165" s="165">
        <v>159</v>
      </c>
      <c r="B165" s="223" t="s">
        <v>20</v>
      </c>
      <c r="C165" s="222" t="s">
        <v>16</v>
      </c>
      <c r="D165" s="219" t="s">
        <v>372</v>
      </c>
      <c r="E165" s="223" t="s">
        <v>1047</v>
      </c>
      <c r="F165" s="193">
        <v>2748</v>
      </c>
      <c r="G165" s="191">
        <v>5149357.625</v>
      </c>
      <c r="H165" s="109">
        <v>1891</v>
      </c>
      <c r="I165" s="109">
        <v>5913065</v>
      </c>
      <c r="J165" s="159">
        <f t="shared" si="10"/>
        <v>0.68813682678311494</v>
      </c>
      <c r="K165" s="159">
        <f t="shared" si="11"/>
        <v>1.1483111934762931</v>
      </c>
      <c r="L165" s="159">
        <f t="shared" si="12"/>
        <v>0.20644104803493449</v>
      </c>
      <c r="M165" s="159">
        <f t="shared" si="13"/>
        <v>0.7</v>
      </c>
      <c r="N165" s="160">
        <f t="shared" si="14"/>
        <v>0.90644104803493442</v>
      </c>
      <c r="O165" s="161"/>
      <c r="P165" s="161"/>
    </row>
    <row r="166" spans="1:16" x14ac:dyDescent="0.2">
      <c r="A166" s="165">
        <v>160</v>
      </c>
      <c r="B166" s="223" t="s">
        <v>20</v>
      </c>
      <c r="C166" s="222" t="s">
        <v>16</v>
      </c>
      <c r="D166" s="219" t="s">
        <v>370</v>
      </c>
      <c r="E166" s="223" t="s">
        <v>1049</v>
      </c>
      <c r="F166" s="193">
        <v>3836</v>
      </c>
      <c r="G166" s="191">
        <v>7405820</v>
      </c>
      <c r="H166" s="109">
        <v>3943</v>
      </c>
      <c r="I166" s="109">
        <v>8257320</v>
      </c>
      <c r="J166" s="159">
        <f t="shared" si="10"/>
        <v>1.0278936392075078</v>
      </c>
      <c r="K166" s="159">
        <f t="shared" si="11"/>
        <v>1.1149771396010164</v>
      </c>
      <c r="L166" s="159">
        <f t="shared" si="12"/>
        <v>0.3</v>
      </c>
      <c r="M166" s="159">
        <f t="shared" si="13"/>
        <v>0.7</v>
      </c>
      <c r="N166" s="160">
        <f t="shared" si="14"/>
        <v>1</v>
      </c>
      <c r="O166" s="161"/>
      <c r="P166" s="161"/>
    </row>
    <row r="167" spans="1:16" x14ac:dyDescent="0.2">
      <c r="A167" s="165">
        <v>161</v>
      </c>
      <c r="B167" s="224" t="s">
        <v>20</v>
      </c>
      <c r="C167" s="222" t="s">
        <v>16</v>
      </c>
      <c r="D167" s="219" t="s">
        <v>374</v>
      </c>
      <c r="E167" s="224" t="s">
        <v>1048</v>
      </c>
      <c r="F167" s="193">
        <v>2480</v>
      </c>
      <c r="G167" s="191">
        <v>3759099.8</v>
      </c>
      <c r="H167" s="109">
        <v>2392</v>
      </c>
      <c r="I167" s="109">
        <v>4208460</v>
      </c>
      <c r="J167" s="159">
        <f t="shared" si="10"/>
        <v>0.96451612903225803</v>
      </c>
      <c r="K167" s="159">
        <f t="shared" si="11"/>
        <v>1.1195393109807832</v>
      </c>
      <c r="L167" s="159">
        <f t="shared" si="12"/>
        <v>0.28935483870967738</v>
      </c>
      <c r="M167" s="159">
        <f t="shared" si="13"/>
        <v>0.7</v>
      </c>
      <c r="N167" s="160">
        <f t="shared" si="14"/>
        <v>0.98935483870967733</v>
      </c>
      <c r="O167" s="161"/>
      <c r="P167" s="161"/>
    </row>
    <row r="168" spans="1:16" x14ac:dyDescent="0.2">
      <c r="A168" s="165">
        <v>162</v>
      </c>
      <c r="B168" s="225" t="s">
        <v>20</v>
      </c>
      <c r="C168" s="222" t="s">
        <v>16</v>
      </c>
      <c r="D168" s="219" t="s">
        <v>368</v>
      </c>
      <c r="E168" s="226" t="s">
        <v>369</v>
      </c>
      <c r="F168" s="193">
        <v>1609</v>
      </c>
      <c r="G168" s="191">
        <v>2833373.7749999999</v>
      </c>
      <c r="H168" s="109">
        <v>1191</v>
      </c>
      <c r="I168" s="109">
        <v>2672565</v>
      </c>
      <c r="J168" s="159">
        <f t="shared" si="10"/>
        <v>0.74021131137352392</v>
      </c>
      <c r="K168" s="159">
        <f t="shared" si="11"/>
        <v>0.94324477186212397</v>
      </c>
      <c r="L168" s="159">
        <f t="shared" si="12"/>
        <v>0.22206339341205716</v>
      </c>
      <c r="M168" s="159">
        <f t="shared" si="13"/>
        <v>0.66027134030348678</v>
      </c>
      <c r="N168" s="160">
        <f t="shared" si="14"/>
        <v>0.88233473371554394</v>
      </c>
      <c r="O168" s="161"/>
      <c r="P168" s="161"/>
    </row>
    <row r="169" spans="1:16" x14ac:dyDescent="0.2">
      <c r="A169" s="165">
        <v>163</v>
      </c>
      <c r="B169" s="225" t="s">
        <v>20</v>
      </c>
      <c r="C169" s="222" t="s">
        <v>16</v>
      </c>
      <c r="D169" s="219" t="s">
        <v>373</v>
      </c>
      <c r="E169" s="226" t="s">
        <v>1246</v>
      </c>
      <c r="F169" s="193">
        <v>1680</v>
      </c>
      <c r="G169" s="191">
        <v>2781840.75</v>
      </c>
      <c r="H169" s="109">
        <v>1628</v>
      </c>
      <c r="I169" s="109">
        <v>2615635</v>
      </c>
      <c r="J169" s="159">
        <f t="shared" si="10"/>
        <v>0.96904761904761905</v>
      </c>
      <c r="K169" s="159">
        <f t="shared" si="11"/>
        <v>0.94025331967690817</v>
      </c>
      <c r="L169" s="159">
        <f t="shared" si="12"/>
        <v>0.2907142857142857</v>
      </c>
      <c r="M169" s="159">
        <f t="shared" si="13"/>
        <v>0.65817732377383564</v>
      </c>
      <c r="N169" s="160">
        <f t="shared" si="14"/>
        <v>0.94889160948812135</v>
      </c>
      <c r="O169" s="161"/>
      <c r="P169" s="161"/>
    </row>
    <row r="170" spans="1:16" x14ac:dyDescent="0.2">
      <c r="A170" s="165">
        <v>164</v>
      </c>
      <c r="B170" s="225" t="s">
        <v>20</v>
      </c>
      <c r="C170" s="222" t="s">
        <v>16</v>
      </c>
      <c r="D170" s="219" t="s">
        <v>367</v>
      </c>
      <c r="E170" s="226" t="s">
        <v>1067</v>
      </c>
      <c r="F170" s="193">
        <v>1499</v>
      </c>
      <c r="G170" s="191">
        <v>2481248.0750000002</v>
      </c>
      <c r="H170" s="109">
        <v>1854</v>
      </c>
      <c r="I170" s="109">
        <v>2158205</v>
      </c>
      <c r="J170" s="159">
        <f t="shared" si="10"/>
        <v>1.2368245496997998</v>
      </c>
      <c r="K170" s="159">
        <f t="shared" si="11"/>
        <v>0.86980621637358846</v>
      </c>
      <c r="L170" s="159">
        <f t="shared" si="12"/>
        <v>0.3</v>
      </c>
      <c r="M170" s="159">
        <f t="shared" si="13"/>
        <v>0.60886435146151185</v>
      </c>
      <c r="N170" s="160">
        <f t="shared" si="14"/>
        <v>0.90886435146151179</v>
      </c>
      <c r="O170" s="161"/>
      <c r="P170" s="161"/>
    </row>
    <row r="171" spans="1:16" x14ac:dyDescent="0.2">
      <c r="A171" s="165">
        <v>165</v>
      </c>
      <c r="B171" s="225" t="s">
        <v>20</v>
      </c>
      <c r="C171" s="222" t="s">
        <v>16</v>
      </c>
      <c r="D171" s="219" t="s">
        <v>377</v>
      </c>
      <c r="E171" s="226" t="s">
        <v>1068</v>
      </c>
      <c r="F171" s="193">
        <v>813</v>
      </c>
      <c r="G171" s="191">
        <v>1308187</v>
      </c>
      <c r="H171" s="109">
        <v>679</v>
      </c>
      <c r="I171" s="109">
        <v>1373325</v>
      </c>
      <c r="J171" s="159">
        <f t="shared" si="10"/>
        <v>0.83517835178351785</v>
      </c>
      <c r="K171" s="159">
        <f t="shared" si="11"/>
        <v>1.0497925755262818</v>
      </c>
      <c r="L171" s="159">
        <f t="shared" si="12"/>
        <v>0.25055350553505534</v>
      </c>
      <c r="M171" s="159">
        <f t="shared" si="13"/>
        <v>0.7</v>
      </c>
      <c r="N171" s="160">
        <f t="shared" si="14"/>
        <v>0.95055350553505535</v>
      </c>
      <c r="O171" s="161"/>
      <c r="P171" s="161"/>
    </row>
    <row r="172" spans="1:16" x14ac:dyDescent="0.2">
      <c r="A172" s="165">
        <v>166</v>
      </c>
      <c r="B172" s="227" t="s">
        <v>20</v>
      </c>
      <c r="C172" s="222" t="s">
        <v>16</v>
      </c>
      <c r="D172" s="219" t="s">
        <v>375</v>
      </c>
      <c r="E172" s="226" t="s">
        <v>1319</v>
      </c>
      <c r="F172" s="193">
        <v>1909</v>
      </c>
      <c r="G172" s="191">
        <v>2987517.7250000001</v>
      </c>
      <c r="H172" s="109">
        <v>1696</v>
      </c>
      <c r="I172" s="109">
        <v>2816630</v>
      </c>
      <c r="J172" s="159">
        <f t="shared" si="10"/>
        <v>0.88842325825039292</v>
      </c>
      <c r="K172" s="159">
        <f t="shared" si="11"/>
        <v>0.94279942724021826</v>
      </c>
      <c r="L172" s="159">
        <f t="shared" si="12"/>
        <v>0.26652697747511789</v>
      </c>
      <c r="M172" s="159">
        <f t="shared" si="13"/>
        <v>0.65995959906815271</v>
      </c>
      <c r="N172" s="160">
        <f t="shared" si="14"/>
        <v>0.9264865765432706</v>
      </c>
      <c r="O172" s="161"/>
      <c r="P172" s="161"/>
    </row>
    <row r="173" spans="1:16" x14ac:dyDescent="0.2">
      <c r="A173" s="165">
        <v>167</v>
      </c>
      <c r="B173" s="227" t="s">
        <v>20</v>
      </c>
      <c r="C173" s="222" t="s">
        <v>16</v>
      </c>
      <c r="D173" s="219" t="s">
        <v>376</v>
      </c>
      <c r="E173" s="226" t="s">
        <v>1283</v>
      </c>
      <c r="F173" s="193">
        <v>801</v>
      </c>
      <c r="G173" s="191">
        <v>1205640.5</v>
      </c>
      <c r="H173" s="109">
        <v>308</v>
      </c>
      <c r="I173" s="109">
        <v>630505</v>
      </c>
      <c r="J173" s="159">
        <f t="shared" si="10"/>
        <v>0.38451935081148564</v>
      </c>
      <c r="K173" s="159">
        <f t="shared" si="11"/>
        <v>0.52296269078552027</v>
      </c>
      <c r="L173" s="159">
        <f t="shared" si="12"/>
        <v>0.11535580524344569</v>
      </c>
      <c r="M173" s="159">
        <f t="shared" si="13"/>
        <v>0.36607388354986414</v>
      </c>
      <c r="N173" s="160">
        <f t="shared" si="14"/>
        <v>0.48142968879330983</v>
      </c>
      <c r="O173" s="161"/>
      <c r="P173" s="161"/>
    </row>
    <row r="174" spans="1:16" x14ac:dyDescent="0.2">
      <c r="A174" s="165">
        <v>168</v>
      </c>
      <c r="B174" s="227" t="s">
        <v>20</v>
      </c>
      <c r="C174" s="222" t="s">
        <v>16</v>
      </c>
      <c r="D174" s="219" t="s">
        <v>371</v>
      </c>
      <c r="E174" s="226" t="s">
        <v>1051</v>
      </c>
      <c r="F174" s="193">
        <v>1760</v>
      </c>
      <c r="G174" s="191">
        <v>2795476.0249999999</v>
      </c>
      <c r="H174" s="109">
        <v>1922</v>
      </c>
      <c r="I174" s="109">
        <v>2423370</v>
      </c>
      <c r="J174" s="159">
        <f t="shared" si="10"/>
        <v>1.0920454545454545</v>
      </c>
      <c r="K174" s="159">
        <f t="shared" si="11"/>
        <v>0.86688992440920687</v>
      </c>
      <c r="L174" s="159">
        <f t="shared" si="12"/>
        <v>0.3</v>
      </c>
      <c r="M174" s="159">
        <f t="shared" si="13"/>
        <v>0.6068229470864448</v>
      </c>
      <c r="N174" s="160">
        <f t="shared" si="14"/>
        <v>0.90682294708644484</v>
      </c>
      <c r="O174" s="161"/>
      <c r="P174" s="161"/>
    </row>
    <row r="175" spans="1:16" x14ac:dyDescent="0.2">
      <c r="A175" s="165">
        <v>169</v>
      </c>
      <c r="B175" s="227" t="s">
        <v>19</v>
      </c>
      <c r="C175" s="222" t="s">
        <v>16</v>
      </c>
      <c r="D175" s="219" t="s">
        <v>359</v>
      </c>
      <c r="E175" s="226" t="s">
        <v>312</v>
      </c>
      <c r="F175" s="193">
        <v>6933</v>
      </c>
      <c r="G175" s="191">
        <v>11815591.6</v>
      </c>
      <c r="H175" s="109">
        <v>3950</v>
      </c>
      <c r="I175" s="109">
        <v>9062920</v>
      </c>
      <c r="J175" s="159">
        <f t="shared" si="10"/>
        <v>0.5697389297562383</v>
      </c>
      <c r="K175" s="159">
        <f t="shared" si="11"/>
        <v>0.76703057339930403</v>
      </c>
      <c r="L175" s="159">
        <f t="shared" si="12"/>
        <v>0.17092167892687149</v>
      </c>
      <c r="M175" s="159">
        <f t="shared" si="13"/>
        <v>0.53692140137951283</v>
      </c>
      <c r="N175" s="160">
        <f t="shared" si="14"/>
        <v>0.70784308030638432</v>
      </c>
      <c r="O175" s="161"/>
      <c r="P175" s="161"/>
    </row>
    <row r="176" spans="1:16" x14ac:dyDescent="0.2">
      <c r="A176" s="165">
        <v>170</v>
      </c>
      <c r="B176" s="227" t="s">
        <v>19</v>
      </c>
      <c r="C176" s="222" t="s">
        <v>16</v>
      </c>
      <c r="D176" s="219" t="s">
        <v>360</v>
      </c>
      <c r="E176" s="226" t="s">
        <v>1309</v>
      </c>
      <c r="F176" s="193">
        <v>2107</v>
      </c>
      <c r="G176" s="191">
        <v>3601228.9</v>
      </c>
      <c r="H176" s="109">
        <v>1661</v>
      </c>
      <c r="I176" s="109">
        <v>2783655</v>
      </c>
      <c r="J176" s="159">
        <f t="shared" si="10"/>
        <v>0.78832463217845272</v>
      </c>
      <c r="K176" s="159">
        <f t="shared" si="11"/>
        <v>0.77297363686046172</v>
      </c>
      <c r="L176" s="159">
        <f t="shared" si="12"/>
        <v>0.23649738965353581</v>
      </c>
      <c r="M176" s="159">
        <f t="shared" si="13"/>
        <v>0.54108154580232315</v>
      </c>
      <c r="N176" s="160">
        <f t="shared" si="14"/>
        <v>0.77757893545585899</v>
      </c>
      <c r="O176" s="161"/>
      <c r="P176" s="161"/>
    </row>
    <row r="177" spans="1:16" x14ac:dyDescent="0.2">
      <c r="A177" s="165">
        <v>171</v>
      </c>
      <c r="B177" s="227" t="s">
        <v>19</v>
      </c>
      <c r="C177" s="222" t="s">
        <v>16</v>
      </c>
      <c r="D177" s="219" t="s">
        <v>363</v>
      </c>
      <c r="E177" s="226" t="s">
        <v>364</v>
      </c>
      <c r="F177" s="193">
        <v>2320</v>
      </c>
      <c r="G177" s="191">
        <v>3963940.125</v>
      </c>
      <c r="H177" s="109">
        <v>1857</v>
      </c>
      <c r="I177" s="109">
        <v>3659310</v>
      </c>
      <c r="J177" s="159">
        <f t="shared" si="10"/>
        <v>0.80043103448275865</v>
      </c>
      <c r="K177" s="159">
        <f t="shared" si="11"/>
        <v>0.92314966538501886</v>
      </c>
      <c r="L177" s="159">
        <f t="shared" si="12"/>
        <v>0.2401293103448276</v>
      </c>
      <c r="M177" s="159">
        <f t="shared" si="13"/>
        <v>0.64620476576951313</v>
      </c>
      <c r="N177" s="160">
        <f t="shared" si="14"/>
        <v>0.88633407611434079</v>
      </c>
      <c r="O177" s="161"/>
      <c r="P177" s="161"/>
    </row>
    <row r="178" spans="1:16" x14ac:dyDescent="0.2">
      <c r="A178" s="165">
        <v>172</v>
      </c>
      <c r="B178" s="227" t="s">
        <v>19</v>
      </c>
      <c r="C178" s="222" t="s">
        <v>16</v>
      </c>
      <c r="D178" s="219" t="s">
        <v>362</v>
      </c>
      <c r="E178" s="226" t="s">
        <v>326</v>
      </c>
      <c r="F178" s="193">
        <v>1634</v>
      </c>
      <c r="G178" s="191">
        <v>2804004.6749999998</v>
      </c>
      <c r="H178" s="109">
        <v>1358</v>
      </c>
      <c r="I178" s="109">
        <v>2537985</v>
      </c>
      <c r="J178" s="159">
        <f t="shared" si="10"/>
        <v>0.83108935128518968</v>
      </c>
      <c r="K178" s="159">
        <f t="shared" si="11"/>
        <v>0.90512866209825427</v>
      </c>
      <c r="L178" s="159">
        <f t="shared" si="12"/>
        <v>0.2493268053855569</v>
      </c>
      <c r="M178" s="159">
        <f t="shared" si="13"/>
        <v>0.633590063468778</v>
      </c>
      <c r="N178" s="160">
        <f t="shared" si="14"/>
        <v>0.88291686885433496</v>
      </c>
      <c r="O178" s="161"/>
      <c r="P178" s="161"/>
    </row>
    <row r="179" spans="1:16" x14ac:dyDescent="0.2">
      <c r="A179" s="165">
        <v>173</v>
      </c>
      <c r="B179" s="227" t="s">
        <v>19</v>
      </c>
      <c r="C179" s="222" t="s">
        <v>16</v>
      </c>
      <c r="D179" s="219" t="s">
        <v>358</v>
      </c>
      <c r="E179" s="226" t="s">
        <v>1339</v>
      </c>
      <c r="F179" s="193">
        <v>1598</v>
      </c>
      <c r="G179" s="191">
        <v>2740507.625</v>
      </c>
      <c r="H179" s="109">
        <v>1281</v>
      </c>
      <c r="I179" s="109">
        <v>3803045</v>
      </c>
      <c r="J179" s="159">
        <f t="shared" si="10"/>
        <v>0.80162703379224032</v>
      </c>
      <c r="K179" s="159">
        <f t="shared" si="11"/>
        <v>1.3877155331760844</v>
      </c>
      <c r="L179" s="159">
        <f t="shared" si="12"/>
        <v>0.24048811013767207</v>
      </c>
      <c r="M179" s="159">
        <f t="shared" si="13"/>
        <v>0.7</v>
      </c>
      <c r="N179" s="160">
        <f t="shared" si="14"/>
        <v>0.94048811013767208</v>
      </c>
      <c r="O179" s="161"/>
      <c r="P179" s="161"/>
    </row>
    <row r="180" spans="1:16" x14ac:dyDescent="0.2">
      <c r="A180" s="165">
        <v>174</v>
      </c>
      <c r="B180" s="227" t="s">
        <v>19</v>
      </c>
      <c r="C180" s="222" t="s">
        <v>16</v>
      </c>
      <c r="D180" s="219" t="s">
        <v>365</v>
      </c>
      <c r="E180" s="226" t="s">
        <v>366</v>
      </c>
      <c r="F180" s="193">
        <v>2298</v>
      </c>
      <c r="G180" s="191">
        <v>3933148.1749999998</v>
      </c>
      <c r="H180" s="109">
        <v>1369</v>
      </c>
      <c r="I180" s="109">
        <v>2175570</v>
      </c>
      <c r="J180" s="159">
        <f t="shared" si="10"/>
        <v>0.59573542210617925</v>
      </c>
      <c r="K180" s="159">
        <f t="shared" si="11"/>
        <v>0.55313705540727565</v>
      </c>
      <c r="L180" s="159">
        <f t="shared" si="12"/>
        <v>0.17872062663185376</v>
      </c>
      <c r="M180" s="159">
        <f t="shared" si="13"/>
        <v>0.38719593878509295</v>
      </c>
      <c r="N180" s="160">
        <f t="shared" si="14"/>
        <v>0.56591656541694668</v>
      </c>
      <c r="O180" s="161"/>
      <c r="P180" s="161"/>
    </row>
    <row r="181" spans="1:16" x14ac:dyDescent="0.2">
      <c r="A181" s="165">
        <v>175</v>
      </c>
      <c r="B181" s="227" t="s">
        <v>19</v>
      </c>
      <c r="C181" s="222" t="s">
        <v>16</v>
      </c>
      <c r="D181" s="219" t="s">
        <v>356</v>
      </c>
      <c r="E181" s="226" t="s">
        <v>357</v>
      </c>
      <c r="F181" s="193">
        <v>2298</v>
      </c>
      <c r="G181" s="191">
        <v>3933148.1749999998</v>
      </c>
      <c r="H181" s="109">
        <v>1534</v>
      </c>
      <c r="I181" s="109">
        <v>2486870</v>
      </c>
      <c r="J181" s="159">
        <f t="shared" si="10"/>
        <v>0.66753698868581379</v>
      </c>
      <c r="K181" s="159">
        <f t="shared" si="11"/>
        <v>0.63228484901919568</v>
      </c>
      <c r="L181" s="159">
        <f t="shared" si="12"/>
        <v>0.20026109660574412</v>
      </c>
      <c r="M181" s="159">
        <f t="shared" si="13"/>
        <v>0.44259939431343692</v>
      </c>
      <c r="N181" s="160">
        <f t="shared" si="14"/>
        <v>0.64286049091918107</v>
      </c>
      <c r="O181" s="161"/>
      <c r="P181" s="161"/>
    </row>
    <row r="182" spans="1:16" x14ac:dyDescent="0.2">
      <c r="A182" s="165">
        <v>176</v>
      </c>
      <c r="B182" s="228" t="s">
        <v>25</v>
      </c>
      <c r="C182" s="222" t="s">
        <v>16</v>
      </c>
      <c r="D182" s="219" t="s">
        <v>338</v>
      </c>
      <c r="E182" s="229" t="s">
        <v>339</v>
      </c>
      <c r="F182" s="193">
        <v>2416</v>
      </c>
      <c r="G182" s="191">
        <v>4359711.2</v>
      </c>
      <c r="H182" s="109">
        <v>2677</v>
      </c>
      <c r="I182" s="109">
        <v>5272785</v>
      </c>
      <c r="J182" s="159">
        <f t="shared" si="10"/>
        <v>1.1080298013245033</v>
      </c>
      <c r="K182" s="159">
        <f t="shared" si="11"/>
        <v>1.2094344689620724</v>
      </c>
      <c r="L182" s="159">
        <f t="shared" si="12"/>
        <v>0.3</v>
      </c>
      <c r="M182" s="159">
        <f t="shared" si="13"/>
        <v>0.7</v>
      </c>
      <c r="N182" s="160">
        <f t="shared" si="14"/>
        <v>1</v>
      </c>
      <c r="O182" s="161"/>
      <c r="P182" s="161"/>
    </row>
    <row r="183" spans="1:16" x14ac:dyDescent="0.2">
      <c r="A183" s="165">
        <v>177</v>
      </c>
      <c r="B183" s="228" t="s">
        <v>25</v>
      </c>
      <c r="C183" s="222" t="s">
        <v>16</v>
      </c>
      <c r="D183" s="219" t="s">
        <v>336</v>
      </c>
      <c r="E183" s="229" t="s">
        <v>337</v>
      </c>
      <c r="F183" s="193">
        <v>838</v>
      </c>
      <c r="G183" s="191">
        <v>1468438.7</v>
      </c>
      <c r="H183" s="109">
        <v>1336</v>
      </c>
      <c r="I183" s="109">
        <v>1842525</v>
      </c>
      <c r="J183" s="159">
        <f t="shared" si="10"/>
        <v>1.5942720763723151</v>
      </c>
      <c r="K183" s="159">
        <f t="shared" si="11"/>
        <v>1.2547510495330858</v>
      </c>
      <c r="L183" s="159">
        <f t="shared" si="12"/>
        <v>0.3</v>
      </c>
      <c r="M183" s="159">
        <f t="shared" si="13"/>
        <v>0.7</v>
      </c>
      <c r="N183" s="160">
        <f t="shared" si="14"/>
        <v>1</v>
      </c>
      <c r="O183" s="161"/>
      <c r="P183" s="161"/>
    </row>
    <row r="184" spans="1:16" x14ac:dyDescent="0.2">
      <c r="A184" s="165">
        <v>178</v>
      </c>
      <c r="B184" s="228" t="s">
        <v>25</v>
      </c>
      <c r="C184" s="222" t="s">
        <v>16</v>
      </c>
      <c r="D184" s="219" t="s">
        <v>334</v>
      </c>
      <c r="E184" s="229" t="s">
        <v>335</v>
      </c>
      <c r="F184" s="193">
        <v>2257</v>
      </c>
      <c r="G184" s="191">
        <v>3851160.2</v>
      </c>
      <c r="H184" s="109">
        <v>4164</v>
      </c>
      <c r="I184" s="109">
        <v>6650815</v>
      </c>
      <c r="J184" s="159">
        <f t="shared" si="10"/>
        <v>1.8449268941072219</v>
      </c>
      <c r="K184" s="159">
        <f t="shared" si="11"/>
        <v>1.7269639938634596</v>
      </c>
      <c r="L184" s="159">
        <f t="shared" si="12"/>
        <v>0.3</v>
      </c>
      <c r="M184" s="159">
        <f t="shared" si="13"/>
        <v>0.7</v>
      </c>
      <c r="N184" s="160">
        <f t="shared" si="14"/>
        <v>1</v>
      </c>
      <c r="O184" s="161"/>
      <c r="P184" s="161"/>
    </row>
    <row r="185" spans="1:16" x14ac:dyDescent="0.2">
      <c r="A185" s="165">
        <v>179</v>
      </c>
      <c r="B185" s="228" t="s">
        <v>25</v>
      </c>
      <c r="C185" s="222" t="s">
        <v>16</v>
      </c>
      <c r="D185" s="219" t="s">
        <v>340</v>
      </c>
      <c r="E185" s="229" t="s">
        <v>341</v>
      </c>
      <c r="F185" s="193">
        <v>1803</v>
      </c>
      <c r="G185" s="191">
        <v>3123747</v>
      </c>
      <c r="H185" s="109">
        <v>2047</v>
      </c>
      <c r="I185" s="109">
        <v>2959515</v>
      </c>
      <c r="J185" s="159">
        <f t="shared" si="10"/>
        <v>1.1353300055463118</v>
      </c>
      <c r="K185" s="159">
        <f t="shared" si="11"/>
        <v>0.94742467939945196</v>
      </c>
      <c r="L185" s="159">
        <f t="shared" si="12"/>
        <v>0.3</v>
      </c>
      <c r="M185" s="159">
        <f t="shared" si="13"/>
        <v>0.66319727557961639</v>
      </c>
      <c r="N185" s="160">
        <f t="shared" si="14"/>
        <v>0.96319727557961632</v>
      </c>
      <c r="O185" s="161"/>
      <c r="P185" s="161"/>
    </row>
    <row r="186" spans="1:16" s="120" customFormat="1" x14ac:dyDescent="0.2">
      <c r="A186" s="250">
        <v>180</v>
      </c>
      <c r="B186" s="251" t="s">
        <v>25</v>
      </c>
      <c r="C186" s="222" t="s">
        <v>16</v>
      </c>
      <c r="D186" s="222" t="s">
        <v>664</v>
      </c>
      <c r="E186" s="229" t="s">
        <v>1518</v>
      </c>
      <c r="F186" s="193">
        <v>851</v>
      </c>
      <c r="G186" s="191">
        <v>1133360.0249999999</v>
      </c>
      <c r="H186" s="109">
        <v>815</v>
      </c>
      <c r="I186" s="109">
        <v>1214780</v>
      </c>
      <c r="J186" s="137">
        <f t="shared" si="10"/>
        <v>0.95769682726204464</v>
      </c>
      <c r="K186" s="137">
        <f t="shared" si="11"/>
        <v>1.0718394624867769</v>
      </c>
      <c r="L186" s="137">
        <f t="shared" si="12"/>
        <v>0.28730904817861336</v>
      </c>
      <c r="M186" s="137">
        <f t="shared" si="13"/>
        <v>0.7</v>
      </c>
      <c r="N186" s="252">
        <f t="shared" si="14"/>
        <v>0.98730904817861331</v>
      </c>
      <c r="O186" s="253"/>
      <c r="P186" s="253"/>
    </row>
    <row r="187" spans="1:16" x14ac:dyDescent="0.2">
      <c r="A187" s="165">
        <v>181</v>
      </c>
      <c r="B187" s="228" t="s">
        <v>24</v>
      </c>
      <c r="C187" s="222" t="s">
        <v>16</v>
      </c>
      <c r="D187" s="219" t="s">
        <v>382</v>
      </c>
      <c r="E187" s="229" t="s">
        <v>383</v>
      </c>
      <c r="F187" s="193">
        <v>1910</v>
      </c>
      <c r="G187" s="191">
        <v>3276117.05</v>
      </c>
      <c r="H187" s="109">
        <v>1906</v>
      </c>
      <c r="I187" s="109">
        <v>3500000</v>
      </c>
      <c r="J187" s="159">
        <f t="shared" si="10"/>
        <v>0.99790575916230362</v>
      </c>
      <c r="K187" s="159">
        <f t="shared" si="11"/>
        <v>1.068337897145647</v>
      </c>
      <c r="L187" s="159">
        <f t="shared" si="12"/>
        <v>0.29937172774869109</v>
      </c>
      <c r="M187" s="159">
        <f t="shared" si="13"/>
        <v>0.7</v>
      </c>
      <c r="N187" s="160">
        <f t="shared" si="14"/>
        <v>0.9993717277486911</v>
      </c>
      <c r="O187" s="161"/>
      <c r="P187" s="161"/>
    </row>
    <row r="188" spans="1:16" x14ac:dyDescent="0.2">
      <c r="A188" s="165">
        <v>182</v>
      </c>
      <c r="B188" s="228" t="s">
        <v>24</v>
      </c>
      <c r="C188" s="222" t="s">
        <v>16</v>
      </c>
      <c r="D188" s="219" t="s">
        <v>380</v>
      </c>
      <c r="E188" s="229" t="s">
        <v>381</v>
      </c>
      <c r="F188" s="193">
        <v>1713</v>
      </c>
      <c r="G188" s="191">
        <v>2932341.15</v>
      </c>
      <c r="H188" s="109">
        <v>2550</v>
      </c>
      <c r="I188" s="109">
        <v>3899580</v>
      </c>
      <c r="J188" s="159">
        <f t="shared" si="10"/>
        <v>1.4886164623467601</v>
      </c>
      <c r="K188" s="159">
        <f t="shared" si="11"/>
        <v>1.3298520876399391</v>
      </c>
      <c r="L188" s="159">
        <f t="shared" si="12"/>
        <v>0.3</v>
      </c>
      <c r="M188" s="159">
        <f t="shared" si="13"/>
        <v>0.7</v>
      </c>
      <c r="N188" s="160">
        <f t="shared" si="14"/>
        <v>1</v>
      </c>
      <c r="O188" s="161"/>
      <c r="P188" s="161"/>
    </row>
    <row r="189" spans="1:16" x14ac:dyDescent="0.2">
      <c r="A189" s="165">
        <v>183</v>
      </c>
      <c r="B189" s="228" t="s">
        <v>24</v>
      </c>
      <c r="C189" s="222" t="s">
        <v>16</v>
      </c>
      <c r="D189" s="219" t="s">
        <v>378</v>
      </c>
      <c r="E189" s="230" t="s">
        <v>379</v>
      </c>
      <c r="F189" s="193">
        <v>1267</v>
      </c>
      <c r="G189" s="191">
        <v>2159671.7250000001</v>
      </c>
      <c r="H189" s="109">
        <v>1988</v>
      </c>
      <c r="I189" s="109">
        <v>2709870</v>
      </c>
      <c r="J189" s="159">
        <f t="shared" si="10"/>
        <v>1.569060773480663</v>
      </c>
      <c r="K189" s="159">
        <f t="shared" si="11"/>
        <v>1.2547601418451686</v>
      </c>
      <c r="L189" s="159">
        <f t="shared" si="12"/>
        <v>0.3</v>
      </c>
      <c r="M189" s="159">
        <f t="shared" si="13"/>
        <v>0.7</v>
      </c>
      <c r="N189" s="160">
        <f t="shared" si="14"/>
        <v>1</v>
      </c>
      <c r="O189" s="161"/>
      <c r="P189" s="161"/>
    </row>
    <row r="190" spans="1:16" x14ac:dyDescent="0.2">
      <c r="A190" s="165">
        <v>184</v>
      </c>
      <c r="B190" s="228" t="s">
        <v>23</v>
      </c>
      <c r="C190" s="222" t="s">
        <v>16</v>
      </c>
      <c r="D190" s="219" t="s">
        <v>396</v>
      </c>
      <c r="E190" s="231" t="s">
        <v>1340</v>
      </c>
      <c r="F190" s="193">
        <v>1496</v>
      </c>
      <c r="G190" s="191">
        <v>2005059.575</v>
      </c>
      <c r="H190" s="109">
        <v>691</v>
      </c>
      <c r="I190" s="109">
        <v>726970</v>
      </c>
      <c r="J190" s="159">
        <f t="shared" si="10"/>
        <v>0.46189839572192515</v>
      </c>
      <c r="K190" s="159">
        <f t="shared" si="11"/>
        <v>0.36256778056083444</v>
      </c>
      <c r="L190" s="159">
        <f t="shared" si="12"/>
        <v>0.13856951871657755</v>
      </c>
      <c r="M190" s="159">
        <f t="shared" si="13"/>
        <v>0.25379744639258411</v>
      </c>
      <c r="N190" s="160">
        <f t="shared" si="14"/>
        <v>0.39236696510916169</v>
      </c>
      <c r="O190" s="161"/>
      <c r="P190" s="161"/>
    </row>
    <row r="191" spans="1:16" x14ac:dyDescent="0.2">
      <c r="A191" s="165">
        <v>185</v>
      </c>
      <c r="B191" s="228" t="s">
        <v>23</v>
      </c>
      <c r="C191" s="222" t="s">
        <v>16</v>
      </c>
      <c r="D191" s="219" t="s">
        <v>402</v>
      </c>
      <c r="E191" s="230" t="s">
        <v>403</v>
      </c>
      <c r="F191" s="193">
        <v>1448</v>
      </c>
      <c r="G191" s="191">
        <v>2660551.6</v>
      </c>
      <c r="H191" s="109">
        <v>819</v>
      </c>
      <c r="I191" s="109">
        <v>1826830</v>
      </c>
      <c r="J191" s="159">
        <f t="shared" si="10"/>
        <v>0.56560773480662985</v>
      </c>
      <c r="K191" s="159">
        <f t="shared" si="11"/>
        <v>0.68663580890519094</v>
      </c>
      <c r="L191" s="159">
        <f t="shared" si="12"/>
        <v>0.16968232044198894</v>
      </c>
      <c r="M191" s="159">
        <f t="shared" si="13"/>
        <v>0.48064506623363362</v>
      </c>
      <c r="N191" s="160">
        <f t="shared" si="14"/>
        <v>0.65032738667562251</v>
      </c>
      <c r="O191" s="161"/>
      <c r="P191" s="161"/>
    </row>
    <row r="192" spans="1:16" x14ac:dyDescent="0.2">
      <c r="A192" s="165">
        <v>186</v>
      </c>
      <c r="B192" s="228" t="s">
        <v>23</v>
      </c>
      <c r="C192" s="222" t="s">
        <v>16</v>
      </c>
      <c r="D192" s="219" t="s">
        <v>406</v>
      </c>
      <c r="E192" s="230" t="s">
        <v>1101</v>
      </c>
      <c r="F192" s="193">
        <v>1391</v>
      </c>
      <c r="G192" s="191">
        <v>4218847.05</v>
      </c>
      <c r="H192" s="109">
        <v>1308</v>
      </c>
      <c r="I192" s="109">
        <v>4889980</v>
      </c>
      <c r="J192" s="159">
        <f t="shared" si="10"/>
        <v>0.94033069734004315</v>
      </c>
      <c r="K192" s="159">
        <f t="shared" si="11"/>
        <v>1.1590797063856582</v>
      </c>
      <c r="L192" s="159">
        <f t="shared" si="12"/>
        <v>0.28209920920201292</v>
      </c>
      <c r="M192" s="159">
        <f t="shared" si="13"/>
        <v>0.7</v>
      </c>
      <c r="N192" s="160">
        <f t="shared" si="14"/>
        <v>0.98209920920201288</v>
      </c>
      <c r="O192" s="161"/>
      <c r="P192" s="161"/>
    </row>
    <row r="193" spans="1:16" x14ac:dyDescent="0.2">
      <c r="A193" s="165">
        <v>187</v>
      </c>
      <c r="B193" s="228" t="s">
        <v>23</v>
      </c>
      <c r="C193" s="222" t="s">
        <v>16</v>
      </c>
      <c r="D193" s="219" t="s">
        <v>397</v>
      </c>
      <c r="E193" s="232" t="s">
        <v>991</v>
      </c>
      <c r="F193" s="193">
        <v>2648</v>
      </c>
      <c r="G193" s="191">
        <v>4302062.6749999998</v>
      </c>
      <c r="H193" s="109">
        <v>2177</v>
      </c>
      <c r="I193" s="109">
        <v>4671075</v>
      </c>
      <c r="J193" s="159">
        <f t="shared" si="10"/>
        <v>0.82212990936555896</v>
      </c>
      <c r="K193" s="159">
        <f t="shared" si="11"/>
        <v>1.0857756738748583</v>
      </c>
      <c r="L193" s="159">
        <f t="shared" si="12"/>
        <v>0.24663897280966768</v>
      </c>
      <c r="M193" s="159">
        <f t="shared" si="13"/>
        <v>0.7</v>
      </c>
      <c r="N193" s="160">
        <f t="shared" si="14"/>
        <v>0.94663897280966758</v>
      </c>
      <c r="O193" s="161"/>
      <c r="P193" s="161"/>
    </row>
    <row r="194" spans="1:16" x14ac:dyDescent="0.2">
      <c r="A194" s="165">
        <v>188</v>
      </c>
      <c r="B194" s="228" t="s">
        <v>23</v>
      </c>
      <c r="C194" s="222" t="s">
        <v>16</v>
      </c>
      <c r="D194" s="219" t="s">
        <v>400</v>
      </c>
      <c r="E194" s="232" t="s">
        <v>401</v>
      </c>
      <c r="F194" s="193">
        <v>2634</v>
      </c>
      <c r="G194" s="191">
        <v>3719731.4750000001</v>
      </c>
      <c r="H194" s="109">
        <v>1789</v>
      </c>
      <c r="I194" s="109">
        <v>2865410</v>
      </c>
      <c r="J194" s="159">
        <f t="shared" si="10"/>
        <v>0.6791951404707669</v>
      </c>
      <c r="K194" s="159">
        <f t="shared" si="11"/>
        <v>0.77032711077618843</v>
      </c>
      <c r="L194" s="159">
        <f t="shared" si="12"/>
        <v>0.20375854214123007</v>
      </c>
      <c r="M194" s="159">
        <f t="shared" si="13"/>
        <v>0.53922897754333188</v>
      </c>
      <c r="N194" s="160">
        <f t="shared" si="14"/>
        <v>0.74298751968456189</v>
      </c>
      <c r="O194" s="161"/>
      <c r="P194" s="161"/>
    </row>
    <row r="195" spans="1:16" x14ac:dyDescent="0.2">
      <c r="A195" s="165">
        <v>189</v>
      </c>
      <c r="B195" s="228" t="s">
        <v>23</v>
      </c>
      <c r="C195" s="222" t="s">
        <v>16</v>
      </c>
      <c r="D195" s="219" t="s">
        <v>398</v>
      </c>
      <c r="E195" s="232" t="s">
        <v>399</v>
      </c>
      <c r="F195" s="193">
        <v>1186</v>
      </c>
      <c r="G195" s="191">
        <v>1536605.3</v>
      </c>
      <c r="H195" s="109">
        <v>874</v>
      </c>
      <c r="I195" s="109">
        <v>921435</v>
      </c>
      <c r="J195" s="159">
        <f t="shared" si="10"/>
        <v>0.73693086003372676</v>
      </c>
      <c r="K195" s="159">
        <f t="shared" si="11"/>
        <v>0.59965626826876095</v>
      </c>
      <c r="L195" s="159">
        <f t="shared" si="12"/>
        <v>0.22107925801011802</v>
      </c>
      <c r="M195" s="159">
        <f t="shared" si="13"/>
        <v>0.41975938778813265</v>
      </c>
      <c r="N195" s="160">
        <f t="shared" si="14"/>
        <v>0.64083864579825067</v>
      </c>
      <c r="O195" s="161"/>
      <c r="P195" s="161"/>
    </row>
    <row r="196" spans="1:16" x14ac:dyDescent="0.2">
      <c r="A196" s="165">
        <v>190</v>
      </c>
      <c r="B196" s="228" t="s">
        <v>1066</v>
      </c>
      <c r="C196" s="222" t="s">
        <v>16</v>
      </c>
      <c r="D196" s="219" t="s">
        <v>346</v>
      </c>
      <c r="E196" s="226" t="s">
        <v>347</v>
      </c>
      <c r="F196" s="193">
        <v>1590</v>
      </c>
      <c r="G196" s="191">
        <v>2567504.625</v>
      </c>
      <c r="H196" s="109">
        <v>1878</v>
      </c>
      <c r="I196" s="109">
        <v>3178685</v>
      </c>
      <c r="J196" s="159">
        <f t="shared" si="10"/>
        <v>1.1811320754716981</v>
      </c>
      <c r="K196" s="159">
        <f t="shared" si="11"/>
        <v>1.2380445079042457</v>
      </c>
      <c r="L196" s="159">
        <f t="shared" si="12"/>
        <v>0.3</v>
      </c>
      <c r="M196" s="159">
        <f t="shared" si="13"/>
        <v>0.7</v>
      </c>
      <c r="N196" s="160">
        <f t="shared" si="14"/>
        <v>1</v>
      </c>
      <c r="O196" s="161"/>
      <c r="P196" s="161"/>
    </row>
    <row r="197" spans="1:16" x14ac:dyDescent="0.2">
      <c r="A197" s="165">
        <v>191</v>
      </c>
      <c r="B197" s="228" t="s">
        <v>1066</v>
      </c>
      <c r="C197" s="222" t="s">
        <v>16</v>
      </c>
      <c r="D197" s="219" t="s">
        <v>351</v>
      </c>
      <c r="E197" s="226" t="s">
        <v>352</v>
      </c>
      <c r="F197" s="193">
        <v>1055</v>
      </c>
      <c r="G197" s="191">
        <v>1825022.825</v>
      </c>
      <c r="H197" s="109">
        <v>1351</v>
      </c>
      <c r="I197" s="109">
        <v>2222660</v>
      </c>
      <c r="J197" s="159">
        <f t="shared" si="10"/>
        <v>1.2805687203791469</v>
      </c>
      <c r="K197" s="159">
        <f t="shared" si="11"/>
        <v>1.2178806585610786</v>
      </c>
      <c r="L197" s="159">
        <f t="shared" si="12"/>
        <v>0.3</v>
      </c>
      <c r="M197" s="159">
        <f t="shared" si="13"/>
        <v>0.7</v>
      </c>
      <c r="N197" s="160">
        <f t="shared" si="14"/>
        <v>1</v>
      </c>
      <c r="O197" s="161"/>
      <c r="P197" s="161"/>
    </row>
    <row r="198" spans="1:16" x14ac:dyDescent="0.2">
      <c r="A198" s="165">
        <v>192</v>
      </c>
      <c r="B198" s="228" t="s">
        <v>1066</v>
      </c>
      <c r="C198" s="222" t="s">
        <v>16</v>
      </c>
      <c r="D198" s="219" t="s">
        <v>353</v>
      </c>
      <c r="E198" s="226" t="s">
        <v>477</v>
      </c>
      <c r="F198" s="193">
        <v>996</v>
      </c>
      <c r="G198" s="191">
        <v>2005410.125</v>
      </c>
      <c r="H198" s="109">
        <v>983</v>
      </c>
      <c r="I198" s="109">
        <v>2062000</v>
      </c>
      <c r="J198" s="159">
        <f t="shared" si="10"/>
        <v>0.98694779116465858</v>
      </c>
      <c r="K198" s="159">
        <f t="shared" si="11"/>
        <v>1.0282186044114043</v>
      </c>
      <c r="L198" s="159">
        <f t="shared" si="12"/>
        <v>0.29608433734939754</v>
      </c>
      <c r="M198" s="159">
        <f t="shared" si="13"/>
        <v>0.7</v>
      </c>
      <c r="N198" s="160">
        <f t="shared" si="14"/>
        <v>0.9960843373493975</v>
      </c>
      <c r="O198" s="161"/>
      <c r="P198" s="161"/>
    </row>
    <row r="199" spans="1:16" x14ac:dyDescent="0.2">
      <c r="A199" s="165">
        <v>193</v>
      </c>
      <c r="B199" s="228" t="s">
        <v>1066</v>
      </c>
      <c r="C199" s="222" t="s">
        <v>16</v>
      </c>
      <c r="D199" s="219" t="s">
        <v>350</v>
      </c>
      <c r="E199" s="226" t="s">
        <v>990</v>
      </c>
      <c r="F199" s="193">
        <v>1115</v>
      </c>
      <c r="G199" s="191">
        <v>1731274.35</v>
      </c>
      <c r="H199" s="109">
        <v>724</v>
      </c>
      <c r="I199" s="109">
        <v>1118995</v>
      </c>
      <c r="J199" s="159">
        <f t="shared" ref="J199:J262" si="15">IFERROR(H199/F199,0)</f>
        <v>0.6493273542600897</v>
      </c>
      <c r="K199" s="159">
        <f t="shared" ref="K199:K262" si="16">IFERROR(I199/G199,0)</f>
        <v>0.64634181174116045</v>
      </c>
      <c r="L199" s="159">
        <f t="shared" ref="L199:L262" si="17">IF((J199*0.3)&gt;30%,30%,(J199*0.3))</f>
        <v>0.19479820627802691</v>
      </c>
      <c r="M199" s="159">
        <f t="shared" ref="M199:M262" si="18">IF((K199*0.7)&gt;70%,70%,(K199*0.7))</f>
        <v>0.45243926821881231</v>
      </c>
      <c r="N199" s="160">
        <f t="shared" ref="N199:N262" si="19">L199+M199</f>
        <v>0.64723747449683922</v>
      </c>
      <c r="O199" s="161"/>
      <c r="P199" s="161"/>
    </row>
    <row r="200" spans="1:16" x14ac:dyDescent="0.2">
      <c r="A200" s="165">
        <v>194</v>
      </c>
      <c r="B200" s="228" t="s">
        <v>21</v>
      </c>
      <c r="C200" s="222" t="s">
        <v>16</v>
      </c>
      <c r="D200" s="219" t="s">
        <v>386</v>
      </c>
      <c r="E200" s="226" t="s">
        <v>387</v>
      </c>
      <c r="F200" s="193">
        <v>3325</v>
      </c>
      <c r="G200" s="191">
        <v>4967579.7750000004</v>
      </c>
      <c r="H200" s="109">
        <v>2557</v>
      </c>
      <c r="I200" s="109">
        <v>4243750</v>
      </c>
      <c r="J200" s="159">
        <f t="shared" si="15"/>
        <v>0.7690225563909775</v>
      </c>
      <c r="K200" s="159">
        <f t="shared" si="16"/>
        <v>0.85428924993962474</v>
      </c>
      <c r="L200" s="159">
        <f t="shared" si="17"/>
        <v>0.23070676691729325</v>
      </c>
      <c r="M200" s="159">
        <f t="shared" si="18"/>
        <v>0.59800247495773728</v>
      </c>
      <c r="N200" s="160">
        <f t="shared" si="19"/>
        <v>0.82870924187503059</v>
      </c>
      <c r="O200" s="161"/>
      <c r="P200" s="161"/>
    </row>
    <row r="201" spans="1:16" x14ac:dyDescent="0.2">
      <c r="A201" s="165">
        <v>195</v>
      </c>
      <c r="B201" s="228" t="s">
        <v>21</v>
      </c>
      <c r="C201" s="222" t="s">
        <v>16</v>
      </c>
      <c r="D201" s="219" t="s">
        <v>392</v>
      </c>
      <c r="E201" s="226" t="s">
        <v>393</v>
      </c>
      <c r="F201" s="193">
        <v>2631</v>
      </c>
      <c r="G201" s="191">
        <v>4377480.45</v>
      </c>
      <c r="H201" s="109">
        <v>2541</v>
      </c>
      <c r="I201" s="109">
        <v>4668545</v>
      </c>
      <c r="J201" s="159">
        <f t="shared" si="15"/>
        <v>0.96579247434435578</v>
      </c>
      <c r="K201" s="159">
        <f t="shared" si="16"/>
        <v>1.0664913420687008</v>
      </c>
      <c r="L201" s="159">
        <f t="shared" si="17"/>
        <v>0.28973774230330673</v>
      </c>
      <c r="M201" s="159">
        <f t="shared" si="18"/>
        <v>0.7</v>
      </c>
      <c r="N201" s="160">
        <f t="shared" si="19"/>
        <v>0.98973774230330669</v>
      </c>
      <c r="O201" s="161"/>
      <c r="P201" s="161"/>
    </row>
    <row r="202" spans="1:16" x14ac:dyDescent="0.2">
      <c r="A202" s="165">
        <v>196</v>
      </c>
      <c r="B202" s="233" t="s">
        <v>21</v>
      </c>
      <c r="C202" s="222" t="s">
        <v>16</v>
      </c>
      <c r="D202" s="219" t="s">
        <v>384</v>
      </c>
      <c r="E202" s="232" t="s">
        <v>385</v>
      </c>
      <c r="F202" s="193">
        <v>1527</v>
      </c>
      <c r="G202" s="191">
        <v>2922573.9</v>
      </c>
      <c r="H202" s="109">
        <v>1200</v>
      </c>
      <c r="I202" s="109">
        <v>2239340</v>
      </c>
      <c r="J202" s="159">
        <f t="shared" si="15"/>
        <v>0.78585461689587421</v>
      </c>
      <c r="K202" s="159">
        <f t="shared" si="16"/>
        <v>0.76622185669967147</v>
      </c>
      <c r="L202" s="159">
        <f t="shared" si="17"/>
        <v>0.23575638506876226</v>
      </c>
      <c r="M202" s="159">
        <f t="shared" si="18"/>
        <v>0.53635529968977003</v>
      </c>
      <c r="N202" s="160">
        <f t="shared" si="19"/>
        <v>0.77211168475853231</v>
      </c>
      <c r="O202" s="161"/>
      <c r="P202" s="161"/>
    </row>
    <row r="203" spans="1:16" x14ac:dyDescent="0.2">
      <c r="A203" s="165">
        <v>197</v>
      </c>
      <c r="B203" s="233" t="s">
        <v>21</v>
      </c>
      <c r="C203" s="222" t="s">
        <v>16</v>
      </c>
      <c r="D203" s="219" t="s">
        <v>388</v>
      </c>
      <c r="E203" s="232" t="s">
        <v>389</v>
      </c>
      <c r="F203" s="193">
        <v>1310</v>
      </c>
      <c r="G203" s="191">
        <v>2339997.0249999999</v>
      </c>
      <c r="H203" s="109">
        <v>1045</v>
      </c>
      <c r="I203" s="109">
        <v>1674565</v>
      </c>
      <c r="J203" s="159">
        <f t="shared" si="15"/>
        <v>0.79770992366412219</v>
      </c>
      <c r="K203" s="159">
        <f t="shared" si="16"/>
        <v>0.71562697820096588</v>
      </c>
      <c r="L203" s="159">
        <f t="shared" si="17"/>
        <v>0.23931297709923666</v>
      </c>
      <c r="M203" s="159">
        <f t="shared" si="18"/>
        <v>0.50093888474067605</v>
      </c>
      <c r="N203" s="160">
        <f t="shared" si="19"/>
        <v>0.74025186183991276</v>
      </c>
      <c r="O203" s="161"/>
      <c r="P203" s="161"/>
    </row>
    <row r="204" spans="1:16" x14ac:dyDescent="0.2">
      <c r="A204" s="165">
        <v>198</v>
      </c>
      <c r="B204" s="233" t="s">
        <v>21</v>
      </c>
      <c r="C204" s="222" t="s">
        <v>16</v>
      </c>
      <c r="D204" s="219" t="s">
        <v>394</v>
      </c>
      <c r="E204" s="232" t="s">
        <v>395</v>
      </c>
      <c r="F204" s="193">
        <v>1089</v>
      </c>
      <c r="G204" s="191">
        <v>2026157.2749999999</v>
      </c>
      <c r="H204" s="109">
        <v>1204</v>
      </c>
      <c r="I204" s="109">
        <v>1774325</v>
      </c>
      <c r="J204" s="159">
        <f t="shared" si="15"/>
        <v>1.1056014692378329</v>
      </c>
      <c r="K204" s="159">
        <f t="shared" si="16"/>
        <v>0.87570941401871194</v>
      </c>
      <c r="L204" s="159">
        <f t="shared" si="17"/>
        <v>0.3</v>
      </c>
      <c r="M204" s="159">
        <f t="shared" si="18"/>
        <v>0.61299658981309835</v>
      </c>
      <c r="N204" s="160">
        <f t="shared" si="19"/>
        <v>0.91299658981309828</v>
      </c>
      <c r="O204" s="161"/>
      <c r="P204" s="161"/>
    </row>
    <row r="205" spans="1:16" x14ac:dyDescent="0.2">
      <c r="A205" s="165">
        <v>199</v>
      </c>
      <c r="B205" s="233" t="s">
        <v>21</v>
      </c>
      <c r="C205" s="222" t="s">
        <v>16</v>
      </c>
      <c r="D205" s="219" t="s">
        <v>390</v>
      </c>
      <c r="E205" s="232" t="s">
        <v>1341</v>
      </c>
      <c r="F205" s="193">
        <v>1070</v>
      </c>
      <c r="G205" s="191">
        <v>1913898.2749999999</v>
      </c>
      <c r="H205" s="109">
        <v>712</v>
      </c>
      <c r="I205" s="109">
        <v>1305910</v>
      </c>
      <c r="J205" s="159">
        <f t="shared" si="15"/>
        <v>0.66542056074766354</v>
      </c>
      <c r="K205" s="159">
        <f t="shared" si="16"/>
        <v>0.68232989028635815</v>
      </c>
      <c r="L205" s="159">
        <f t="shared" si="17"/>
        <v>0.19962616822429904</v>
      </c>
      <c r="M205" s="159">
        <f t="shared" si="18"/>
        <v>0.4776309232004507</v>
      </c>
      <c r="N205" s="160">
        <f t="shared" si="19"/>
        <v>0.67725709142474977</v>
      </c>
      <c r="O205" s="161"/>
      <c r="P205" s="161"/>
    </row>
    <row r="206" spans="1:16" x14ac:dyDescent="0.2">
      <c r="A206" s="165">
        <v>200</v>
      </c>
      <c r="B206" s="233" t="s">
        <v>21</v>
      </c>
      <c r="C206" s="222" t="s">
        <v>16</v>
      </c>
      <c r="D206" s="219" t="s">
        <v>1407</v>
      </c>
      <c r="E206" s="232" t="s">
        <v>1408</v>
      </c>
      <c r="F206" s="193">
        <v>2147</v>
      </c>
      <c r="G206" s="191">
        <v>3833340.7749999999</v>
      </c>
      <c r="H206" s="109">
        <v>2540</v>
      </c>
      <c r="I206" s="109">
        <v>3485075</v>
      </c>
      <c r="J206" s="159">
        <f t="shared" si="15"/>
        <v>1.1830461108523522</v>
      </c>
      <c r="K206" s="159">
        <f t="shared" si="16"/>
        <v>0.90914823506657849</v>
      </c>
      <c r="L206" s="159">
        <f t="shared" si="17"/>
        <v>0.3</v>
      </c>
      <c r="M206" s="159">
        <f t="shared" si="18"/>
        <v>0.63640376454660486</v>
      </c>
      <c r="N206" s="160">
        <f t="shared" si="19"/>
        <v>0.93640376454660479</v>
      </c>
      <c r="O206" s="161"/>
      <c r="P206" s="161"/>
    </row>
    <row r="207" spans="1:16" x14ac:dyDescent="0.2">
      <c r="A207" s="165">
        <v>201</v>
      </c>
      <c r="B207" s="233" t="s">
        <v>17</v>
      </c>
      <c r="C207" s="222" t="s">
        <v>27</v>
      </c>
      <c r="D207" s="219" t="s">
        <v>1164</v>
      </c>
      <c r="E207" s="232" t="s">
        <v>1477</v>
      </c>
      <c r="F207" s="193">
        <v>3248</v>
      </c>
      <c r="G207" s="193">
        <v>4329699.75</v>
      </c>
      <c r="H207" s="109">
        <v>3357</v>
      </c>
      <c r="I207" s="109">
        <v>4816410</v>
      </c>
      <c r="J207" s="159">
        <f t="shared" si="15"/>
        <v>1.0335591133004927</v>
      </c>
      <c r="K207" s="159">
        <f t="shared" si="16"/>
        <v>1.1124120096318457</v>
      </c>
      <c r="L207" s="159">
        <f t="shared" si="17"/>
        <v>0.3</v>
      </c>
      <c r="M207" s="159">
        <f t="shared" si="18"/>
        <v>0.7</v>
      </c>
      <c r="N207" s="160">
        <f t="shared" si="19"/>
        <v>1</v>
      </c>
      <c r="O207" s="161"/>
      <c r="P207" s="161"/>
    </row>
    <row r="208" spans="1:16" x14ac:dyDescent="0.2">
      <c r="A208" s="165">
        <v>202</v>
      </c>
      <c r="B208" s="233" t="s">
        <v>17</v>
      </c>
      <c r="C208" s="222" t="s">
        <v>27</v>
      </c>
      <c r="D208" s="219" t="s">
        <v>343</v>
      </c>
      <c r="E208" s="232" t="s">
        <v>1308</v>
      </c>
      <c r="F208" s="193">
        <v>3040</v>
      </c>
      <c r="G208" s="193">
        <v>6355885.2750000004</v>
      </c>
      <c r="H208" s="109">
        <v>3379</v>
      </c>
      <c r="I208" s="109">
        <v>7079975</v>
      </c>
      <c r="J208" s="159">
        <f t="shared" si="15"/>
        <v>1.1115131578947368</v>
      </c>
      <c r="K208" s="159">
        <f t="shared" si="16"/>
        <v>1.1139242912152783</v>
      </c>
      <c r="L208" s="159">
        <f t="shared" si="17"/>
        <v>0.3</v>
      </c>
      <c r="M208" s="159">
        <f t="shared" si="18"/>
        <v>0.7</v>
      </c>
      <c r="N208" s="160">
        <f t="shared" si="19"/>
        <v>1</v>
      </c>
      <c r="O208" s="161"/>
      <c r="P208" s="161"/>
    </row>
    <row r="209" spans="1:16" x14ac:dyDescent="0.2">
      <c r="A209" s="165">
        <v>203</v>
      </c>
      <c r="B209" s="233" t="s">
        <v>17</v>
      </c>
      <c r="C209" s="222" t="s">
        <v>27</v>
      </c>
      <c r="D209" s="219" t="s">
        <v>345</v>
      </c>
      <c r="E209" s="232" t="s">
        <v>1245</v>
      </c>
      <c r="F209" s="193">
        <v>4090</v>
      </c>
      <c r="G209" s="193">
        <v>5724554.1500000004</v>
      </c>
      <c r="H209" s="109">
        <v>3101</v>
      </c>
      <c r="I209" s="109">
        <v>4487045</v>
      </c>
      <c r="J209" s="159">
        <f t="shared" si="15"/>
        <v>0.7581907090464548</v>
      </c>
      <c r="K209" s="159">
        <f t="shared" si="16"/>
        <v>0.7838243612386826</v>
      </c>
      <c r="L209" s="159">
        <f t="shared" si="17"/>
        <v>0.22745721271393643</v>
      </c>
      <c r="M209" s="159">
        <f t="shared" si="18"/>
        <v>0.5486770528670778</v>
      </c>
      <c r="N209" s="160">
        <f t="shared" si="19"/>
        <v>0.77613426558101417</v>
      </c>
      <c r="O209" s="161"/>
      <c r="P209" s="161"/>
    </row>
    <row r="210" spans="1:16" x14ac:dyDescent="0.2">
      <c r="A210" s="165">
        <v>204</v>
      </c>
      <c r="B210" s="233" t="s">
        <v>39</v>
      </c>
      <c r="C210" s="222" t="s">
        <v>27</v>
      </c>
      <c r="D210" s="219" t="s">
        <v>474</v>
      </c>
      <c r="E210" s="232" t="s">
        <v>1005</v>
      </c>
      <c r="F210" s="193">
        <v>2194</v>
      </c>
      <c r="G210" s="193">
        <v>4185930.7</v>
      </c>
      <c r="H210" s="109">
        <v>1657</v>
      </c>
      <c r="I210" s="109">
        <v>3324235</v>
      </c>
      <c r="J210" s="159">
        <f t="shared" si="15"/>
        <v>0.75524156791248864</v>
      </c>
      <c r="K210" s="159">
        <f t="shared" si="16"/>
        <v>0.79414477645317916</v>
      </c>
      <c r="L210" s="159">
        <f t="shared" si="17"/>
        <v>0.22657247037374659</v>
      </c>
      <c r="M210" s="159">
        <f t="shared" si="18"/>
        <v>0.55590134351722542</v>
      </c>
      <c r="N210" s="160">
        <f t="shared" si="19"/>
        <v>0.78247381389097204</v>
      </c>
      <c r="O210" s="161"/>
      <c r="P210" s="161"/>
    </row>
    <row r="211" spans="1:16" x14ac:dyDescent="0.2">
      <c r="A211" s="165">
        <v>205</v>
      </c>
      <c r="B211" s="234" t="s">
        <v>39</v>
      </c>
      <c r="C211" s="222" t="s">
        <v>27</v>
      </c>
      <c r="D211" s="219" t="s">
        <v>1265</v>
      </c>
      <c r="E211" s="235" t="s">
        <v>1519</v>
      </c>
      <c r="F211" s="193">
        <v>2832</v>
      </c>
      <c r="G211" s="193">
        <v>4576836.4249999998</v>
      </c>
      <c r="H211" s="109">
        <v>1608</v>
      </c>
      <c r="I211" s="109">
        <v>2647615</v>
      </c>
      <c r="J211" s="159">
        <f t="shared" si="15"/>
        <v>0.56779661016949157</v>
      </c>
      <c r="K211" s="159">
        <f t="shared" si="16"/>
        <v>0.57848145621677971</v>
      </c>
      <c r="L211" s="159">
        <f t="shared" si="17"/>
        <v>0.17033898305084746</v>
      </c>
      <c r="M211" s="159">
        <f t="shared" si="18"/>
        <v>0.40493701935174575</v>
      </c>
      <c r="N211" s="160">
        <f t="shared" si="19"/>
        <v>0.57527600240259325</v>
      </c>
      <c r="O211" s="161"/>
      <c r="P211" s="161"/>
    </row>
    <row r="212" spans="1:16" x14ac:dyDescent="0.2">
      <c r="A212" s="165">
        <v>206</v>
      </c>
      <c r="B212" s="226" t="s">
        <v>40</v>
      </c>
      <c r="C212" s="222" t="s">
        <v>27</v>
      </c>
      <c r="D212" s="219" t="s">
        <v>480</v>
      </c>
      <c r="E212" s="232" t="s">
        <v>481</v>
      </c>
      <c r="F212" s="193">
        <v>5190</v>
      </c>
      <c r="G212" s="193">
        <v>8652015.2750000004</v>
      </c>
      <c r="H212" s="109">
        <v>4505</v>
      </c>
      <c r="I212" s="109">
        <v>7102435</v>
      </c>
      <c r="J212" s="159">
        <f t="shared" si="15"/>
        <v>0.86801541425818884</v>
      </c>
      <c r="K212" s="159">
        <f t="shared" si="16"/>
        <v>0.82089949846973653</v>
      </c>
      <c r="L212" s="159">
        <f t="shared" si="17"/>
        <v>0.26040462427745664</v>
      </c>
      <c r="M212" s="159">
        <f t="shared" si="18"/>
        <v>0.57462964892881552</v>
      </c>
      <c r="N212" s="160">
        <f t="shared" si="19"/>
        <v>0.8350342732062721</v>
      </c>
      <c r="O212" s="161"/>
      <c r="P212" s="161"/>
    </row>
    <row r="213" spans="1:16" x14ac:dyDescent="0.2">
      <c r="A213" s="165">
        <v>207</v>
      </c>
      <c r="B213" s="194" t="s">
        <v>40</v>
      </c>
      <c r="C213" s="194" t="s">
        <v>27</v>
      </c>
      <c r="D213" s="219" t="s">
        <v>482</v>
      </c>
      <c r="E213" s="241" t="s">
        <v>1270</v>
      </c>
      <c r="F213" s="193">
        <v>746</v>
      </c>
      <c r="G213" s="193">
        <v>1510036.575</v>
      </c>
      <c r="H213" s="109">
        <v>726</v>
      </c>
      <c r="I213" s="109">
        <v>1022845</v>
      </c>
      <c r="J213" s="159">
        <f t="shared" si="15"/>
        <v>0.97319034852546915</v>
      </c>
      <c r="K213" s="159">
        <f t="shared" si="16"/>
        <v>0.67736438768047724</v>
      </c>
      <c r="L213" s="159">
        <f t="shared" si="17"/>
        <v>0.29195710455764073</v>
      </c>
      <c r="M213" s="159">
        <f t="shared" si="18"/>
        <v>0.47415507137633406</v>
      </c>
      <c r="N213" s="160">
        <f t="shared" si="19"/>
        <v>0.76611217593397485</v>
      </c>
      <c r="O213" s="161"/>
      <c r="P213" s="161"/>
    </row>
    <row r="214" spans="1:16" x14ac:dyDescent="0.2">
      <c r="A214" s="165">
        <v>208</v>
      </c>
      <c r="B214" s="194" t="s">
        <v>40</v>
      </c>
      <c r="C214" s="194" t="s">
        <v>27</v>
      </c>
      <c r="D214" s="219" t="s">
        <v>476</v>
      </c>
      <c r="E214" s="241" t="s">
        <v>477</v>
      </c>
      <c r="F214" s="193">
        <v>2457</v>
      </c>
      <c r="G214" s="193">
        <v>4113709.9750000001</v>
      </c>
      <c r="H214" s="109">
        <v>1877</v>
      </c>
      <c r="I214" s="109">
        <v>2736310</v>
      </c>
      <c r="J214" s="159">
        <f t="shared" si="15"/>
        <v>0.76393976393976393</v>
      </c>
      <c r="K214" s="159">
        <f t="shared" si="16"/>
        <v>0.66516842865180348</v>
      </c>
      <c r="L214" s="159">
        <f t="shared" si="17"/>
        <v>0.22918192918192917</v>
      </c>
      <c r="M214" s="159">
        <f t="shared" si="18"/>
        <v>0.46561790005626241</v>
      </c>
      <c r="N214" s="160">
        <f t="shared" si="19"/>
        <v>0.69479982923819161</v>
      </c>
      <c r="O214" s="161"/>
      <c r="P214" s="161"/>
    </row>
    <row r="215" spans="1:16" x14ac:dyDescent="0.2">
      <c r="A215" s="165">
        <v>209</v>
      </c>
      <c r="B215" s="194" t="s">
        <v>40</v>
      </c>
      <c r="C215" s="194" t="s">
        <v>27</v>
      </c>
      <c r="D215" s="219" t="s">
        <v>479</v>
      </c>
      <c r="E215" s="241" t="s">
        <v>1291</v>
      </c>
      <c r="F215" s="193">
        <v>1322</v>
      </c>
      <c r="G215" s="193">
        <v>1542264.325</v>
      </c>
      <c r="H215" s="109">
        <v>633</v>
      </c>
      <c r="I215" s="109">
        <v>1140050</v>
      </c>
      <c r="J215" s="159">
        <f t="shared" si="15"/>
        <v>0.47881996974281393</v>
      </c>
      <c r="K215" s="159">
        <f t="shared" si="16"/>
        <v>0.73920532396416549</v>
      </c>
      <c r="L215" s="159">
        <f t="shared" si="17"/>
        <v>0.14364599092284416</v>
      </c>
      <c r="M215" s="159">
        <f t="shared" si="18"/>
        <v>0.51744372677491579</v>
      </c>
      <c r="N215" s="160">
        <f t="shared" si="19"/>
        <v>0.66108971769775993</v>
      </c>
      <c r="O215" s="161"/>
      <c r="P215" s="161"/>
    </row>
    <row r="216" spans="1:16" x14ac:dyDescent="0.2">
      <c r="A216" s="165">
        <v>210</v>
      </c>
      <c r="B216" s="194" t="s">
        <v>28</v>
      </c>
      <c r="C216" s="194" t="s">
        <v>27</v>
      </c>
      <c r="D216" s="219" t="s">
        <v>422</v>
      </c>
      <c r="E216" s="241" t="s">
        <v>423</v>
      </c>
      <c r="F216" s="193">
        <v>1697</v>
      </c>
      <c r="G216" s="193">
        <v>2448383.625</v>
      </c>
      <c r="H216" s="109" t="e">
        <v>#N/A</v>
      </c>
      <c r="I216" s="109" t="e">
        <v>#N/A</v>
      </c>
      <c r="J216" s="159">
        <f t="shared" si="15"/>
        <v>0</v>
      </c>
      <c r="K216" s="159">
        <f t="shared" si="16"/>
        <v>0</v>
      </c>
      <c r="L216" s="159">
        <f t="shared" si="17"/>
        <v>0</v>
      </c>
      <c r="M216" s="159">
        <f t="shared" si="18"/>
        <v>0</v>
      </c>
      <c r="N216" s="160">
        <f t="shared" si="19"/>
        <v>0</v>
      </c>
      <c r="O216" s="161"/>
      <c r="P216" s="161"/>
    </row>
    <row r="217" spans="1:16" x14ac:dyDescent="0.2">
      <c r="A217" s="165">
        <v>211</v>
      </c>
      <c r="B217" s="194" t="s">
        <v>28</v>
      </c>
      <c r="C217" s="194" t="s">
        <v>27</v>
      </c>
      <c r="D217" s="219" t="s">
        <v>420</v>
      </c>
      <c r="E217" s="194" t="s">
        <v>1069</v>
      </c>
      <c r="F217" s="193">
        <v>2233</v>
      </c>
      <c r="G217" s="193">
        <v>5762639.375</v>
      </c>
      <c r="H217" s="109">
        <v>300</v>
      </c>
      <c r="I217" s="109">
        <v>1950990</v>
      </c>
      <c r="J217" s="159">
        <f t="shared" si="15"/>
        <v>0.13434841021047916</v>
      </c>
      <c r="K217" s="159">
        <f t="shared" si="16"/>
        <v>0.3385584057999465</v>
      </c>
      <c r="L217" s="159">
        <f t="shared" si="17"/>
        <v>4.0304523063143749E-2</v>
      </c>
      <c r="M217" s="159">
        <f t="shared" si="18"/>
        <v>0.23699088405996255</v>
      </c>
      <c r="N217" s="160">
        <f t="shared" si="19"/>
        <v>0.2772954071231063</v>
      </c>
      <c r="O217" s="161"/>
      <c r="P217" s="161"/>
    </row>
    <row r="218" spans="1:16" x14ac:dyDescent="0.2">
      <c r="A218" s="165">
        <v>212</v>
      </c>
      <c r="B218" s="194" t="s">
        <v>1321</v>
      </c>
      <c r="C218" s="194" t="s">
        <v>27</v>
      </c>
      <c r="D218" s="219" t="s">
        <v>428</v>
      </c>
      <c r="E218" s="194" t="s">
        <v>1520</v>
      </c>
      <c r="F218" s="193">
        <v>1463</v>
      </c>
      <c r="G218" s="193">
        <v>3284382.3250000002</v>
      </c>
      <c r="H218" s="109">
        <v>1182</v>
      </c>
      <c r="I218" s="109">
        <v>2644560</v>
      </c>
      <c r="J218" s="159">
        <f t="shared" si="15"/>
        <v>0.80792891319207105</v>
      </c>
      <c r="K218" s="159">
        <f t="shared" si="16"/>
        <v>0.80519249536516724</v>
      </c>
      <c r="L218" s="159">
        <f t="shared" si="17"/>
        <v>0.2423786739576213</v>
      </c>
      <c r="M218" s="159">
        <f t="shared" si="18"/>
        <v>0.56363474675561698</v>
      </c>
      <c r="N218" s="160">
        <f t="shared" si="19"/>
        <v>0.80601342071323834</v>
      </c>
      <c r="O218" s="161"/>
      <c r="P218" s="161"/>
    </row>
    <row r="219" spans="1:16" x14ac:dyDescent="0.2">
      <c r="A219" s="165">
        <v>213</v>
      </c>
      <c r="B219" s="194" t="s">
        <v>1321</v>
      </c>
      <c r="C219" s="194" t="s">
        <v>27</v>
      </c>
      <c r="D219" s="219" t="s">
        <v>427</v>
      </c>
      <c r="E219" s="194" t="s">
        <v>1201</v>
      </c>
      <c r="F219" s="193">
        <v>973</v>
      </c>
      <c r="G219" s="193">
        <v>2175122.0249999999</v>
      </c>
      <c r="H219" s="109">
        <v>918</v>
      </c>
      <c r="I219" s="109">
        <v>1246070</v>
      </c>
      <c r="J219" s="159">
        <f t="shared" si="15"/>
        <v>0.94347379239465567</v>
      </c>
      <c r="K219" s="159">
        <f t="shared" si="16"/>
        <v>0.57287360694166112</v>
      </c>
      <c r="L219" s="159">
        <f t="shared" si="17"/>
        <v>0.2830421377183967</v>
      </c>
      <c r="M219" s="159">
        <f t="shared" si="18"/>
        <v>0.40101152485916275</v>
      </c>
      <c r="N219" s="160">
        <f t="shared" si="19"/>
        <v>0.68405366257755951</v>
      </c>
      <c r="O219" s="161"/>
      <c r="P219" s="161"/>
    </row>
    <row r="220" spans="1:16" x14ac:dyDescent="0.2">
      <c r="A220" s="165">
        <v>214</v>
      </c>
      <c r="B220" s="194" t="s">
        <v>1321</v>
      </c>
      <c r="C220" s="194" t="s">
        <v>27</v>
      </c>
      <c r="D220" s="219" t="s">
        <v>425</v>
      </c>
      <c r="E220" s="194" t="s">
        <v>426</v>
      </c>
      <c r="F220" s="193">
        <v>1050</v>
      </c>
      <c r="G220" s="193">
        <v>2354975.65</v>
      </c>
      <c r="H220" s="109">
        <v>1013</v>
      </c>
      <c r="I220" s="109">
        <v>1515015</v>
      </c>
      <c r="J220" s="159">
        <f t="shared" si="15"/>
        <v>0.96476190476190471</v>
      </c>
      <c r="K220" s="159">
        <f t="shared" si="16"/>
        <v>0.64332512312813084</v>
      </c>
      <c r="L220" s="159">
        <f t="shared" si="17"/>
        <v>0.28942857142857142</v>
      </c>
      <c r="M220" s="159">
        <f t="shared" si="18"/>
        <v>0.45032758618969154</v>
      </c>
      <c r="N220" s="160">
        <f t="shared" si="19"/>
        <v>0.73975615761826297</v>
      </c>
      <c r="O220" s="161"/>
      <c r="P220" s="161"/>
    </row>
    <row r="221" spans="1:16" x14ac:dyDescent="0.2">
      <c r="A221" s="165">
        <v>215</v>
      </c>
      <c r="B221" s="194" t="s">
        <v>38</v>
      </c>
      <c r="C221" s="194" t="s">
        <v>27</v>
      </c>
      <c r="D221" s="219" t="s">
        <v>468</v>
      </c>
      <c r="E221" s="194" t="s">
        <v>469</v>
      </c>
      <c r="F221" s="193">
        <v>3866</v>
      </c>
      <c r="G221" s="193">
        <v>6216321.0499999998</v>
      </c>
      <c r="H221" s="109">
        <v>7252</v>
      </c>
      <c r="I221" s="109">
        <v>8372400</v>
      </c>
      <c r="J221" s="159">
        <f t="shared" si="15"/>
        <v>1.8758406621831349</v>
      </c>
      <c r="K221" s="159">
        <f t="shared" si="16"/>
        <v>1.3468416339275142</v>
      </c>
      <c r="L221" s="159">
        <f t="shared" si="17"/>
        <v>0.3</v>
      </c>
      <c r="M221" s="159">
        <f t="shared" si="18"/>
        <v>0.7</v>
      </c>
      <c r="N221" s="160">
        <f t="shared" si="19"/>
        <v>1</v>
      </c>
      <c r="O221" s="161"/>
      <c r="P221" s="161"/>
    </row>
    <row r="222" spans="1:16" x14ac:dyDescent="0.2">
      <c r="A222" s="165">
        <v>216</v>
      </c>
      <c r="B222" s="194" t="s">
        <v>38</v>
      </c>
      <c r="C222" s="194" t="s">
        <v>27</v>
      </c>
      <c r="D222" s="219" t="s">
        <v>464</v>
      </c>
      <c r="E222" s="194" t="s">
        <v>465</v>
      </c>
      <c r="F222" s="193">
        <v>2500</v>
      </c>
      <c r="G222" s="193">
        <v>4027518.2</v>
      </c>
      <c r="H222" s="109">
        <v>1181</v>
      </c>
      <c r="I222" s="109">
        <v>2451770</v>
      </c>
      <c r="J222" s="159">
        <f t="shared" si="15"/>
        <v>0.47239999999999999</v>
      </c>
      <c r="K222" s="159">
        <f t="shared" si="16"/>
        <v>0.60875454268586537</v>
      </c>
      <c r="L222" s="159">
        <f t="shared" si="17"/>
        <v>0.14171999999999998</v>
      </c>
      <c r="M222" s="159">
        <f t="shared" si="18"/>
        <v>0.42612817988010576</v>
      </c>
      <c r="N222" s="160">
        <f t="shared" si="19"/>
        <v>0.56784817988010572</v>
      </c>
      <c r="O222" s="161"/>
      <c r="P222" s="161"/>
    </row>
    <row r="223" spans="1:16" x14ac:dyDescent="0.2">
      <c r="A223" s="165">
        <v>217</v>
      </c>
      <c r="B223" s="194" t="s">
        <v>38</v>
      </c>
      <c r="C223" s="194" t="s">
        <v>27</v>
      </c>
      <c r="D223" s="219" t="s">
        <v>462</v>
      </c>
      <c r="E223" s="194" t="s">
        <v>463</v>
      </c>
      <c r="F223" s="193">
        <v>3781</v>
      </c>
      <c r="G223" s="193">
        <v>6082276.7249999996</v>
      </c>
      <c r="H223" s="109">
        <v>1726</v>
      </c>
      <c r="I223" s="109">
        <v>4800975</v>
      </c>
      <c r="J223" s="159">
        <f t="shared" si="15"/>
        <v>0.45649299127215021</v>
      </c>
      <c r="K223" s="159">
        <f t="shared" si="16"/>
        <v>0.78933846930484741</v>
      </c>
      <c r="L223" s="159">
        <f t="shared" si="17"/>
        <v>0.13694789738164506</v>
      </c>
      <c r="M223" s="159">
        <f t="shared" si="18"/>
        <v>0.5525369285133932</v>
      </c>
      <c r="N223" s="160">
        <f t="shared" si="19"/>
        <v>0.68948482589503823</v>
      </c>
      <c r="O223" s="161"/>
      <c r="P223" s="161"/>
    </row>
    <row r="224" spans="1:16" x14ac:dyDescent="0.2">
      <c r="A224" s="165">
        <v>218</v>
      </c>
      <c r="B224" s="194" t="s">
        <v>38</v>
      </c>
      <c r="C224" s="194" t="s">
        <v>27</v>
      </c>
      <c r="D224" s="219" t="s">
        <v>466</v>
      </c>
      <c r="E224" s="194" t="s">
        <v>467</v>
      </c>
      <c r="F224" s="193">
        <v>1041</v>
      </c>
      <c r="G224" s="193">
        <v>1685389.25</v>
      </c>
      <c r="H224" s="109">
        <v>781</v>
      </c>
      <c r="I224" s="109">
        <v>1312325</v>
      </c>
      <c r="J224" s="159">
        <f t="shared" si="15"/>
        <v>0.75024015369836694</v>
      </c>
      <c r="K224" s="159">
        <f t="shared" si="16"/>
        <v>0.77864801855120414</v>
      </c>
      <c r="L224" s="159">
        <f t="shared" si="17"/>
        <v>0.22507204610951007</v>
      </c>
      <c r="M224" s="159">
        <f t="shared" si="18"/>
        <v>0.54505361298584287</v>
      </c>
      <c r="N224" s="160">
        <f t="shared" si="19"/>
        <v>0.77012565909535291</v>
      </c>
      <c r="O224" s="161"/>
      <c r="P224" s="161"/>
    </row>
    <row r="225" spans="1:16" x14ac:dyDescent="0.2">
      <c r="A225" s="165">
        <v>219</v>
      </c>
      <c r="B225" s="194" t="s">
        <v>38</v>
      </c>
      <c r="C225" s="194" t="s">
        <v>27</v>
      </c>
      <c r="D225" s="219" t="s">
        <v>470</v>
      </c>
      <c r="E225" s="194" t="s">
        <v>471</v>
      </c>
      <c r="F225" s="193">
        <v>2762</v>
      </c>
      <c r="G225" s="193">
        <v>4444740.95</v>
      </c>
      <c r="H225" s="109">
        <v>4404</v>
      </c>
      <c r="I225" s="109">
        <v>5810580</v>
      </c>
      <c r="J225" s="159">
        <f t="shared" si="15"/>
        <v>1.5944967414916726</v>
      </c>
      <c r="K225" s="159">
        <f t="shared" si="16"/>
        <v>1.3072932855625703</v>
      </c>
      <c r="L225" s="159">
        <f t="shared" si="17"/>
        <v>0.3</v>
      </c>
      <c r="M225" s="159">
        <f t="shared" si="18"/>
        <v>0.7</v>
      </c>
      <c r="N225" s="160">
        <f t="shared" si="19"/>
        <v>1</v>
      </c>
      <c r="O225" s="161"/>
      <c r="P225" s="161"/>
    </row>
    <row r="226" spans="1:16" x14ac:dyDescent="0.2">
      <c r="A226" s="165">
        <v>220</v>
      </c>
      <c r="B226" s="194" t="s">
        <v>32</v>
      </c>
      <c r="C226" s="194" t="s">
        <v>27</v>
      </c>
      <c r="D226" s="219" t="s">
        <v>434</v>
      </c>
      <c r="E226" s="194" t="s">
        <v>435</v>
      </c>
      <c r="F226" s="193">
        <v>1045</v>
      </c>
      <c r="G226" s="193">
        <v>1776822.4</v>
      </c>
      <c r="H226" s="109">
        <v>1325</v>
      </c>
      <c r="I226" s="109">
        <v>1730900</v>
      </c>
      <c r="J226" s="159">
        <f t="shared" si="15"/>
        <v>1.2679425837320575</v>
      </c>
      <c r="K226" s="159">
        <f t="shared" si="16"/>
        <v>0.97415476076843699</v>
      </c>
      <c r="L226" s="159">
        <f t="shared" si="17"/>
        <v>0.3</v>
      </c>
      <c r="M226" s="159">
        <f t="shared" si="18"/>
        <v>0.68190833253790584</v>
      </c>
      <c r="N226" s="160">
        <f t="shared" si="19"/>
        <v>0.98190833253790588</v>
      </c>
      <c r="O226" s="161"/>
      <c r="P226" s="161"/>
    </row>
    <row r="227" spans="1:16" x14ac:dyDescent="0.2">
      <c r="A227" s="165">
        <v>221</v>
      </c>
      <c r="B227" s="194" t="s">
        <v>32</v>
      </c>
      <c r="C227" s="194" t="s">
        <v>27</v>
      </c>
      <c r="D227" s="219" t="s">
        <v>430</v>
      </c>
      <c r="E227" s="194" t="s">
        <v>996</v>
      </c>
      <c r="F227" s="193">
        <v>1763</v>
      </c>
      <c r="G227" s="193">
        <v>3004239.5750000002</v>
      </c>
      <c r="H227" s="109">
        <v>1680</v>
      </c>
      <c r="I227" s="109">
        <v>2969975</v>
      </c>
      <c r="J227" s="159">
        <f t="shared" si="15"/>
        <v>0.95292115711854797</v>
      </c>
      <c r="K227" s="159">
        <f t="shared" si="16"/>
        <v>0.98859459302609043</v>
      </c>
      <c r="L227" s="159">
        <f t="shared" si="17"/>
        <v>0.28587634713556437</v>
      </c>
      <c r="M227" s="159">
        <f t="shared" si="18"/>
        <v>0.69201621511826328</v>
      </c>
      <c r="N227" s="160">
        <f t="shared" si="19"/>
        <v>0.9778925622538277</v>
      </c>
      <c r="O227" s="161"/>
      <c r="P227" s="161"/>
    </row>
    <row r="228" spans="1:16" x14ac:dyDescent="0.2">
      <c r="A228" s="165">
        <v>222</v>
      </c>
      <c r="B228" s="194" t="s">
        <v>32</v>
      </c>
      <c r="C228" s="194" t="s">
        <v>27</v>
      </c>
      <c r="D228" s="219" t="s">
        <v>433</v>
      </c>
      <c r="E228" s="194" t="s">
        <v>997</v>
      </c>
      <c r="F228" s="193">
        <v>1128</v>
      </c>
      <c r="G228" s="193">
        <v>1924614.875</v>
      </c>
      <c r="H228" s="109">
        <v>840</v>
      </c>
      <c r="I228" s="109">
        <v>1766720</v>
      </c>
      <c r="J228" s="159">
        <f t="shared" si="15"/>
        <v>0.74468085106382975</v>
      </c>
      <c r="K228" s="159">
        <f t="shared" si="16"/>
        <v>0.91796027503944133</v>
      </c>
      <c r="L228" s="159">
        <f t="shared" si="17"/>
        <v>0.22340425531914893</v>
      </c>
      <c r="M228" s="159">
        <f t="shared" si="18"/>
        <v>0.64257219252760889</v>
      </c>
      <c r="N228" s="160">
        <f t="shared" si="19"/>
        <v>0.86597644784675776</v>
      </c>
      <c r="O228" s="161"/>
      <c r="P228" s="161"/>
    </row>
    <row r="229" spans="1:16" x14ac:dyDescent="0.2">
      <c r="A229" s="165">
        <v>223</v>
      </c>
      <c r="B229" s="194" t="s">
        <v>32</v>
      </c>
      <c r="C229" s="194" t="s">
        <v>27</v>
      </c>
      <c r="D229" s="219" t="s">
        <v>431</v>
      </c>
      <c r="E229" s="194" t="s">
        <v>432</v>
      </c>
      <c r="F229" s="193">
        <v>2096</v>
      </c>
      <c r="G229" s="193">
        <v>3573011.8</v>
      </c>
      <c r="H229" s="109">
        <v>1655</v>
      </c>
      <c r="I229" s="109">
        <v>4246775</v>
      </c>
      <c r="J229" s="159">
        <f t="shared" si="15"/>
        <v>0.78959923664122134</v>
      </c>
      <c r="K229" s="159">
        <f t="shared" si="16"/>
        <v>1.1885701021194501</v>
      </c>
      <c r="L229" s="159">
        <f t="shared" si="17"/>
        <v>0.2368797709923664</v>
      </c>
      <c r="M229" s="159">
        <f t="shared" si="18"/>
        <v>0.7</v>
      </c>
      <c r="N229" s="160">
        <f t="shared" si="19"/>
        <v>0.93687977099236641</v>
      </c>
      <c r="O229" s="161"/>
      <c r="P229" s="161"/>
    </row>
    <row r="230" spans="1:16" x14ac:dyDescent="0.2">
      <c r="A230" s="165">
        <v>224</v>
      </c>
      <c r="B230" s="194" t="s">
        <v>32</v>
      </c>
      <c r="C230" s="194" t="s">
        <v>27</v>
      </c>
      <c r="D230" s="219" t="s">
        <v>436</v>
      </c>
      <c r="E230" s="194" t="s">
        <v>437</v>
      </c>
      <c r="F230" s="193">
        <v>2019</v>
      </c>
      <c r="G230" s="193">
        <v>3465901.95</v>
      </c>
      <c r="H230" s="109">
        <v>1091</v>
      </c>
      <c r="I230" s="109">
        <v>2307775</v>
      </c>
      <c r="J230" s="159">
        <f t="shared" si="15"/>
        <v>0.54036651807825653</v>
      </c>
      <c r="K230" s="159">
        <f t="shared" si="16"/>
        <v>0.66585120793737396</v>
      </c>
      <c r="L230" s="159">
        <f t="shared" si="17"/>
        <v>0.16210995542347695</v>
      </c>
      <c r="M230" s="159">
        <f t="shared" si="18"/>
        <v>0.46609584555616174</v>
      </c>
      <c r="N230" s="160">
        <f t="shared" si="19"/>
        <v>0.62820580097963874</v>
      </c>
      <c r="O230" s="161"/>
      <c r="P230" s="161"/>
    </row>
    <row r="231" spans="1:16" x14ac:dyDescent="0.2">
      <c r="A231" s="165">
        <v>225</v>
      </c>
      <c r="B231" s="194" t="s">
        <v>33</v>
      </c>
      <c r="C231" s="194" t="s">
        <v>27</v>
      </c>
      <c r="D231" s="219" t="s">
        <v>443</v>
      </c>
      <c r="E231" s="194" t="s">
        <v>1285</v>
      </c>
      <c r="F231" s="193">
        <v>1849</v>
      </c>
      <c r="G231" s="193">
        <v>3037371.2250000001</v>
      </c>
      <c r="H231" s="109">
        <v>913</v>
      </c>
      <c r="I231" s="109">
        <v>2084970</v>
      </c>
      <c r="J231" s="159">
        <f t="shared" si="15"/>
        <v>0.49378042184964843</v>
      </c>
      <c r="K231" s="159">
        <f t="shared" si="16"/>
        <v>0.68643897816606203</v>
      </c>
      <c r="L231" s="159">
        <f t="shared" si="17"/>
        <v>0.14813412655489452</v>
      </c>
      <c r="M231" s="159">
        <f t="shared" si="18"/>
        <v>0.48050728471624338</v>
      </c>
      <c r="N231" s="160">
        <f t="shared" si="19"/>
        <v>0.62864141127113793</v>
      </c>
      <c r="O231" s="161"/>
      <c r="P231" s="161"/>
    </row>
    <row r="232" spans="1:16" x14ac:dyDescent="0.2">
      <c r="A232" s="165">
        <v>226</v>
      </c>
      <c r="B232" s="194" t="s">
        <v>33</v>
      </c>
      <c r="C232" s="194" t="s">
        <v>27</v>
      </c>
      <c r="D232" s="219" t="s">
        <v>445</v>
      </c>
      <c r="E232" s="194" t="s">
        <v>1249</v>
      </c>
      <c r="F232" s="193">
        <v>1775</v>
      </c>
      <c r="G232" s="193">
        <v>2912704.85</v>
      </c>
      <c r="H232" s="109">
        <v>1988</v>
      </c>
      <c r="I232" s="109">
        <v>2913115</v>
      </c>
      <c r="J232" s="159">
        <f t="shared" si="15"/>
        <v>1.1200000000000001</v>
      </c>
      <c r="K232" s="159">
        <f t="shared" si="16"/>
        <v>1.0001408141302062</v>
      </c>
      <c r="L232" s="159">
        <f t="shared" si="17"/>
        <v>0.3</v>
      </c>
      <c r="M232" s="159">
        <f t="shared" si="18"/>
        <v>0.7</v>
      </c>
      <c r="N232" s="160">
        <f t="shared" si="19"/>
        <v>1</v>
      </c>
      <c r="O232" s="161"/>
      <c r="P232" s="161"/>
    </row>
    <row r="233" spans="1:16" x14ac:dyDescent="0.2">
      <c r="A233" s="165">
        <v>227</v>
      </c>
      <c r="B233" s="194" t="s">
        <v>34</v>
      </c>
      <c r="C233" s="194" t="s">
        <v>27</v>
      </c>
      <c r="D233" s="219" t="s">
        <v>439</v>
      </c>
      <c r="E233" s="194" t="s">
        <v>1134</v>
      </c>
      <c r="F233" s="193">
        <v>1141</v>
      </c>
      <c r="G233" s="193">
        <v>1919788.35</v>
      </c>
      <c r="H233" s="109">
        <v>657</v>
      </c>
      <c r="I233" s="109">
        <v>1102230</v>
      </c>
      <c r="J233" s="159">
        <f t="shared" si="15"/>
        <v>0.57581069237510951</v>
      </c>
      <c r="K233" s="159">
        <f t="shared" si="16"/>
        <v>0.57414141512005734</v>
      </c>
      <c r="L233" s="159">
        <f t="shared" si="17"/>
        <v>0.17274320771253285</v>
      </c>
      <c r="M233" s="159">
        <f t="shared" si="18"/>
        <v>0.40189899058404011</v>
      </c>
      <c r="N233" s="160">
        <f t="shared" si="19"/>
        <v>0.57464219829657293</v>
      </c>
      <c r="O233" s="161"/>
      <c r="P233" s="161"/>
    </row>
    <row r="234" spans="1:16" x14ac:dyDescent="0.2">
      <c r="A234" s="165">
        <v>228</v>
      </c>
      <c r="B234" s="194" t="s">
        <v>34</v>
      </c>
      <c r="C234" s="194" t="s">
        <v>27</v>
      </c>
      <c r="D234" s="219" t="s">
        <v>441</v>
      </c>
      <c r="E234" s="194" t="s">
        <v>1133</v>
      </c>
      <c r="F234" s="193">
        <v>3122</v>
      </c>
      <c r="G234" s="193">
        <v>5240643.5750000002</v>
      </c>
      <c r="H234" s="109">
        <v>3596</v>
      </c>
      <c r="I234" s="109">
        <v>5293900</v>
      </c>
      <c r="J234" s="159">
        <f t="shared" si="15"/>
        <v>1.1518257527226137</v>
      </c>
      <c r="K234" s="159">
        <f t="shared" si="16"/>
        <v>1.0101621917685939</v>
      </c>
      <c r="L234" s="159">
        <f t="shared" si="17"/>
        <v>0.3</v>
      </c>
      <c r="M234" s="159">
        <f t="shared" si="18"/>
        <v>0.7</v>
      </c>
      <c r="N234" s="160">
        <f t="shared" si="19"/>
        <v>1</v>
      </c>
      <c r="O234" s="161"/>
      <c r="P234" s="161"/>
    </row>
    <row r="235" spans="1:16" x14ac:dyDescent="0.2">
      <c r="A235" s="165">
        <v>229</v>
      </c>
      <c r="B235" s="194" t="s">
        <v>34</v>
      </c>
      <c r="C235" s="194" t="s">
        <v>27</v>
      </c>
      <c r="D235" s="219" t="s">
        <v>438</v>
      </c>
      <c r="E235" s="194" t="s">
        <v>442</v>
      </c>
      <c r="F235" s="193">
        <v>1141</v>
      </c>
      <c r="G235" s="193">
        <v>1919788.35</v>
      </c>
      <c r="H235" s="109">
        <v>563</v>
      </c>
      <c r="I235" s="109">
        <v>776225</v>
      </c>
      <c r="J235" s="159">
        <f t="shared" si="15"/>
        <v>0.49342681858019283</v>
      </c>
      <c r="K235" s="159">
        <f t="shared" si="16"/>
        <v>0.40432842505789762</v>
      </c>
      <c r="L235" s="159">
        <f t="shared" si="17"/>
        <v>0.14802804557405785</v>
      </c>
      <c r="M235" s="159">
        <f t="shared" si="18"/>
        <v>0.28302989754052832</v>
      </c>
      <c r="N235" s="160">
        <f t="shared" si="19"/>
        <v>0.43105794311458617</v>
      </c>
      <c r="O235" s="161"/>
      <c r="P235" s="161"/>
    </row>
    <row r="236" spans="1:16" ht="16.5" customHeight="1" x14ac:dyDescent="0.2">
      <c r="A236" s="165">
        <v>230</v>
      </c>
      <c r="B236" s="194" t="s">
        <v>34</v>
      </c>
      <c r="C236" s="194" t="s">
        <v>27</v>
      </c>
      <c r="D236" s="219" t="s">
        <v>1165</v>
      </c>
      <c r="E236" s="194" t="s">
        <v>440</v>
      </c>
      <c r="F236" s="193">
        <v>2063</v>
      </c>
      <c r="G236" s="193">
        <v>3364650.55</v>
      </c>
      <c r="H236" s="109">
        <v>1348</v>
      </c>
      <c r="I236" s="109">
        <v>2165720</v>
      </c>
      <c r="J236" s="159">
        <f t="shared" si="15"/>
        <v>0.65341735336888029</v>
      </c>
      <c r="K236" s="159">
        <f t="shared" si="16"/>
        <v>0.64366862704360195</v>
      </c>
      <c r="L236" s="159">
        <f t="shared" si="17"/>
        <v>0.19602520601066409</v>
      </c>
      <c r="M236" s="159">
        <f t="shared" si="18"/>
        <v>0.45056803893052133</v>
      </c>
      <c r="N236" s="160">
        <f t="shared" si="19"/>
        <v>0.64659324494118542</v>
      </c>
      <c r="O236" s="161"/>
      <c r="P236" s="161"/>
    </row>
    <row r="237" spans="1:16" ht="12.75" customHeight="1" x14ac:dyDescent="0.2">
      <c r="A237" s="165">
        <v>231</v>
      </c>
      <c r="B237" s="194" t="s">
        <v>34</v>
      </c>
      <c r="C237" s="194" t="s">
        <v>27</v>
      </c>
      <c r="D237" s="219" t="s">
        <v>1166</v>
      </c>
      <c r="E237" s="194" t="s">
        <v>1250</v>
      </c>
      <c r="F237" s="193">
        <v>2018</v>
      </c>
      <c r="G237" s="193">
        <v>3525035.1</v>
      </c>
      <c r="H237" s="109">
        <v>1349</v>
      </c>
      <c r="I237" s="109">
        <v>2800270</v>
      </c>
      <c r="J237" s="159">
        <f t="shared" si="15"/>
        <v>0.66848364717542119</v>
      </c>
      <c r="K237" s="159">
        <f t="shared" si="16"/>
        <v>0.79439492673420464</v>
      </c>
      <c r="L237" s="159">
        <f t="shared" si="17"/>
        <v>0.20054509415262636</v>
      </c>
      <c r="M237" s="159">
        <f t="shared" si="18"/>
        <v>0.55607644871394324</v>
      </c>
      <c r="N237" s="160">
        <f t="shared" si="19"/>
        <v>0.75662154286656957</v>
      </c>
      <c r="O237" s="161"/>
      <c r="P237" s="161"/>
    </row>
    <row r="238" spans="1:16" x14ac:dyDescent="0.2">
      <c r="A238" s="165">
        <v>232</v>
      </c>
      <c r="B238" s="194" t="s">
        <v>1310</v>
      </c>
      <c r="C238" s="194" t="s">
        <v>27</v>
      </c>
      <c r="D238" s="219" t="s">
        <v>449</v>
      </c>
      <c r="E238" s="194" t="s">
        <v>322</v>
      </c>
      <c r="F238" s="193">
        <v>2626</v>
      </c>
      <c r="G238" s="193">
        <v>4585153.8499999996</v>
      </c>
      <c r="H238" s="109">
        <v>2573</v>
      </c>
      <c r="I238" s="109">
        <v>4587300</v>
      </c>
      <c r="J238" s="159">
        <f t="shared" si="15"/>
        <v>0.97981721249047982</v>
      </c>
      <c r="K238" s="159">
        <f t="shared" si="16"/>
        <v>1.0004680649919742</v>
      </c>
      <c r="L238" s="159">
        <f t="shared" si="17"/>
        <v>0.29394516374714391</v>
      </c>
      <c r="M238" s="159">
        <f t="shared" si="18"/>
        <v>0.7</v>
      </c>
      <c r="N238" s="160">
        <f t="shared" si="19"/>
        <v>0.99394516374714392</v>
      </c>
      <c r="O238" s="161"/>
      <c r="P238" s="161"/>
    </row>
    <row r="239" spans="1:16" x14ac:dyDescent="0.2">
      <c r="A239" s="165">
        <v>233</v>
      </c>
      <c r="B239" s="194" t="s">
        <v>1310</v>
      </c>
      <c r="C239" s="194" t="s">
        <v>27</v>
      </c>
      <c r="D239" s="219" t="s">
        <v>447</v>
      </c>
      <c r="E239" s="194" t="s">
        <v>1311</v>
      </c>
      <c r="F239" s="193">
        <v>1806</v>
      </c>
      <c r="G239" s="193">
        <v>3145552.625</v>
      </c>
      <c r="H239" s="109">
        <v>812</v>
      </c>
      <c r="I239" s="109">
        <v>1426375</v>
      </c>
      <c r="J239" s="159">
        <f t="shared" si="15"/>
        <v>0.44961240310077522</v>
      </c>
      <c r="K239" s="159">
        <f t="shared" si="16"/>
        <v>0.45345768138277454</v>
      </c>
      <c r="L239" s="159">
        <f t="shared" si="17"/>
        <v>0.13488372093023257</v>
      </c>
      <c r="M239" s="159">
        <f t="shared" si="18"/>
        <v>0.31742037696794217</v>
      </c>
      <c r="N239" s="160">
        <f t="shared" si="19"/>
        <v>0.45230409789817472</v>
      </c>
      <c r="O239" s="161"/>
      <c r="P239" s="161"/>
    </row>
    <row r="240" spans="1:16" x14ac:dyDescent="0.2">
      <c r="A240" s="165">
        <v>234</v>
      </c>
      <c r="B240" s="194" t="s">
        <v>1310</v>
      </c>
      <c r="C240" s="194" t="s">
        <v>27</v>
      </c>
      <c r="D240" s="219" t="s">
        <v>450</v>
      </c>
      <c r="E240" s="194" t="s">
        <v>1471</v>
      </c>
      <c r="F240" s="193">
        <v>1394</v>
      </c>
      <c r="G240" s="193">
        <v>2441828.4</v>
      </c>
      <c r="H240" s="109">
        <v>908</v>
      </c>
      <c r="I240" s="109">
        <v>1457170</v>
      </c>
      <c r="J240" s="159">
        <f t="shared" si="15"/>
        <v>0.65136298421807748</v>
      </c>
      <c r="K240" s="159">
        <f t="shared" si="16"/>
        <v>0.59675364575168344</v>
      </c>
      <c r="L240" s="159">
        <f t="shared" si="17"/>
        <v>0.19540889526542324</v>
      </c>
      <c r="M240" s="159">
        <f t="shared" si="18"/>
        <v>0.41772755202617839</v>
      </c>
      <c r="N240" s="160">
        <f t="shared" si="19"/>
        <v>0.61313644729160166</v>
      </c>
      <c r="O240" s="161"/>
      <c r="P240" s="161"/>
    </row>
    <row r="241" spans="1:16" x14ac:dyDescent="0.2">
      <c r="A241" s="165">
        <v>235</v>
      </c>
      <c r="B241" s="194" t="s">
        <v>1310</v>
      </c>
      <c r="C241" s="194" t="s">
        <v>27</v>
      </c>
      <c r="D241" s="219" t="s">
        <v>451</v>
      </c>
      <c r="E241" s="194" t="s">
        <v>1312</v>
      </c>
      <c r="F241" s="193">
        <v>824</v>
      </c>
      <c r="G241" s="193">
        <v>1439985.6</v>
      </c>
      <c r="H241" s="109">
        <v>751</v>
      </c>
      <c r="I241" s="109">
        <v>1319450</v>
      </c>
      <c r="J241" s="159">
        <f t="shared" si="15"/>
        <v>0.91140776699029125</v>
      </c>
      <c r="K241" s="159">
        <f t="shared" si="16"/>
        <v>0.9162938851610738</v>
      </c>
      <c r="L241" s="159">
        <f t="shared" si="17"/>
        <v>0.27342233009708738</v>
      </c>
      <c r="M241" s="159">
        <f t="shared" si="18"/>
        <v>0.64140571961275161</v>
      </c>
      <c r="N241" s="160">
        <f t="shared" si="19"/>
        <v>0.914828049709839</v>
      </c>
      <c r="O241" s="161"/>
      <c r="P241" s="161"/>
    </row>
    <row r="242" spans="1:16" x14ac:dyDescent="0.2">
      <c r="A242" s="165">
        <v>236</v>
      </c>
      <c r="B242" s="194" t="s">
        <v>1310</v>
      </c>
      <c r="C242" s="194" t="s">
        <v>27</v>
      </c>
      <c r="D242" s="219" t="s">
        <v>446</v>
      </c>
      <c r="E242" s="194" t="s">
        <v>1284</v>
      </c>
      <c r="F242" s="193">
        <v>1554</v>
      </c>
      <c r="G242" s="193">
        <v>2700773.7250000001</v>
      </c>
      <c r="H242" s="109">
        <v>1004</v>
      </c>
      <c r="I242" s="109">
        <v>1849865</v>
      </c>
      <c r="J242" s="159">
        <f t="shared" si="15"/>
        <v>0.64607464607464604</v>
      </c>
      <c r="K242" s="159">
        <f t="shared" si="16"/>
        <v>0.68493890579448669</v>
      </c>
      <c r="L242" s="159">
        <f t="shared" si="17"/>
        <v>0.1938223938223938</v>
      </c>
      <c r="M242" s="159">
        <f t="shared" si="18"/>
        <v>0.47945723405614066</v>
      </c>
      <c r="N242" s="160">
        <f t="shared" si="19"/>
        <v>0.67327962787853446</v>
      </c>
      <c r="O242" s="161"/>
      <c r="P242" s="161"/>
    </row>
    <row r="243" spans="1:16" x14ac:dyDescent="0.2">
      <c r="A243" s="165">
        <v>237</v>
      </c>
      <c r="B243" s="194" t="s">
        <v>1521</v>
      </c>
      <c r="C243" s="194" t="s">
        <v>27</v>
      </c>
      <c r="D243" s="219" t="s">
        <v>415</v>
      </c>
      <c r="E243" s="194" t="s">
        <v>1109</v>
      </c>
      <c r="F243" s="193">
        <v>1776</v>
      </c>
      <c r="G243" s="193">
        <v>3241963.35</v>
      </c>
      <c r="H243" s="109">
        <v>1210</v>
      </c>
      <c r="I243" s="109">
        <v>2313870</v>
      </c>
      <c r="J243" s="159">
        <f t="shared" si="15"/>
        <v>0.68130630630630629</v>
      </c>
      <c r="K243" s="159">
        <f t="shared" si="16"/>
        <v>0.71372490993767712</v>
      </c>
      <c r="L243" s="159">
        <f t="shared" si="17"/>
        <v>0.20439189189189189</v>
      </c>
      <c r="M243" s="159">
        <f t="shared" si="18"/>
        <v>0.49960743695637394</v>
      </c>
      <c r="N243" s="160">
        <f t="shared" si="19"/>
        <v>0.70399932884826577</v>
      </c>
      <c r="O243" s="161"/>
      <c r="P243" s="161"/>
    </row>
    <row r="244" spans="1:16" x14ac:dyDescent="0.2">
      <c r="A244" s="165">
        <v>238</v>
      </c>
      <c r="B244" s="194" t="s">
        <v>1521</v>
      </c>
      <c r="C244" s="194" t="s">
        <v>27</v>
      </c>
      <c r="D244" s="219" t="s">
        <v>419</v>
      </c>
      <c r="E244" s="194" t="s">
        <v>993</v>
      </c>
      <c r="F244" s="193">
        <v>2123</v>
      </c>
      <c r="G244" s="193">
        <v>3815530.7250000001</v>
      </c>
      <c r="H244" s="109">
        <v>2181</v>
      </c>
      <c r="I244" s="109">
        <v>3397550</v>
      </c>
      <c r="J244" s="159">
        <f t="shared" si="15"/>
        <v>1.0273198304286386</v>
      </c>
      <c r="K244" s="159">
        <f t="shared" si="16"/>
        <v>0.89045279539715927</v>
      </c>
      <c r="L244" s="159">
        <f t="shared" si="17"/>
        <v>0.3</v>
      </c>
      <c r="M244" s="159">
        <f t="shared" si="18"/>
        <v>0.62331695677801147</v>
      </c>
      <c r="N244" s="160">
        <f t="shared" si="19"/>
        <v>0.92331695677801151</v>
      </c>
      <c r="O244" s="161"/>
      <c r="P244" s="161"/>
    </row>
    <row r="245" spans="1:16" x14ac:dyDescent="0.2">
      <c r="A245" s="165">
        <v>239</v>
      </c>
      <c r="B245" s="194" t="s">
        <v>1521</v>
      </c>
      <c r="C245" s="194" t="s">
        <v>27</v>
      </c>
      <c r="D245" s="219" t="s">
        <v>418</v>
      </c>
      <c r="E245" s="194" t="s">
        <v>994</v>
      </c>
      <c r="F245" s="193">
        <v>2227</v>
      </c>
      <c r="G245" s="193">
        <v>3916369.25</v>
      </c>
      <c r="H245" s="109">
        <v>1609</v>
      </c>
      <c r="I245" s="109">
        <v>2828405</v>
      </c>
      <c r="J245" s="159">
        <f t="shared" si="15"/>
        <v>0.7224966322406825</v>
      </c>
      <c r="K245" s="159">
        <f t="shared" si="16"/>
        <v>0.72220079860957953</v>
      </c>
      <c r="L245" s="159">
        <f t="shared" si="17"/>
        <v>0.21674898967220474</v>
      </c>
      <c r="M245" s="159">
        <f t="shared" si="18"/>
        <v>0.50554055902670569</v>
      </c>
      <c r="N245" s="160">
        <f t="shared" si="19"/>
        <v>0.72228954869891049</v>
      </c>
      <c r="O245" s="161"/>
      <c r="P245" s="161"/>
    </row>
    <row r="246" spans="1:16" x14ac:dyDescent="0.2">
      <c r="A246" s="165">
        <v>240</v>
      </c>
      <c r="B246" s="194" t="s">
        <v>1521</v>
      </c>
      <c r="C246" s="194" t="s">
        <v>27</v>
      </c>
      <c r="D246" s="219" t="s">
        <v>413</v>
      </c>
      <c r="E246" s="194" t="s">
        <v>995</v>
      </c>
      <c r="F246" s="193">
        <v>3088</v>
      </c>
      <c r="G246" s="193">
        <v>5631688.4749999996</v>
      </c>
      <c r="H246" s="109">
        <v>2283</v>
      </c>
      <c r="I246" s="109">
        <v>4579780</v>
      </c>
      <c r="J246" s="159">
        <f t="shared" si="15"/>
        <v>0.73931347150259064</v>
      </c>
      <c r="K246" s="159">
        <f t="shared" si="16"/>
        <v>0.81321614651279173</v>
      </c>
      <c r="L246" s="159">
        <f t="shared" si="17"/>
        <v>0.22179404145077719</v>
      </c>
      <c r="M246" s="159">
        <f t="shared" si="18"/>
        <v>0.56925130255895418</v>
      </c>
      <c r="N246" s="160">
        <f t="shared" si="19"/>
        <v>0.79104534400973137</v>
      </c>
      <c r="O246" s="161"/>
      <c r="P246" s="161"/>
    </row>
    <row r="247" spans="1:16" x14ac:dyDescent="0.2">
      <c r="A247" s="165">
        <v>241</v>
      </c>
      <c r="B247" s="194" t="s">
        <v>1521</v>
      </c>
      <c r="C247" s="194" t="s">
        <v>27</v>
      </c>
      <c r="D247" s="219" t="s">
        <v>414</v>
      </c>
      <c r="E247" s="194" t="s">
        <v>1110</v>
      </c>
      <c r="F247" s="193">
        <v>1762</v>
      </c>
      <c r="G247" s="193">
        <v>3157217.875</v>
      </c>
      <c r="H247" s="109">
        <v>1194</v>
      </c>
      <c r="I247" s="109">
        <v>2210505</v>
      </c>
      <c r="J247" s="159">
        <f t="shared" si="15"/>
        <v>0.67763904653802498</v>
      </c>
      <c r="K247" s="159">
        <f t="shared" si="16"/>
        <v>0.70014331842714528</v>
      </c>
      <c r="L247" s="159">
        <f t="shared" si="17"/>
        <v>0.20329171396140749</v>
      </c>
      <c r="M247" s="159">
        <f t="shared" si="18"/>
        <v>0.49010032289900168</v>
      </c>
      <c r="N247" s="160">
        <f t="shared" si="19"/>
        <v>0.69339203686040918</v>
      </c>
      <c r="O247" s="161"/>
      <c r="P247" s="161"/>
    </row>
    <row r="248" spans="1:16" x14ac:dyDescent="0.2">
      <c r="A248" s="165">
        <v>242</v>
      </c>
      <c r="B248" s="194" t="s">
        <v>1521</v>
      </c>
      <c r="C248" s="194" t="s">
        <v>27</v>
      </c>
      <c r="D248" s="219" t="s">
        <v>411</v>
      </c>
      <c r="E248" s="194" t="s">
        <v>412</v>
      </c>
      <c r="F248" s="193">
        <v>820</v>
      </c>
      <c r="G248" s="193">
        <v>1468543.2250000001</v>
      </c>
      <c r="H248" s="109">
        <v>553</v>
      </c>
      <c r="I248" s="109">
        <v>954375</v>
      </c>
      <c r="J248" s="159">
        <f t="shared" si="15"/>
        <v>0.67439024390243907</v>
      </c>
      <c r="K248" s="159">
        <f t="shared" si="16"/>
        <v>0.64987872590539508</v>
      </c>
      <c r="L248" s="159">
        <f t="shared" si="17"/>
        <v>0.20231707317073172</v>
      </c>
      <c r="M248" s="159">
        <f t="shared" si="18"/>
        <v>0.4549151081337765</v>
      </c>
      <c r="N248" s="160">
        <f t="shared" si="19"/>
        <v>0.65723218130450822</v>
      </c>
      <c r="O248" s="161"/>
      <c r="P248" s="161"/>
    </row>
    <row r="249" spans="1:16" x14ac:dyDescent="0.2">
      <c r="A249" s="165">
        <v>243</v>
      </c>
      <c r="B249" s="194" t="s">
        <v>1478</v>
      </c>
      <c r="C249" s="194" t="s">
        <v>27</v>
      </c>
      <c r="D249" s="219" t="s">
        <v>456</v>
      </c>
      <c r="E249" s="194" t="s">
        <v>457</v>
      </c>
      <c r="F249" s="193">
        <v>2363</v>
      </c>
      <c r="G249" s="193">
        <v>4320653.3</v>
      </c>
      <c r="H249" s="109">
        <v>1156</v>
      </c>
      <c r="I249" s="109">
        <v>3219390</v>
      </c>
      <c r="J249" s="159">
        <f t="shared" si="15"/>
        <v>0.48920863309352519</v>
      </c>
      <c r="K249" s="159">
        <f t="shared" si="16"/>
        <v>0.74511648504637018</v>
      </c>
      <c r="L249" s="159">
        <f t="shared" si="17"/>
        <v>0.14676258992805755</v>
      </c>
      <c r="M249" s="159">
        <f t="shared" si="18"/>
        <v>0.52158153953245912</v>
      </c>
      <c r="N249" s="160">
        <f t="shared" si="19"/>
        <v>0.66834412946051669</v>
      </c>
      <c r="O249" s="161"/>
      <c r="P249" s="161"/>
    </row>
    <row r="250" spans="1:16" x14ac:dyDescent="0.2">
      <c r="A250" s="165">
        <v>244</v>
      </c>
      <c r="B250" s="194" t="s">
        <v>1478</v>
      </c>
      <c r="C250" s="194" t="s">
        <v>27</v>
      </c>
      <c r="D250" s="219" t="s">
        <v>455</v>
      </c>
      <c r="E250" s="194" t="s">
        <v>998</v>
      </c>
      <c r="F250" s="193">
        <v>1365</v>
      </c>
      <c r="G250" s="193">
        <v>2490662.125</v>
      </c>
      <c r="H250" s="109">
        <v>935</v>
      </c>
      <c r="I250" s="109">
        <v>1747310</v>
      </c>
      <c r="J250" s="159">
        <f t="shared" si="15"/>
        <v>0.68498168498168499</v>
      </c>
      <c r="K250" s="159">
        <f t="shared" si="16"/>
        <v>0.70154437346655363</v>
      </c>
      <c r="L250" s="159">
        <f t="shared" si="17"/>
        <v>0.20549450549450549</v>
      </c>
      <c r="M250" s="159">
        <f t="shared" si="18"/>
        <v>0.49108106142658753</v>
      </c>
      <c r="N250" s="160">
        <f t="shared" si="19"/>
        <v>0.69657556692109301</v>
      </c>
      <c r="O250" s="161"/>
      <c r="P250" s="161"/>
    </row>
    <row r="251" spans="1:16" x14ac:dyDescent="0.2">
      <c r="A251" s="165">
        <v>245</v>
      </c>
      <c r="B251" s="194" t="s">
        <v>1478</v>
      </c>
      <c r="C251" s="194" t="s">
        <v>27</v>
      </c>
      <c r="D251" s="219" t="s">
        <v>453</v>
      </c>
      <c r="E251" s="194" t="s">
        <v>1522</v>
      </c>
      <c r="F251" s="193">
        <v>1544</v>
      </c>
      <c r="G251" s="193">
        <v>2821205.55</v>
      </c>
      <c r="H251" s="109">
        <v>1859</v>
      </c>
      <c r="I251" s="109">
        <v>2490265</v>
      </c>
      <c r="J251" s="159">
        <f t="shared" si="15"/>
        <v>1.2040155440414508</v>
      </c>
      <c r="K251" s="159">
        <f t="shared" si="16"/>
        <v>0.88269534277642414</v>
      </c>
      <c r="L251" s="159">
        <f t="shared" si="17"/>
        <v>0.3</v>
      </c>
      <c r="M251" s="159">
        <f t="shared" si="18"/>
        <v>0.61788673994349685</v>
      </c>
      <c r="N251" s="160">
        <f t="shared" si="19"/>
        <v>0.9178867399434969</v>
      </c>
      <c r="O251" s="161"/>
      <c r="P251" s="161"/>
    </row>
    <row r="252" spans="1:16" x14ac:dyDescent="0.2">
      <c r="A252" s="165">
        <v>246</v>
      </c>
      <c r="B252" s="194" t="s">
        <v>1478</v>
      </c>
      <c r="C252" s="194" t="s">
        <v>27</v>
      </c>
      <c r="D252" s="219" t="s">
        <v>454</v>
      </c>
      <c r="E252" s="194" t="s">
        <v>417</v>
      </c>
      <c r="F252" s="193">
        <v>3818</v>
      </c>
      <c r="G252" s="193">
        <v>6980524.9000000004</v>
      </c>
      <c r="H252" s="109">
        <v>2990</v>
      </c>
      <c r="I252" s="109">
        <v>6856740</v>
      </c>
      <c r="J252" s="159">
        <f t="shared" si="15"/>
        <v>0.7831325301204819</v>
      </c>
      <c r="K252" s="159">
        <f t="shared" si="16"/>
        <v>0.98226710716267196</v>
      </c>
      <c r="L252" s="159">
        <f t="shared" si="17"/>
        <v>0.23493975903614456</v>
      </c>
      <c r="M252" s="159">
        <f t="shared" si="18"/>
        <v>0.68758697501387034</v>
      </c>
      <c r="N252" s="160">
        <f t="shared" si="19"/>
        <v>0.92252673405001495</v>
      </c>
      <c r="O252" s="161"/>
      <c r="P252" s="161"/>
    </row>
    <row r="253" spans="1:16" x14ac:dyDescent="0.2">
      <c r="A253" s="165">
        <v>247</v>
      </c>
      <c r="B253" s="194" t="s">
        <v>143</v>
      </c>
      <c r="C253" s="194" t="s">
        <v>27</v>
      </c>
      <c r="D253" s="219" t="s">
        <v>459</v>
      </c>
      <c r="E253" s="194" t="s">
        <v>1001</v>
      </c>
      <c r="F253" s="193">
        <v>1155</v>
      </c>
      <c r="G253" s="193">
        <v>2007136.45</v>
      </c>
      <c r="H253" s="109">
        <v>863</v>
      </c>
      <c r="I253" s="109">
        <v>1398645</v>
      </c>
      <c r="J253" s="159">
        <f t="shared" si="15"/>
        <v>0.74718614718614718</v>
      </c>
      <c r="K253" s="159">
        <f t="shared" si="16"/>
        <v>0.69683603224882895</v>
      </c>
      <c r="L253" s="159">
        <f t="shared" si="17"/>
        <v>0.22415584415584414</v>
      </c>
      <c r="M253" s="159">
        <f t="shared" si="18"/>
        <v>0.48778522257418022</v>
      </c>
      <c r="N253" s="160">
        <f t="shared" si="19"/>
        <v>0.71194106673002433</v>
      </c>
      <c r="O253" s="161"/>
      <c r="P253" s="161"/>
    </row>
    <row r="254" spans="1:16" x14ac:dyDescent="0.2">
      <c r="A254" s="165">
        <v>248</v>
      </c>
      <c r="B254" s="194" t="s">
        <v>143</v>
      </c>
      <c r="C254" s="194" t="s">
        <v>27</v>
      </c>
      <c r="D254" s="219" t="s">
        <v>458</v>
      </c>
      <c r="E254" s="194" t="s">
        <v>1523</v>
      </c>
      <c r="F254" s="193">
        <v>1539</v>
      </c>
      <c r="G254" s="193">
        <v>2671700.25</v>
      </c>
      <c r="H254" s="109">
        <v>818</v>
      </c>
      <c r="I254" s="109">
        <v>1384045</v>
      </c>
      <c r="J254" s="159">
        <f t="shared" si="15"/>
        <v>0.53151397011046131</v>
      </c>
      <c r="K254" s="159">
        <f t="shared" si="16"/>
        <v>0.5180390277689273</v>
      </c>
      <c r="L254" s="159">
        <f t="shared" si="17"/>
        <v>0.15945419103313838</v>
      </c>
      <c r="M254" s="159">
        <f t="shared" si="18"/>
        <v>0.36262731943824911</v>
      </c>
      <c r="N254" s="160">
        <f t="shared" si="19"/>
        <v>0.52208151047138751</v>
      </c>
      <c r="O254" s="161"/>
      <c r="P254" s="161"/>
    </row>
    <row r="255" spans="1:16" x14ac:dyDescent="0.2">
      <c r="A255" s="165">
        <v>249</v>
      </c>
      <c r="B255" s="194" t="s">
        <v>143</v>
      </c>
      <c r="C255" s="194" t="s">
        <v>27</v>
      </c>
      <c r="D255" s="219" t="s">
        <v>460</v>
      </c>
      <c r="E255" s="194" t="s">
        <v>1524</v>
      </c>
      <c r="F255" s="193">
        <v>1610</v>
      </c>
      <c r="G255" s="193">
        <v>2804942.25</v>
      </c>
      <c r="H255" s="109">
        <v>1324</v>
      </c>
      <c r="I255" s="109">
        <v>2655575</v>
      </c>
      <c r="J255" s="159">
        <f t="shared" si="15"/>
        <v>0.82236024844720501</v>
      </c>
      <c r="K255" s="159">
        <f t="shared" si="16"/>
        <v>0.94674854714031986</v>
      </c>
      <c r="L255" s="159">
        <f t="shared" si="17"/>
        <v>0.24670807453416149</v>
      </c>
      <c r="M255" s="159">
        <f t="shared" si="18"/>
        <v>0.66272398299822388</v>
      </c>
      <c r="N255" s="160">
        <f t="shared" si="19"/>
        <v>0.90943205753238532</v>
      </c>
      <c r="O255" s="161"/>
      <c r="P255" s="161"/>
    </row>
    <row r="256" spans="1:16" x14ac:dyDescent="0.2">
      <c r="A256" s="165">
        <v>250</v>
      </c>
      <c r="B256" s="194" t="s">
        <v>143</v>
      </c>
      <c r="C256" s="194" t="s">
        <v>27</v>
      </c>
      <c r="D256" s="219" t="s">
        <v>461</v>
      </c>
      <c r="E256" s="194" t="s">
        <v>1055</v>
      </c>
      <c r="F256" s="193">
        <v>2121</v>
      </c>
      <c r="G256" s="193">
        <v>3672923.9</v>
      </c>
      <c r="H256" s="109">
        <v>1785</v>
      </c>
      <c r="I256" s="109">
        <v>3003335</v>
      </c>
      <c r="J256" s="159">
        <f t="shared" si="15"/>
        <v>0.84158415841584155</v>
      </c>
      <c r="K256" s="159">
        <f t="shared" si="16"/>
        <v>0.81769595062941547</v>
      </c>
      <c r="L256" s="159">
        <f t="shared" si="17"/>
        <v>0.25247524752475248</v>
      </c>
      <c r="M256" s="159">
        <f t="shared" si="18"/>
        <v>0.57238716544059076</v>
      </c>
      <c r="N256" s="160">
        <f t="shared" si="19"/>
        <v>0.82486241296534324</v>
      </c>
      <c r="O256" s="161"/>
      <c r="P256" s="161"/>
    </row>
    <row r="257" spans="1:16" x14ac:dyDescent="0.2">
      <c r="A257" s="165">
        <v>251</v>
      </c>
      <c r="B257" s="194" t="s">
        <v>41</v>
      </c>
      <c r="C257" s="194" t="s">
        <v>27</v>
      </c>
      <c r="D257" s="219" t="s">
        <v>407</v>
      </c>
      <c r="E257" s="194" t="s">
        <v>1105</v>
      </c>
      <c r="F257" s="193">
        <v>1309</v>
      </c>
      <c r="G257" s="193">
        <v>2180296.625</v>
      </c>
      <c r="H257" s="109">
        <v>1293</v>
      </c>
      <c r="I257" s="109">
        <v>2016800</v>
      </c>
      <c r="J257" s="159">
        <f t="shared" si="15"/>
        <v>0.98777692895339952</v>
      </c>
      <c r="K257" s="159">
        <f t="shared" si="16"/>
        <v>0.92501175155467663</v>
      </c>
      <c r="L257" s="159">
        <f t="shared" si="17"/>
        <v>0.29633307868601982</v>
      </c>
      <c r="M257" s="159">
        <f t="shared" si="18"/>
        <v>0.64750822608827363</v>
      </c>
      <c r="N257" s="160">
        <f t="shared" si="19"/>
        <v>0.94384130477429351</v>
      </c>
      <c r="O257" s="161"/>
      <c r="P257" s="161"/>
    </row>
    <row r="258" spans="1:16" x14ac:dyDescent="0.2">
      <c r="A258" s="165">
        <v>252</v>
      </c>
      <c r="B258" s="194" t="s">
        <v>41</v>
      </c>
      <c r="C258" s="194" t="s">
        <v>27</v>
      </c>
      <c r="D258" s="219" t="s">
        <v>410</v>
      </c>
      <c r="E258" s="194" t="s">
        <v>1106</v>
      </c>
      <c r="F258" s="193">
        <v>2439</v>
      </c>
      <c r="G258" s="193">
        <v>4096781.65</v>
      </c>
      <c r="H258" s="109">
        <v>2129</v>
      </c>
      <c r="I258" s="109">
        <v>3667605</v>
      </c>
      <c r="J258" s="159">
        <f t="shared" si="15"/>
        <v>0.87289872898728982</v>
      </c>
      <c r="K258" s="159">
        <f t="shared" si="16"/>
        <v>0.8952405359460639</v>
      </c>
      <c r="L258" s="159">
        <f t="shared" si="17"/>
        <v>0.26186961869618691</v>
      </c>
      <c r="M258" s="159">
        <f t="shared" si="18"/>
        <v>0.62666837516224472</v>
      </c>
      <c r="N258" s="160">
        <f t="shared" si="19"/>
        <v>0.88853799385843169</v>
      </c>
      <c r="O258" s="161"/>
      <c r="P258" s="161"/>
    </row>
    <row r="259" spans="1:16" x14ac:dyDescent="0.2">
      <c r="A259" s="165">
        <v>253</v>
      </c>
      <c r="B259" s="194" t="s">
        <v>41</v>
      </c>
      <c r="C259" s="194" t="s">
        <v>27</v>
      </c>
      <c r="D259" s="219" t="s">
        <v>409</v>
      </c>
      <c r="E259" s="194" t="s">
        <v>1525</v>
      </c>
      <c r="F259" s="193">
        <v>1687</v>
      </c>
      <c r="G259" s="193">
        <v>2808508.4249999998</v>
      </c>
      <c r="H259" s="109">
        <v>1342</v>
      </c>
      <c r="I259" s="109">
        <v>1993520</v>
      </c>
      <c r="J259" s="159">
        <f t="shared" si="15"/>
        <v>0.79549496147006515</v>
      </c>
      <c r="K259" s="159">
        <f t="shared" si="16"/>
        <v>0.70981449877616087</v>
      </c>
      <c r="L259" s="159">
        <f t="shared" si="17"/>
        <v>0.23864848844101955</v>
      </c>
      <c r="M259" s="159">
        <f t="shared" si="18"/>
        <v>0.49687014914331257</v>
      </c>
      <c r="N259" s="160">
        <f t="shared" si="19"/>
        <v>0.73551863758433211</v>
      </c>
      <c r="O259" s="161"/>
      <c r="P259" s="161"/>
    </row>
    <row r="260" spans="1:16" x14ac:dyDescent="0.2">
      <c r="A260" s="165">
        <v>254</v>
      </c>
      <c r="B260" s="194" t="s">
        <v>41</v>
      </c>
      <c r="C260" s="194" t="s">
        <v>27</v>
      </c>
      <c r="D260" s="219" t="s">
        <v>408</v>
      </c>
      <c r="E260" s="194" t="s">
        <v>1526</v>
      </c>
      <c r="F260" s="193">
        <v>809</v>
      </c>
      <c r="G260" s="193">
        <v>1337617.45</v>
      </c>
      <c r="H260" s="109">
        <v>745</v>
      </c>
      <c r="I260" s="109">
        <v>1039530</v>
      </c>
      <c r="J260" s="159">
        <f t="shared" si="15"/>
        <v>0.9208899876390606</v>
      </c>
      <c r="K260" s="159">
        <f t="shared" si="16"/>
        <v>0.77715044761116125</v>
      </c>
      <c r="L260" s="159">
        <f t="shared" si="17"/>
        <v>0.27626699629171819</v>
      </c>
      <c r="M260" s="159">
        <f t="shared" si="18"/>
        <v>0.54400531332781288</v>
      </c>
      <c r="N260" s="160">
        <f t="shared" si="19"/>
        <v>0.82027230961953101</v>
      </c>
      <c r="O260" s="161"/>
      <c r="P260" s="161"/>
    </row>
    <row r="261" spans="1:16" x14ac:dyDescent="0.2">
      <c r="A261" s="165">
        <v>255</v>
      </c>
      <c r="B261" s="194" t="s">
        <v>53</v>
      </c>
      <c r="C261" s="194" t="s">
        <v>27</v>
      </c>
      <c r="D261" s="219" t="s">
        <v>648</v>
      </c>
      <c r="E261" s="194" t="s">
        <v>1366</v>
      </c>
      <c r="F261" s="193">
        <v>825</v>
      </c>
      <c r="G261" s="193">
        <v>1492315.2250000001</v>
      </c>
      <c r="H261" s="109">
        <v>2044</v>
      </c>
      <c r="I261" s="109">
        <v>2796780</v>
      </c>
      <c r="J261" s="159">
        <f t="shared" si="15"/>
        <v>2.4775757575757575</v>
      </c>
      <c r="K261" s="159">
        <f t="shared" si="16"/>
        <v>1.8741214678688276</v>
      </c>
      <c r="L261" s="159">
        <f t="shared" si="17"/>
        <v>0.3</v>
      </c>
      <c r="M261" s="159">
        <f t="shared" si="18"/>
        <v>0.7</v>
      </c>
      <c r="N261" s="160">
        <f t="shared" si="19"/>
        <v>1</v>
      </c>
      <c r="O261" s="161"/>
      <c r="P261" s="161"/>
    </row>
    <row r="262" spans="1:16" ht="16.5" customHeight="1" x14ac:dyDescent="0.2">
      <c r="A262" s="165">
        <v>256</v>
      </c>
      <c r="B262" s="194" t="s">
        <v>53</v>
      </c>
      <c r="C262" s="194" t="s">
        <v>27</v>
      </c>
      <c r="D262" s="219" t="s">
        <v>650</v>
      </c>
      <c r="E262" s="194" t="s">
        <v>651</v>
      </c>
      <c r="F262" s="193">
        <v>3283</v>
      </c>
      <c r="G262" s="193">
        <v>5879029.3250000002</v>
      </c>
      <c r="H262" s="109">
        <v>820</v>
      </c>
      <c r="I262" s="109">
        <v>996480</v>
      </c>
      <c r="J262" s="159">
        <f t="shared" si="15"/>
        <v>0.24977155041120927</v>
      </c>
      <c r="K262" s="159">
        <f t="shared" si="16"/>
        <v>0.16949736851329619</v>
      </c>
      <c r="L262" s="159">
        <f t="shared" si="17"/>
        <v>7.4931465123362781E-2</v>
      </c>
      <c r="M262" s="159">
        <f t="shared" si="18"/>
        <v>0.11864815795930733</v>
      </c>
      <c r="N262" s="160">
        <f t="shared" si="19"/>
        <v>0.19357962308267013</v>
      </c>
      <c r="O262" s="161"/>
      <c r="P262" s="161"/>
    </row>
    <row r="263" spans="1:16" ht="13.5" customHeight="1" x14ac:dyDescent="0.2">
      <c r="A263" s="165">
        <v>257</v>
      </c>
      <c r="B263" s="194" t="s">
        <v>916</v>
      </c>
      <c r="C263" s="194" t="s">
        <v>27</v>
      </c>
      <c r="D263" s="219" t="s">
        <v>921</v>
      </c>
      <c r="E263" s="194" t="s">
        <v>1380</v>
      </c>
      <c r="F263" s="193">
        <v>1138</v>
      </c>
      <c r="G263" s="193">
        <v>1904248.35</v>
      </c>
      <c r="H263" s="109">
        <v>919</v>
      </c>
      <c r="I263" s="109">
        <v>1416405</v>
      </c>
      <c r="J263" s="159">
        <f t="shared" ref="J263:J326" si="20">IFERROR(H263/F263,0)</f>
        <v>0.80755711775043937</v>
      </c>
      <c r="K263" s="159">
        <f t="shared" ref="K263:K326" si="21">IFERROR(I263/G263,0)</f>
        <v>0.74381316911735795</v>
      </c>
      <c r="L263" s="159">
        <f t="shared" ref="L263:L326" si="22">IF((J263*0.3)&gt;30%,30%,(J263*0.3))</f>
        <v>0.2422671353251318</v>
      </c>
      <c r="M263" s="159">
        <f t="shared" ref="M263:M326" si="23">IF((K263*0.7)&gt;70%,70%,(K263*0.7))</f>
        <v>0.52066921838215052</v>
      </c>
      <c r="N263" s="160">
        <f t="shared" ref="N263:N326" si="24">L263+M263</f>
        <v>0.7629363537072823</v>
      </c>
      <c r="O263" s="161"/>
      <c r="P263" s="161"/>
    </row>
    <row r="264" spans="1:16" x14ac:dyDescent="0.2">
      <c r="A264" s="165">
        <v>258</v>
      </c>
      <c r="B264" s="194" t="s">
        <v>916</v>
      </c>
      <c r="C264" s="194" t="s">
        <v>27</v>
      </c>
      <c r="D264" s="219" t="s">
        <v>919</v>
      </c>
      <c r="E264" s="194" t="s">
        <v>1363</v>
      </c>
      <c r="F264" s="193">
        <v>1445</v>
      </c>
      <c r="G264" s="193">
        <v>2412466.625</v>
      </c>
      <c r="H264" s="109">
        <v>1361</v>
      </c>
      <c r="I264" s="109">
        <v>2218745</v>
      </c>
      <c r="J264" s="159">
        <f t="shared" si="20"/>
        <v>0.94186851211072664</v>
      </c>
      <c r="K264" s="159">
        <f t="shared" si="21"/>
        <v>0.9196997699398225</v>
      </c>
      <c r="L264" s="159">
        <f t="shared" si="22"/>
        <v>0.28256055363321797</v>
      </c>
      <c r="M264" s="159">
        <f t="shared" si="23"/>
        <v>0.64378983895787567</v>
      </c>
      <c r="N264" s="160">
        <f t="shared" si="24"/>
        <v>0.92635039259109364</v>
      </c>
      <c r="O264" s="161"/>
      <c r="P264" s="161"/>
    </row>
    <row r="265" spans="1:16" x14ac:dyDescent="0.2">
      <c r="A265" s="165">
        <v>259</v>
      </c>
      <c r="B265" s="194" t="s">
        <v>916</v>
      </c>
      <c r="C265" s="194" t="s">
        <v>27</v>
      </c>
      <c r="D265" s="219" t="s">
        <v>917</v>
      </c>
      <c r="E265" s="194" t="s">
        <v>918</v>
      </c>
      <c r="F265" s="193">
        <v>3094</v>
      </c>
      <c r="G265" s="193">
        <v>5147046</v>
      </c>
      <c r="H265" s="109">
        <v>2083</v>
      </c>
      <c r="I265" s="109">
        <v>3435410</v>
      </c>
      <c r="J265" s="159">
        <f t="shared" si="20"/>
        <v>0.6732385261797027</v>
      </c>
      <c r="K265" s="159">
        <f t="shared" si="21"/>
        <v>0.66745274862513371</v>
      </c>
      <c r="L265" s="159">
        <f t="shared" si="22"/>
        <v>0.2019715578539108</v>
      </c>
      <c r="M265" s="159">
        <f t="shared" si="23"/>
        <v>0.46721692403759357</v>
      </c>
      <c r="N265" s="160">
        <f t="shared" si="24"/>
        <v>0.66918848189150437</v>
      </c>
      <c r="O265" s="161"/>
      <c r="P265" s="161"/>
    </row>
    <row r="266" spans="1:16" x14ac:dyDescent="0.2">
      <c r="A266" s="165">
        <v>260</v>
      </c>
      <c r="B266" s="194" t="s">
        <v>916</v>
      </c>
      <c r="C266" s="194" t="s">
        <v>27</v>
      </c>
      <c r="D266" s="219" t="s">
        <v>923</v>
      </c>
      <c r="E266" s="194" t="s">
        <v>924</v>
      </c>
      <c r="F266" s="193">
        <v>2889</v>
      </c>
      <c r="G266" s="193">
        <v>4801193.625</v>
      </c>
      <c r="H266" s="109">
        <v>2005</v>
      </c>
      <c r="I266" s="109">
        <v>4688655</v>
      </c>
      <c r="J266" s="159">
        <f t="shared" si="20"/>
        <v>0.69401176877812387</v>
      </c>
      <c r="K266" s="159">
        <f t="shared" si="21"/>
        <v>0.97656028192364353</v>
      </c>
      <c r="L266" s="159">
        <f t="shared" si="22"/>
        <v>0.20820353063343716</v>
      </c>
      <c r="M266" s="159">
        <f t="shared" si="23"/>
        <v>0.68359219734655041</v>
      </c>
      <c r="N266" s="160">
        <f t="shared" si="24"/>
        <v>0.89179572797998752</v>
      </c>
      <c r="O266" s="161"/>
      <c r="P266" s="161"/>
    </row>
    <row r="267" spans="1:16" x14ac:dyDescent="0.2">
      <c r="A267" s="165">
        <v>261</v>
      </c>
      <c r="B267" s="194" t="s">
        <v>916</v>
      </c>
      <c r="C267" s="194" t="s">
        <v>27</v>
      </c>
      <c r="D267" s="219" t="s">
        <v>926</v>
      </c>
      <c r="E267" s="194" t="s">
        <v>1364</v>
      </c>
      <c r="F267" s="193">
        <v>1240</v>
      </c>
      <c r="G267" s="193">
        <v>2079760.7749999999</v>
      </c>
      <c r="H267" s="109">
        <v>828</v>
      </c>
      <c r="I267" s="109">
        <v>1140910</v>
      </c>
      <c r="J267" s="159">
        <f t="shared" si="20"/>
        <v>0.66774193548387095</v>
      </c>
      <c r="K267" s="159">
        <f t="shared" si="21"/>
        <v>0.54857751608475258</v>
      </c>
      <c r="L267" s="159">
        <f t="shared" si="22"/>
        <v>0.20032258064516129</v>
      </c>
      <c r="M267" s="159">
        <f t="shared" si="23"/>
        <v>0.3840042612593268</v>
      </c>
      <c r="N267" s="160">
        <f t="shared" si="24"/>
        <v>0.58432684190448803</v>
      </c>
      <c r="O267" s="161"/>
      <c r="P267" s="161"/>
    </row>
    <row r="268" spans="1:16" x14ac:dyDescent="0.2">
      <c r="A268" s="165">
        <v>262</v>
      </c>
      <c r="B268" s="194" t="s">
        <v>916</v>
      </c>
      <c r="C268" s="194" t="s">
        <v>27</v>
      </c>
      <c r="D268" s="219" t="s">
        <v>925</v>
      </c>
      <c r="E268" s="194" t="s">
        <v>1365</v>
      </c>
      <c r="F268" s="193">
        <v>516</v>
      </c>
      <c r="G268" s="193">
        <v>867011.65</v>
      </c>
      <c r="H268" s="109">
        <v>619</v>
      </c>
      <c r="I268" s="109">
        <v>775045</v>
      </c>
      <c r="J268" s="159">
        <f t="shared" si="20"/>
        <v>1.1996124031007751</v>
      </c>
      <c r="K268" s="159">
        <f t="shared" si="21"/>
        <v>0.89392685784556636</v>
      </c>
      <c r="L268" s="159">
        <f t="shared" si="22"/>
        <v>0.3</v>
      </c>
      <c r="M268" s="159">
        <f t="shared" si="23"/>
        <v>0.62574880049189641</v>
      </c>
      <c r="N268" s="160">
        <f t="shared" si="24"/>
        <v>0.92574880049189634</v>
      </c>
      <c r="O268" s="161"/>
      <c r="P268" s="161"/>
    </row>
    <row r="269" spans="1:16" x14ac:dyDescent="0.2">
      <c r="A269" s="165">
        <v>263</v>
      </c>
      <c r="B269" s="194" t="s">
        <v>97</v>
      </c>
      <c r="C269" s="194" t="s">
        <v>27</v>
      </c>
      <c r="D269" s="219" t="s">
        <v>927</v>
      </c>
      <c r="E269" s="194" t="s">
        <v>1381</v>
      </c>
      <c r="F269" s="193">
        <v>1105</v>
      </c>
      <c r="G269" s="193">
        <v>1916742.45</v>
      </c>
      <c r="H269" s="109">
        <v>934</v>
      </c>
      <c r="I269" s="109">
        <v>1427175</v>
      </c>
      <c r="J269" s="159">
        <f t="shared" si="20"/>
        <v>0.84524886877828054</v>
      </c>
      <c r="K269" s="159">
        <f t="shared" si="21"/>
        <v>0.7445836032900508</v>
      </c>
      <c r="L269" s="159">
        <f t="shared" si="22"/>
        <v>0.25357466063348416</v>
      </c>
      <c r="M269" s="159">
        <f t="shared" si="23"/>
        <v>0.52120852230303549</v>
      </c>
      <c r="N269" s="160">
        <f t="shared" si="24"/>
        <v>0.77478318293651971</v>
      </c>
      <c r="O269" s="161"/>
      <c r="P269" s="161"/>
    </row>
    <row r="270" spans="1:16" x14ac:dyDescent="0.2">
      <c r="A270" s="165">
        <v>264</v>
      </c>
      <c r="B270" s="194" t="s">
        <v>97</v>
      </c>
      <c r="C270" s="194" t="s">
        <v>27</v>
      </c>
      <c r="D270" s="219" t="s">
        <v>932</v>
      </c>
      <c r="E270" s="194" t="s">
        <v>933</v>
      </c>
      <c r="F270" s="193">
        <v>1058</v>
      </c>
      <c r="G270" s="193">
        <v>1840232.0249999999</v>
      </c>
      <c r="H270" s="109">
        <v>774</v>
      </c>
      <c r="I270" s="109">
        <v>1165340</v>
      </c>
      <c r="J270" s="159">
        <f t="shared" si="20"/>
        <v>0.73156899810964082</v>
      </c>
      <c r="K270" s="159">
        <f t="shared" si="21"/>
        <v>0.63325710245695788</v>
      </c>
      <c r="L270" s="159">
        <f t="shared" si="22"/>
        <v>0.21947069943289224</v>
      </c>
      <c r="M270" s="159">
        <f t="shared" si="23"/>
        <v>0.44327997171987049</v>
      </c>
      <c r="N270" s="160">
        <f t="shared" si="24"/>
        <v>0.66275067115276276</v>
      </c>
      <c r="O270" s="161"/>
      <c r="P270" s="161"/>
    </row>
    <row r="271" spans="1:16" x14ac:dyDescent="0.2">
      <c r="A271" s="165">
        <v>265</v>
      </c>
      <c r="B271" s="194" t="s">
        <v>97</v>
      </c>
      <c r="C271" s="194" t="s">
        <v>27</v>
      </c>
      <c r="D271" s="219" t="s">
        <v>930</v>
      </c>
      <c r="E271" s="194" t="s">
        <v>922</v>
      </c>
      <c r="F271" s="193">
        <v>1058</v>
      </c>
      <c r="G271" s="193">
        <v>1840232.0249999999</v>
      </c>
      <c r="H271" s="109">
        <v>923</v>
      </c>
      <c r="I271" s="109">
        <v>1518940</v>
      </c>
      <c r="J271" s="159">
        <f t="shared" si="20"/>
        <v>0.8724007561436673</v>
      </c>
      <c r="K271" s="159">
        <f t="shared" si="21"/>
        <v>0.82540678532099776</v>
      </c>
      <c r="L271" s="159">
        <f t="shared" si="22"/>
        <v>0.2617202268431002</v>
      </c>
      <c r="M271" s="159">
        <f t="shared" si="23"/>
        <v>0.5777847497246984</v>
      </c>
      <c r="N271" s="160">
        <f t="shared" si="24"/>
        <v>0.83950497656779866</v>
      </c>
      <c r="O271" s="161"/>
      <c r="P271" s="161"/>
    </row>
    <row r="272" spans="1:16" x14ac:dyDescent="0.2">
      <c r="A272" s="165">
        <v>266</v>
      </c>
      <c r="B272" s="194" t="s">
        <v>97</v>
      </c>
      <c r="C272" s="194" t="s">
        <v>27</v>
      </c>
      <c r="D272" s="219" t="s">
        <v>928</v>
      </c>
      <c r="E272" s="194" t="s">
        <v>929</v>
      </c>
      <c r="F272" s="193">
        <v>1179</v>
      </c>
      <c r="G272" s="193">
        <v>2035291.4</v>
      </c>
      <c r="H272" s="109">
        <v>1044</v>
      </c>
      <c r="I272" s="109">
        <v>1639630</v>
      </c>
      <c r="J272" s="159">
        <f t="shared" si="20"/>
        <v>0.8854961832061069</v>
      </c>
      <c r="K272" s="159">
        <f t="shared" si="21"/>
        <v>0.80559963059835071</v>
      </c>
      <c r="L272" s="159">
        <f t="shared" si="22"/>
        <v>0.26564885496183205</v>
      </c>
      <c r="M272" s="159">
        <f t="shared" si="23"/>
        <v>0.56391974141884549</v>
      </c>
      <c r="N272" s="160">
        <f t="shared" si="24"/>
        <v>0.82956859638067759</v>
      </c>
      <c r="O272" s="161"/>
      <c r="P272" s="161"/>
    </row>
    <row r="273" spans="1:16" x14ac:dyDescent="0.2">
      <c r="A273" s="165">
        <v>267</v>
      </c>
      <c r="B273" s="194" t="s">
        <v>99</v>
      </c>
      <c r="C273" s="194" t="s">
        <v>27</v>
      </c>
      <c r="D273" s="219" t="s">
        <v>909</v>
      </c>
      <c r="E273" s="194" t="s">
        <v>910</v>
      </c>
      <c r="F273" s="193">
        <v>1062</v>
      </c>
      <c r="G273" s="193">
        <v>1565396.9</v>
      </c>
      <c r="H273" s="109">
        <v>658</v>
      </c>
      <c r="I273" s="109">
        <v>727940</v>
      </c>
      <c r="J273" s="159">
        <f t="shared" si="20"/>
        <v>0.61958568738229758</v>
      </c>
      <c r="K273" s="159">
        <f t="shared" si="21"/>
        <v>0.46501944650586702</v>
      </c>
      <c r="L273" s="159">
        <f t="shared" si="22"/>
        <v>0.18587570621468927</v>
      </c>
      <c r="M273" s="159">
        <f t="shared" si="23"/>
        <v>0.32551361255410688</v>
      </c>
      <c r="N273" s="160">
        <f t="shared" si="24"/>
        <v>0.51138931876879612</v>
      </c>
      <c r="O273" s="161"/>
      <c r="P273" s="161"/>
    </row>
    <row r="274" spans="1:16" x14ac:dyDescent="0.2">
      <c r="A274" s="165">
        <v>268</v>
      </c>
      <c r="B274" s="194" t="s">
        <v>99</v>
      </c>
      <c r="C274" s="194" t="s">
        <v>27</v>
      </c>
      <c r="D274" s="219" t="s">
        <v>911</v>
      </c>
      <c r="E274" s="194" t="s">
        <v>1369</v>
      </c>
      <c r="F274" s="193">
        <v>1975</v>
      </c>
      <c r="G274" s="193">
        <v>3320786.375</v>
      </c>
      <c r="H274" s="109">
        <v>3430</v>
      </c>
      <c r="I274" s="109">
        <v>4559735</v>
      </c>
      <c r="J274" s="159">
        <f t="shared" si="20"/>
        <v>1.7367088607594936</v>
      </c>
      <c r="K274" s="159">
        <f t="shared" si="21"/>
        <v>1.3730889268660047</v>
      </c>
      <c r="L274" s="159">
        <f t="shared" si="22"/>
        <v>0.3</v>
      </c>
      <c r="M274" s="159">
        <f t="shared" si="23"/>
        <v>0.7</v>
      </c>
      <c r="N274" s="160">
        <f t="shared" si="24"/>
        <v>1</v>
      </c>
      <c r="O274" s="161"/>
      <c r="P274" s="161"/>
    </row>
    <row r="275" spans="1:16" x14ac:dyDescent="0.2">
      <c r="A275" s="165">
        <v>269</v>
      </c>
      <c r="B275" s="194" t="s">
        <v>99</v>
      </c>
      <c r="C275" s="194" t="s">
        <v>27</v>
      </c>
      <c r="D275" s="219" t="s">
        <v>913</v>
      </c>
      <c r="E275" s="194" t="s">
        <v>914</v>
      </c>
      <c r="F275" s="193">
        <v>1226</v>
      </c>
      <c r="G275" s="193">
        <v>2332338.0499999998</v>
      </c>
      <c r="H275" s="109">
        <v>1281</v>
      </c>
      <c r="I275" s="109">
        <v>1651525</v>
      </c>
      <c r="J275" s="159">
        <f t="shared" si="20"/>
        <v>1.0448613376835236</v>
      </c>
      <c r="K275" s="159">
        <f t="shared" si="21"/>
        <v>0.70809846797294251</v>
      </c>
      <c r="L275" s="159">
        <f t="shared" si="22"/>
        <v>0.3</v>
      </c>
      <c r="M275" s="159">
        <f t="shared" si="23"/>
        <v>0.49566892758105974</v>
      </c>
      <c r="N275" s="160">
        <f t="shared" si="24"/>
        <v>0.79566892758105978</v>
      </c>
      <c r="O275" s="161"/>
      <c r="P275" s="161"/>
    </row>
    <row r="276" spans="1:16" x14ac:dyDescent="0.2">
      <c r="A276" s="165">
        <v>270</v>
      </c>
      <c r="B276" s="194" t="s">
        <v>99</v>
      </c>
      <c r="C276" s="194" t="s">
        <v>27</v>
      </c>
      <c r="D276" s="219" t="s">
        <v>915</v>
      </c>
      <c r="E276" s="194" t="s">
        <v>1370</v>
      </c>
      <c r="F276" s="193">
        <v>1206</v>
      </c>
      <c r="G276" s="193">
        <v>2270625.5499999998</v>
      </c>
      <c r="H276" s="109">
        <v>1049</v>
      </c>
      <c r="I276" s="109">
        <v>1382725</v>
      </c>
      <c r="J276" s="159">
        <f t="shared" si="20"/>
        <v>0.86981757877280264</v>
      </c>
      <c r="K276" s="159">
        <f t="shared" si="21"/>
        <v>0.60896214261307868</v>
      </c>
      <c r="L276" s="159">
        <f t="shared" si="22"/>
        <v>0.26094527363184078</v>
      </c>
      <c r="M276" s="159">
        <f t="shared" si="23"/>
        <v>0.42627349982915508</v>
      </c>
      <c r="N276" s="160">
        <f t="shared" si="24"/>
        <v>0.6872187734609958</v>
      </c>
      <c r="O276" s="161"/>
      <c r="P276" s="161"/>
    </row>
    <row r="277" spans="1:16" x14ac:dyDescent="0.2">
      <c r="A277" s="165">
        <v>271</v>
      </c>
      <c r="B277" s="194" t="s">
        <v>99</v>
      </c>
      <c r="C277" s="194" t="s">
        <v>27</v>
      </c>
      <c r="D277" s="219" t="s">
        <v>902</v>
      </c>
      <c r="E277" s="194" t="s">
        <v>1371</v>
      </c>
      <c r="F277" s="193">
        <v>1731</v>
      </c>
      <c r="G277" s="193">
        <v>2924014</v>
      </c>
      <c r="H277" s="109">
        <v>1231</v>
      </c>
      <c r="I277" s="109">
        <v>1479345</v>
      </c>
      <c r="J277" s="159">
        <f t="shared" si="20"/>
        <v>0.7111496244945118</v>
      </c>
      <c r="K277" s="159">
        <f t="shared" si="21"/>
        <v>0.50592952017329607</v>
      </c>
      <c r="L277" s="159">
        <f t="shared" si="22"/>
        <v>0.21334488734835352</v>
      </c>
      <c r="M277" s="159">
        <f t="shared" si="23"/>
        <v>0.35415066412130725</v>
      </c>
      <c r="N277" s="160">
        <f t="shared" si="24"/>
        <v>0.5674955514696608</v>
      </c>
      <c r="O277" s="161"/>
      <c r="P277" s="161"/>
    </row>
    <row r="278" spans="1:16" x14ac:dyDescent="0.2">
      <c r="A278" s="165">
        <v>272</v>
      </c>
      <c r="B278" s="194" t="s">
        <v>98</v>
      </c>
      <c r="C278" s="194" t="s">
        <v>27</v>
      </c>
      <c r="D278" s="219" t="s">
        <v>882</v>
      </c>
      <c r="E278" s="194" t="s">
        <v>751</v>
      </c>
      <c r="F278" s="193">
        <v>1709</v>
      </c>
      <c r="G278" s="193">
        <v>2432623.5750000002</v>
      </c>
      <c r="H278" s="109">
        <v>1099</v>
      </c>
      <c r="I278" s="109">
        <v>1904630</v>
      </c>
      <c r="J278" s="159">
        <f t="shared" si="20"/>
        <v>0.64306612053832646</v>
      </c>
      <c r="K278" s="159">
        <f t="shared" si="21"/>
        <v>0.78295303045396158</v>
      </c>
      <c r="L278" s="159">
        <f t="shared" si="22"/>
        <v>0.19291983616149794</v>
      </c>
      <c r="M278" s="159">
        <f t="shared" si="23"/>
        <v>0.54806712131777302</v>
      </c>
      <c r="N278" s="160">
        <f t="shared" si="24"/>
        <v>0.7409869574792709</v>
      </c>
      <c r="O278" s="161"/>
      <c r="P278" s="161"/>
    </row>
    <row r="279" spans="1:16" x14ac:dyDescent="0.2">
      <c r="A279" s="165">
        <v>273</v>
      </c>
      <c r="B279" s="220" t="s">
        <v>98</v>
      </c>
      <c r="C279" s="196" t="s">
        <v>27</v>
      </c>
      <c r="D279" s="219" t="s">
        <v>884</v>
      </c>
      <c r="E279" s="236" t="s">
        <v>1220</v>
      </c>
      <c r="F279" s="193">
        <v>2143</v>
      </c>
      <c r="G279" s="193">
        <v>3834187.15</v>
      </c>
      <c r="H279" s="109">
        <v>1134</v>
      </c>
      <c r="I279" s="109">
        <v>1781630</v>
      </c>
      <c r="J279" s="159">
        <f t="shared" si="20"/>
        <v>0.5291647223518432</v>
      </c>
      <c r="K279" s="159">
        <f t="shared" si="21"/>
        <v>0.46466954540807953</v>
      </c>
      <c r="L279" s="159">
        <f t="shared" si="22"/>
        <v>0.15874941670555295</v>
      </c>
      <c r="M279" s="159">
        <f t="shared" si="23"/>
        <v>0.32526868178565566</v>
      </c>
      <c r="N279" s="160">
        <f t="shared" si="24"/>
        <v>0.48401809849120858</v>
      </c>
      <c r="O279" s="161"/>
      <c r="P279" s="161"/>
    </row>
    <row r="280" spans="1:16" x14ac:dyDescent="0.2">
      <c r="A280" s="165">
        <v>274</v>
      </c>
      <c r="B280" s="220" t="s">
        <v>98</v>
      </c>
      <c r="C280" s="196" t="s">
        <v>27</v>
      </c>
      <c r="D280" s="219" t="s">
        <v>881</v>
      </c>
      <c r="E280" s="220" t="s">
        <v>1134</v>
      </c>
      <c r="F280" s="193">
        <v>1625</v>
      </c>
      <c r="G280" s="193">
        <v>2265765.1</v>
      </c>
      <c r="H280" s="109">
        <v>1476</v>
      </c>
      <c r="I280" s="109">
        <v>2401520</v>
      </c>
      <c r="J280" s="159">
        <f t="shared" si="20"/>
        <v>0.90830769230769226</v>
      </c>
      <c r="K280" s="159">
        <f t="shared" si="21"/>
        <v>1.0599156991163823</v>
      </c>
      <c r="L280" s="159">
        <f t="shared" si="22"/>
        <v>0.27249230769230764</v>
      </c>
      <c r="M280" s="159">
        <f t="shared" si="23"/>
        <v>0.7</v>
      </c>
      <c r="N280" s="160">
        <f t="shared" si="24"/>
        <v>0.97249230769230754</v>
      </c>
      <c r="O280" s="161"/>
      <c r="P280" s="161"/>
    </row>
    <row r="281" spans="1:16" x14ac:dyDescent="0.2">
      <c r="A281" s="165">
        <v>275</v>
      </c>
      <c r="B281" s="220" t="s">
        <v>98</v>
      </c>
      <c r="C281" s="196" t="s">
        <v>27</v>
      </c>
      <c r="D281" s="219" t="s">
        <v>883</v>
      </c>
      <c r="E281" s="220" t="s">
        <v>1382</v>
      </c>
      <c r="F281" s="193">
        <v>1522</v>
      </c>
      <c r="G281" s="193">
        <v>2269450.5</v>
      </c>
      <c r="H281" s="109">
        <v>985</v>
      </c>
      <c r="I281" s="109">
        <v>1646020</v>
      </c>
      <c r="J281" s="159">
        <f t="shared" si="20"/>
        <v>0.64717477003942181</v>
      </c>
      <c r="K281" s="159">
        <f t="shared" si="21"/>
        <v>0.72529451512601839</v>
      </c>
      <c r="L281" s="159">
        <f t="shared" si="22"/>
        <v>0.19415243101182653</v>
      </c>
      <c r="M281" s="159">
        <f t="shared" si="23"/>
        <v>0.50770616058821283</v>
      </c>
      <c r="N281" s="160">
        <f t="shared" si="24"/>
        <v>0.70185859160003938</v>
      </c>
      <c r="O281" s="161"/>
      <c r="P281" s="161"/>
    </row>
    <row r="282" spans="1:16" x14ac:dyDescent="0.2">
      <c r="A282" s="165">
        <v>276</v>
      </c>
      <c r="B282" s="220" t="s">
        <v>100</v>
      </c>
      <c r="C282" s="196" t="s">
        <v>27</v>
      </c>
      <c r="D282" s="219" t="s">
        <v>904</v>
      </c>
      <c r="E282" s="220" t="s">
        <v>905</v>
      </c>
      <c r="F282" s="193">
        <v>1280</v>
      </c>
      <c r="G282" s="193">
        <v>2463446.3250000002</v>
      </c>
      <c r="H282" s="109">
        <v>607</v>
      </c>
      <c r="I282" s="109">
        <v>1314775</v>
      </c>
      <c r="J282" s="159">
        <f t="shared" si="20"/>
        <v>0.47421875000000002</v>
      </c>
      <c r="K282" s="159">
        <f t="shared" si="21"/>
        <v>0.5337136785393527</v>
      </c>
      <c r="L282" s="159">
        <f t="shared" si="22"/>
        <v>0.14226562500000001</v>
      </c>
      <c r="M282" s="159">
        <f t="shared" si="23"/>
        <v>0.37359957497754687</v>
      </c>
      <c r="N282" s="160">
        <f t="shared" si="24"/>
        <v>0.51586519997754687</v>
      </c>
      <c r="O282" s="161"/>
      <c r="P282" s="161"/>
    </row>
    <row r="283" spans="1:16" x14ac:dyDescent="0.2">
      <c r="A283" s="165">
        <v>277</v>
      </c>
      <c r="B283" s="220" t="s">
        <v>100</v>
      </c>
      <c r="C283" s="196" t="s">
        <v>27</v>
      </c>
      <c r="D283" s="219" t="s">
        <v>900</v>
      </c>
      <c r="E283" s="220" t="s">
        <v>901</v>
      </c>
      <c r="F283" s="193">
        <v>1402</v>
      </c>
      <c r="G283" s="193">
        <v>2641553.2250000001</v>
      </c>
      <c r="H283" s="109">
        <v>1127</v>
      </c>
      <c r="I283" s="109">
        <v>2094295</v>
      </c>
      <c r="J283" s="159">
        <f t="shared" si="20"/>
        <v>0.80385164051355207</v>
      </c>
      <c r="K283" s="159">
        <f t="shared" si="21"/>
        <v>0.79282710648391341</v>
      </c>
      <c r="L283" s="159">
        <f t="shared" si="22"/>
        <v>0.24115549215406562</v>
      </c>
      <c r="M283" s="159">
        <f t="shared" si="23"/>
        <v>0.55497897453873934</v>
      </c>
      <c r="N283" s="160">
        <f t="shared" si="24"/>
        <v>0.79613446669280497</v>
      </c>
      <c r="O283" s="161"/>
      <c r="P283" s="161"/>
    </row>
    <row r="284" spans="1:16" x14ac:dyDescent="0.2">
      <c r="A284" s="165">
        <v>278</v>
      </c>
      <c r="B284" s="220" t="s">
        <v>100</v>
      </c>
      <c r="C284" s="196" t="s">
        <v>27</v>
      </c>
      <c r="D284" s="219" t="s">
        <v>907</v>
      </c>
      <c r="E284" s="220" t="s">
        <v>908</v>
      </c>
      <c r="F284" s="193">
        <v>1264</v>
      </c>
      <c r="G284" s="193">
        <v>2214780.0249999999</v>
      </c>
      <c r="H284" s="109">
        <v>666</v>
      </c>
      <c r="I284" s="109">
        <v>1211335</v>
      </c>
      <c r="J284" s="159">
        <f t="shared" si="20"/>
        <v>0.52689873417721522</v>
      </c>
      <c r="K284" s="159">
        <f t="shared" si="21"/>
        <v>0.54693242052334301</v>
      </c>
      <c r="L284" s="159">
        <f t="shared" si="22"/>
        <v>0.15806962025316457</v>
      </c>
      <c r="M284" s="159">
        <f t="shared" si="23"/>
        <v>0.38285269436634006</v>
      </c>
      <c r="N284" s="160">
        <f t="shared" si="24"/>
        <v>0.54092231461950457</v>
      </c>
      <c r="O284" s="161"/>
      <c r="P284" s="161"/>
    </row>
    <row r="285" spans="1:16" x14ac:dyDescent="0.2">
      <c r="A285" s="165">
        <v>279</v>
      </c>
      <c r="B285" s="220" t="s">
        <v>100</v>
      </c>
      <c r="C285" s="196" t="s">
        <v>27</v>
      </c>
      <c r="D285" s="219" t="s">
        <v>906</v>
      </c>
      <c r="E285" s="220" t="s">
        <v>1383</v>
      </c>
      <c r="F285" s="193">
        <v>1249</v>
      </c>
      <c r="G285" s="193">
        <v>2478585.0499999998</v>
      </c>
      <c r="H285" s="109">
        <v>1068</v>
      </c>
      <c r="I285" s="109">
        <v>1951375</v>
      </c>
      <c r="J285" s="159">
        <f t="shared" si="20"/>
        <v>0.85508406725380304</v>
      </c>
      <c r="K285" s="159">
        <f t="shared" si="21"/>
        <v>0.78729394417996679</v>
      </c>
      <c r="L285" s="159">
        <f t="shared" si="22"/>
        <v>0.25652522017614088</v>
      </c>
      <c r="M285" s="159">
        <f t="shared" si="23"/>
        <v>0.55110576092597674</v>
      </c>
      <c r="N285" s="160">
        <f t="shared" si="24"/>
        <v>0.80763098110211762</v>
      </c>
      <c r="O285" s="161"/>
      <c r="P285" s="161"/>
    </row>
    <row r="286" spans="1:16" x14ac:dyDescent="0.2">
      <c r="A286" s="165">
        <v>280</v>
      </c>
      <c r="B286" s="220" t="s">
        <v>101</v>
      </c>
      <c r="C286" s="196" t="s">
        <v>27</v>
      </c>
      <c r="D286" s="219" t="s">
        <v>937</v>
      </c>
      <c r="E286" s="220" t="s">
        <v>938</v>
      </c>
      <c r="F286" s="193">
        <v>3886</v>
      </c>
      <c r="G286" s="193">
        <v>5529097.25</v>
      </c>
      <c r="H286" s="109">
        <v>3245</v>
      </c>
      <c r="I286" s="109">
        <v>4290490</v>
      </c>
      <c r="J286" s="159">
        <f t="shared" si="20"/>
        <v>0.83504889346371591</v>
      </c>
      <c r="K286" s="159">
        <f t="shared" si="21"/>
        <v>0.77598381905834624</v>
      </c>
      <c r="L286" s="159">
        <f t="shared" si="22"/>
        <v>0.25051466803911476</v>
      </c>
      <c r="M286" s="159">
        <f t="shared" si="23"/>
        <v>0.54318867334084231</v>
      </c>
      <c r="N286" s="160">
        <f t="shared" si="24"/>
        <v>0.79370334137995702</v>
      </c>
      <c r="O286" s="161"/>
      <c r="P286" s="161"/>
    </row>
    <row r="287" spans="1:16" x14ac:dyDescent="0.2">
      <c r="A287" s="165">
        <v>281</v>
      </c>
      <c r="B287" s="220" t="s">
        <v>101</v>
      </c>
      <c r="C287" s="196" t="s">
        <v>27</v>
      </c>
      <c r="D287" s="219" t="s">
        <v>934</v>
      </c>
      <c r="E287" s="220" t="s">
        <v>1080</v>
      </c>
      <c r="F287" s="193">
        <v>2802</v>
      </c>
      <c r="G287" s="193">
        <v>3515137.1749999998</v>
      </c>
      <c r="H287" s="109">
        <v>2413</v>
      </c>
      <c r="I287" s="109">
        <v>2936710</v>
      </c>
      <c r="J287" s="159">
        <f t="shared" si="20"/>
        <v>0.86117059243397576</v>
      </c>
      <c r="K287" s="159">
        <f t="shared" si="21"/>
        <v>0.83544677029567138</v>
      </c>
      <c r="L287" s="159">
        <f t="shared" si="22"/>
        <v>0.25835117773019273</v>
      </c>
      <c r="M287" s="159">
        <f t="shared" si="23"/>
        <v>0.58481273920696997</v>
      </c>
      <c r="N287" s="160">
        <f t="shared" si="24"/>
        <v>0.84316391693716275</v>
      </c>
      <c r="O287" s="161"/>
      <c r="P287" s="161"/>
    </row>
    <row r="288" spans="1:16" x14ac:dyDescent="0.2">
      <c r="A288" s="165">
        <v>282</v>
      </c>
      <c r="B288" s="220" t="s">
        <v>101</v>
      </c>
      <c r="C288" s="196" t="s">
        <v>27</v>
      </c>
      <c r="D288" s="219" t="s">
        <v>935</v>
      </c>
      <c r="E288" s="220" t="s">
        <v>936</v>
      </c>
      <c r="F288" s="193">
        <v>2456</v>
      </c>
      <c r="G288" s="193">
        <v>5747072.8499999996</v>
      </c>
      <c r="H288" s="109">
        <v>2681</v>
      </c>
      <c r="I288" s="109">
        <v>4260120</v>
      </c>
      <c r="J288" s="159">
        <f t="shared" si="20"/>
        <v>1.091612377850163</v>
      </c>
      <c r="K288" s="159">
        <f t="shared" si="21"/>
        <v>0.74126779165501622</v>
      </c>
      <c r="L288" s="159">
        <f t="shared" si="22"/>
        <v>0.3</v>
      </c>
      <c r="M288" s="159">
        <f t="shared" si="23"/>
        <v>0.51888745415851134</v>
      </c>
      <c r="N288" s="160">
        <f t="shared" si="24"/>
        <v>0.81888745415851139</v>
      </c>
      <c r="O288" s="161"/>
      <c r="P288" s="161"/>
    </row>
    <row r="289" spans="1:16" x14ac:dyDescent="0.2">
      <c r="A289" s="165">
        <v>283</v>
      </c>
      <c r="B289" s="220" t="s">
        <v>101</v>
      </c>
      <c r="C289" s="197" t="s">
        <v>27</v>
      </c>
      <c r="D289" s="219" t="s">
        <v>1125</v>
      </c>
      <c r="E289" s="220" t="s">
        <v>1368</v>
      </c>
      <c r="F289" s="193">
        <v>1263</v>
      </c>
      <c r="G289" s="193">
        <v>1795517.15</v>
      </c>
      <c r="H289" s="109">
        <v>841</v>
      </c>
      <c r="I289" s="109">
        <v>1047230</v>
      </c>
      <c r="J289" s="159">
        <f t="shared" si="20"/>
        <v>0.66587490102929536</v>
      </c>
      <c r="K289" s="159">
        <f t="shared" si="21"/>
        <v>0.58324700490886427</v>
      </c>
      <c r="L289" s="159">
        <f t="shared" si="22"/>
        <v>0.1997624703087886</v>
      </c>
      <c r="M289" s="159">
        <f t="shared" si="23"/>
        <v>0.40827290343620498</v>
      </c>
      <c r="N289" s="160">
        <f t="shared" si="24"/>
        <v>0.60803537374499361</v>
      </c>
      <c r="O289" s="161"/>
      <c r="P289" s="161"/>
    </row>
    <row r="290" spans="1:16" x14ac:dyDescent="0.2">
      <c r="A290" s="165">
        <v>284</v>
      </c>
      <c r="B290" s="220" t="s">
        <v>102</v>
      </c>
      <c r="C290" s="197" t="s">
        <v>27</v>
      </c>
      <c r="D290" s="219" t="s">
        <v>943</v>
      </c>
      <c r="E290" s="220" t="s">
        <v>944</v>
      </c>
      <c r="F290" s="193">
        <v>3154</v>
      </c>
      <c r="G290" s="193">
        <v>4706258.3</v>
      </c>
      <c r="H290" s="109">
        <v>2295</v>
      </c>
      <c r="I290" s="109">
        <v>3865795</v>
      </c>
      <c r="J290" s="159">
        <f t="shared" si="20"/>
        <v>0.72764743183259351</v>
      </c>
      <c r="K290" s="159">
        <f t="shared" si="21"/>
        <v>0.82141581561726018</v>
      </c>
      <c r="L290" s="159">
        <f t="shared" si="22"/>
        <v>0.21829422954977803</v>
      </c>
      <c r="M290" s="159">
        <f t="shared" si="23"/>
        <v>0.57499107093208213</v>
      </c>
      <c r="N290" s="160">
        <f t="shared" si="24"/>
        <v>0.79328530048186019</v>
      </c>
      <c r="O290" s="161"/>
      <c r="P290" s="161"/>
    </row>
    <row r="291" spans="1:16" x14ac:dyDescent="0.2">
      <c r="A291" s="165">
        <v>285</v>
      </c>
      <c r="B291" s="220" t="s">
        <v>102</v>
      </c>
      <c r="C291" s="197" t="s">
        <v>27</v>
      </c>
      <c r="D291" s="219" t="s">
        <v>949</v>
      </c>
      <c r="E291" s="220" t="s">
        <v>950</v>
      </c>
      <c r="F291" s="193">
        <v>1444</v>
      </c>
      <c r="G291" s="193">
        <v>1953538.875</v>
      </c>
      <c r="H291" s="109">
        <v>1184</v>
      </c>
      <c r="I291" s="109">
        <v>1659390</v>
      </c>
      <c r="J291" s="159">
        <f t="shared" si="20"/>
        <v>0.81994459833795019</v>
      </c>
      <c r="K291" s="159">
        <f t="shared" si="21"/>
        <v>0.84942768287628778</v>
      </c>
      <c r="L291" s="159">
        <f t="shared" si="22"/>
        <v>0.24598337950138505</v>
      </c>
      <c r="M291" s="159">
        <f t="shared" si="23"/>
        <v>0.59459937801340146</v>
      </c>
      <c r="N291" s="160">
        <f t="shared" si="24"/>
        <v>0.8405827575147865</v>
      </c>
      <c r="O291" s="161"/>
      <c r="P291" s="161"/>
    </row>
    <row r="292" spans="1:16" x14ac:dyDescent="0.2">
      <c r="A292" s="165">
        <v>286</v>
      </c>
      <c r="B292" s="220" t="s">
        <v>102</v>
      </c>
      <c r="C292" s="197" t="s">
        <v>27</v>
      </c>
      <c r="D292" s="219" t="s">
        <v>954</v>
      </c>
      <c r="E292" s="220" t="s">
        <v>1367</v>
      </c>
      <c r="F292" s="193">
        <v>1075</v>
      </c>
      <c r="G292" s="193">
        <v>2449073.1</v>
      </c>
      <c r="H292" s="109">
        <v>736</v>
      </c>
      <c r="I292" s="109">
        <v>2167385</v>
      </c>
      <c r="J292" s="159">
        <f t="shared" si="20"/>
        <v>0.68465116279069771</v>
      </c>
      <c r="K292" s="159">
        <f t="shared" si="21"/>
        <v>0.88498175085096475</v>
      </c>
      <c r="L292" s="159">
        <f t="shared" si="22"/>
        <v>0.20539534883720931</v>
      </c>
      <c r="M292" s="159">
        <f t="shared" si="23"/>
        <v>0.61948722559567526</v>
      </c>
      <c r="N292" s="160">
        <f t="shared" si="24"/>
        <v>0.8248825744328846</v>
      </c>
      <c r="O292" s="161"/>
      <c r="P292" s="161"/>
    </row>
    <row r="293" spans="1:16" x14ac:dyDescent="0.2">
      <c r="A293" s="165">
        <v>287</v>
      </c>
      <c r="B293" s="220" t="s">
        <v>102</v>
      </c>
      <c r="C293" s="197" t="s">
        <v>27</v>
      </c>
      <c r="D293" s="219" t="s">
        <v>946</v>
      </c>
      <c r="E293" s="220" t="s">
        <v>1195</v>
      </c>
      <c r="F293" s="193">
        <v>1237</v>
      </c>
      <c r="G293" s="193">
        <v>1930253.675</v>
      </c>
      <c r="H293" s="109">
        <v>815</v>
      </c>
      <c r="I293" s="109">
        <v>1397770</v>
      </c>
      <c r="J293" s="159">
        <f t="shared" si="20"/>
        <v>0.65885206143896524</v>
      </c>
      <c r="K293" s="159">
        <f t="shared" si="21"/>
        <v>0.72413798150131747</v>
      </c>
      <c r="L293" s="159">
        <f t="shared" si="22"/>
        <v>0.19765561843168958</v>
      </c>
      <c r="M293" s="159">
        <f t="shared" si="23"/>
        <v>0.50689658705092222</v>
      </c>
      <c r="N293" s="160">
        <f t="shared" si="24"/>
        <v>0.70455220548261177</v>
      </c>
      <c r="O293" s="161"/>
      <c r="P293" s="161"/>
    </row>
    <row r="294" spans="1:16" x14ac:dyDescent="0.2">
      <c r="A294" s="165">
        <v>288</v>
      </c>
      <c r="B294" s="220" t="s">
        <v>102</v>
      </c>
      <c r="C294" s="197" t="s">
        <v>27</v>
      </c>
      <c r="D294" s="219" t="s">
        <v>951</v>
      </c>
      <c r="E294" s="220" t="s">
        <v>952</v>
      </c>
      <c r="F294" s="193">
        <v>1045</v>
      </c>
      <c r="G294" s="193">
        <v>2801018.8250000002</v>
      </c>
      <c r="H294" s="109">
        <v>973</v>
      </c>
      <c r="I294" s="109">
        <v>2737960</v>
      </c>
      <c r="J294" s="159">
        <f t="shared" si="20"/>
        <v>0.93110047846889954</v>
      </c>
      <c r="K294" s="159">
        <f t="shared" si="21"/>
        <v>0.97748718272180835</v>
      </c>
      <c r="L294" s="159">
        <f t="shared" si="22"/>
        <v>0.27933014354066987</v>
      </c>
      <c r="M294" s="159">
        <f t="shared" si="23"/>
        <v>0.68424102790526575</v>
      </c>
      <c r="N294" s="160">
        <f t="shared" si="24"/>
        <v>0.96357117144593563</v>
      </c>
      <c r="O294" s="161"/>
      <c r="P294" s="161"/>
    </row>
    <row r="295" spans="1:16" x14ac:dyDescent="0.2">
      <c r="A295" s="165">
        <v>289</v>
      </c>
      <c r="B295" s="220" t="s">
        <v>102</v>
      </c>
      <c r="C295" s="197" t="s">
        <v>27</v>
      </c>
      <c r="D295" s="219" t="s">
        <v>945</v>
      </c>
      <c r="E295" s="220" t="s">
        <v>1262</v>
      </c>
      <c r="F295" s="193">
        <v>1364</v>
      </c>
      <c r="G295" s="193">
        <v>2959697.5249999999</v>
      </c>
      <c r="H295" s="109">
        <v>1331</v>
      </c>
      <c r="I295" s="109">
        <v>2988330</v>
      </c>
      <c r="J295" s="159">
        <f t="shared" si="20"/>
        <v>0.97580645161290325</v>
      </c>
      <c r="K295" s="159">
        <f t="shared" si="21"/>
        <v>1.0096741220202898</v>
      </c>
      <c r="L295" s="159">
        <f t="shared" si="22"/>
        <v>0.29274193548387095</v>
      </c>
      <c r="M295" s="159">
        <f t="shared" si="23"/>
        <v>0.7</v>
      </c>
      <c r="N295" s="160">
        <f t="shared" si="24"/>
        <v>0.99274193548387091</v>
      </c>
      <c r="O295" s="161"/>
      <c r="P295" s="161"/>
    </row>
    <row r="296" spans="1:16" x14ac:dyDescent="0.2">
      <c r="A296" s="165">
        <v>290</v>
      </c>
      <c r="B296" s="237" t="s">
        <v>102</v>
      </c>
      <c r="C296" s="197" t="s">
        <v>27</v>
      </c>
      <c r="D296" s="219" t="s">
        <v>953</v>
      </c>
      <c r="E296" s="220" t="s">
        <v>1410</v>
      </c>
      <c r="F296" s="193">
        <v>1117</v>
      </c>
      <c r="G296" s="193">
        <v>1589739.325</v>
      </c>
      <c r="H296" s="109">
        <v>814</v>
      </c>
      <c r="I296" s="109">
        <v>1172680</v>
      </c>
      <c r="J296" s="159">
        <f t="shared" si="20"/>
        <v>0.72873769024171886</v>
      </c>
      <c r="K296" s="159">
        <f t="shared" si="21"/>
        <v>0.73765552726702543</v>
      </c>
      <c r="L296" s="159">
        <f t="shared" si="22"/>
        <v>0.21862130707251565</v>
      </c>
      <c r="M296" s="159">
        <f t="shared" si="23"/>
        <v>0.51635886908691775</v>
      </c>
      <c r="N296" s="160">
        <f t="shared" si="24"/>
        <v>0.73498017615943345</v>
      </c>
      <c r="O296" s="161"/>
      <c r="P296" s="161"/>
    </row>
    <row r="297" spans="1:16" x14ac:dyDescent="0.2">
      <c r="A297" s="165">
        <v>291</v>
      </c>
      <c r="B297" s="237" t="s">
        <v>102</v>
      </c>
      <c r="C297" s="197" t="s">
        <v>27</v>
      </c>
      <c r="D297" s="219" t="s">
        <v>947</v>
      </c>
      <c r="E297" s="220" t="s">
        <v>948</v>
      </c>
      <c r="F297" s="193">
        <v>2039</v>
      </c>
      <c r="G297" s="193">
        <v>2748928.3250000002</v>
      </c>
      <c r="H297" s="109">
        <v>1283</v>
      </c>
      <c r="I297" s="109">
        <v>1714880</v>
      </c>
      <c r="J297" s="159">
        <f t="shared" si="20"/>
        <v>0.6292300147130947</v>
      </c>
      <c r="K297" s="159">
        <f t="shared" si="21"/>
        <v>0.6238358360980546</v>
      </c>
      <c r="L297" s="159">
        <f t="shared" si="22"/>
        <v>0.18876900441392841</v>
      </c>
      <c r="M297" s="159">
        <f t="shared" si="23"/>
        <v>0.4366850852686382</v>
      </c>
      <c r="N297" s="160">
        <f t="shared" si="24"/>
        <v>0.62545408968256666</v>
      </c>
      <c r="O297" s="161"/>
      <c r="P297" s="161"/>
    </row>
    <row r="298" spans="1:16" x14ac:dyDescent="0.2">
      <c r="A298" s="165">
        <v>292</v>
      </c>
      <c r="B298" s="237" t="s">
        <v>105</v>
      </c>
      <c r="C298" s="197" t="s">
        <v>27</v>
      </c>
      <c r="D298" s="219" t="s">
        <v>939</v>
      </c>
      <c r="E298" s="220" t="s">
        <v>940</v>
      </c>
      <c r="F298" s="193">
        <v>1934</v>
      </c>
      <c r="G298" s="193">
        <v>2724327.55</v>
      </c>
      <c r="H298" s="109">
        <v>1941</v>
      </c>
      <c r="I298" s="109">
        <v>2608535</v>
      </c>
      <c r="J298" s="159">
        <f t="shared" si="20"/>
        <v>1.0036194415718718</v>
      </c>
      <c r="K298" s="159">
        <f t="shared" si="21"/>
        <v>0.95749683256699447</v>
      </c>
      <c r="L298" s="159">
        <f t="shared" si="22"/>
        <v>0.3</v>
      </c>
      <c r="M298" s="159">
        <f t="shared" si="23"/>
        <v>0.67024778279689612</v>
      </c>
      <c r="N298" s="160">
        <f t="shared" si="24"/>
        <v>0.97024778279689605</v>
      </c>
      <c r="O298" s="161"/>
      <c r="P298" s="161"/>
    </row>
    <row r="299" spans="1:16" x14ac:dyDescent="0.2">
      <c r="A299" s="165">
        <v>293</v>
      </c>
      <c r="B299" s="238" t="s">
        <v>105</v>
      </c>
      <c r="C299" s="197" t="s">
        <v>27</v>
      </c>
      <c r="D299" s="219" t="s">
        <v>942</v>
      </c>
      <c r="E299" s="220" t="s">
        <v>1224</v>
      </c>
      <c r="F299" s="193">
        <v>1238</v>
      </c>
      <c r="G299" s="193">
        <v>1604054.4</v>
      </c>
      <c r="H299" s="109">
        <v>877</v>
      </c>
      <c r="I299" s="109">
        <v>1204560</v>
      </c>
      <c r="J299" s="159">
        <f t="shared" si="20"/>
        <v>0.70840064620355414</v>
      </c>
      <c r="K299" s="159">
        <f t="shared" si="21"/>
        <v>0.7509471000484772</v>
      </c>
      <c r="L299" s="159">
        <f t="shared" si="22"/>
        <v>0.21252019386106624</v>
      </c>
      <c r="M299" s="159">
        <f t="shared" si="23"/>
        <v>0.52566297003393403</v>
      </c>
      <c r="N299" s="160">
        <f t="shared" si="24"/>
        <v>0.73818316389500027</v>
      </c>
      <c r="O299" s="161"/>
      <c r="P299" s="161"/>
    </row>
    <row r="300" spans="1:16" x14ac:dyDescent="0.2">
      <c r="A300" s="165">
        <v>294</v>
      </c>
      <c r="B300" s="238" t="s">
        <v>105</v>
      </c>
      <c r="C300" s="197" t="s">
        <v>27</v>
      </c>
      <c r="D300" s="219" t="s">
        <v>941</v>
      </c>
      <c r="E300" s="220" t="s">
        <v>1079</v>
      </c>
      <c r="F300" s="193">
        <v>1343</v>
      </c>
      <c r="G300" s="193">
        <v>2839241.45</v>
      </c>
      <c r="H300" s="109">
        <v>1582</v>
      </c>
      <c r="I300" s="109">
        <v>2018910</v>
      </c>
      <c r="J300" s="159">
        <f t="shared" si="20"/>
        <v>1.1779597915115414</v>
      </c>
      <c r="K300" s="159">
        <f t="shared" si="21"/>
        <v>0.71107372710411787</v>
      </c>
      <c r="L300" s="159">
        <f t="shared" si="22"/>
        <v>0.3</v>
      </c>
      <c r="M300" s="159">
        <f t="shared" si="23"/>
        <v>0.49775160897288245</v>
      </c>
      <c r="N300" s="160">
        <f t="shared" si="24"/>
        <v>0.79775160897288244</v>
      </c>
      <c r="O300" s="161"/>
      <c r="P300" s="161"/>
    </row>
    <row r="301" spans="1:16" x14ac:dyDescent="0.2">
      <c r="A301" s="165">
        <v>295</v>
      </c>
      <c r="B301" s="238" t="s">
        <v>125</v>
      </c>
      <c r="C301" s="197" t="s">
        <v>137</v>
      </c>
      <c r="D301" s="219" t="s">
        <v>496</v>
      </c>
      <c r="E301" s="220" t="s">
        <v>497</v>
      </c>
      <c r="F301" s="195">
        <v>2026</v>
      </c>
      <c r="G301" s="191">
        <v>3482057.95</v>
      </c>
      <c r="H301" s="109">
        <v>1279</v>
      </c>
      <c r="I301" s="109">
        <v>1785715</v>
      </c>
      <c r="J301" s="159">
        <f t="shared" si="20"/>
        <v>0.63129318854886474</v>
      </c>
      <c r="K301" s="159">
        <f t="shared" si="21"/>
        <v>0.51283322266362619</v>
      </c>
      <c r="L301" s="159">
        <f t="shared" si="22"/>
        <v>0.18938795656465943</v>
      </c>
      <c r="M301" s="159">
        <f t="shared" si="23"/>
        <v>0.35898325586453833</v>
      </c>
      <c r="N301" s="160">
        <f t="shared" si="24"/>
        <v>0.54837121242919773</v>
      </c>
      <c r="O301" s="161"/>
      <c r="P301" s="161"/>
    </row>
    <row r="302" spans="1:16" x14ac:dyDescent="0.2">
      <c r="A302" s="165">
        <v>296</v>
      </c>
      <c r="B302" s="238" t="s">
        <v>125</v>
      </c>
      <c r="C302" s="197" t="s">
        <v>137</v>
      </c>
      <c r="D302" s="219" t="s">
        <v>495</v>
      </c>
      <c r="E302" s="220" t="s">
        <v>1001</v>
      </c>
      <c r="F302" s="195">
        <v>1839</v>
      </c>
      <c r="G302" s="191">
        <v>3128540.5249999999</v>
      </c>
      <c r="H302" s="109">
        <v>1669</v>
      </c>
      <c r="I302" s="109">
        <v>3302520</v>
      </c>
      <c r="J302" s="159">
        <f t="shared" si="20"/>
        <v>0.90755845568243609</v>
      </c>
      <c r="K302" s="159">
        <f t="shared" si="21"/>
        <v>1.0556104271655551</v>
      </c>
      <c r="L302" s="159">
        <f t="shared" si="22"/>
        <v>0.27226753670473081</v>
      </c>
      <c r="M302" s="159">
        <f t="shared" si="23"/>
        <v>0.7</v>
      </c>
      <c r="N302" s="160">
        <f t="shared" si="24"/>
        <v>0.97226753670473076</v>
      </c>
      <c r="O302" s="161"/>
      <c r="P302" s="161"/>
    </row>
    <row r="303" spans="1:16" x14ac:dyDescent="0.2">
      <c r="A303" s="165">
        <v>297</v>
      </c>
      <c r="B303" s="239" t="s">
        <v>126</v>
      </c>
      <c r="C303" s="197" t="s">
        <v>137</v>
      </c>
      <c r="D303" s="219" t="s">
        <v>498</v>
      </c>
      <c r="E303" s="239" t="s">
        <v>499</v>
      </c>
      <c r="F303" s="195">
        <v>1315</v>
      </c>
      <c r="G303" s="191">
        <v>1904698.325</v>
      </c>
      <c r="H303" s="109">
        <v>768</v>
      </c>
      <c r="I303" s="109">
        <v>1364930</v>
      </c>
      <c r="J303" s="159">
        <f t="shared" si="20"/>
        <v>0.58403041825095059</v>
      </c>
      <c r="K303" s="159">
        <f t="shared" si="21"/>
        <v>0.71661217006635425</v>
      </c>
      <c r="L303" s="159">
        <f t="shared" si="22"/>
        <v>0.17520912547528517</v>
      </c>
      <c r="M303" s="159">
        <f t="shared" si="23"/>
        <v>0.5016285190464479</v>
      </c>
      <c r="N303" s="160">
        <f t="shared" si="24"/>
        <v>0.67683764452173301</v>
      </c>
      <c r="O303" s="161"/>
      <c r="P303" s="161"/>
    </row>
    <row r="304" spans="1:16" x14ac:dyDescent="0.2">
      <c r="A304" s="165">
        <v>298</v>
      </c>
      <c r="B304" s="239" t="s">
        <v>126</v>
      </c>
      <c r="C304" s="197" t="s">
        <v>137</v>
      </c>
      <c r="D304" s="219" t="s">
        <v>512</v>
      </c>
      <c r="E304" s="239" t="s">
        <v>1111</v>
      </c>
      <c r="F304" s="195">
        <v>1783</v>
      </c>
      <c r="G304" s="191">
        <v>3393396.95</v>
      </c>
      <c r="H304" s="109">
        <v>1636</v>
      </c>
      <c r="I304" s="109">
        <v>2739250</v>
      </c>
      <c r="J304" s="159">
        <f t="shared" si="20"/>
        <v>0.91755468311833988</v>
      </c>
      <c r="K304" s="159">
        <f t="shared" si="21"/>
        <v>0.80722946367945547</v>
      </c>
      <c r="L304" s="159">
        <f t="shared" si="22"/>
        <v>0.27526640493550197</v>
      </c>
      <c r="M304" s="159">
        <f t="shared" si="23"/>
        <v>0.56506062457561879</v>
      </c>
      <c r="N304" s="160">
        <f t="shared" si="24"/>
        <v>0.8403270295111207</v>
      </c>
      <c r="O304" s="161"/>
      <c r="P304" s="161"/>
    </row>
    <row r="305" spans="1:16" x14ac:dyDescent="0.2">
      <c r="A305" s="165">
        <v>299</v>
      </c>
      <c r="B305" s="239" t="s">
        <v>126</v>
      </c>
      <c r="C305" s="197" t="s">
        <v>137</v>
      </c>
      <c r="D305" s="219" t="s">
        <v>513</v>
      </c>
      <c r="E305" s="239" t="s">
        <v>514</v>
      </c>
      <c r="F305" s="195">
        <v>1594</v>
      </c>
      <c r="G305" s="191">
        <v>2829489.5249999999</v>
      </c>
      <c r="H305" s="109">
        <v>1372</v>
      </c>
      <c r="I305" s="109">
        <v>2325030</v>
      </c>
      <c r="J305" s="159">
        <f t="shared" si="20"/>
        <v>0.86072772898368888</v>
      </c>
      <c r="K305" s="159">
        <f t="shared" si="21"/>
        <v>0.82171359160624569</v>
      </c>
      <c r="L305" s="159">
        <f t="shared" si="22"/>
        <v>0.25821831869510664</v>
      </c>
      <c r="M305" s="159">
        <f t="shared" si="23"/>
        <v>0.57519951412437198</v>
      </c>
      <c r="N305" s="160">
        <f t="shared" si="24"/>
        <v>0.83341783281947857</v>
      </c>
      <c r="O305" s="161"/>
      <c r="P305" s="161"/>
    </row>
    <row r="306" spans="1:16" x14ac:dyDescent="0.2">
      <c r="A306" s="165">
        <v>300</v>
      </c>
      <c r="B306" s="239" t="s">
        <v>126</v>
      </c>
      <c r="C306" s="198" t="s">
        <v>137</v>
      </c>
      <c r="D306" s="219" t="s">
        <v>506</v>
      </c>
      <c r="E306" s="239" t="s">
        <v>507</v>
      </c>
      <c r="F306" s="195">
        <v>2174</v>
      </c>
      <c r="G306" s="191">
        <v>3270772.7749999999</v>
      </c>
      <c r="H306" s="109">
        <v>1204</v>
      </c>
      <c r="I306" s="109">
        <v>1629415</v>
      </c>
      <c r="J306" s="159">
        <f t="shared" si="20"/>
        <v>0.55381784728610861</v>
      </c>
      <c r="K306" s="159">
        <f t="shared" si="21"/>
        <v>0.49817431906439907</v>
      </c>
      <c r="L306" s="159">
        <f t="shared" si="22"/>
        <v>0.16614535418583257</v>
      </c>
      <c r="M306" s="159">
        <f t="shared" si="23"/>
        <v>0.34872202334507935</v>
      </c>
      <c r="N306" s="160">
        <f t="shared" si="24"/>
        <v>0.51486737753091194</v>
      </c>
      <c r="O306" s="161"/>
      <c r="P306" s="161"/>
    </row>
    <row r="307" spans="1:16" x14ac:dyDescent="0.2">
      <c r="A307" s="165">
        <v>301</v>
      </c>
      <c r="B307" s="239" t="s">
        <v>126</v>
      </c>
      <c r="C307" s="198" t="s">
        <v>137</v>
      </c>
      <c r="D307" s="219" t="s">
        <v>500</v>
      </c>
      <c r="E307" s="239" t="s">
        <v>501</v>
      </c>
      <c r="F307" s="195">
        <v>1482</v>
      </c>
      <c r="G307" s="191">
        <v>4211671.2249999996</v>
      </c>
      <c r="H307" s="109">
        <v>1438</v>
      </c>
      <c r="I307" s="109">
        <v>3143620</v>
      </c>
      <c r="J307" s="159">
        <f t="shared" si="20"/>
        <v>0.97031039136302299</v>
      </c>
      <c r="K307" s="159">
        <f t="shared" si="21"/>
        <v>0.74640679009791422</v>
      </c>
      <c r="L307" s="159">
        <f t="shared" si="22"/>
        <v>0.29109311740890687</v>
      </c>
      <c r="M307" s="159">
        <f t="shared" si="23"/>
        <v>0.52248475306853992</v>
      </c>
      <c r="N307" s="160">
        <f t="shared" si="24"/>
        <v>0.81357787047744679</v>
      </c>
      <c r="O307" s="161"/>
      <c r="P307" s="161"/>
    </row>
    <row r="308" spans="1:16" x14ac:dyDescent="0.2">
      <c r="A308" s="165">
        <v>302</v>
      </c>
      <c r="B308" s="237" t="s">
        <v>126</v>
      </c>
      <c r="C308" s="197" t="s">
        <v>137</v>
      </c>
      <c r="D308" s="219" t="s">
        <v>504</v>
      </c>
      <c r="E308" s="220" t="s">
        <v>505</v>
      </c>
      <c r="F308" s="195">
        <v>2036</v>
      </c>
      <c r="G308" s="191">
        <v>3484296.9750000001</v>
      </c>
      <c r="H308" s="109">
        <v>1097</v>
      </c>
      <c r="I308" s="109">
        <v>1990755</v>
      </c>
      <c r="J308" s="159">
        <f t="shared" si="20"/>
        <v>0.53880157170923382</v>
      </c>
      <c r="K308" s="159">
        <f t="shared" si="21"/>
        <v>0.57135055200052232</v>
      </c>
      <c r="L308" s="159">
        <f t="shared" si="22"/>
        <v>0.16164047151277014</v>
      </c>
      <c r="M308" s="159">
        <f t="shared" si="23"/>
        <v>0.39994538640036559</v>
      </c>
      <c r="N308" s="160">
        <f t="shared" si="24"/>
        <v>0.56158585791313576</v>
      </c>
      <c r="O308" s="161"/>
      <c r="P308" s="161"/>
    </row>
    <row r="309" spans="1:16" x14ac:dyDescent="0.2">
      <c r="A309" s="165">
        <v>303</v>
      </c>
      <c r="B309" s="237" t="s">
        <v>126</v>
      </c>
      <c r="C309" s="197" t="s">
        <v>137</v>
      </c>
      <c r="D309" s="219" t="s">
        <v>502</v>
      </c>
      <c r="E309" s="220" t="s">
        <v>1251</v>
      </c>
      <c r="F309" s="195">
        <v>1497</v>
      </c>
      <c r="G309" s="191">
        <v>2927046.375</v>
      </c>
      <c r="H309" s="109">
        <v>1064</v>
      </c>
      <c r="I309" s="109">
        <v>1832320</v>
      </c>
      <c r="J309" s="159">
        <f t="shared" si="20"/>
        <v>0.71075484301937208</v>
      </c>
      <c r="K309" s="159">
        <f t="shared" si="21"/>
        <v>0.62599623143996141</v>
      </c>
      <c r="L309" s="159">
        <f t="shared" si="22"/>
        <v>0.21322645290581163</v>
      </c>
      <c r="M309" s="159">
        <f t="shared" si="23"/>
        <v>0.43819736200797293</v>
      </c>
      <c r="N309" s="160">
        <f t="shared" si="24"/>
        <v>0.65142381491378454</v>
      </c>
      <c r="O309" s="161"/>
      <c r="P309" s="161"/>
    </row>
    <row r="310" spans="1:16" x14ac:dyDescent="0.2">
      <c r="A310" s="165">
        <v>304</v>
      </c>
      <c r="B310" s="237" t="s">
        <v>126</v>
      </c>
      <c r="C310" s="197" t="s">
        <v>137</v>
      </c>
      <c r="D310" s="219" t="s">
        <v>510</v>
      </c>
      <c r="E310" s="220" t="s">
        <v>511</v>
      </c>
      <c r="F310" s="195">
        <v>2500</v>
      </c>
      <c r="G310" s="191">
        <v>6456713.1749999998</v>
      </c>
      <c r="H310" s="109">
        <v>2597</v>
      </c>
      <c r="I310" s="109">
        <v>5661200</v>
      </c>
      <c r="J310" s="159">
        <f t="shared" si="20"/>
        <v>1.0387999999999999</v>
      </c>
      <c r="K310" s="159">
        <f t="shared" si="21"/>
        <v>0.87679285831060638</v>
      </c>
      <c r="L310" s="159">
        <f t="shared" si="22"/>
        <v>0.3</v>
      </c>
      <c r="M310" s="159">
        <f t="shared" si="23"/>
        <v>0.6137550008174244</v>
      </c>
      <c r="N310" s="160">
        <f t="shared" si="24"/>
        <v>0.91375500081742445</v>
      </c>
      <c r="O310" s="161"/>
      <c r="P310" s="161"/>
    </row>
    <row r="311" spans="1:16" x14ac:dyDescent="0.2">
      <c r="A311" s="165">
        <v>305</v>
      </c>
      <c r="B311" s="237" t="s">
        <v>126</v>
      </c>
      <c r="C311" s="197" t="s">
        <v>137</v>
      </c>
      <c r="D311" s="219" t="s">
        <v>508</v>
      </c>
      <c r="E311" s="220" t="s">
        <v>1135</v>
      </c>
      <c r="F311" s="195">
        <v>1030</v>
      </c>
      <c r="G311" s="191">
        <v>1443793.2250000001</v>
      </c>
      <c r="H311" s="109">
        <v>568</v>
      </c>
      <c r="I311" s="109">
        <v>890440</v>
      </c>
      <c r="J311" s="159">
        <f t="shared" si="20"/>
        <v>0.55145631067961165</v>
      </c>
      <c r="K311" s="159">
        <f t="shared" si="21"/>
        <v>0.61673651363753967</v>
      </c>
      <c r="L311" s="159">
        <f t="shared" si="22"/>
        <v>0.16543689320388349</v>
      </c>
      <c r="M311" s="159">
        <f t="shared" si="23"/>
        <v>0.43171555954627777</v>
      </c>
      <c r="N311" s="160">
        <f t="shared" si="24"/>
        <v>0.59715245275016127</v>
      </c>
      <c r="O311" s="161"/>
      <c r="P311" s="161"/>
    </row>
    <row r="312" spans="1:16" x14ac:dyDescent="0.2">
      <c r="A312" s="165">
        <v>306</v>
      </c>
      <c r="B312" s="237" t="s">
        <v>126</v>
      </c>
      <c r="C312" s="197" t="s">
        <v>137</v>
      </c>
      <c r="D312" s="219" t="s">
        <v>509</v>
      </c>
      <c r="E312" s="220" t="s">
        <v>1292</v>
      </c>
      <c r="F312" s="195">
        <v>1182</v>
      </c>
      <c r="G312" s="191">
        <v>2374865.1</v>
      </c>
      <c r="H312" s="109">
        <v>875</v>
      </c>
      <c r="I312" s="109">
        <v>1895340</v>
      </c>
      <c r="J312" s="159">
        <f t="shared" si="20"/>
        <v>0.74027072758037227</v>
      </c>
      <c r="K312" s="159">
        <f t="shared" si="21"/>
        <v>0.7980832258640711</v>
      </c>
      <c r="L312" s="159">
        <f t="shared" si="22"/>
        <v>0.22208121827411167</v>
      </c>
      <c r="M312" s="159">
        <f t="shared" si="23"/>
        <v>0.5586582581048497</v>
      </c>
      <c r="N312" s="160">
        <f t="shared" si="24"/>
        <v>0.78073947637896135</v>
      </c>
      <c r="O312" s="161"/>
      <c r="P312" s="161"/>
    </row>
    <row r="313" spans="1:16" x14ac:dyDescent="0.2">
      <c r="A313" s="165">
        <v>307</v>
      </c>
      <c r="B313" s="220" t="s">
        <v>3</v>
      </c>
      <c r="C313" s="197" t="s">
        <v>137</v>
      </c>
      <c r="D313" s="219" t="s">
        <v>182</v>
      </c>
      <c r="E313" s="220" t="s">
        <v>183</v>
      </c>
      <c r="F313" s="195">
        <v>1225</v>
      </c>
      <c r="G313" s="191">
        <v>2105389.8250000002</v>
      </c>
      <c r="H313" s="109">
        <v>1003</v>
      </c>
      <c r="I313" s="109">
        <v>1597700</v>
      </c>
      <c r="J313" s="159">
        <f t="shared" si="20"/>
        <v>0.81877551020408168</v>
      </c>
      <c r="K313" s="159">
        <f t="shared" si="21"/>
        <v>0.75886184165443082</v>
      </c>
      <c r="L313" s="159">
        <f t="shared" si="22"/>
        <v>0.2456326530612245</v>
      </c>
      <c r="M313" s="159">
        <f t="shared" si="23"/>
        <v>0.53120328915810155</v>
      </c>
      <c r="N313" s="160">
        <f t="shared" si="24"/>
        <v>0.77683594221932606</v>
      </c>
      <c r="O313" s="161"/>
      <c r="P313" s="161"/>
    </row>
    <row r="314" spans="1:16" x14ac:dyDescent="0.2">
      <c r="A314" s="165">
        <v>308</v>
      </c>
      <c r="B314" s="220" t="s">
        <v>3</v>
      </c>
      <c r="C314" s="197" t="s">
        <v>137</v>
      </c>
      <c r="D314" s="219" t="s">
        <v>180</v>
      </c>
      <c r="E314" s="220" t="s">
        <v>181</v>
      </c>
      <c r="F314" s="195">
        <v>1301</v>
      </c>
      <c r="G314" s="191">
        <v>2232001.2999999998</v>
      </c>
      <c r="H314" s="109">
        <v>1485</v>
      </c>
      <c r="I314" s="109">
        <v>1902140</v>
      </c>
      <c r="J314" s="159">
        <f t="shared" si="20"/>
        <v>1.1414296694850115</v>
      </c>
      <c r="K314" s="159">
        <f t="shared" si="21"/>
        <v>0.85221276528826406</v>
      </c>
      <c r="L314" s="159">
        <f t="shared" si="22"/>
        <v>0.3</v>
      </c>
      <c r="M314" s="159">
        <f t="shared" si="23"/>
        <v>0.5965489357017848</v>
      </c>
      <c r="N314" s="160">
        <f t="shared" si="24"/>
        <v>0.89654893570178484</v>
      </c>
      <c r="O314" s="161"/>
      <c r="P314" s="161"/>
    </row>
    <row r="315" spans="1:16" x14ac:dyDescent="0.2">
      <c r="A315" s="165">
        <v>309</v>
      </c>
      <c r="B315" s="220" t="s">
        <v>3</v>
      </c>
      <c r="C315" s="197" t="s">
        <v>137</v>
      </c>
      <c r="D315" s="219" t="s">
        <v>178</v>
      </c>
      <c r="E315" s="220" t="s">
        <v>179</v>
      </c>
      <c r="F315" s="195">
        <v>2116</v>
      </c>
      <c r="G315" s="191">
        <v>3634178.9</v>
      </c>
      <c r="H315" s="109">
        <v>1975</v>
      </c>
      <c r="I315" s="109">
        <v>3483255</v>
      </c>
      <c r="J315" s="159">
        <f t="shared" si="20"/>
        <v>0.93336483931947067</v>
      </c>
      <c r="K315" s="159">
        <f t="shared" si="21"/>
        <v>0.95847097675901427</v>
      </c>
      <c r="L315" s="159">
        <f t="shared" si="22"/>
        <v>0.28000945179584119</v>
      </c>
      <c r="M315" s="159">
        <f t="shared" si="23"/>
        <v>0.6709296837313099</v>
      </c>
      <c r="N315" s="160">
        <f t="shared" si="24"/>
        <v>0.95093913552715104</v>
      </c>
      <c r="O315" s="161"/>
      <c r="P315" s="161"/>
    </row>
    <row r="316" spans="1:16" x14ac:dyDescent="0.2">
      <c r="A316" s="165">
        <v>310</v>
      </c>
      <c r="B316" s="220" t="s">
        <v>3</v>
      </c>
      <c r="C316" s="197" t="s">
        <v>137</v>
      </c>
      <c r="D316" s="219" t="s">
        <v>176</v>
      </c>
      <c r="E316" s="220" t="s">
        <v>177</v>
      </c>
      <c r="F316" s="195">
        <v>1632</v>
      </c>
      <c r="G316" s="191">
        <v>2812485.6749999998</v>
      </c>
      <c r="H316" s="109">
        <v>1789</v>
      </c>
      <c r="I316" s="109">
        <v>2980535</v>
      </c>
      <c r="J316" s="159">
        <f t="shared" si="20"/>
        <v>1.0962009803921569</v>
      </c>
      <c r="K316" s="159">
        <f t="shared" si="21"/>
        <v>1.0597511754437647</v>
      </c>
      <c r="L316" s="159">
        <f t="shared" si="22"/>
        <v>0.3</v>
      </c>
      <c r="M316" s="159">
        <f t="shared" si="23"/>
        <v>0.7</v>
      </c>
      <c r="N316" s="160">
        <f t="shared" si="24"/>
        <v>1</v>
      </c>
      <c r="O316" s="161"/>
      <c r="P316" s="161"/>
    </row>
    <row r="317" spans="1:16" x14ac:dyDescent="0.2">
      <c r="A317" s="165">
        <v>311</v>
      </c>
      <c r="B317" s="220" t="s">
        <v>3</v>
      </c>
      <c r="C317" s="197" t="s">
        <v>137</v>
      </c>
      <c r="D317" s="219" t="s">
        <v>184</v>
      </c>
      <c r="E317" s="220" t="s">
        <v>185</v>
      </c>
      <c r="F317" s="195">
        <v>739</v>
      </c>
      <c r="G317" s="191">
        <v>1265184.125</v>
      </c>
      <c r="H317" s="109">
        <v>642</v>
      </c>
      <c r="I317" s="109">
        <v>1211900</v>
      </c>
      <c r="J317" s="159">
        <f t="shared" si="20"/>
        <v>0.86874154262516912</v>
      </c>
      <c r="K317" s="159">
        <f t="shared" si="21"/>
        <v>0.95788429213811077</v>
      </c>
      <c r="L317" s="159">
        <f t="shared" si="22"/>
        <v>0.26062246278755075</v>
      </c>
      <c r="M317" s="159">
        <f t="shared" si="23"/>
        <v>0.67051900449667745</v>
      </c>
      <c r="N317" s="160">
        <f t="shared" si="24"/>
        <v>0.9311414672842282</v>
      </c>
      <c r="O317" s="161"/>
      <c r="P317" s="161"/>
    </row>
    <row r="318" spans="1:16" x14ac:dyDescent="0.2">
      <c r="A318" s="165">
        <v>312</v>
      </c>
      <c r="B318" s="220" t="s">
        <v>3</v>
      </c>
      <c r="C318" s="197" t="s">
        <v>137</v>
      </c>
      <c r="D318" s="219" t="s">
        <v>175</v>
      </c>
      <c r="E318" s="220" t="s">
        <v>1415</v>
      </c>
      <c r="F318" s="195">
        <v>1199</v>
      </c>
      <c r="G318" s="191">
        <v>1997025.0249999999</v>
      </c>
      <c r="H318" s="109">
        <v>1078</v>
      </c>
      <c r="I318" s="109">
        <v>1383675</v>
      </c>
      <c r="J318" s="159">
        <f t="shared" si="20"/>
        <v>0.8990825688073395</v>
      </c>
      <c r="K318" s="159">
        <f t="shared" si="21"/>
        <v>0.69286813268651959</v>
      </c>
      <c r="L318" s="159">
        <f t="shared" si="22"/>
        <v>0.26972477064220185</v>
      </c>
      <c r="M318" s="159">
        <f t="shared" si="23"/>
        <v>0.48500769288056367</v>
      </c>
      <c r="N318" s="160">
        <f t="shared" si="24"/>
        <v>0.75473246352276546</v>
      </c>
      <c r="O318" s="161"/>
      <c r="P318" s="161"/>
    </row>
    <row r="319" spans="1:16" x14ac:dyDescent="0.2">
      <c r="A319" s="165">
        <v>313</v>
      </c>
      <c r="B319" s="220" t="s">
        <v>5</v>
      </c>
      <c r="C319" s="197" t="s">
        <v>137</v>
      </c>
      <c r="D319" s="219" t="s">
        <v>212</v>
      </c>
      <c r="E319" s="220" t="s">
        <v>213</v>
      </c>
      <c r="F319" s="195">
        <v>1033</v>
      </c>
      <c r="G319" s="191">
        <v>1771477.45</v>
      </c>
      <c r="H319" s="109">
        <v>854</v>
      </c>
      <c r="I319" s="109">
        <v>1016230</v>
      </c>
      <c r="J319" s="159">
        <f t="shared" si="20"/>
        <v>0.82671829622458859</v>
      </c>
      <c r="K319" s="159">
        <f t="shared" si="21"/>
        <v>0.57366239688797616</v>
      </c>
      <c r="L319" s="159">
        <f t="shared" si="22"/>
        <v>0.24801548886737657</v>
      </c>
      <c r="M319" s="159">
        <f t="shared" si="23"/>
        <v>0.40156367782158331</v>
      </c>
      <c r="N319" s="160">
        <f t="shared" si="24"/>
        <v>0.64957916668895987</v>
      </c>
      <c r="O319" s="161"/>
      <c r="P319" s="161"/>
    </row>
    <row r="320" spans="1:16" x14ac:dyDescent="0.2">
      <c r="A320" s="165">
        <v>314</v>
      </c>
      <c r="B320" s="220" t="s">
        <v>5</v>
      </c>
      <c r="C320" s="197" t="s">
        <v>137</v>
      </c>
      <c r="D320" s="219" t="s">
        <v>208</v>
      </c>
      <c r="E320" s="220" t="s">
        <v>209</v>
      </c>
      <c r="F320" s="195">
        <v>1308</v>
      </c>
      <c r="G320" s="191">
        <v>2237861.7749999999</v>
      </c>
      <c r="H320" s="109">
        <v>1298</v>
      </c>
      <c r="I320" s="109">
        <v>1684575</v>
      </c>
      <c r="J320" s="159">
        <f t="shared" si="20"/>
        <v>0.99235474006116209</v>
      </c>
      <c r="K320" s="159">
        <f t="shared" si="21"/>
        <v>0.75276096978777884</v>
      </c>
      <c r="L320" s="159">
        <f t="shared" si="22"/>
        <v>0.29770642201834863</v>
      </c>
      <c r="M320" s="159">
        <f t="shared" si="23"/>
        <v>0.52693267885144512</v>
      </c>
      <c r="N320" s="160">
        <f t="shared" si="24"/>
        <v>0.82463910086979375</v>
      </c>
      <c r="O320" s="161"/>
      <c r="P320" s="161"/>
    </row>
    <row r="321" spans="1:16" x14ac:dyDescent="0.2">
      <c r="A321" s="165">
        <v>315</v>
      </c>
      <c r="B321" s="220" t="s">
        <v>5</v>
      </c>
      <c r="C321" s="197" t="s">
        <v>137</v>
      </c>
      <c r="D321" s="219" t="s">
        <v>206</v>
      </c>
      <c r="E321" s="220" t="s">
        <v>207</v>
      </c>
      <c r="F321" s="195">
        <v>1052</v>
      </c>
      <c r="G321" s="191">
        <v>1738296.925</v>
      </c>
      <c r="H321" s="109">
        <v>1076</v>
      </c>
      <c r="I321" s="109">
        <v>1223285</v>
      </c>
      <c r="J321" s="159">
        <f t="shared" si="20"/>
        <v>1.0228136882129277</v>
      </c>
      <c r="K321" s="159">
        <f t="shared" si="21"/>
        <v>0.70372614851171067</v>
      </c>
      <c r="L321" s="159">
        <f t="shared" si="22"/>
        <v>0.3</v>
      </c>
      <c r="M321" s="159">
        <f t="shared" si="23"/>
        <v>0.49260830395819744</v>
      </c>
      <c r="N321" s="160">
        <f t="shared" si="24"/>
        <v>0.79260830395819748</v>
      </c>
      <c r="O321" s="161"/>
      <c r="P321" s="161"/>
    </row>
    <row r="322" spans="1:16" x14ac:dyDescent="0.2">
      <c r="A322" s="165">
        <v>316</v>
      </c>
      <c r="B322" s="220" t="s">
        <v>5</v>
      </c>
      <c r="C322" s="197" t="s">
        <v>137</v>
      </c>
      <c r="D322" s="219" t="s">
        <v>210</v>
      </c>
      <c r="E322" s="220" t="s">
        <v>1351</v>
      </c>
      <c r="F322" s="195">
        <v>3565</v>
      </c>
      <c r="G322" s="191">
        <v>6105682.6749999998</v>
      </c>
      <c r="H322" s="109">
        <v>4220</v>
      </c>
      <c r="I322" s="109">
        <v>5924590</v>
      </c>
      <c r="J322" s="159">
        <f t="shared" si="20"/>
        <v>1.1837307152875176</v>
      </c>
      <c r="K322" s="159">
        <f t="shared" si="21"/>
        <v>0.97034030678641514</v>
      </c>
      <c r="L322" s="159">
        <f t="shared" si="22"/>
        <v>0.3</v>
      </c>
      <c r="M322" s="159">
        <f t="shared" si="23"/>
        <v>0.67923821475049051</v>
      </c>
      <c r="N322" s="160">
        <f t="shared" si="24"/>
        <v>0.97923821475049055</v>
      </c>
      <c r="O322" s="161"/>
      <c r="P322" s="161"/>
    </row>
    <row r="323" spans="1:16" x14ac:dyDescent="0.2">
      <c r="A323" s="165">
        <v>317</v>
      </c>
      <c r="B323" s="220" t="s">
        <v>11</v>
      </c>
      <c r="C323" s="197" t="s">
        <v>137</v>
      </c>
      <c r="D323" s="219" t="s">
        <v>188</v>
      </c>
      <c r="E323" s="220" t="s">
        <v>1322</v>
      </c>
      <c r="F323" s="195">
        <v>1076</v>
      </c>
      <c r="G323" s="191">
        <v>1848362.9750000001</v>
      </c>
      <c r="H323" s="109">
        <v>1206</v>
      </c>
      <c r="I323" s="109">
        <v>1700385</v>
      </c>
      <c r="J323" s="159">
        <f t="shared" si="20"/>
        <v>1.1208178438661709</v>
      </c>
      <c r="K323" s="159">
        <f t="shared" si="21"/>
        <v>0.91994106298304312</v>
      </c>
      <c r="L323" s="159">
        <f t="shared" si="22"/>
        <v>0.3</v>
      </c>
      <c r="M323" s="159">
        <f t="shared" si="23"/>
        <v>0.64395874408813014</v>
      </c>
      <c r="N323" s="160">
        <f t="shared" si="24"/>
        <v>0.94395874408813008</v>
      </c>
      <c r="O323" s="161"/>
      <c r="P323" s="161"/>
    </row>
    <row r="324" spans="1:16" x14ac:dyDescent="0.2">
      <c r="A324" s="165">
        <v>318</v>
      </c>
      <c r="B324" s="220" t="s">
        <v>11</v>
      </c>
      <c r="C324" s="197" t="s">
        <v>137</v>
      </c>
      <c r="D324" s="219" t="s">
        <v>186</v>
      </c>
      <c r="E324" s="220" t="s">
        <v>187</v>
      </c>
      <c r="F324" s="195">
        <v>1026</v>
      </c>
      <c r="G324" s="191">
        <v>1760037.45</v>
      </c>
      <c r="H324" s="109">
        <v>949</v>
      </c>
      <c r="I324" s="109">
        <v>1517495</v>
      </c>
      <c r="J324" s="159">
        <f t="shared" si="20"/>
        <v>0.92495126705653019</v>
      </c>
      <c r="K324" s="159">
        <f t="shared" si="21"/>
        <v>0.86219472204980641</v>
      </c>
      <c r="L324" s="159">
        <f t="shared" si="22"/>
        <v>0.27748538011695906</v>
      </c>
      <c r="M324" s="159">
        <f t="shared" si="23"/>
        <v>0.60353630543486447</v>
      </c>
      <c r="N324" s="160">
        <f t="shared" si="24"/>
        <v>0.88102168555182359</v>
      </c>
      <c r="O324" s="161"/>
      <c r="P324" s="161"/>
    </row>
    <row r="325" spans="1:16" x14ac:dyDescent="0.2">
      <c r="A325" s="165">
        <v>319</v>
      </c>
      <c r="B325" s="220" t="s">
        <v>11</v>
      </c>
      <c r="C325" s="197" t="s">
        <v>137</v>
      </c>
      <c r="D325" s="219" t="s">
        <v>190</v>
      </c>
      <c r="E325" s="220" t="s">
        <v>191</v>
      </c>
      <c r="F325" s="195">
        <v>1380</v>
      </c>
      <c r="G325" s="191">
        <v>2341065.2999999998</v>
      </c>
      <c r="H325" s="109">
        <v>1009</v>
      </c>
      <c r="I325" s="109">
        <v>1580880</v>
      </c>
      <c r="J325" s="159">
        <f t="shared" si="20"/>
        <v>0.73115942028985503</v>
      </c>
      <c r="K325" s="159">
        <f t="shared" si="21"/>
        <v>0.67528231698620289</v>
      </c>
      <c r="L325" s="159">
        <f t="shared" si="22"/>
        <v>0.21934782608695649</v>
      </c>
      <c r="M325" s="159">
        <f t="shared" si="23"/>
        <v>0.47269762189034198</v>
      </c>
      <c r="N325" s="160">
        <f t="shared" si="24"/>
        <v>0.6920454479772985</v>
      </c>
      <c r="O325" s="161"/>
      <c r="P325" s="161"/>
    </row>
    <row r="326" spans="1:16" x14ac:dyDescent="0.2">
      <c r="A326" s="165">
        <v>320</v>
      </c>
      <c r="B326" s="220" t="s">
        <v>11</v>
      </c>
      <c r="C326" s="197" t="s">
        <v>137</v>
      </c>
      <c r="D326" s="219" t="s">
        <v>192</v>
      </c>
      <c r="E326" s="220" t="s">
        <v>193</v>
      </c>
      <c r="F326" s="195">
        <v>1687</v>
      </c>
      <c r="G326" s="191">
        <v>2884604.1</v>
      </c>
      <c r="H326" s="109">
        <v>1149</v>
      </c>
      <c r="I326" s="109">
        <v>2174390</v>
      </c>
      <c r="J326" s="159">
        <f t="shared" si="20"/>
        <v>0.68109069353882634</v>
      </c>
      <c r="K326" s="159">
        <f t="shared" si="21"/>
        <v>0.75379148216561154</v>
      </c>
      <c r="L326" s="159">
        <f t="shared" si="22"/>
        <v>0.20432720806164789</v>
      </c>
      <c r="M326" s="159">
        <f t="shared" si="23"/>
        <v>0.52765403751592799</v>
      </c>
      <c r="N326" s="160">
        <f t="shared" si="24"/>
        <v>0.73198124557757582</v>
      </c>
      <c r="O326" s="161"/>
      <c r="P326" s="161"/>
    </row>
    <row r="327" spans="1:16" x14ac:dyDescent="0.2">
      <c r="A327" s="165">
        <v>321</v>
      </c>
      <c r="B327" s="220" t="s">
        <v>4</v>
      </c>
      <c r="C327" s="197" t="s">
        <v>137</v>
      </c>
      <c r="D327" s="219" t="s">
        <v>196</v>
      </c>
      <c r="E327" s="220" t="s">
        <v>290</v>
      </c>
      <c r="F327" s="195">
        <v>1433</v>
      </c>
      <c r="G327" s="191">
        <v>2444581.6749999998</v>
      </c>
      <c r="H327" s="109">
        <v>1189</v>
      </c>
      <c r="I327" s="109">
        <v>1599555</v>
      </c>
      <c r="J327" s="159">
        <f t="shared" ref="J327:J390" si="25">IFERROR(H327/F327,0)</f>
        <v>0.82972784368457786</v>
      </c>
      <c r="K327" s="159">
        <f t="shared" ref="K327:K390" si="26">IFERROR(I327/G327,0)</f>
        <v>0.65432667534006617</v>
      </c>
      <c r="L327" s="159">
        <f t="shared" ref="L327:L390" si="27">IF((J327*0.3)&gt;30%,30%,(J327*0.3))</f>
        <v>0.24891835310537336</v>
      </c>
      <c r="M327" s="159">
        <f t="shared" ref="M327:M390" si="28">IF((K327*0.7)&gt;70%,70%,(K327*0.7))</f>
        <v>0.45802867273804626</v>
      </c>
      <c r="N327" s="160">
        <f t="shared" ref="N327:N390" si="29">L327+M327</f>
        <v>0.70694702584341962</v>
      </c>
      <c r="O327" s="161"/>
      <c r="P327" s="161"/>
    </row>
    <row r="328" spans="1:16" x14ac:dyDescent="0.2">
      <c r="A328" s="165">
        <v>322</v>
      </c>
      <c r="B328" s="220" t="s">
        <v>4</v>
      </c>
      <c r="C328" s="197" t="s">
        <v>137</v>
      </c>
      <c r="D328" s="219" t="s">
        <v>194</v>
      </c>
      <c r="E328" s="220" t="s">
        <v>1352</v>
      </c>
      <c r="F328" s="195">
        <v>1556</v>
      </c>
      <c r="G328" s="191">
        <v>2668901.2000000002</v>
      </c>
      <c r="H328" s="109">
        <v>1369</v>
      </c>
      <c r="I328" s="109">
        <v>2430310</v>
      </c>
      <c r="J328" s="159">
        <f t="shared" si="25"/>
        <v>0.87982005141388175</v>
      </c>
      <c r="K328" s="159">
        <f t="shared" si="26"/>
        <v>0.91060321004014677</v>
      </c>
      <c r="L328" s="159">
        <f t="shared" si="27"/>
        <v>0.26394601542416452</v>
      </c>
      <c r="M328" s="159">
        <f t="shared" si="28"/>
        <v>0.63742224702810268</v>
      </c>
      <c r="N328" s="160">
        <f t="shared" si="29"/>
        <v>0.9013682624522672</v>
      </c>
      <c r="O328" s="161"/>
      <c r="P328" s="161"/>
    </row>
    <row r="329" spans="1:16" x14ac:dyDescent="0.2">
      <c r="A329" s="165">
        <v>323</v>
      </c>
      <c r="B329" s="220" t="s">
        <v>6</v>
      </c>
      <c r="C329" s="197" t="s">
        <v>137</v>
      </c>
      <c r="D329" s="219" t="s">
        <v>214</v>
      </c>
      <c r="E329" s="220" t="s">
        <v>1417</v>
      </c>
      <c r="F329" s="195">
        <v>1638</v>
      </c>
      <c r="G329" s="191">
        <v>2766439</v>
      </c>
      <c r="H329" s="109">
        <v>950</v>
      </c>
      <c r="I329" s="109">
        <v>1999395</v>
      </c>
      <c r="J329" s="159">
        <f t="shared" si="25"/>
        <v>0.57997557997558002</v>
      </c>
      <c r="K329" s="159">
        <f t="shared" si="26"/>
        <v>0.72273236460301493</v>
      </c>
      <c r="L329" s="159">
        <f t="shared" si="27"/>
        <v>0.17399267399267401</v>
      </c>
      <c r="M329" s="159">
        <f t="shared" si="28"/>
        <v>0.50591265522211037</v>
      </c>
      <c r="N329" s="160">
        <f t="shared" si="29"/>
        <v>0.67990532921478442</v>
      </c>
      <c r="O329" s="161"/>
      <c r="P329" s="161"/>
    </row>
    <row r="330" spans="1:16" x14ac:dyDescent="0.2">
      <c r="A330" s="165">
        <v>324</v>
      </c>
      <c r="B330" s="220" t="s">
        <v>6</v>
      </c>
      <c r="C330" s="197" t="s">
        <v>137</v>
      </c>
      <c r="D330" s="219" t="s">
        <v>215</v>
      </c>
      <c r="E330" s="220" t="s">
        <v>1527</v>
      </c>
      <c r="F330" s="195">
        <v>1475</v>
      </c>
      <c r="G330" s="191">
        <v>2535205.7250000001</v>
      </c>
      <c r="H330" s="109">
        <v>1310</v>
      </c>
      <c r="I330" s="109">
        <v>1972550</v>
      </c>
      <c r="J330" s="159">
        <f t="shared" si="25"/>
        <v>0.88813559322033897</v>
      </c>
      <c r="K330" s="159">
        <f t="shared" si="26"/>
        <v>0.77806308992931927</v>
      </c>
      <c r="L330" s="159">
        <f t="shared" si="27"/>
        <v>0.26644067796610166</v>
      </c>
      <c r="M330" s="159">
        <f t="shared" si="28"/>
        <v>0.54464416295052342</v>
      </c>
      <c r="N330" s="160">
        <f t="shared" si="29"/>
        <v>0.81108484091662514</v>
      </c>
      <c r="O330" s="161"/>
      <c r="P330" s="161"/>
    </row>
    <row r="331" spans="1:16" x14ac:dyDescent="0.2">
      <c r="A331" s="165">
        <v>325</v>
      </c>
      <c r="B331" s="220" t="s">
        <v>12</v>
      </c>
      <c r="C331" s="197" t="s">
        <v>137</v>
      </c>
      <c r="D331" s="219" t="s">
        <v>205</v>
      </c>
      <c r="E331" s="220" t="s">
        <v>1228</v>
      </c>
      <c r="F331" s="195">
        <v>1459</v>
      </c>
      <c r="G331" s="191">
        <v>2481319.625</v>
      </c>
      <c r="H331" s="109">
        <v>1252</v>
      </c>
      <c r="I331" s="109">
        <v>1962790</v>
      </c>
      <c r="J331" s="159">
        <f t="shared" si="25"/>
        <v>0.85812200137080197</v>
      </c>
      <c r="K331" s="159">
        <f t="shared" si="26"/>
        <v>0.79102666993173043</v>
      </c>
      <c r="L331" s="159">
        <f t="shared" si="27"/>
        <v>0.25743660041124056</v>
      </c>
      <c r="M331" s="159">
        <f t="shared" si="28"/>
        <v>0.55371866895221122</v>
      </c>
      <c r="N331" s="160">
        <f t="shared" si="29"/>
        <v>0.81115526936345184</v>
      </c>
      <c r="O331" s="161"/>
      <c r="P331" s="161"/>
    </row>
    <row r="332" spans="1:16" x14ac:dyDescent="0.2">
      <c r="A332" s="165">
        <v>326</v>
      </c>
      <c r="B332" s="220" t="s">
        <v>12</v>
      </c>
      <c r="C332" s="197" t="s">
        <v>137</v>
      </c>
      <c r="D332" s="219" t="s">
        <v>202</v>
      </c>
      <c r="E332" s="220" t="s">
        <v>203</v>
      </c>
      <c r="F332" s="195">
        <v>1141</v>
      </c>
      <c r="G332" s="191">
        <v>1918685.35</v>
      </c>
      <c r="H332" s="109">
        <v>1381</v>
      </c>
      <c r="I332" s="109">
        <v>1937420</v>
      </c>
      <c r="J332" s="159">
        <f t="shared" si="25"/>
        <v>1.21034180543383</v>
      </c>
      <c r="K332" s="159">
        <f t="shared" si="26"/>
        <v>1.0097643159677014</v>
      </c>
      <c r="L332" s="159">
        <f t="shared" si="27"/>
        <v>0.3</v>
      </c>
      <c r="M332" s="159">
        <f t="shared" si="28"/>
        <v>0.7</v>
      </c>
      <c r="N332" s="160">
        <f t="shared" si="29"/>
        <v>1</v>
      </c>
      <c r="O332" s="161"/>
      <c r="P332" s="161"/>
    </row>
    <row r="333" spans="1:16" x14ac:dyDescent="0.2">
      <c r="A333" s="165">
        <v>327</v>
      </c>
      <c r="B333" s="220" t="s">
        <v>12</v>
      </c>
      <c r="C333" s="197" t="s">
        <v>137</v>
      </c>
      <c r="D333" s="219" t="s">
        <v>204</v>
      </c>
      <c r="E333" s="220" t="s">
        <v>1418</v>
      </c>
      <c r="F333" s="195">
        <v>836</v>
      </c>
      <c r="G333" s="191">
        <v>1433170.55</v>
      </c>
      <c r="H333" s="109">
        <v>765</v>
      </c>
      <c r="I333" s="109">
        <v>1082425</v>
      </c>
      <c r="J333" s="159">
        <f t="shared" si="25"/>
        <v>0.91507177033492826</v>
      </c>
      <c r="K333" s="159">
        <f t="shared" si="26"/>
        <v>0.75526600794301835</v>
      </c>
      <c r="L333" s="159">
        <f t="shared" si="27"/>
        <v>0.27452153110047844</v>
      </c>
      <c r="M333" s="159">
        <f t="shared" si="28"/>
        <v>0.52868620556011281</v>
      </c>
      <c r="N333" s="160">
        <f t="shared" si="29"/>
        <v>0.8032077366605912</v>
      </c>
      <c r="P333" s="161"/>
    </row>
    <row r="334" spans="1:16" x14ac:dyDescent="0.2">
      <c r="A334" s="165">
        <v>328</v>
      </c>
      <c r="B334" s="220" t="s">
        <v>12</v>
      </c>
      <c r="C334" s="197" t="s">
        <v>137</v>
      </c>
      <c r="D334" s="219" t="s">
        <v>200</v>
      </c>
      <c r="E334" s="220" t="s">
        <v>201</v>
      </c>
      <c r="F334" s="195">
        <v>796</v>
      </c>
      <c r="G334" s="191">
        <v>1380434.65</v>
      </c>
      <c r="H334" s="109">
        <v>372</v>
      </c>
      <c r="I334" s="109">
        <v>587515</v>
      </c>
      <c r="J334" s="159">
        <f t="shared" si="25"/>
        <v>0.46733668341708545</v>
      </c>
      <c r="K334" s="159">
        <f t="shared" si="26"/>
        <v>0.42560145820738421</v>
      </c>
      <c r="L334" s="159">
        <f t="shared" si="27"/>
        <v>0.14020100502512564</v>
      </c>
      <c r="M334" s="159">
        <f t="shared" si="28"/>
        <v>0.29792102074516891</v>
      </c>
      <c r="N334" s="160">
        <f t="shared" si="29"/>
        <v>0.43812202577029458</v>
      </c>
      <c r="O334" s="161"/>
      <c r="P334" s="161"/>
    </row>
    <row r="335" spans="1:16" x14ac:dyDescent="0.2">
      <c r="A335" s="165">
        <v>329</v>
      </c>
      <c r="B335" s="220" t="s">
        <v>7</v>
      </c>
      <c r="C335" s="197" t="s">
        <v>137</v>
      </c>
      <c r="D335" s="219" t="s">
        <v>216</v>
      </c>
      <c r="E335" s="220" t="s">
        <v>217</v>
      </c>
      <c r="F335" s="195">
        <v>993</v>
      </c>
      <c r="G335" s="191">
        <v>1701033.0249999999</v>
      </c>
      <c r="H335" s="109">
        <v>1574</v>
      </c>
      <c r="I335" s="109">
        <v>1901435</v>
      </c>
      <c r="J335" s="159">
        <f t="shared" si="25"/>
        <v>1.5850956696878147</v>
      </c>
      <c r="K335" s="159">
        <f t="shared" si="26"/>
        <v>1.117811924903692</v>
      </c>
      <c r="L335" s="159">
        <f t="shared" si="27"/>
        <v>0.3</v>
      </c>
      <c r="M335" s="159">
        <f t="shared" si="28"/>
        <v>0.7</v>
      </c>
      <c r="N335" s="160">
        <f t="shared" si="29"/>
        <v>1</v>
      </c>
      <c r="O335" s="161"/>
      <c r="P335" s="161"/>
    </row>
    <row r="336" spans="1:16" x14ac:dyDescent="0.2">
      <c r="A336" s="165">
        <v>330</v>
      </c>
      <c r="B336" s="220" t="s">
        <v>7</v>
      </c>
      <c r="C336" s="197" t="s">
        <v>137</v>
      </c>
      <c r="D336" s="219" t="s">
        <v>219</v>
      </c>
      <c r="E336" s="220" t="s">
        <v>1271</v>
      </c>
      <c r="F336" s="195">
        <v>2308</v>
      </c>
      <c r="G336" s="191">
        <v>3955926.2749999999</v>
      </c>
      <c r="H336" s="109">
        <v>3461</v>
      </c>
      <c r="I336" s="109">
        <v>5016425</v>
      </c>
      <c r="J336" s="159">
        <f t="shared" si="25"/>
        <v>1.4995667244367417</v>
      </c>
      <c r="K336" s="159">
        <f t="shared" si="26"/>
        <v>1.2680784856133347</v>
      </c>
      <c r="L336" s="159">
        <f t="shared" si="27"/>
        <v>0.3</v>
      </c>
      <c r="M336" s="159">
        <f t="shared" si="28"/>
        <v>0.7</v>
      </c>
      <c r="N336" s="160">
        <f t="shared" si="29"/>
        <v>1</v>
      </c>
      <c r="O336" s="161"/>
      <c r="P336" s="161"/>
    </row>
    <row r="337" spans="1:16" x14ac:dyDescent="0.2">
      <c r="A337" s="165">
        <v>331</v>
      </c>
      <c r="B337" s="220" t="s">
        <v>8</v>
      </c>
      <c r="C337" s="197" t="s">
        <v>137</v>
      </c>
      <c r="D337" s="219" t="s">
        <v>220</v>
      </c>
      <c r="E337" s="220" t="s">
        <v>1097</v>
      </c>
      <c r="F337" s="195">
        <v>1578</v>
      </c>
      <c r="G337" s="191">
        <v>2706587.15</v>
      </c>
      <c r="H337" s="109">
        <v>2027</v>
      </c>
      <c r="I337" s="109">
        <v>2653385</v>
      </c>
      <c r="J337" s="159">
        <f t="shared" si="25"/>
        <v>1.2845373891001268</v>
      </c>
      <c r="K337" s="159">
        <f t="shared" si="26"/>
        <v>0.98034345577972615</v>
      </c>
      <c r="L337" s="159">
        <f t="shared" si="27"/>
        <v>0.3</v>
      </c>
      <c r="M337" s="159">
        <f t="shared" si="28"/>
        <v>0.68624041904580824</v>
      </c>
      <c r="N337" s="160">
        <f t="shared" si="29"/>
        <v>0.98624041904580828</v>
      </c>
      <c r="O337" s="161"/>
      <c r="P337" s="161"/>
    </row>
    <row r="338" spans="1:16" x14ac:dyDescent="0.2">
      <c r="A338" s="165">
        <v>332</v>
      </c>
      <c r="B338" s="220" t="s">
        <v>8</v>
      </c>
      <c r="C338" s="197" t="s">
        <v>137</v>
      </c>
      <c r="D338" s="219" t="s">
        <v>221</v>
      </c>
      <c r="E338" s="220" t="s">
        <v>1427</v>
      </c>
      <c r="F338" s="195">
        <v>2362</v>
      </c>
      <c r="G338" s="191">
        <v>4056905.3250000002</v>
      </c>
      <c r="H338" s="109">
        <v>3816</v>
      </c>
      <c r="I338" s="109">
        <v>6316620</v>
      </c>
      <c r="J338" s="159">
        <f t="shared" si="25"/>
        <v>1.6155800169348009</v>
      </c>
      <c r="K338" s="159">
        <f t="shared" si="26"/>
        <v>1.557004537689082</v>
      </c>
      <c r="L338" s="159">
        <f t="shared" si="27"/>
        <v>0.3</v>
      </c>
      <c r="M338" s="159">
        <f t="shared" si="28"/>
        <v>0.7</v>
      </c>
      <c r="N338" s="160">
        <f t="shared" si="29"/>
        <v>1</v>
      </c>
      <c r="O338" s="161"/>
      <c r="P338" s="161"/>
    </row>
    <row r="339" spans="1:16" x14ac:dyDescent="0.2">
      <c r="A339" s="165">
        <v>333</v>
      </c>
      <c r="B339" s="220" t="s">
        <v>1204</v>
      </c>
      <c r="C339" s="197" t="s">
        <v>137</v>
      </c>
      <c r="D339" s="219" t="s">
        <v>529</v>
      </c>
      <c r="E339" s="220" t="s">
        <v>530</v>
      </c>
      <c r="F339" s="195">
        <v>1519</v>
      </c>
      <c r="G339" s="191">
        <v>2547070.1</v>
      </c>
      <c r="H339" s="109">
        <v>877</v>
      </c>
      <c r="I339" s="109">
        <v>1610950</v>
      </c>
      <c r="J339" s="159">
        <f t="shared" si="25"/>
        <v>0.57735352205398294</v>
      </c>
      <c r="K339" s="159">
        <f t="shared" si="26"/>
        <v>0.6324717957311029</v>
      </c>
      <c r="L339" s="159">
        <f t="shared" si="27"/>
        <v>0.17320605661619487</v>
      </c>
      <c r="M339" s="159">
        <f t="shared" si="28"/>
        <v>0.44273025701177199</v>
      </c>
      <c r="N339" s="160">
        <f t="shared" si="29"/>
        <v>0.61593631362796686</v>
      </c>
      <c r="O339" s="161"/>
      <c r="P339" s="161"/>
    </row>
    <row r="340" spans="1:16" x14ac:dyDescent="0.2">
      <c r="A340" s="165">
        <v>334</v>
      </c>
      <c r="B340" s="220" t="s">
        <v>1204</v>
      </c>
      <c r="C340" s="197" t="s">
        <v>137</v>
      </c>
      <c r="D340" s="219" t="s">
        <v>533</v>
      </c>
      <c r="E340" s="220" t="s">
        <v>1286</v>
      </c>
      <c r="F340" s="195">
        <v>1415</v>
      </c>
      <c r="G340" s="191">
        <v>2378727.6749999998</v>
      </c>
      <c r="H340" s="109">
        <v>1158</v>
      </c>
      <c r="I340" s="109">
        <v>1631420</v>
      </c>
      <c r="J340" s="159">
        <f t="shared" si="25"/>
        <v>0.81837455830388695</v>
      </c>
      <c r="K340" s="159">
        <f t="shared" si="26"/>
        <v>0.6858372301907153</v>
      </c>
      <c r="L340" s="159">
        <f t="shared" si="27"/>
        <v>0.24551236749116606</v>
      </c>
      <c r="M340" s="159">
        <f t="shared" si="28"/>
        <v>0.48008606113350066</v>
      </c>
      <c r="N340" s="160">
        <f t="shared" si="29"/>
        <v>0.72559842862466672</v>
      </c>
      <c r="O340" s="161"/>
      <c r="P340" s="161"/>
    </row>
    <row r="341" spans="1:16" x14ac:dyDescent="0.2">
      <c r="A341" s="165">
        <v>335</v>
      </c>
      <c r="B341" s="220" t="s">
        <v>1204</v>
      </c>
      <c r="C341" s="197" t="s">
        <v>137</v>
      </c>
      <c r="D341" s="219" t="s">
        <v>531</v>
      </c>
      <c r="E341" s="220" t="s">
        <v>532</v>
      </c>
      <c r="F341" s="195">
        <v>1476</v>
      </c>
      <c r="G341" s="191">
        <v>2505319.2000000002</v>
      </c>
      <c r="H341" s="109">
        <v>1028</v>
      </c>
      <c r="I341" s="109">
        <v>1619100</v>
      </c>
      <c r="J341" s="159">
        <f t="shared" si="25"/>
        <v>0.69647696476964771</v>
      </c>
      <c r="K341" s="159">
        <f t="shared" si="26"/>
        <v>0.64626495498058689</v>
      </c>
      <c r="L341" s="159">
        <f t="shared" si="27"/>
        <v>0.20894308943089432</v>
      </c>
      <c r="M341" s="159">
        <f t="shared" si="28"/>
        <v>0.45238546848641081</v>
      </c>
      <c r="N341" s="160">
        <f t="shared" si="29"/>
        <v>0.66132855791730516</v>
      </c>
      <c r="O341" s="161"/>
      <c r="P341" s="161"/>
    </row>
    <row r="342" spans="1:16" x14ac:dyDescent="0.2">
      <c r="A342" s="165">
        <v>336</v>
      </c>
      <c r="B342" s="220" t="s">
        <v>1204</v>
      </c>
      <c r="C342" s="197" t="s">
        <v>137</v>
      </c>
      <c r="D342" s="219" t="s">
        <v>527</v>
      </c>
      <c r="E342" s="220" t="s">
        <v>528</v>
      </c>
      <c r="F342" s="195">
        <v>2413</v>
      </c>
      <c r="G342" s="191">
        <v>4148388.3250000002</v>
      </c>
      <c r="H342" s="109">
        <v>1727</v>
      </c>
      <c r="I342" s="109">
        <v>3486875</v>
      </c>
      <c r="J342" s="159">
        <f t="shared" si="25"/>
        <v>0.71570658930791542</v>
      </c>
      <c r="K342" s="159">
        <f t="shared" si="26"/>
        <v>0.84053727057965333</v>
      </c>
      <c r="L342" s="159">
        <f t="shared" si="27"/>
        <v>0.21471197679237461</v>
      </c>
      <c r="M342" s="159">
        <f t="shared" si="28"/>
        <v>0.58837608940575725</v>
      </c>
      <c r="N342" s="160">
        <f t="shared" si="29"/>
        <v>0.80308806619813189</v>
      </c>
      <c r="O342" s="161"/>
      <c r="P342" s="161"/>
    </row>
    <row r="343" spans="1:16" x14ac:dyDescent="0.2">
      <c r="A343" s="165">
        <v>337</v>
      </c>
      <c r="B343" s="220" t="s">
        <v>127</v>
      </c>
      <c r="C343" s="197" t="s">
        <v>137</v>
      </c>
      <c r="D343" s="219" t="s">
        <v>519</v>
      </c>
      <c r="E343" s="220" t="s">
        <v>520</v>
      </c>
      <c r="F343" s="195">
        <v>3041</v>
      </c>
      <c r="G343" s="191">
        <v>5247930.9249999998</v>
      </c>
      <c r="H343" s="109">
        <v>2429</v>
      </c>
      <c r="I343" s="109">
        <v>3791265</v>
      </c>
      <c r="J343" s="159">
        <f t="shared" si="25"/>
        <v>0.79875041104899702</v>
      </c>
      <c r="K343" s="159">
        <f t="shared" si="26"/>
        <v>0.72243043099886073</v>
      </c>
      <c r="L343" s="159">
        <f t="shared" si="27"/>
        <v>0.2396251233146991</v>
      </c>
      <c r="M343" s="159">
        <f t="shared" si="28"/>
        <v>0.50570130169920247</v>
      </c>
      <c r="N343" s="160">
        <f t="shared" si="29"/>
        <v>0.74532642501390156</v>
      </c>
      <c r="O343" s="161"/>
      <c r="P343" s="161"/>
    </row>
    <row r="344" spans="1:16" x14ac:dyDescent="0.2">
      <c r="A344" s="165">
        <v>338</v>
      </c>
      <c r="B344" s="219" t="s">
        <v>127</v>
      </c>
      <c r="C344" s="197" t="s">
        <v>137</v>
      </c>
      <c r="D344" s="219" t="s">
        <v>515</v>
      </c>
      <c r="E344" s="219" t="s">
        <v>516</v>
      </c>
      <c r="F344" s="195">
        <v>2927</v>
      </c>
      <c r="G344" s="191">
        <v>5467075.3499999996</v>
      </c>
      <c r="H344" s="109">
        <v>1829</v>
      </c>
      <c r="I344" s="109">
        <v>4144560</v>
      </c>
      <c r="J344" s="159">
        <f t="shared" si="25"/>
        <v>0.62487188247352243</v>
      </c>
      <c r="K344" s="159">
        <f t="shared" si="26"/>
        <v>0.75809454501116402</v>
      </c>
      <c r="L344" s="159">
        <f t="shared" si="27"/>
        <v>0.18746156474205672</v>
      </c>
      <c r="M344" s="159">
        <f t="shared" si="28"/>
        <v>0.53066618150781475</v>
      </c>
      <c r="N344" s="160">
        <f t="shared" si="29"/>
        <v>0.71812774624987141</v>
      </c>
      <c r="O344" s="161"/>
      <c r="P344" s="161"/>
    </row>
    <row r="345" spans="1:16" x14ac:dyDescent="0.2">
      <c r="A345" s="165">
        <v>339</v>
      </c>
      <c r="B345" s="219" t="s">
        <v>127</v>
      </c>
      <c r="C345" s="197" t="s">
        <v>137</v>
      </c>
      <c r="D345" s="219" t="s">
        <v>525</v>
      </c>
      <c r="E345" s="219" t="s">
        <v>1315</v>
      </c>
      <c r="F345" s="195">
        <v>3384</v>
      </c>
      <c r="G345" s="191">
        <v>6064026.125</v>
      </c>
      <c r="H345" s="109">
        <v>2626</v>
      </c>
      <c r="I345" s="109">
        <v>4864090</v>
      </c>
      <c r="J345" s="159">
        <f t="shared" si="25"/>
        <v>0.77600472813238774</v>
      </c>
      <c r="K345" s="159">
        <f t="shared" si="26"/>
        <v>0.80212220391778077</v>
      </c>
      <c r="L345" s="159">
        <f t="shared" si="27"/>
        <v>0.2328014184397163</v>
      </c>
      <c r="M345" s="159">
        <f t="shared" si="28"/>
        <v>0.56148554274244655</v>
      </c>
      <c r="N345" s="160">
        <f t="shared" si="29"/>
        <v>0.7942869611821628</v>
      </c>
      <c r="O345" s="161"/>
      <c r="P345" s="161"/>
    </row>
    <row r="346" spans="1:16" x14ac:dyDescent="0.2">
      <c r="A346" s="165">
        <v>340</v>
      </c>
      <c r="B346" s="219" t="s">
        <v>127</v>
      </c>
      <c r="C346" s="197" t="s">
        <v>137</v>
      </c>
      <c r="D346" s="219" t="s">
        <v>521</v>
      </c>
      <c r="E346" s="219" t="s">
        <v>1287</v>
      </c>
      <c r="F346" s="195">
        <v>2120</v>
      </c>
      <c r="G346" s="191">
        <v>3131935.7</v>
      </c>
      <c r="H346" s="109">
        <v>1534</v>
      </c>
      <c r="I346" s="109">
        <v>2097625</v>
      </c>
      <c r="J346" s="159">
        <f t="shared" si="25"/>
        <v>0.72358490566037736</v>
      </c>
      <c r="K346" s="159">
        <f t="shared" si="26"/>
        <v>0.66975353293491946</v>
      </c>
      <c r="L346" s="159">
        <f t="shared" si="27"/>
        <v>0.2170754716981132</v>
      </c>
      <c r="M346" s="159">
        <f t="shared" si="28"/>
        <v>0.46882747305444361</v>
      </c>
      <c r="N346" s="160">
        <f t="shared" si="29"/>
        <v>0.68590294475255686</v>
      </c>
      <c r="O346" s="161"/>
      <c r="P346" s="161"/>
    </row>
    <row r="347" spans="1:16" x14ac:dyDescent="0.2">
      <c r="A347" s="165">
        <v>341</v>
      </c>
      <c r="B347" s="219" t="s">
        <v>127</v>
      </c>
      <c r="C347" s="197" t="s">
        <v>137</v>
      </c>
      <c r="D347" s="219" t="s">
        <v>523</v>
      </c>
      <c r="E347" s="219" t="s">
        <v>524</v>
      </c>
      <c r="F347" s="195">
        <v>2885</v>
      </c>
      <c r="G347" s="191">
        <v>5811075.625</v>
      </c>
      <c r="H347" s="109">
        <v>1694</v>
      </c>
      <c r="I347" s="109">
        <v>4480120</v>
      </c>
      <c r="J347" s="159">
        <f t="shared" si="25"/>
        <v>0.58717504332755632</v>
      </c>
      <c r="K347" s="159">
        <f t="shared" si="26"/>
        <v>0.77096226053674877</v>
      </c>
      <c r="L347" s="159">
        <f t="shared" si="27"/>
        <v>0.1761525129982669</v>
      </c>
      <c r="M347" s="159">
        <f t="shared" si="28"/>
        <v>0.53967358237572405</v>
      </c>
      <c r="N347" s="160">
        <f t="shared" si="29"/>
        <v>0.715826095373991</v>
      </c>
      <c r="O347" s="161"/>
      <c r="P347" s="161"/>
    </row>
    <row r="348" spans="1:16" x14ac:dyDescent="0.2">
      <c r="A348" s="165">
        <v>342</v>
      </c>
      <c r="B348" s="219" t="s">
        <v>130</v>
      </c>
      <c r="C348" s="197" t="s">
        <v>137</v>
      </c>
      <c r="D348" s="219" t="s">
        <v>577</v>
      </c>
      <c r="E348" s="219" t="s">
        <v>1420</v>
      </c>
      <c r="F348" s="195">
        <v>2657</v>
      </c>
      <c r="G348" s="191">
        <v>4546875.125</v>
      </c>
      <c r="H348" s="109">
        <v>1716</v>
      </c>
      <c r="I348" s="109">
        <v>3556325</v>
      </c>
      <c r="J348" s="159">
        <f t="shared" si="25"/>
        <v>0.64584117425668042</v>
      </c>
      <c r="K348" s="159">
        <f t="shared" si="26"/>
        <v>0.78214705753547609</v>
      </c>
      <c r="L348" s="159">
        <f t="shared" si="27"/>
        <v>0.19375235227700413</v>
      </c>
      <c r="M348" s="159">
        <f t="shared" si="28"/>
        <v>0.54750294027483326</v>
      </c>
      <c r="N348" s="160">
        <f t="shared" si="29"/>
        <v>0.74125529255183742</v>
      </c>
      <c r="O348" s="161"/>
      <c r="P348" s="161"/>
    </row>
    <row r="349" spans="1:16" x14ac:dyDescent="0.2">
      <c r="A349" s="165">
        <v>343</v>
      </c>
      <c r="B349" s="219" t="s">
        <v>130</v>
      </c>
      <c r="C349" s="197" t="s">
        <v>137</v>
      </c>
      <c r="D349" s="219" t="s">
        <v>581</v>
      </c>
      <c r="E349" s="219" t="s">
        <v>582</v>
      </c>
      <c r="F349" s="195">
        <v>1229</v>
      </c>
      <c r="G349" s="191">
        <v>2109190.8250000002</v>
      </c>
      <c r="H349" s="109">
        <v>763</v>
      </c>
      <c r="I349" s="109">
        <v>966680</v>
      </c>
      <c r="J349" s="159">
        <f t="shared" si="25"/>
        <v>0.62082994304312444</v>
      </c>
      <c r="K349" s="159">
        <f t="shared" si="26"/>
        <v>0.45831794285374816</v>
      </c>
      <c r="L349" s="159">
        <f t="shared" si="27"/>
        <v>0.18624898291293732</v>
      </c>
      <c r="M349" s="159">
        <f t="shared" si="28"/>
        <v>0.32082255999762371</v>
      </c>
      <c r="N349" s="160">
        <f t="shared" si="29"/>
        <v>0.507071542910561</v>
      </c>
      <c r="O349" s="161"/>
      <c r="P349" s="161"/>
    </row>
    <row r="350" spans="1:16" x14ac:dyDescent="0.2">
      <c r="A350" s="165">
        <v>344</v>
      </c>
      <c r="B350" s="219" t="s">
        <v>130</v>
      </c>
      <c r="C350" s="197" t="s">
        <v>137</v>
      </c>
      <c r="D350" s="219" t="s">
        <v>579</v>
      </c>
      <c r="E350" s="219" t="s">
        <v>580</v>
      </c>
      <c r="F350" s="195">
        <v>1643</v>
      </c>
      <c r="G350" s="191">
        <v>2830610.6749999998</v>
      </c>
      <c r="H350" s="109">
        <v>1149</v>
      </c>
      <c r="I350" s="109">
        <v>1684165</v>
      </c>
      <c r="J350" s="159">
        <f t="shared" si="25"/>
        <v>0.69933049300060868</v>
      </c>
      <c r="K350" s="159">
        <f t="shared" si="26"/>
        <v>0.59498291830613548</v>
      </c>
      <c r="L350" s="159">
        <f t="shared" si="27"/>
        <v>0.20979914790018259</v>
      </c>
      <c r="M350" s="159">
        <f t="shared" si="28"/>
        <v>0.4164880428142948</v>
      </c>
      <c r="N350" s="160">
        <f t="shared" si="29"/>
        <v>0.62628719071447736</v>
      </c>
      <c r="O350" s="161"/>
      <c r="P350" s="161"/>
    </row>
    <row r="351" spans="1:16" x14ac:dyDescent="0.2">
      <c r="A351" s="165">
        <v>345</v>
      </c>
      <c r="B351" s="219" t="s">
        <v>130</v>
      </c>
      <c r="C351" s="197" t="s">
        <v>137</v>
      </c>
      <c r="D351" s="219" t="s">
        <v>575</v>
      </c>
      <c r="E351" s="219" t="s">
        <v>576</v>
      </c>
      <c r="F351" s="195">
        <v>1434</v>
      </c>
      <c r="G351" s="191">
        <v>2458781.2999999998</v>
      </c>
      <c r="H351" s="109">
        <v>1096</v>
      </c>
      <c r="I351" s="109">
        <v>1670345</v>
      </c>
      <c r="J351" s="159">
        <f t="shared" si="25"/>
        <v>0.76429567642956764</v>
      </c>
      <c r="K351" s="159">
        <f t="shared" si="26"/>
        <v>0.67933858127194968</v>
      </c>
      <c r="L351" s="159">
        <f t="shared" si="27"/>
        <v>0.22928870292887027</v>
      </c>
      <c r="M351" s="159">
        <f t="shared" si="28"/>
        <v>0.47553700689036477</v>
      </c>
      <c r="N351" s="160">
        <f t="shared" si="29"/>
        <v>0.70482570981923498</v>
      </c>
      <c r="O351" s="161"/>
      <c r="P351" s="161"/>
    </row>
    <row r="352" spans="1:16" x14ac:dyDescent="0.2">
      <c r="A352" s="165">
        <v>346</v>
      </c>
      <c r="B352" s="219" t="s">
        <v>130</v>
      </c>
      <c r="C352" s="197" t="s">
        <v>137</v>
      </c>
      <c r="D352" s="219" t="s">
        <v>573</v>
      </c>
      <c r="E352" s="219" t="s">
        <v>1010</v>
      </c>
      <c r="F352" s="195">
        <v>2516</v>
      </c>
      <c r="G352" s="191">
        <v>4288849.5999999996</v>
      </c>
      <c r="H352" s="109">
        <v>1648</v>
      </c>
      <c r="I352" s="109">
        <v>3192885</v>
      </c>
      <c r="J352" s="159">
        <f t="shared" si="25"/>
        <v>0.65500794912559623</v>
      </c>
      <c r="K352" s="159">
        <f t="shared" si="26"/>
        <v>0.74446187154709276</v>
      </c>
      <c r="L352" s="159">
        <f t="shared" si="27"/>
        <v>0.19650238473767886</v>
      </c>
      <c r="M352" s="159">
        <f t="shared" si="28"/>
        <v>0.52112331008296486</v>
      </c>
      <c r="N352" s="160">
        <f t="shared" si="29"/>
        <v>0.71762569482064376</v>
      </c>
      <c r="O352" s="161"/>
      <c r="P352" s="161"/>
    </row>
    <row r="353" spans="1:16" x14ac:dyDescent="0.2">
      <c r="A353" s="165">
        <v>347</v>
      </c>
      <c r="B353" s="219" t="s">
        <v>130</v>
      </c>
      <c r="C353" s="222" t="s">
        <v>137</v>
      </c>
      <c r="D353" s="219" t="s">
        <v>1011</v>
      </c>
      <c r="E353" s="219" t="s">
        <v>1116</v>
      </c>
      <c r="F353" s="192">
        <v>1229</v>
      </c>
      <c r="G353" s="191">
        <v>2109190.8250000002</v>
      </c>
      <c r="H353" s="109">
        <v>917</v>
      </c>
      <c r="I353" s="109">
        <v>1286410</v>
      </c>
      <c r="J353" s="159">
        <f t="shared" si="25"/>
        <v>0.74613506916192029</v>
      </c>
      <c r="K353" s="159">
        <f t="shared" si="26"/>
        <v>0.60990688218075284</v>
      </c>
      <c r="L353" s="159">
        <f t="shared" si="27"/>
        <v>0.22384052074857608</v>
      </c>
      <c r="M353" s="159">
        <f t="shared" si="28"/>
        <v>0.42693481752652696</v>
      </c>
      <c r="N353" s="160">
        <f t="shared" si="29"/>
        <v>0.65077533827510303</v>
      </c>
      <c r="O353" s="161"/>
      <c r="P353" s="161"/>
    </row>
    <row r="354" spans="1:16" x14ac:dyDescent="0.2">
      <c r="A354" s="165">
        <v>348</v>
      </c>
      <c r="B354" s="219" t="s">
        <v>130</v>
      </c>
      <c r="C354" s="222" t="s">
        <v>137</v>
      </c>
      <c r="D354" s="219" t="s">
        <v>574</v>
      </c>
      <c r="E354" s="219" t="s">
        <v>1207</v>
      </c>
      <c r="F354" s="192">
        <v>1166</v>
      </c>
      <c r="G354" s="191">
        <v>2013726.45</v>
      </c>
      <c r="H354" s="109">
        <v>1142</v>
      </c>
      <c r="I354" s="109">
        <v>1976615</v>
      </c>
      <c r="J354" s="159">
        <f t="shared" si="25"/>
        <v>0.97941680960548883</v>
      </c>
      <c r="K354" s="159">
        <f t="shared" si="26"/>
        <v>0.98157075902737434</v>
      </c>
      <c r="L354" s="159">
        <f t="shared" si="27"/>
        <v>0.29382504288164663</v>
      </c>
      <c r="M354" s="159">
        <f t="shared" si="28"/>
        <v>0.68709953131916202</v>
      </c>
      <c r="N354" s="160">
        <f t="shared" si="29"/>
        <v>0.98092457420080859</v>
      </c>
      <c r="O354" s="161"/>
      <c r="P354" s="161"/>
    </row>
    <row r="355" spans="1:16" x14ac:dyDescent="0.2">
      <c r="A355" s="165">
        <v>349</v>
      </c>
      <c r="B355" s="219" t="s">
        <v>130</v>
      </c>
      <c r="C355" s="222" t="s">
        <v>137</v>
      </c>
      <c r="D355" s="219" t="s">
        <v>583</v>
      </c>
      <c r="E355" s="219" t="s">
        <v>1070</v>
      </c>
      <c r="F355" s="192">
        <v>1892</v>
      </c>
      <c r="G355" s="191">
        <v>3198891.35</v>
      </c>
      <c r="H355" s="109">
        <v>1775</v>
      </c>
      <c r="I355" s="109">
        <v>3135895</v>
      </c>
      <c r="J355" s="159">
        <f t="shared" si="25"/>
        <v>0.93816067653276958</v>
      </c>
      <c r="K355" s="159">
        <f t="shared" si="26"/>
        <v>0.98030681786050655</v>
      </c>
      <c r="L355" s="159">
        <f t="shared" si="27"/>
        <v>0.28144820295983086</v>
      </c>
      <c r="M355" s="159">
        <f t="shared" si="28"/>
        <v>0.68621477250235452</v>
      </c>
      <c r="N355" s="160">
        <f t="shared" si="29"/>
        <v>0.96766297546218538</v>
      </c>
      <c r="O355" s="161"/>
      <c r="P355" s="161"/>
    </row>
    <row r="356" spans="1:16" x14ac:dyDescent="0.2">
      <c r="A356" s="165">
        <v>350</v>
      </c>
      <c r="B356" s="219" t="s">
        <v>13</v>
      </c>
      <c r="C356" s="222" t="s">
        <v>137</v>
      </c>
      <c r="D356" s="219" t="s">
        <v>166</v>
      </c>
      <c r="E356" s="219" t="s">
        <v>1372</v>
      </c>
      <c r="F356" s="192">
        <v>1414</v>
      </c>
      <c r="G356" s="191">
        <v>2490128.5499999998</v>
      </c>
      <c r="H356" s="109">
        <v>1034</v>
      </c>
      <c r="I356" s="109">
        <v>1658035</v>
      </c>
      <c r="J356" s="159">
        <f t="shared" si="25"/>
        <v>0.73125884016973131</v>
      </c>
      <c r="K356" s="159">
        <f t="shared" si="26"/>
        <v>0.66584313488554647</v>
      </c>
      <c r="L356" s="159">
        <f t="shared" si="27"/>
        <v>0.21937765205091939</v>
      </c>
      <c r="M356" s="159">
        <f t="shared" si="28"/>
        <v>0.46609019441988248</v>
      </c>
      <c r="N356" s="160">
        <f t="shared" si="29"/>
        <v>0.68546784647080183</v>
      </c>
      <c r="O356" s="161"/>
      <c r="P356" s="161"/>
    </row>
    <row r="357" spans="1:16" x14ac:dyDescent="0.2">
      <c r="A357" s="165">
        <v>351</v>
      </c>
      <c r="B357" s="219" t="s">
        <v>13</v>
      </c>
      <c r="C357" s="222" t="s">
        <v>137</v>
      </c>
      <c r="D357" s="219" t="s">
        <v>162</v>
      </c>
      <c r="E357" s="219" t="s">
        <v>956</v>
      </c>
      <c r="F357" s="192">
        <v>1513</v>
      </c>
      <c r="G357" s="191">
        <v>2657659.5</v>
      </c>
      <c r="H357" s="109">
        <v>1491</v>
      </c>
      <c r="I357" s="109">
        <v>2172900</v>
      </c>
      <c r="J357" s="159">
        <f t="shared" si="25"/>
        <v>0.98545935228023795</v>
      </c>
      <c r="K357" s="159">
        <f t="shared" si="26"/>
        <v>0.81759909424062793</v>
      </c>
      <c r="L357" s="159">
        <f t="shared" si="27"/>
        <v>0.29563780568407139</v>
      </c>
      <c r="M357" s="159">
        <f t="shared" si="28"/>
        <v>0.57231936596843946</v>
      </c>
      <c r="N357" s="160">
        <f t="shared" si="29"/>
        <v>0.86795717165251085</v>
      </c>
      <c r="O357" s="161"/>
      <c r="P357" s="161"/>
    </row>
    <row r="358" spans="1:16" x14ac:dyDescent="0.2">
      <c r="A358" s="165">
        <v>352</v>
      </c>
      <c r="B358" s="219" t="s">
        <v>13</v>
      </c>
      <c r="C358" s="222" t="s">
        <v>137</v>
      </c>
      <c r="D358" s="219" t="s">
        <v>160</v>
      </c>
      <c r="E358" s="219" t="s">
        <v>957</v>
      </c>
      <c r="F358" s="192">
        <v>2215</v>
      </c>
      <c r="G358" s="191">
        <v>3895450.35</v>
      </c>
      <c r="H358" s="109">
        <v>2051</v>
      </c>
      <c r="I358" s="109">
        <v>3242960</v>
      </c>
      <c r="J358" s="159">
        <f t="shared" si="25"/>
        <v>0.9259593679458239</v>
      </c>
      <c r="K358" s="159">
        <f t="shared" si="26"/>
        <v>0.83249937969303089</v>
      </c>
      <c r="L358" s="159">
        <f t="shared" si="27"/>
        <v>0.27778781038374717</v>
      </c>
      <c r="M358" s="159">
        <f t="shared" si="28"/>
        <v>0.5827495657851216</v>
      </c>
      <c r="N358" s="160">
        <f t="shared" si="29"/>
        <v>0.86053737616886883</v>
      </c>
      <c r="O358" s="161"/>
      <c r="P358" s="161"/>
    </row>
    <row r="359" spans="1:16" x14ac:dyDescent="0.2">
      <c r="A359" s="165">
        <v>353</v>
      </c>
      <c r="B359" s="219" t="s">
        <v>13</v>
      </c>
      <c r="C359" s="222" t="s">
        <v>137</v>
      </c>
      <c r="D359" s="219" t="s">
        <v>163</v>
      </c>
      <c r="E359" s="219" t="s">
        <v>1413</v>
      </c>
      <c r="F359" s="192">
        <v>1437</v>
      </c>
      <c r="G359" s="191">
        <v>2261311</v>
      </c>
      <c r="H359" s="109">
        <v>1243</v>
      </c>
      <c r="I359" s="109">
        <v>1714330</v>
      </c>
      <c r="J359" s="159">
        <f t="shared" si="25"/>
        <v>0.86499652052887965</v>
      </c>
      <c r="K359" s="159">
        <f t="shared" si="26"/>
        <v>0.75811332452723224</v>
      </c>
      <c r="L359" s="159">
        <f t="shared" si="27"/>
        <v>0.25949895615866386</v>
      </c>
      <c r="M359" s="159">
        <f t="shared" si="28"/>
        <v>0.53067932716906252</v>
      </c>
      <c r="N359" s="160">
        <f t="shared" si="29"/>
        <v>0.79017828332772644</v>
      </c>
      <c r="O359" s="161"/>
      <c r="P359" s="161"/>
    </row>
    <row r="360" spans="1:16" x14ac:dyDescent="0.2">
      <c r="A360" s="165">
        <v>354</v>
      </c>
      <c r="B360" s="219" t="s">
        <v>13</v>
      </c>
      <c r="C360" s="222" t="s">
        <v>137</v>
      </c>
      <c r="D360" s="219" t="s">
        <v>165</v>
      </c>
      <c r="E360" s="219" t="s">
        <v>850</v>
      </c>
      <c r="F360" s="192">
        <v>527</v>
      </c>
      <c r="G360" s="191">
        <v>995327</v>
      </c>
      <c r="H360" s="109">
        <v>327</v>
      </c>
      <c r="I360" s="109">
        <v>465380</v>
      </c>
      <c r="J360" s="159">
        <f t="shared" si="25"/>
        <v>0.62049335863377608</v>
      </c>
      <c r="K360" s="159">
        <f t="shared" si="26"/>
        <v>0.46756493092219942</v>
      </c>
      <c r="L360" s="159">
        <f t="shared" si="27"/>
        <v>0.18614800759013281</v>
      </c>
      <c r="M360" s="159">
        <f t="shared" si="28"/>
        <v>0.32729545164553958</v>
      </c>
      <c r="N360" s="160">
        <f t="shared" si="29"/>
        <v>0.51344345923567236</v>
      </c>
      <c r="O360" s="161"/>
      <c r="P360" s="161"/>
    </row>
    <row r="361" spans="1:16" x14ac:dyDescent="0.2">
      <c r="A361" s="165">
        <v>355</v>
      </c>
      <c r="B361" s="219" t="s">
        <v>13</v>
      </c>
      <c r="C361" s="222" t="s">
        <v>137</v>
      </c>
      <c r="D361" s="219" t="s">
        <v>161</v>
      </c>
      <c r="E361" s="219" t="s">
        <v>1373</v>
      </c>
      <c r="F361" s="192">
        <v>1573</v>
      </c>
      <c r="G361" s="191">
        <v>2983028</v>
      </c>
      <c r="H361" s="109">
        <v>1187</v>
      </c>
      <c r="I361" s="109">
        <v>2539555</v>
      </c>
      <c r="J361" s="159">
        <f t="shared" si="25"/>
        <v>0.75460902733630009</v>
      </c>
      <c r="K361" s="159">
        <f t="shared" si="26"/>
        <v>0.85133461704013502</v>
      </c>
      <c r="L361" s="159">
        <f t="shared" si="27"/>
        <v>0.22638270820089001</v>
      </c>
      <c r="M361" s="159">
        <f t="shared" si="28"/>
        <v>0.59593423192809447</v>
      </c>
      <c r="N361" s="160">
        <f t="shared" si="29"/>
        <v>0.82231694012898449</v>
      </c>
      <c r="O361" s="161"/>
      <c r="P361" s="161"/>
    </row>
    <row r="362" spans="1:16" x14ac:dyDescent="0.2">
      <c r="A362" s="165">
        <v>356</v>
      </c>
      <c r="B362" s="219" t="s">
        <v>13</v>
      </c>
      <c r="C362" s="222" t="s">
        <v>137</v>
      </c>
      <c r="D362" s="219" t="s">
        <v>164</v>
      </c>
      <c r="E362" s="219" t="s">
        <v>1412</v>
      </c>
      <c r="F362" s="192">
        <v>1414</v>
      </c>
      <c r="G362" s="191">
        <v>2490128.5499999998</v>
      </c>
      <c r="H362" s="109">
        <v>954</v>
      </c>
      <c r="I362" s="109">
        <v>1475945</v>
      </c>
      <c r="J362" s="159">
        <f t="shared" si="25"/>
        <v>0.67468175388967466</v>
      </c>
      <c r="K362" s="159">
        <f t="shared" si="26"/>
        <v>0.59271839600409393</v>
      </c>
      <c r="L362" s="159">
        <f t="shared" si="27"/>
        <v>0.20240452616690238</v>
      </c>
      <c r="M362" s="159">
        <f t="shared" si="28"/>
        <v>0.41490287720286573</v>
      </c>
      <c r="N362" s="160">
        <f t="shared" si="29"/>
        <v>0.61730740336976808</v>
      </c>
      <c r="O362" s="161"/>
      <c r="P362" s="161"/>
    </row>
    <row r="363" spans="1:16" x14ac:dyDescent="0.2">
      <c r="A363" s="165">
        <v>357</v>
      </c>
      <c r="B363" s="219" t="s">
        <v>1225</v>
      </c>
      <c r="C363" s="222" t="s">
        <v>137</v>
      </c>
      <c r="D363" s="219" t="s">
        <v>197</v>
      </c>
      <c r="E363" s="219" t="s">
        <v>1269</v>
      </c>
      <c r="F363" s="192">
        <v>1427</v>
      </c>
      <c r="G363" s="191">
        <v>2306847.0750000002</v>
      </c>
      <c r="H363" s="109">
        <v>922</v>
      </c>
      <c r="I363" s="109">
        <v>1671585</v>
      </c>
      <c r="J363" s="159">
        <f t="shared" si="25"/>
        <v>0.64611072179397333</v>
      </c>
      <c r="K363" s="159">
        <f t="shared" si="26"/>
        <v>0.72461890435455067</v>
      </c>
      <c r="L363" s="159">
        <f t="shared" si="27"/>
        <v>0.19383321653819199</v>
      </c>
      <c r="M363" s="159">
        <f t="shared" si="28"/>
        <v>0.50723323304818546</v>
      </c>
      <c r="N363" s="160">
        <f t="shared" si="29"/>
        <v>0.70106644958637743</v>
      </c>
      <c r="O363" s="161"/>
      <c r="P363" s="161"/>
    </row>
    <row r="364" spans="1:16" x14ac:dyDescent="0.2">
      <c r="A364" s="165">
        <v>358</v>
      </c>
      <c r="B364" s="219" t="s">
        <v>1225</v>
      </c>
      <c r="C364" s="222" t="s">
        <v>137</v>
      </c>
      <c r="D364" s="219" t="s">
        <v>198</v>
      </c>
      <c r="E364" s="219" t="s">
        <v>1268</v>
      </c>
      <c r="F364" s="192">
        <v>1604</v>
      </c>
      <c r="G364" s="191">
        <v>2598926.9249999998</v>
      </c>
      <c r="H364" s="109">
        <v>1234</v>
      </c>
      <c r="I364" s="109">
        <v>2058475</v>
      </c>
      <c r="J364" s="159">
        <f t="shared" si="25"/>
        <v>0.76932668329177056</v>
      </c>
      <c r="K364" s="159">
        <f t="shared" si="26"/>
        <v>0.79204804883076896</v>
      </c>
      <c r="L364" s="159">
        <f t="shared" si="27"/>
        <v>0.23079800498753117</v>
      </c>
      <c r="M364" s="159">
        <f t="shared" si="28"/>
        <v>0.55443363418153824</v>
      </c>
      <c r="N364" s="160">
        <f t="shared" si="29"/>
        <v>0.78523163916906946</v>
      </c>
      <c r="O364" s="161"/>
      <c r="P364" s="161"/>
    </row>
    <row r="365" spans="1:16" x14ac:dyDescent="0.2">
      <c r="A365" s="165">
        <v>359</v>
      </c>
      <c r="B365" s="220" t="s">
        <v>1225</v>
      </c>
      <c r="C365" s="222" t="s">
        <v>137</v>
      </c>
      <c r="D365" s="219" t="s">
        <v>199</v>
      </c>
      <c r="E365" s="220" t="s">
        <v>1414</v>
      </c>
      <c r="F365" s="192">
        <v>1305</v>
      </c>
      <c r="G365" s="191">
        <v>2128078.2250000001</v>
      </c>
      <c r="H365" s="109">
        <v>1082</v>
      </c>
      <c r="I365" s="109">
        <v>1701435</v>
      </c>
      <c r="J365" s="159">
        <f t="shared" si="25"/>
        <v>0.82911877394636013</v>
      </c>
      <c r="K365" s="159">
        <f t="shared" si="26"/>
        <v>0.79951713241180311</v>
      </c>
      <c r="L365" s="159">
        <f t="shared" si="27"/>
        <v>0.24873563218390804</v>
      </c>
      <c r="M365" s="159">
        <f t="shared" si="28"/>
        <v>0.55966199268826211</v>
      </c>
      <c r="N365" s="160">
        <f t="shared" si="29"/>
        <v>0.80839762487217015</v>
      </c>
      <c r="O365" s="161"/>
      <c r="P365" s="161"/>
    </row>
    <row r="366" spans="1:16" x14ac:dyDescent="0.2">
      <c r="A366" s="165">
        <v>360</v>
      </c>
      <c r="B366" s="220" t="s">
        <v>1267</v>
      </c>
      <c r="C366" s="222" t="s">
        <v>137</v>
      </c>
      <c r="D366" s="219" t="s">
        <v>173</v>
      </c>
      <c r="E366" s="220" t="s">
        <v>174</v>
      </c>
      <c r="F366" s="192">
        <v>647</v>
      </c>
      <c r="G366" s="191">
        <v>1048146.5</v>
      </c>
      <c r="H366" s="109">
        <v>665</v>
      </c>
      <c r="I366" s="109">
        <v>1087605</v>
      </c>
      <c r="J366" s="159">
        <f t="shared" si="25"/>
        <v>1.027820710973725</v>
      </c>
      <c r="K366" s="159">
        <f t="shared" si="26"/>
        <v>1.0376459779238876</v>
      </c>
      <c r="L366" s="159">
        <f t="shared" si="27"/>
        <v>0.3</v>
      </c>
      <c r="M366" s="159">
        <f t="shared" si="28"/>
        <v>0.7</v>
      </c>
      <c r="N366" s="160">
        <f t="shared" si="29"/>
        <v>1</v>
      </c>
      <c r="O366" s="161"/>
      <c r="P366" s="161"/>
    </row>
    <row r="367" spans="1:16" x14ac:dyDescent="0.2">
      <c r="A367" s="165">
        <v>361</v>
      </c>
      <c r="B367" s="220" t="s">
        <v>1267</v>
      </c>
      <c r="C367" s="222" t="s">
        <v>137</v>
      </c>
      <c r="D367" s="219" t="s">
        <v>172</v>
      </c>
      <c r="E367" s="220" t="s">
        <v>1419</v>
      </c>
      <c r="F367" s="192">
        <v>1853</v>
      </c>
      <c r="G367" s="191">
        <v>3095743.375</v>
      </c>
      <c r="H367" s="109">
        <v>1297</v>
      </c>
      <c r="I367" s="109">
        <v>2262560</v>
      </c>
      <c r="J367" s="159">
        <f t="shared" si="25"/>
        <v>0.69994603345925521</v>
      </c>
      <c r="K367" s="159">
        <f t="shared" si="26"/>
        <v>0.7308616141349249</v>
      </c>
      <c r="L367" s="159">
        <f t="shared" si="27"/>
        <v>0.20998381003777655</v>
      </c>
      <c r="M367" s="159">
        <f t="shared" si="28"/>
        <v>0.51160312989444745</v>
      </c>
      <c r="N367" s="160">
        <f t="shared" si="29"/>
        <v>0.721586939932224</v>
      </c>
      <c r="O367" s="161"/>
      <c r="P367" s="161"/>
    </row>
    <row r="368" spans="1:16" x14ac:dyDescent="0.2">
      <c r="A368" s="165">
        <v>362</v>
      </c>
      <c r="B368" s="220" t="s">
        <v>1</v>
      </c>
      <c r="C368" s="222" t="s">
        <v>137</v>
      </c>
      <c r="D368" s="219" t="s">
        <v>167</v>
      </c>
      <c r="E368" s="220" t="s">
        <v>1421</v>
      </c>
      <c r="F368" s="192">
        <v>3833</v>
      </c>
      <c r="G368" s="191">
        <v>5486149.1749999998</v>
      </c>
      <c r="H368" s="109">
        <v>2669</v>
      </c>
      <c r="I368" s="109">
        <v>3210730</v>
      </c>
      <c r="J368" s="159">
        <f t="shared" si="25"/>
        <v>0.69632141925384816</v>
      </c>
      <c r="K368" s="159">
        <f t="shared" si="26"/>
        <v>0.58524292679299961</v>
      </c>
      <c r="L368" s="159">
        <f t="shared" si="27"/>
        <v>0.20889642577615444</v>
      </c>
      <c r="M368" s="159">
        <f t="shared" si="28"/>
        <v>0.40967004875509971</v>
      </c>
      <c r="N368" s="160">
        <f t="shared" si="29"/>
        <v>0.61856647453125413</v>
      </c>
      <c r="O368" s="161"/>
      <c r="P368" s="161"/>
    </row>
    <row r="369" spans="1:16" x14ac:dyDescent="0.2">
      <c r="A369" s="165">
        <v>363</v>
      </c>
      <c r="B369" s="219" t="s">
        <v>1</v>
      </c>
      <c r="C369" s="222" t="s">
        <v>137</v>
      </c>
      <c r="D369" s="219" t="s">
        <v>170</v>
      </c>
      <c r="E369" s="219" t="s">
        <v>1422</v>
      </c>
      <c r="F369" s="192">
        <v>1070</v>
      </c>
      <c r="G369" s="191">
        <v>1563292.4750000001</v>
      </c>
      <c r="H369" s="109">
        <v>1420</v>
      </c>
      <c r="I369" s="109">
        <v>1852955</v>
      </c>
      <c r="J369" s="159">
        <f t="shared" si="25"/>
        <v>1.3271028037383177</v>
      </c>
      <c r="K369" s="159">
        <f t="shared" si="26"/>
        <v>1.1852900398564254</v>
      </c>
      <c r="L369" s="159">
        <f t="shared" si="27"/>
        <v>0.3</v>
      </c>
      <c r="M369" s="159">
        <f t="shared" si="28"/>
        <v>0.7</v>
      </c>
      <c r="N369" s="160">
        <f t="shared" si="29"/>
        <v>1</v>
      </c>
      <c r="O369" s="161"/>
      <c r="P369" s="161"/>
    </row>
    <row r="370" spans="1:16" x14ac:dyDescent="0.2">
      <c r="A370" s="165">
        <v>364</v>
      </c>
      <c r="B370" s="219" t="s">
        <v>1</v>
      </c>
      <c r="C370" s="222" t="s">
        <v>137</v>
      </c>
      <c r="D370" s="219" t="s">
        <v>168</v>
      </c>
      <c r="E370" s="219" t="s">
        <v>1423</v>
      </c>
      <c r="F370" s="192">
        <v>4152</v>
      </c>
      <c r="G370" s="191">
        <v>5980720.3250000002</v>
      </c>
      <c r="H370" s="109">
        <v>4689</v>
      </c>
      <c r="I370" s="109">
        <v>6262120</v>
      </c>
      <c r="J370" s="159">
        <f t="shared" si="25"/>
        <v>1.129335260115607</v>
      </c>
      <c r="K370" s="159">
        <f t="shared" si="26"/>
        <v>1.0470511342628281</v>
      </c>
      <c r="L370" s="159">
        <f t="shared" si="27"/>
        <v>0.3</v>
      </c>
      <c r="M370" s="159">
        <f t="shared" si="28"/>
        <v>0.7</v>
      </c>
      <c r="N370" s="160">
        <f t="shared" si="29"/>
        <v>1</v>
      </c>
      <c r="O370" s="161"/>
      <c r="P370" s="161"/>
    </row>
    <row r="371" spans="1:16" x14ac:dyDescent="0.2">
      <c r="A371" s="165">
        <v>365</v>
      </c>
      <c r="B371" s="219" t="s">
        <v>1</v>
      </c>
      <c r="C371" s="222" t="s">
        <v>137</v>
      </c>
      <c r="D371" s="219" t="s">
        <v>171</v>
      </c>
      <c r="E371" s="219" t="s">
        <v>1374</v>
      </c>
      <c r="F371" s="192">
        <v>1704</v>
      </c>
      <c r="G371" s="191">
        <v>2455059.25</v>
      </c>
      <c r="H371" s="109">
        <v>937</v>
      </c>
      <c r="I371" s="109">
        <v>1233385</v>
      </c>
      <c r="J371" s="159">
        <f t="shared" si="25"/>
        <v>0.54988262910798125</v>
      </c>
      <c r="K371" s="159">
        <f t="shared" si="26"/>
        <v>0.50238502390522755</v>
      </c>
      <c r="L371" s="159">
        <f t="shared" si="27"/>
        <v>0.16496478873239437</v>
      </c>
      <c r="M371" s="159">
        <f t="shared" si="28"/>
        <v>0.35166951673365926</v>
      </c>
      <c r="N371" s="160">
        <f t="shared" si="29"/>
        <v>0.5166343054660536</v>
      </c>
      <c r="O371" s="161"/>
      <c r="P371" s="161"/>
    </row>
    <row r="372" spans="1:16" x14ac:dyDescent="0.2">
      <c r="A372" s="165">
        <v>366</v>
      </c>
      <c r="B372" s="219" t="s">
        <v>1446</v>
      </c>
      <c r="C372" s="222" t="s">
        <v>137</v>
      </c>
      <c r="D372" s="219" t="s">
        <v>226</v>
      </c>
      <c r="E372" s="219" t="s">
        <v>1064</v>
      </c>
      <c r="F372" s="192">
        <v>1687</v>
      </c>
      <c r="G372" s="191">
        <v>2867435.5750000002</v>
      </c>
      <c r="H372" s="109">
        <v>1912</v>
      </c>
      <c r="I372" s="109">
        <v>2588870</v>
      </c>
      <c r="J372" s="159">
        <f t="shared" si="25"/>
        <v>1.1333728512151748</v>
      </c>
      <c r="K372" s="159">
        <f t="shared" si="26"/>
        <v>0.90285201961337869</v>
      </c>
      <c r="L372" s="159">
        <f t="shared" si="27"/>
        <v>0.3</v>
      </c>
      <c r="M372" s="159">
        <f t="shared" si="28"/>
        <v>0.63199641372936499</v>
      </c>
      <c r="N372" s="160">
        <f t="shared" si="29"/>
        <v>0.93199641372936504</v>
      </c>
      <c r="O372" s="161"/>
      <c r="P372" s="161"/>
    </row>
    <row r="373" spans="1:16" x14ac:dyDescent="0.2">
      <c r="A373" s="165">
        <v>367</v>
      </c>
      <c r="B373" s="219" t="s">
        <v>1446</v>
      </c>
      <c r="C373" s="222" t="s">
        <v>137</v>
      </c>
      <c r="D373" s="219" t="s">
        <v>228</v>
      </c>
      <c r="E373" s="219" t="s">
        <v>1428</v>
      </c>
      <c r="F373" s="192">
        <v>1603</v>
      </c>
      <c r="G373" s="191">
        <v>2737494.1</v>
      </c>
      <c r="H373" s="109">
        <v>1423</v>
      </c>
      <c r="I373" s="109">
        <v>2185590</v>
      </c>
      <c r="J373" s="159">
        <f t="shared" si="25"/>
        <v>0.88771054273237682</v>
      </c>
      <c r="K373" s="159">
        <f t="shared" si="26"/>
        <v>0.79839076182849122</v>
      </c>
      <c r="L373" s="159">
        <f t="shared" si="27"/>
        <v>0.26631316281971301</v>
      </c>
      <c r="M373" s="159">
        <f t="shared" si="28"/>
        <v>0.55887353327994382</v>
      </c>
      <c r="N373" s="160">
        <f t="shared" si="29"/>
        <v>0.82518669609965678</v>
      </c>
      <c r="O373" s="161"/>
      <c r="P373" s="161"/>
    </row>
    <row r="374" spans="1:16" x14ac:dyDescent="0.2">
      <c r="A374" s="165">
        <v>368</v>
      </c>
      <c r="B374" s="219" t="s">
        <v>1446</v>
      </c>
      <c r="C374" s="222" t="s">
        <v>137</v>
      </c>
      <c r="D374" s="219" t="s">
        <v>227</v>
      </c>
      <c r="E374" s="219" t="s">
        <v>1429</v>
      </c>
      <c r="F374" s="192">
        <v>1091</v>
      </c>
      <c r="G374" s="191">
        <v>1875274.9750000001</v>
      </c>
      <c r="H374" s="109">
        <v>1192</v>
      </c>
      <c r="I374" s="109">
        <v>1709460</v>
      </c>
      <c r="J374" s="159">
        <f t="shared" si="25"/>
        <v>1.0925756186984419</v>
      </c>
      <c r="K374" s="159">
        <f t="shared" si="26"/>
        <v>0.91157831400165723</v>
      </c>
      <c r="L374" s="159">
        <f t="shared" si="27"/>
        <v>0.3</v>
      </c>
      <c r="M374" s="159">
        <f t="shared" si="28"/>
        <v>0.63810481980116007</v>
      </c>
      <c r="N374" s="160">
        <f t="shared" si="29"/>
        <v>0.93810481980116012</v>
      </c>
      <c r="O374" s="161"/>
      <c r="P374" s="161"/>
    </row>
    <row r="375" spans="1:16" x14ac:dyDescent="0.2">
      <c r="A375" s="165">
        <v>369</v>
      </c>
      <c r="B375" s="219" t="s">
        <v>9</v>
      </c>
      <c r="C375" s="222" t="s">
        <v>137</v>
      </c>
      <c r="D375" s="219" t="s">
        <v>223</v>
      </c>
      <c r="E375" s="219" t="s">
        <v>1063</v>
      </c>
      <c r="F375" s="192">
        <v>1857</v>
      </c>
      <c r="G375" s="191">
        <v>2590116.4249999998</v>
      </c>
      <c r="H375" s="109">
        <v>1373</v>
      </c>
      <c r="I375" s="109">
        <v>1741225</v>
      </c>
      <c r="J375" s="159">
        <f t="shared" si="25"/>
        <v>0.73936456650511573</v>
      </c>
      <c r="K375" s="159">
        <f t="shared" si="26"/>
        <v>0.67225742564834712</v>
      </c>
      <c r="L375" s="159">
        <f t="shared" si="27"/>
        <v>0.22180936995153472</v>
      </c>
      <c r="M375" s="159">
        <f t="shared" si="28"/>
        <v>0.47058019795384293</v>
      </c>
      <c r="N375" s="160">
        <f t="shared" si="29"/>
        <v>0.69238956790537765</v>
      </c>
      <c r="O375" s="161"/>
      <c r="P375" s="161"/>
    </row>
    <row r="376" spans="1:16" x14ac:dyDescent="0.2">
      <c r="A376" s="165">
        <v>370</v>
      </c>
      <c r="B376" s="219" t="s">
        <v>9</v>
      </c>
      <c r="C376" s="222" t="s">
        <v>137</v>
      </c>
      <c r="D376" s="219" t="s">
        <v>224</v>
      </c>
      <c r="E376" s="219" t="s">
        <v>1424</v>
      </c>
      <c r="F376" s="192">
        <v>2226</v>
      </c>
      <c r="G376" s="191">
        <v>3095778.45</v>
      </c>
      <c r="H376" s="109">
        <v>1972</v>
      </c>
      <c r="I376" s="109">
        <v>2447065</v>
      </c>
      <c r="J376" s="159">
        <f t="shared" si="25"/>
        <v>0.88589398023360288</v>
      </c>
      <c r="K376" s="159">
        <f t="shared" si="26"/>
        <v>0.79045223665795583</v>
      </c>
      <c r="L376" s="159">
        <f t="shared" si="27"/>
        <v>0.26576819407008084</v>
      </c>
      <c r="M376" s="159">
        <f t="shared" si="28"/>
        <v>0.55331656566056908</v>
      </c>
      <c r="N376" s="160">
        <f t="shared" si="29"/>
        <v>0.81908475973064987</v>
      </c>
      <c r="O376" s="161"/>
      <c r="P376" s="161"/>
    </row>
    <row r="377" spans="1:16" x14ac:dyDescent="0.2">
      <c r="A377" s="165">
        <v>371</v>
      </c>
      <c r="B377" s="219" t="s">
        <v>9</v>
      </c>
      <c r="C377" s="222" t="s">
        <v>137</v>
      </c>
      <c r="D377" s="219" t="s">
        <v>222</v>
      </c>
      <c r="E377" s="219" t="s">
        <v>1425</v>
      </c>
      <c r="F377" s="192">
        <v>4080</v>
      </c>
      <c r="G377" s="191">
        <v>5650945.875</v>
      </c>
      <c r="H377" s="109">
        <v>2968</v>
      </c>
      <c r="I377" s="109">
        <v>4851105</v>
      </c>
      <c r="J377" s="159">
        <f t="shared" si="25"/>
        <v>0.72745098039215683</v>
      </c>
      <c r="K377" s="159">
        <f t="shared" si="26"/>
        <v>0.85845893896479764</v>
      </c>
      <c r="L377" s="159">
        <f t="shared" si="27"/>
        <v>0.21823529411764706</v>
      </c>
      <c r="M377" s="159">
        <f t="shared" si="28"/>
        <v>0.60092125727535828</v>
      </c>
      <c r="N377" s="160">
        <f t="shared" si="29"/>
        <v>0.81915655139300536</v>
      </c>
      <c r="O377" s="161"/>
      <c r="P377" s="161"/>
    </row>
    <row r="378" spans="1:16" x14ac:dyDescent="0.2">
      <c r="A378" s="165">
        <v>372</v>
      </c>
      <c r="B378" s="219" t="s">
        <v>9</v>
      </c>
      <c r="C378" s="222" t="s">
        <v>137</v>
      </c>
      <c r="D378" s="219" t="s">
        <v>225</v>
      </c>
      <c r="E378" s="219" t="s">
        <v>1426</v>
      </c>
      <c r="F378" s="192">
        <v>2603</v>
      </c>
      <c r="G378" s="191">
        <v>3620019.1</v>
      </c>
      <c r="H378" s="109">
        <v>2262</v>
      </c>
      <c r="I378" s="109">
        <v>3009915</v>
      </c>
      <c r="J378" s="159">
        <f t="shared" si="25"/>
        <v>0.86899731079523623</v>
      </c>
      <c r="K378" s="159">
        <f t="shared" si="26"/>
        <v>0.83146384503882864</v>
      </c>
      <c r="L378" s="159">
        <f t="shared" si="27"/>
        <v>0.26069919323857088</v>
      </c>
      <c r="M378" s="159">
        <f t="shared" si="28"/>
        <v>0.58202469152718006</v>
      </c>
      <c r="N378" s="160">
        <f t="shared" si="29"/>
        <v>0.842723884765751</v>
      </c>
      <c r="O378" s="161"/>
      <c r="P378" s="161"/>
    </row>
    <row r="379" spans="1:16" x14ac:dyDescent="0.2">
      <c r="A379" s="165">
        <v>373</v>
      </c>
      <c r="B379" s="219" t="s">
        <v>9</v>
      </c>
      <c r="C379" s="222" t="s">
        <v>137</v>
      </c>
      <c r="D379" s="219" t="s">
        <v>1094</v>
      </c>
      <c r="E379" s="219" t="s">
        <v>1095</v>
      </c>
      <c r="F379" s="192">
        <v>623</v>
      </c>
      <c r="G379" s="191">
        <v>882805.82499999995</v>
      </c>
      <c r="H379" s="109">
        <v>543</v>
      </c>
      <c r="I379" s="109">
        <v>693220</v>
      </c>
      <c r="J379" s="159">
        <f t="shared" si="25"/>
        <v>0.8715890850722311</v>
      </c>
      <c r="K379" s="159">
        <f t="shared" si="26"/>
        <v>0.78524629127815282</v>
      </c>
      <c r="L379" s="159">
        <f t="shared" si="27"/>
        <v>0.26147672552166934</v>
      </c>
      <c r="M379" s="159">
        <f t="shared" si="28"/>
        <v>0.54967240389470695</v>
      </c>
      <c r="N379" s="160">
        <f t="shared" si="29"/>
        <v>0.81114912941637629</v>
      </c>
      <c r="O379" s="161"/>
      <c r="P379" s="161"/>
    </row>
    <row r="380" spans="1:16" x14ac:dyDescent="0.2">
      <c r="A380" s="165">
        <v>374</v>
      </c>
      <c r="B380" s="219" t="s">
        <v>9</v>
      </c>
      <c r="C380" s="222" t="s">
        <v>137</v>
      </c>
      <c r="D380" s="219" t="s">
        <v>1272</v>
      </c>
      <c r="E380" s="219" t="s">
        <v>1273</v>
      </c>
      <c r="F380" s="192">
        <v>990</v>
      </c>
      <c r="G380" s="191">
        <v>1376476.95</v>
      </c>
      <c r="H380" s="109">
        <v>554</v>
      </c>
      <c r="I380" s="109">
        <v>737410</v>
      </c>
      <c r="J380" s="159">
        <f t="shared" si="25"/>
        <v>0.55959595959595965</v>
      </c>
      <c r="K380" s="159">
        <f t="shared" si="26"/>
        <v>0.53572273767461198</v>
      </c>
      <c r="L380" s="159">
        <f t="shared" si="27"/>
        <v>0.16787878787878788</v>
      </c>
      <c r="M380" s="159">
        <f t="shared" si="28"/>
        <v>0.37500591637222835</v>
      </c>
      <c r="N380" s="160">
        <f t="shared" si="29"/>
        <v>0.5428847042510162</v>
      </c>
      <c r="O380" s="161"/>
      <c r="P380" s="161"/>
    </row>
    <row r="381" spans="1:16" x14ac:dyDescent="0.2">
      <c r="A381" s="165">
        <v>375</v>
      </c>
      <c r="B381" s="219" t="s">
        <v>1008</v>
      </c>
      <c r="C381" s="222" t="s">
        <v>137</v>
      </c>
      <c r="D381" s="219" t="s">
        <v>536</v>
      </c>
      <c r="E381" s="219" t="s">
        <v>1205</v>
      </c>
      <c r="F381" s="192">
        <v>1765</v>
      </c>
      <c r="G381" s="191">
        <v>3233830.5</v>
      </c>
      <c r="H381" s="109">
        <v>1208</v>
      </c>
      <c r="I381" s="109">
        <v>3003185</v>
      </c>
      <c r="J381" s="159">
        <f t="shared" si="25"/>
        <v>0.68441926345609061</v>
      </c>
      <c r="K381" s="159">
        <f t="shared" si="26"/>
        <v>0.92867730698934281</v>
      </c>
      <c r="L381" s="159">
        <f t="shared" si="27"/>
        <v>0.20532577903682717</v>
      </c>
      <c r="M381" s="159">
        <f t="shared" si="28"/>
        <v>0.65007411489253997</v>
      </c>
      <c r="N381" s="160">
        <f t="shared" si="29"/>
        <v>0.85539989392936711</v>
      </c>
      <c r="O381" s="161"/>
      <c r="P381" s="161"/>
    </row>
    <row r="382" spans="1:16" x14ac:dyDescent="0.2">
      <c r="A382" s="165">
        <v>376</v>
      </c>
      <c r="B382" s="219" t="s">
        <v>1008</v>
      </c>
      <c r="C382" s="222" t="s">
        <v>137</v>
      </c>
      <c r="D382" s="219" t="s">
        <v>535</v>
      </c>
      <c r="E382" s="219" t="s">
        <v>1328</v>
      </c>
      <c r="F382" s="192">
        <v>835</v>
      </c>
      <c r="G382" s="191">
        <v>1548394.4</v>
      </c>
      <c r="H382" s="109">
        <v>577</v>
      </c>
      <c r="I382" s="109">
        <v>1496755</v>
      </c>
      <c r="J382" s="159">
        <f t="shared" si="25"/>
        <v>0.69101796407185634</v>
      </c>
      <c r="K382" s="159">
        <f t="shared" si="26"/>
        <v>0.96664971146886092</v>
      </c>
      <c r="L382" s="159">
        <f t="shared" si="27"/>
        <v>0.20730538922155689</v>
      </c>
      <c r="M382" s="159">
        <f t="shared" si="28"/>
        <v>0.67665479802820261</v>
      </c>
      <c r="N382" s="160">
        <f t="shared" si="29"/>
        <v>0.88396018724975955</v>
      </c>
      <c r="O382" s="161"/>
      <c r="P382" s="161"/>
    </row>
    <row r="383" spans="1:16" x14ac:dyDescent="0.2">
      <c r="A383" s="165">
        <v>377</v>
      </c>
      <c r="B383" s="219" t="s">
        <v>1008</v>
      </c>
      <c r="C383" s="222" t="s">
        <v>137</v>
      </c>
      <c r="D383" s="219" t="s">
        <v>543</v>
      </c>
      <c r="E383" s="219" t="s">
        <v>1055</v>
      </c>
      <c r="F383" s="192">
        <v>3531</v>
      </c>
      <c r="G383" s="191">
        <v>5880556.7999999998</v>
      </c>
      <c r="H383" s="109">
        <v>2640</v>
      </c>
      <c r="I383" s="109">
        <v>4201340</v>
      </c>
      <c r="J383" s="159">
        <f t="shared" si="25"/>
        <v>0.74766355140186913</v>
      </c>
      <c r="K383" s="159">
        <f t="shared" si="26"/>
        <v>0.71444595178470172</v>
      </c>
      <c r="L383" s="159">
        <f t="shared" si="27"/>
        <v>0.22429906542056074</v>
      </c>
      <c r="M383" s="159">
        <f t="shared" si="28"/>
        <v>0.50011216624929122</v>
      </c>
      <c r="N383" s="160">
        <f t="shared" si="29"/>
        <v>0.724411231669852</v>
      </c>
      <c r="O383" s="161"/>
      <c r="P383" s="161"/>
    </row>
    <row r="384" spans="1:16" x14ac:dyDescent="0.2">
      <c r="A384" s="165">
        <v>378</v>
      </c>
      <c r="B384" s="219" t="s">
        <v>1008</v>
      </c>
      <c r="C384" s="222" t="s">
        <v>137</v>
      </c>
      <c r="D384" s="219" t="s">
        <v>544</v>
      </c>
      <c r="E384" s="219" t="s">
        <v>1342</v>
      </c>
      <c r="F384" s="192">
        <v>1371</v>
      </c>
      <c r="G384" s="191">
        <v>2511003.0750000002</v>
      </c>
      <c r="H384" s="109">
        <v>1437</v>
      </c>
      <c r="I384" s="109">
        <v>1994820</v>
      </c>
      <c r="J384" s="159">
        <f t="shared" si="25"/>
        <v>1.0481400437636761</v>
      </c>
      <c r="K384" s="159">
        <f t="shared" si="26"/>
        <v>0.79443152414299611</v>
      </c>
      <c r="L384" s="159">
        <f t="shared" si="27"/>
        <v>0.3</v>
      </c>
      <c r="M384" s="159">
        <f t="shared" si="28"/>
        <v>0.55610206690009722</v>
      </c>
      <c r="N384" s="160">
        <f t="shared" si="29"/>
        <v>0.85610206690009716</v>
      </c>
      <c r="O384" s="161"/>
      <c r="P384" s="161"/>
    </row>
    <row r="385" spans="1:16" x14ac:dyDescent="0.2">
      <c r="A385" s="165">
        <v>379</v>
      </c>
      <c r="B385" s="219" t="s">
        <v>1008</v>
      </c>
      <c r="C385" s="222" t="s">
        <v>137</v>
      </c>
      <c r="D385" s="219" t="s">
        <v>539</v>
      </c>
      <c r="E385" s="219" t="s">
        <v>540</v>
      </c>
      <c r="F385" s="192">
        <v>2849</v>
      </c>
      <c r="G385" s="191">
        <v>5214295.2</v>
      </c>
      <c r="H385" s="109">
        <v>3393</v>
      </c>
      <c r="I385" s="109">
        <v>6305700</v>
      </c>
      <c r="J385" s="159">
        <f t="shared" si="25"/>
        <v>1.1909441909441909</v>
      </c>
      <c r="K385" s="159">
        <f t="shared" si="26"/>
        <v>1.2093101288166423</v>
      </c>
      <c r="L385" s="159">
        <f t="shared" si="27"/>
        <v>0.3</v>
      </c>
      <c r="M385" s="159">
        <f t="shared" si="28"/>
        <v>0.7</v>
      </c>
      <c r="N385" s="160">
        <f t="shared" si="29"/>
        <v>1</v>
      </c>
      <c r="O385" s="161"/>
      <c r="P385" s="161"/>
    </row>
    <row r="386" spans="1:16" x14ac:dyDescent="0.2">
      <c r="A386" s="165">
        <v>380</v>
      </c>
      <c r="B386" s="219" t="s">
        <v>1008</v>
      </c>
      <c r="C386" s="222" t="s">
        <v>137</v>
      </c>
      <c r="D386" s="219" t="s">
        <v>545</v>
      </c>
      <c r="E386" s="219" t="s">
        <v>1115</v>
      </c>
      <c r="F386" s="192">
        <v>1582</v>
      </c>
      <c r="G386" s="191">
        <v>2876459.9249999998</v>
      </c>
      <c r="H386" s="109">
        <v>1436</v>
      </c>
      <c r="I386" s="109">
        <v>2698435</v>
      </c>
      <c r="J386" s="159">
        <f t="shared" si="25"/>
        <v>0.90771175726927944</v>
      </c>
      <c r="K386" s="159">
        <f t="shared" si="26"/>
        <v>0.93810971484332439</v>
      </c>
      <c r="L386" s="159">
        <f t="shared" si="27"/>
        <v>0.27231352718078383</v>
      </c>
      <c r="M386" s="159">
        <f t="shared" si="28"/>
        <v>0.65667680039032705</v>
      </c>
      <c r="N386" s="160">
        <f t="shared" si="29"/>
        <v>0.92899032757111089</v>
      </c>
      <c r="O386" s="161"/>
      <c r="P386" s="161"/>
    </row>
    <row r="387" spans="1:16" x14ac:dyDescent="0.2">
      <c r="A387" s="165">
        <v>381</v>
      </c>
      <c r="B387" s="219" t="s">
        <v>1008</v>
      </c>
      <c r="C387" s="222" t="s">
        <v>137</v>
      </c>
      <c r="D387" s="219" t="s">
        <v>541</v>
      </c>
      <c r="E387" s="219" t="s">
        <v>1343</v>
      </c>
      <c r="F387" s="192">
        <v>1235</v>
      </c>
      <c r="G387" s="191">
        <v>2152203.5499999998</v>
      </c>
      <c r="H387" s="109">
        <v>1578</v>
      </c>
      <c r="I387" s="109">
        <v>2061295</v>
      </c>
      <c r="J387" s="159">
        <f t="shared" si="25"/>
        <v>1.2777327935222671</v>
      </c>
      <c r="K387" s="159">
        <f t="shared" si="26"/>
        <v>0.95776024530765236</v>
      </c>
      <c r="L387" s="159">
        <f t="shared" si="27"/>
        <v>0.3</v>
      </c>
      <c r="M387" s="159">
        <f t="shared" si="28"/>
        <v>0.67043217171535663</v>
      </c>
      <c r="N387" s="160">
        <f t="shared" si="29"/>
        <v>0.97043217171535656</v>
      </c>
      <c r="O387" s="161"/>
      <c r="P387" s="161"/>
    </row>
    <row r="388" spans="1:16" x14ac:dyDescent="0.2">
      <c r="A388" s="165">
        <v>382</v>
      </c>
      <c r="B388" s="219" t="s">
        <v>1008</v>
      </c>
      <c r="C388" s="222" t="s">
        <v>137</v>
      </c>
      <c r="D388" s="219" t="s">
        <v>537</v>
      </c>
      <c r="E388" s="219" t="s">
        <v>538</v>
      </c>
      <c r="F388" s="192">
        <v>2397</v>
      </c>
      <c r="G388" s="191">
        <v>4332382.1500000004</v>
      </c>
      <c r="H388" s="109">
        <v>1658</v>
      </c>
      <c r="I388" s="109">
        <v>2840050</v>
      </c>
      <c r="J388" s="159">
        <f t="shared" si="25"/>
        <v>0.69169795577805593</v>
      </c>
      <c r="K388" s="159">
        <f t="shared" si="26"/>
        <v>0.65554004740786764</v>
      </c>
      <c r="L388" s="159">
        <f t="shared" si="27"/>
        <v>0.20750938673341676</v>
      </c>
      <c r="M388" s="159">
        <f t="shared" si="28"/>
        <v>0.45887803318550729</v>
      </c>
      <c r="N388" s="160">
        <f t="shared" si="29"/>
        <v>0.66638741991892403</v>
      </c>
      <c r="O388" s="161"/>
      <c r="P388" s="161"/>
    </row>
    <row r="389" spans="1:16" x14ac:dyDescent="0.2">
      <c r="A389" s="165">
        <v>383</v>
      </c>
      <c r="B389" s="219" t="s">
        <v>134</v>
      </c>
      <c r="C389" s="222" t="s">
        <v>137</v>
      </c>
      <c r="D389" s="219" t="s">
        <v>557</v>
      </c>
      <c r="E389" s="219" t="s">
        <v>558</v>
      </c>
      <c r="F389" s="192">
        <v>1668</v>
      </c>
      <c r="G389" s="191">
        <v>2898818.7</v>
      </c>
      <c r="H389" s="109">
        <v>1518</v>
      </c>
      <c r="I389" s="109">
        <v>2381245</v>
      </c>
      <c r="J389" s="159">
        <f t="shared" si="25"/>
        <v>0.91007194244604317</v>
      </c>
      <c r="K389" s="159">
        <f t="shared" si="26"/>
        <v>0.82145358038431304</v>
      </c>
      <c r="L389" s="159">
        <f t="shared" si="27"/>
        <v>0.27302158273381294</v>
      </c>
      <c r="M389" s="159">
        <f t="shared" si="28"/>
        <v>0.57501750626901904</v>
      </c>
      <c r="N389" s="160">
        <f t="shared" si="29"/>
        <v>0.84803908900283198</v>
      </c>
      <c r="O389" s="161"/>
      <c r="P389" s="161"/>
    </row>
    <row r="390" spans="1:16" x14ac:dyDescent="0.2">
      <c r="A390" s="165">
        <v>384</v>
      </c>
      <c r="B390" s="219" t="s">
        <v>134</v>
      </c>
      <c r="C390" s="222" t="s">
        <v>137</v>
      </c>
      <c r="D390" s="219" t="s">
        <v>561</v>
      </c>
      <c r="E390" s="219" t="s">
        <v>1168</v>
      </c>
      <c r="F390" s="192">
        <v>1525</v>
      </c>
      <c r="G390" s="191">
        <v>2656033.85</v>
      </c>
      <c r="H390" s="109">
        <v>1246</v>
      </c>
      <c r="I390" s="109">
        <v>1863245</v>
      </c>
      <c r="J390" s="159">
        <f t="shared" si="25"/>
        <v>0.81704918032786888</v>
      </c>
      <c r="K390" s="159">
        <f t="shared" si="26"/>
        <v>0.7015140262613746</v>
      </c>
      <c r="L390" s="159">
        <f t="shared" si="27"/>
        <v>0.24511475409836064</v>
      </c>
      <c r="M390" s="159">
        <f t="shared" si="28"/>
        <v>0.4910598183829622</v>
      </c>
      <c r="N390" s="160">
        <f t="shared" si="29"/>
        <v>0.7361745724813229</v>
      </c>
      <c r="O390" s="161"/>
      <c r="P390" s="161"/>
    </row>
    <row r="391" spans="1:16" x14ac:dyDescent="0.2">
      <c r="A391" s="165">
        <v>385</v>
      </c>
      <c r="B391" s="223" t="s">
        <v>134</v>
      </c>
      <c r="C391" s="222" t="s">
        <v>137</v>
      </c>
      <c r="D391" s="219" t="s">
        <v>555</v>
      </c>
      <c r="E391" s="223" t="s">
        <v>556</v>
      </c>
      <c r="F391" s="192">
        <v>2055</v>
      </c>
      <c r="G391" s="191">
        <v>3554942.0750000002</v>
      </c>
      <c r="H391" s="109">
        <v>1076</v>
      </c>
      <c r="I391" s="109">
        <v>1790370</v>
      </c>
      <c r="J391" s="159">
        <f t="shared" ref="J391:J454" si="30">IFERROR(H391/F391,0)</f>
        <v>0.52360097323600974</v>
      </c>
      <c r="K391" s="159">
        <f t="shared" ref="K391:K454" si="31">IFERROR(I391/G391,0)</f>
        <v>0.5036284592625887</v>
      </c>
      <c r="L391" s="159">
        <f t="shared" ref="L391:L454" si="32">IF((J391*0.3)&gt;30%,30%,(J391*0.3))</f>
        <v>0.15708029197080292</v>
      </c>
      <c r="M391" s="159">
        <f t="shared" ref="M391:M454" si="33">IF((K391*0.7)&gt;70%,70%,(K391*0.7))</f>
        <v>0.35253992148381208</v>
      </c>
      <c r="N391" s="160">
        <f t="shared" ref="N391:N454" si="34">L391+M391</f>
        <v>0.50962021345461506</v>
      </c>
      <c r="O391" s="161"/>
      <c r="P391" s="161"/>
    </row>
    <row r="392" spans="1:16" x14ac:dyDescent="0.2">
      <c r="A392" s="165">
        <v>386</v>
      </c>
      <c r="B392" s="223" t="s">
        <v>134</v>
      </c>
      <c r="C392" s="222" t="s">
        <v>137</v>
      </c>
      <c r="D392" s="219" t="s">
        <v>559</v>
      </c>
      <c r="E392" s="223" t="s">
        <v>560</v>
      </c>
      <c r="F392" s="192">
        <v>1447</v>
      </c>
      <c r="G392" s="191">
        <v>2521012.375</v>
      </c>
      <c r="H392" s="109">
        <v>1106</v>
      </c>
      <c r="I392" s="109">
        <v>1780465</v>
      </c>
      <c r="J392" s="159">
        <f t="shared" si="30"/>
        <v>0.76434001382170003</v>
      </c>
      <c r="K392" s="159">
        <f t="shared" si="31"/>
        <v>0.70625000402863947</v>
      </c>
      <c r="L392" s="159">
        <f t="shared" si="32"/>
        <v>0.22930200414651</v>
      </c>
      <c r="M392" s="159">
        <f t="shared" si="33"/>
        <v>0.49437500282004759</v>
      </c>
      <c r="N392" s="160">
        <f t="shared" si="34"/>
        <v>0.72367700696655757</v>
      </c>
      <c r="O392" s="161"/>
      <c r="P392" s="161"/>
    </row>
    <row r="393" spans="1:16" x14ac:dyDescent="0.2">
      <c r="A393" s="165">
        <v>387</v>
      </c>
      <c r="B393" s="223" t="s">
        <v>134</v>
      </c>
      <c r="C393" s="222" t="s">
        <v>137</v>
      </c>
      <c r="D393" s="219" t="s">
        <v>554</v>
      </c>
      <c r="E393" s="223" t="s">
        <v>337</v>
      </c>
      <c r="F393" s="192">
        <v>871</v>
      </c>
      <c r="G393" s="191">
        <v>1565078.9</v>
      </c>
      <c r="H393" s="109">
        <v>986</v>
      </c>
      <c r="I393" s="109">
        <v>1603735</v>
      </c>
      <c r="J393" s="159">
        <f t="shared" si="30"/>
        <v>1.1320321469575201</v>
      </c>
      <c r="K393" s="159">
        <f t="shared" si="31"/>
        <v>1.0246991381712449</v>
      </c>
      <c r="L393" s="159">
        <f t="shared" si="32"/>
        <v>0.3</v>
      </c>
      <c r="M393" s="159">
        <f t="shared" si="33"/>
        <v>0.7</v>
      </c>
      <c r="N393" s="160">
        <f t="shared" si="34"/>
        <v>1</v>
      </c>
      <c r="O393" s="161"/>
      <c r="P393" s="161"/>
    </row>
    <row r="394" spans="1:16" x14ac:dyDescent="0.2">
      <c r="A394" s="165">
        <v>388</v>
      </c>
      <c r="B394" s="223" t="s">
        <v>135</v>
      </c>
      <c r="C394" s="222" t="s">
        <v>137</v>
      </c>
      <c r="D394" s="219" t="s">
        <v>568</v>
      </c>
      <c r="E394" s="223" t="s">
        <v>569</v>
      </c>
      <c r="F394" s="192">
        <v>1446</v>
      </c>
      <c r="G394" s="191">
        <v>2437721.625</v>
      </c>
      <c r="H394" s="109">
        <v>950</v>
      </c>
      <c r="I394" s="109">
        <v>1581885</v>
      </c>
      <c r="J394" s="159">
        <f t="shared" si="30"/>
        <v>0.65698478561549101</v>
      </c>
      <c r="K394" s="159">
        <f t="shared" si="31"/>
        <v>0.64891945978450272</v>
      </c>
      <c r="L394" s="159">
        <f t="shared" si="32"/>
        <v>0.1970954356846473</v>
      </c>
      <c r="M394" s="159">
        <f t="shared" si="33"/>
        <v>0.45424362184915185</v>
      </c>
      <c r="N394" s="160">
        <f t="shared" si="34"/>
        <v>0.65133905753379917</v>
      </c>
      <c r="O394" s="161"/>
      <c r="P394" s="161"/>
    </row>
    <row r="395" spans="1:16" ht="15" customHeight="1" x14ac:dyDescent="0.2">
      <c r="A395" s="165">
        <v>389</v>
      </c>
      <c r="B395" s="223" t="s">
        <v>135</v>
      </c>
      <c r="C395" s="222" t="s">
        <v>137</v>
      </c>
      <c r="D395" s="219" t="s">
        <v>566</v>
      </c>
      <c r="E395" s="223" t="s">
        <v>1344</v>
      </c>
      <c r="F395" s="192">
        <v>1142</v>
      </c>
      <c r="G395" s="191">
        <v>1924898.825</v>
      </c>
      <c r="H395" s="109">
        <v>1013</v>
      </c>
      <c r="I395" s="109">
        <v>1605745</v>
      </c>
      <c r="J395" s="159">
        <f t="shared" si="30"/>
        <v>0.88704028021015757</v>
      </c>
      <c r="K395" s="159">
        <f t="shared" si="31"/>
        <v>0.83419709085229454</v>
      </c>
      <c r="L395" s="159">
        <f t="shared" si="32"/>
        <v>0.26611208406304726</v>
      </c>
      <c r="M395" s="159">
        <f t="shared" si="33"/>
        <v>0.5839379635966061</v>
      </c>
      <c r="N395" s="160">
        <f t="shared" si="34"/>
        <v>0.85005004765965331</v>
      </c>
      <c r="O395" s="161"/>
      <c r="P395" s="161"/>
    </row>
    <row r="396" spans="1:16" ht="14.25" customHeight="1" x14ac:dyDescent="0.2">
      <c r="A396" s="165">
        <v>390</v>
      </c>
      <c r="B396" s="223" t="s">
        <v>135</v>
      </c>
      <c r="C396" s="222" t="s">
        <v>137</v>
      </c>
      <c r="D396" s="219" t="s">
        <v>564</v>
      </c>
      <c r="E396" s="223" t="s">
        <v>565</v>
      </c>
      <c r="F396" s="192">
        <v>1362</v>
      </c>
      <c r="G396" s="191">
        <v>2272482.7749999999</v>
      </c>
      <c r="H396" s="109">
        <v>1015</v>
      </c>
      <c r="I396" s="109">
        <v>1532370</v>
      </c>
      <c r="J396" s="159">
        <f t="shared" si="30"/>
        <v>0.74522760646108666</v>
      </c>
      <c r="K396" s="159">
        <f t="shared" si="31"/>
        <v>0.6743153421701954</v>
      </c>
      <c r="L396" s="159">
        <f t="shared" si="32"/>
        <v>0.22356828193832598</v>
      </c>
      <c r="M396" s="159">
        <f t="shared" si="33"/>
        <v>0.47202073951913676</v>
      </c>
      <c r="N396" s="160">
        <f t="shared" si="34"/>
        <v>0.69558902145746271</v>
      </c>
      <c r="O396" s="161"/>
      <c r="P396" s="161"/>
    </row>
    <row r="397" spans="1:16" ht="15" customHeight="1" x14ac:dyDescent="0.2">
      <c r="A397" s="165">
        <v>391</v>
      </c>
      <c r="B397" s="223" t="s">
        <v>135</v>
      </c>
      <c r="C397" s="222" t="s">
        <v>137</v>
      </c>
      <c r="D397" s="219" t="s">
        <v>570</v>
      </c>
      <c r="E397" s="223" t="s">
        <v>1345</v>
      </c>
      <c r="F397" s="192">
        <v>918</v>
      </c>
      <c r="G397" s="191">
        <v>1563526.0249999999</v>
      </c>
      <c r="H397" s="109">
        <v>756</v>
      </c>
      <c r="I397" s="109">
        <v>1003115</v>
      </c>
      <c r="J397" s="159">
        <f t="shared" si="30"/>
        <v>0.82352941176470584</v>
      </c>
      <c r="K397" s="159">
        <f t="shared" si="31"/>
        <v>0.6415723076947184</v>
      </c>
      <c r="L397" s="159">
        <f t="shared" si="32"/>
        <v>0.24705882352941175</v>
      </c>
      <c r="M397" s="159">
        <f t="shared" si="33"/>
        <v>0.44910061538630286</v>
      </c>
      <c r="N397" s="160">
        <f t="shared" si="34"/>
        <v>0.69615943891571463</v>
      </c>
      <c r="O397" s="161"/>
      <c r="P397" s="161"/>
    </row>
    <row r="398" spans="1:16" ht="14.25" customHeight="1" x14ac:dyDescent="0.2">
      <c r="A398" s="165">
        <v>392</v>
      </c>
      <c r="B398" s="223" t="s">
        <v>135</v>
      </c>
      <c r="C398" s="222" t="s">
        <v>137</v>
      </c>
      <c r="D398" s="219" t="s">
        <v>572</v>
      </c>
      <c r="E398" s="223" t="s">
        <v>1169</v>
      </c>
      <c r="F398" s="192">
        <v>1449</v>
      </c>
      <c r="G398" s="191">
        <v>2356215.7999999998</v>
      </c>
      <c r="H398" s="109">
        <v>1028</v>
      </c>
      <c r="I398" s="109">
        <v>1939040</v>
      </c>
      <c r="J398" s="159">
        <f t="shared" si="30"/>
        <v>0.70945479641131814</v>
      </c>
      <c r="K398" s="159">
        <f t="shared" si="31"/>
        <v>0.82294669274350851</v>
      </c>
      <c r="L398" s="159">
        <f t="shared" si="32"/>
        <v>0.21283643892339543</v>
      </c>
      <c r="M398" s="159">
        <f t="shared" si="33"/>
        <v>0.57606268492045587</v>
      </c>
      <c r="N398" s="160">
        <f t="shared" si="34"/>
        <v>0.7888991238438513</v>
      </c>
      <c r="O398" s="161"/>
      <c r="P398" s="161"/>
    </row>
    <row r="399" spans="1:16" ht="12" customHeight="1" x14ac:dyDescent="0.2">
      <c r="A399" s="165">
        <v>393</v>
      </c>
      <c r="B399" s="223" t="s">
        <v>135</v>
      </c>
      <c r="C399" s="222" t="s">
        <v>137</v>
      </c>
      <c r="D399" s="219" t="s">
        <v>562</v>
      </c>
      <c r="E399" s="223" t="s">
        <v>1346</v>
      </c>
      <c r="F399" s="192">
        <v>1220</v>
      </c>
      <c r="G399" s="191">
        <v>2061981.3</v>
      </c>
      <c r="H399" s="109">
        <v>560</v>
      </c>
      <c r="I399" s="109">
        <v>956800</v>
      </c>
      <c r="J399" s="159">
        <f t="shared" si="30"/>
        <v>0.45901639344262296</v>
      </c>
      <c r="K399" s="159">
        <f t="shared" si="31"/>
        <v>0.46401972704602124</v>
      </c>
      <c r="L399" s="159">
        <f t="shared" si="32"/>
        <v>0.13770491803278689</v>
      </c>
      <c r="M399" s="159">
        <f t="shared" si="33"/>
        <v>0.32481380893221484</v>
      </c>
      <c r="N399" s="160">
        <f t="shared" si="34"/>
        <v>0.46251872696500174</v>
      </c>
      <c r="O399" s="161"/>
      <c r="P399" s="161"/>
    </row>
    <row r="400" spans="1:16" x14ac:dyDescent="0.2">
      <c r="A400" s="165">
        <v>394</v>
      </c>
      <c r="B400" s="240" t="s">
        <v>62</v>
      </c>
      <c r="C400" s="241" t="s">
        <v>65</v>
      </c>
      <c r="D400" s="219" t="s">
        <v>697</v>
      </c>
      <c r="E400" s="240" t="s">
        <v>1405</v>
      </c>
      <c r="F400" s="199">
        <v>1530</v>
      </c>
      <c r="G400" s="191">
        <v>2707706.1</v>
      </c>
      <c r="H400" s="109">
        <v>896</v>
      </c>
      <c r="I400" s="109">
        <v>1362295</v>
      </c>
      <c r="J400" s="159">
        <f t="shared" si="30"/>
        <v>0.58562091503267977</v>
      </c>
      <c r="K400" s="159">
        <f t="shared" si="31"/>
        <v>0.50311774974396217</v>
      </c>
      <c r="L400" s="159">
        <f t="shared" si="32"/>
        <v>0.17568627450980392</v>
      </c>
      <c r="M400" s="159">
        <f t="shared" si="33"/>
        <v>0.3521824248207735</v>
      </c>
      <c r="N400" s="160">
        <f t="shared" si="34"/>
        <v>0.52786869933057745</v>
      </c>
      <c r="O400" s="161"/>
      <c r="P400" s="161"/>
    </row>
    <row r="401" spans="1:16" x14ac:dyDescent="0.2">
      <c r="A401" s="165">
        <v>395</v>
      </c>
      <c r="B401" s="240" t="s">
        <v>62</v>
      </c>
      <c r="C401" s="241" t="s">
        <v>65</v>
      </c>
      <c r="D401" s="219" t="s">
        <v>695</v>
      </c>
      <c r="E401" s="240" t="s">
        <v>696</v>
      </c>
      <c r="F401" s="199">
        <v>2296</v>
      </c>
      <c r="G401" s="191">
        <v>4052504.7</v>
      </c>
      <c r="H401" s="109">
        <v>2155</v>
      </c>
      <c r="I401" s="109">
        <v>3103490</v>
      </c>
      <c r="J401" s="159">
        <f t="shared" si="30"/>
        <v>0.93858885017421601</v>
      </c>
      <c r="K401" s="159">
        <f t="shared" si="31"/>
        <v>0.76582020990623401</v>
      </c>
      <c r="L401" s="159">
        <f t="shared" si="32"/>
        <v>0.28157665505226481</v>
      </c>
      <c r="M401" s="159">
        <f t="shared" si="33"/>
        <v>0.53607414693436373</v>
      </c>
      <c r="N401" s="160">
        <f t="shared" si="34"/>
        <v>0.81765080198662854</v>
      </c>
      <c r="O401" s="161"/>
      <c r="P401" s="161"/>
    </row>
    <row r="402" spans="1:16" x14ac:dyDescent="0.2">
      <c r="A402" s="165">
        <v>396</v>
      </c>
      <c r="B402" s="240" t="s">
        <v>63</v>
      </c>
      <c r="C402" s="241" t="s">
        <v>65</v>
      </c>
      <c r="D402" s="219" t="s">
        <v>711</v>
      </c>
      <c r="E402" s="240" t="s">
        <v>1141</v>
      </c>
      <c r="F402" s="199">
        <v>1152</v>
      </c>
      <c r="G402" s="191">
        <v>2123330.0750000002</v>
      </c>
      <c r="H402" s="109">
        <v>1127</v>
      </c>
      <c r="I402" s="109">
        <v>1706985</v>
      </c>
      <c r="J402" s="159">
        <f t="shared" si="30"/>
        <v>0.97829861111111116</v>
      </c>
      <c r="K402" s="159">
        <f t="shared" si="31"/>
        <v>0.80391881606066351</v>
      </c>
      <c r="L402" s="159">
        <f t="shared" si="32"/>
        <v>0.29348958333333336</v>
      </c>
      <c r="M402" s="159">
        <f t="shared" si="33"/>
        <v>0.56274317124246442</v>
      </c>
      <c r="N402" s="160">
        <f t="shared" si="34"/>
        <v>0.85623275457579773</v>
      </c>
      <c r="O402" s="161"/>
      <c r="P402" s="161"/>
    </row>
    <row r="403" spans="1:16" x14ac:dyDescent="0.2">
      <c r="A403" s="165">
        <v>397</v>
      </c>
      <c r="B403" s="240" t="s">
        <v>63</v>
      </c>
      <c r="C403" s="241" t="s">
        <v>65</v>
      </c>
      <c r="D403" s="219" t="s">
        <v>1142</v>
      </c>
      <c r="E403" s="240" t="s">
        <v>1379</v>
      </c>
      <c r="F403" s="199">
        <v>720</v>
      </c>
      <c r="G403" s="191">
        <v>1175311.3500000001</v>
      </c>
      <c r="H403" s="109">
        <v>342</v>
      </c>
      <c r="I403" s="109">
        <v>808015</v>
      </c>
      <c r="J403" s="159">
        <f t="shared" si="30"/>
        <v>0.47499999999999998</v>
      </c>
      <c r="K403" s="159">
        <f t="shared" si="31"/>
        <v>0.68749017015789049</v>
      </c>
      <c r="L403" s="159">
        <f t="shared" si="32"/>
        <v>0.14249999999999999</v>
      </c>
      <c r="M403" s="159">
        <f t="shared" si="33"/>
        <v>0.48124311911052331</v>
      </c>
      <c r="N403" s="160">
        <f t="shared" si="34"/>
        <v>0.62374311911052327</v>
      </c>
      <c r="O403" s="161"/>
      <c r="P403" s="161"/>
    </row>
    <row r="404" spans="1:16" x14ac:dyDescent="0.2">
      <c r="A404" s="165">
        <v>398</v>
      </c>
      <c r="B404" s="242" t="s">
        <v>63</v>
      </c>
      <c r="C404" s="241" t="s">
        <v>65</v>
      </c>
      <c r="D404" s="219" t="s">
        <v>698</v>
      </c>
      <c r="E404" s="243" t="s">
        <v>1144</v>
      </c>
      <c r="F404" s="199">
        <v>997</v>
      </c>
      <c r="G404" s="191">
        <v>1762920.45</v>
      </c>
      <c r="H404" s="109">
        <v>839</v>
      </c>
      <c r="I404" s="109">
        <v>1602815</v>
      </c>
      <c r="J404" s="159">
        <f t="shared" si="30"/>
        <v>0.84152457372116352</v>
      </c>
      <c r="K404" s="159">
        <f t="shared" si="31"/>
        <v>0.90918169336568766</v>
      </c>
      <c r="L404" s="159">
        <f t="shared" si="32"/>
        <v>0.25245737211634905</v>
      </c>
      <c r="M404" s="159">
        <f t="shared" si="33"/>
        <v>0.63642718535598131</v>
      </c>
      <c r="N404" s="160">
        <f t="shared" si="34"/>
        <v>0.88888455747233031</v>
      </c>
      <c r="O404" s="161"/>
      <c r="P404" s="161"/>
    </row>
    <row r="405" spans="1:16" x14ac:dyDescent="0.2">
      <c r="A405" s="165">
        <v>399</v>
      </c>
      <c r="B405" s="242" t="s">
        <v>63</v>
      </c>
      <c r="C405" s="241" t="s">
        <v>65</v>
      </c>
      <c r="D405" s="219" t="s">
        <v>712</v>
      </c>
      <c r="E405" s="243" t="s">
        <v>1475</v>
      </c>
      <c r="F405" s="199">
        <v>1196</v>
      </c>
      <c r="G405" s="191">
        <v>1941564.95</v>
      </c>
      <c r="H405" s="109">
        <v>817</v>
      </c>
      <c r="I405" s="109">
        <v>1361975</v>
      </c>
      <c r="J405" s="159">
        <f t="shared" si="30"/>
        <v>0.68311036789297663</v>
      </c>
      <c r="K405" s="159">
        <f t="shared" si="31"/>
        <v>0.70148310001166847</v>
      </c>
      <c r="L405" s="159">
        <f t="shared" si="32"/>
        <v>0.204933110367893</v>
      </c>
      <c r="M405" s="159">
        <f t="shared" si="33"/>
        <v>0.49103817000816791</v>
      </c>
      <c r="N405" s="160">
        <f t="shared" si="34"/>
        <v>0.69597128037606093</v>
      </c>
      <c r="O405" s="161"/>
      <c r="P405" s="161"/>
    </row>
    <row r="406" spans="1:16" x14ac:dyDescent="0.2">
      <c r="A406" s="165">
        <v>400</v>
      </c>
      <c r="B406" s="242" t="s">
        <v>63</v>
      </c>
      <c r="C406" s="241" t="s">
        <v>65</v>
      </c>
      <c r="D406" s="219" t="s">
        <v>707</v>
      </c>
      <c r="E406" s="243" t="s">
        <v>708</v>
      </c>
      <c r="F406" s="199">
        <v>1293</v>
      </c>
      <c r="G406" s="191">
        <v>2452586.7000000002</v>
      </c>
      <c r="H406" s="109">
        <v>902</v>
      </c>
      <c r="I406" s="109">
        <v>1875055</v>
      </c>
      <c r="J406" s="159">
        <f t="shared" si="30"/>
        <v>0.69760247486465587</v>
      </c>
      <c r="K406" s="159">
        <f t="shared" si="31"/>
        <v>0.76452139286248266</v>
      </c>
      <c r="L406" s="159">
        <f t="shared" si="32"/>
        <v>0.20928074245939676</v>
      </c>
      <c r="M406" s="159">
        <f t="shared" si="33"/>
        <v>0.53516497500373783</v>
      </c>
      <c r="N406" s="160">
        <f t="shared" si="34"/>
        <v>0.74444571746313459</v>
      </c>
      <c r="O406" s="161"/>
      <c r="P406" s="161"/>
    </row>
    <row r="407" spans="1:16" x14ac:dyDescent="0.2">
      <c r="A407" s="165">
        <v>401</v>
      </c>
      <c r="B407" s="242" t="s">
        <v>63</v>
      </c>
      <c r="C407" s="241" t="s">
        <v>65</v>
      </c>
      <c r="D407" s="219" t="s">
        <v>699</v>
      </c>
      <c r="E407" s="243" t="s">
        <v>700</v>
      </c>
      <c r="F407" s="199">
        <v>1673</v>
      </c>
      <c r="G407" s="191">
        <v>2689079.9249999998</v>
      </c>
      <c r="H407" s="109">
        <v>2025</v>
      </c>
      <c r="I407" s="109">
        <v>2922575</v>
      </c>
      <c r="J407" s="159">
        <f t="shared" si="30"/>
        <v>1.210400478182905</v>
      </c>
      <c r="K407" s="159">
        <f t="shared" si="31"/>
        <v>1.0868308423372728</v>
      </c>
      <c r="L407" s="159">
        <f t="shared" si="32"/>
        <v>0.3</v>
      </c>
      <c r="M407" s="159">
        <f t="shared" si="33"/>
        <v>0.7</v>
      </c>
      <c r="N407" s="160">
        <f t="shared" si="34"/>
        <v>1</v>
      </c>
      <c r="O407" s="161"/>
      <c r="P407" s="161"/>
    </row>
    <row r="408" spans="1:16" x14ac:dyDescent="0.2">
      <c r="A408" s="165">
        <v>402</v>
      </c>
      <c r="B408" s="243" t="s">
        <v>63</v>
      </c>
      <c r="C408" s="241" t="s">
        <v>65</v>
      </c>
      <c r="D408" s="219" t="s">
        <v>710</v>
      </c>
      <c r="E408" s="243" t="s">
        <v>1385</v>
      </c>
      <c r="F408" s="199">
        <v>1220</v>
      </c>
      <c r="G408" s="191">
        <v>2067339.575</v>
      </c>
      <c r="H408" s="109">
        <v>886</v>
      </c>
      <c r="I408" s="109">
        <v>1677260</v>
      </c>
      <c r="J408" s="159">
        <f t="shared" si="30"/>
        <v>0.72622950819672127</v>
      </c>
      <c r="K408" s="159">
        <f t="shared" si="31"/>
        <v>0.81131325510469177</v>
      </c>
      <c r="L408" s="159">
        <f t="shared" si="32"/>
        <v>0.21786885245901638</v>
      </c>
      <c r="M408" s="159">
        <f t="shared" si="33"/>
        <v>0.56791927857328417</v>
      </c>
      <c r="N408" s="160">
        <f t="shared" si="34"/>
        <v>0.7857881310323005</v>
      </c>
      <c r="O408" s="161"/>
      <c r="P408" s="161"/>
    </row>
    <row r="409" spans="1:16" x14ac:dyDescent="0.2">
      <c r="A409" s="165">
        <v>403</v>
      </c>
      <c r="B409" s="243" t="s">
        <v>63</v>
      </c>
      <c r="C409" s="241" t="s">
        <v>65</v>
      </c>
      <c r="D409" s="219" t="s">
        <v>701</v>
      </c>
      <c r="E409" s="243" t="s">
        <v>702</v>
      </c>
      <c r="F409" s="199">
        <v>1422</v>
      </c>
      <c r="G409" s="191">
        <v>2248289.0750000002</v>
      </c>
      <c r="H409" s="109">
        <v>1568</v>
      </c>
      <c r="I409" s="109">
        <v>2197435</v>
      </c>
      <c r="J409" s="159">
        <f t="shared" si="30"/>
        <v>1.1026722925457102</v>
      </c>
      <c r="K409" s="159">
        <f t="shared" si="31"/>
        <v>0.97738098914170979</v>
      </c>
      <c r="L409" s="159">
        <f t="shared" si="32"/>
        <v>0.3</v>
      </c>
      <c r="M409" s="159">
        <f t="shared" si="33"/>
        <v>0.68416669239919681</v>
      </c>
      <c r="N409" s="160">
        <f t="shared" si="34"/>
        <v>0.98416669239919674</v>
      </c>
      <c r="O409" s="161"/>
      <c r="P409" s="161"/>
    </row>
    <row r="410" spans="1:16" x14ac:dyDescent="0.2">
      <c r="A410" s="165">
        <v>404</v>
      </c>
      <c r="B410" s="243" t="s">
        <v>63</v>
      </c>
      <c r="C410" s="241" t="s">
        <v>65</v>
      </c>
      <c r="D410" s="219" t="s">
        <v>709</v>
      </c>
      <c r="E410" s="243" t="s">
        <v>1147</v>
      </c>
      <c r="F410" s="199">
        <v>1141</v>
      </c>
      <c r="G410" s="191">
        <v>2516421.4500000002</v>
      </c>
      <c r="H410" s="109">
        <v>1345</v>
      </c>
      <c r="I410" s="109">
        <v>2897165</v>
      </c>
      <c r="J410" s="159">
        <f t="shared" si="30"/>
        <v>1.1787905346187555</v>
      </c>
      <c r="K410" s="159">
        <f t="shared" si="31"/>
        <v>1.1513035703935841</v>
      </c>
      <c r="L410" s="159">
        <f t="shared" si="32"/>
        <v>0.3</v>
      </c>
      <c r="M410" s="159">
        <f t="shared" si="33"/>
        <v>0.7</v>
      </c>
      <c r="N410" s="160">
        <f t="shared" si="34"/>
        <v>1</v>
      </c>
      <c r="O410" s="161"/>
      <c r="P410" s="161"/>
    </row>
    <row r="411" spans="1:16" x14ac:dyDescent="0.2">
      <c r="A411" s="165">
        <v>405</v>
      </c>
      <c r="B411" s="243" t="s">
        <v>63</v>
      </c>
      <c r="C411" s="241" t="s">
        <v>65</v>
      </c>
      <c r="D411" s="219" t="s">
        <v>1150</v>
      </c>
      <c r="E411" s="243" t="s">
        <v>1386</v>
      </c>
      <c r="F411" s="199">
        <v>747</v>
      </c>
      <c r="G411" s="191">
        <v>1322299.6000000001</v>
      </c>
      <c r="H411" s="109">
        <v>586</v>
      </c>
      <c r="I411" s="109">
        <v>712280</v>
      </c>
      <c r="J411" s="159">
        <f t="shared" si="30"/>
        <v>0.78447121820615795</v>
      </c>
      <c r="K411" s="159">
        <f t="shared" si="31"/>
        <v>0.53866763629059555</v>
      </c>
      <c r="L411" s="159">
        <f t="shared" si="32"/>
        <v>0.23534136546184736</v>
      </c>
      <c r="M411" s="159">
        <f t="shared" si="33"/>
        <v>0.37706734540341685</v>
      </c>
      <c r="N411" s="160">
        <f t="shared" si="34"/>
        <v>0.61240871086526427</v>
      </c>
      <c r="O411" s="161"/>
      <c r="P411" s="161"/>
    </row>
    <row r="412" spans="1:16" x14ac:dyDescent="0.2">
      <c r="A412" s="165">
        <v>406</v>
      </c>
      <c r="B412" s="243" t="s">
        <v>63</v>
      </c>
      <c r="C412" s="241" t="s">
        <v>65</v>
      </c>
      <c r="D412" s="219" t="s">
        <v>703</v>
      </c>
      <c r="E412" s="243" t="s">
        <v>1326</v>
      </c>
      <c r="F412" s="199">
        <v>895</v>
      </c>
      <c r="G412" s="191">
        <v>1633492.125</v>
      </c>
      <c r="H412" s="109">
        <v>648</v>
      </c>
      <c r="I412" s="109">
        <v>1337535</v>
      </c>
      <c r="J412" s="159">
        <f t="shared" si="30"/>
        <v>0.7240223463687151</v>
      </c>
      <c r="K412" s="159">
        <f t="shared" si="31"/>
        <v>0.81881937447356845</v>
      </c>
      <c r="L412" s="159">
        <f t="shared" si="32"/>
        <v>0.21720670391061453</v>
      </c>
      <c r="M412" s="159">
        <f t="shared" si="33"/>
        <v>0.57317356213149784</v>
      </c>
      <c r="N412" s="160">
        <f t="shared" si="34"/>
        <v>0.79038026604211242</v>
      </c>
      <c r="O412" s="161"/>
      <c r="P412" s="161"/>
    </row>
    <row r="413" spans="1:16" x14ac:dyDescent="0.2">
      <c r="A413" s="165">
        <v>407</v>
      </c>
      <c r="B413" s="243" t="s">
        <v>131</v>
      </c>
      <c r="C413" s="241" t="s">
        <v>65</v>
      </c>
      <c r="D413" s="219" t="s">
        <v>483</v>
      </c>
      <c r="E413" s="244" t="s">
        <v>1313</v>
      </c>
      <c r="F413" s="199">
        <v>1425</v>
      </c>
      <c r="G413" s="191">
        <v>2528076.5249999999</v>
      </c>
      <c r="H413" s="109">
        <v>1412</v>
      </c>
      <c r="I413" s="109">
        <v>2900675</v>
      </c>
      <c r="J413" s="159">
        <f t="shared" si="30"/>
        <v>0.99087719298245613</v>
      </c>
      <c r="K413" s="159">
        <f t="shared" si="31"/>
        <v>1.147384175801403</v>
      </c>
      <c r="L413" s="159">
        <f t="shared" si="32"/>
        <v>0.29726315789473684</v>
      </c>
      <c r="M413" s="159">
        <f t="shared" si="33"/>
        <v>0.7</v>
      </c>
      <c r="N413" s="160">
        <f t="shared" si="34"/>
        <v>0.99726315789473685</v>
      </c>
      <c r="O413" s="161"/>
      <c r="P413" s="161"/>
    </row>
    <row r="414" spans="1:16" x14ac:dyDescent="0.2">
      <c r="A414" s="165">
        <v>408</v>
      </c>
      <c r="B414" s="243" t="s">
        <v>131</v>
      </c>
      <c r="C414" s="241" t="s">
        <v>65</v>
      </c>
      <c r="D414" s="219" t="s">
        <v>486</v>
      </c>
      <c r="E414" s="243" t="s">
        <v>1314</v>
      </c>
      <c r="F414" s="199">
        <v>1054</v>
      </c>
      <c r="G414" s="191">
        <v>1876668.075</v>
      </c>
      <c r="H414" s="109">
        <v>784</v>
      </c>
      <c r="I414" s="109">
        <v>1401800</v>
      </c>
      <c r="J414" s="159">
        <f t="shared" si="30"/>
        <v>0.74383301707779881</v>
      </c>
      <c r="K414" s="159">
        <f t="shared" si="31"/>
        <v>0.74696213926908739</v>
      </c>
      <c r="L414" s="159">
        <f t="shared" si="32"/>
        <v>0.22314990512333963</v>
      </c>
      <c r="M414" s="159">
        <f t="shared" si="33"/>
        <v>0.52287349748836109</v>
      </c>
      <c r="N414" s="160">
        <f t="shared" si="34"/>
        <v>0.74602340261170075</v>
      </c>
      <c r="O414" s="161"/>
      <c r="P414" s="161"/>
    </row>
    <row r="415" spans="1:16" x14ac:dyDescent="0.2">
      <c r="A415" s="165">
        <v>409</v>
      </c>
      <c r="B415" s="243" t="s">
        <v>131</v>
      </c>
      <c r="C415" s="241" t="s">
        <v>65</v>
      </c>
      <c r="D415" s="219" t="s">
        <v>485</v>
      </c>
      <c r="E415" s="244" t="s">
        <v>1206</v>
      </c>
      <c r="F415" s="199">
        <v>951</v>
      </c>
      <c r="G415" s="191">
        <v>1692166.4</v>
      </c>
      <c r="H415" s="109">
        <v>820</v>
      </c>
      <c r="I415" s="109">
        <v>1198640</v>
      </c>
      <c r="J415" s="159">
        <f t="shared" si="30"/>
        <v>0.86225026288117768</v>
      </c>
      <c r="K415" s="159">
        <f t="shared" si="31"/>
        <v>0.70834641321326319</v>
      </c>
      <c r="L415" s="159">
        <f t="shared" si="32"/>
        <v>0.25867507886435331</v>
      </c>
      <c r="M415" s="159">
        <f t="shared" si="33"/>
        <v>0.4958424892492842</v>
      </c>
      <c r="N415" s="160">
        <f t="shared" si="34"/>
        <v>0.75451756811363757</v>
      </c>
      <c r="O415" s="161"/>
      <c r="P415" s="161"/>
    </row>
    <row r="416" spans="1:16" x14ac:dyDescent="0.2">
      <c r="A416" s="165">
        <v>410</v>
      </c>
      <c r="B416" s="241" t="s">
        <v>133</v>
      </c>
      <c r="C416" s="241" t="s">
        <v>65</v>
      </c>
      <c r="D416" s="219" t="s">
        <v>489</v>
      </c>
      <c r="E416" s="232" t="s">
        <v>1348</v>
      </c>
      <c r="F416" s="199">
        <v>1459</v>
      </c>
      <c r="G416" s="191">
        <v>2647517.0499999998</v>
      </c>
      <c r="H416" s="109">
        <v>1161</v>
      </c>
      <c r="I416" s="109">
        <v>1984160</v>
      </c>
      <c r="J416" s="159">
        <f t="shared" si="30"/>
        <v>0.79575051405071973</v>
      </c>
      <c r="K416" s="159">
        <f t="shared" si="31"/>
        <v>0.74944182134728843</v>
      </c>
      <c r="L416" s="159">
        <f t="shared" si="32"/>
        <v>0.2387251542152159</v>
      </c>
      <c r="M416" s="159">
        <f t="shared" si="33"/>
        <v>0.52460927494310183</v>
      </c>
      <c r="N416" s="160">
        <f t="shared" si="34"/>
        <v>0.76333442915831773</v>
      </c>
      <c r="O416" s="161"/>
      <c r="P416" s="161"/>
    </row>
    <row r="417" spans="1:16" x14ac:dyDescent="0.2">
      <c r="A417" s="165">
        <v>411</v>
      </c>
      <c r="B417" s="241" t="s">
        <v>133</v>
      </c>
      <c r="C417" s="241" t="s">
        <v>65</v>
      </c>
      <c r="D417" s="219" t="s">
        <v>492</v>
      </c>
      <c r="E417" s="232" t="s">
        <v>493</v>
      </c>
      <c r="F417" s="199">
        <v>1358</v>
      </c>
      <c r="G417" s="191">
        <v>2413877.5750000002</v>
      </c>
      <c r="H417" s="109">
        <v>1088</v>
      </c>
      <c r="I417" s="109">
        <v>1538790</v>
      </c>
      <c r="J417" s="159">
        <f t="shared" si="30"/>
        <v>0.80117820324005895</v>
      </c>
      <c r="K417" s="159">
        <f t="shared" si="31"/>
        <v>0.63747640557123109</v>
      </c>
      <c r="L417" s="159">
        <f t="shared" si="32"/>
        <v>0.24035346097201768</v>
      </c>
      <c r="M417" s="159">
        <f t="shared" si="33"/>
        <v>0.44623348389986173</v>
      </c>
      <c r="N417" s="160">
        <f t="shared" si="34"/>
        <v>0.68658694487187943</v>
      </c>
      <c r="O417" s="161"/>
      <c r="P417" s="161"/>
    </row>
    <row r="418" spans="1:16" x14ac:dyDescent="0.2">
      <c r="A418" s="165">
        <v>412</v>
      </c>
      <c r="B418" s="241" t="s">
        <v>133</v>
      </c>
      <c r="C418" s="241" t="s">
        <v>65</v>
      </c>
      <c r="D418" s="219" t="s">
        <v>494</v>
      </c>
      <c r="E418" s="232" t="s">
        <v>432</v>
      </c>
      <c r="F418" s="199">
        <v>1804</v>
      </c>
      <c r="G418" s="191">
        <v>3134261.95</v>
      </c>
      <c r="H418" s="109">
        <v>1140</v>
      </c>
      <c r="I418" s="109">
        <v>2572805</v>
      </c>
      <c r="J418" s="159">
        <f t="shared" si="30"/>
        <v>0.63192904656319293</v>
      </c>
      <c r="K418" s="159">
        <f t="shared" si="31"/>
        <v>0.82086470149695046</v>
      </c>
      <c r="L418" s="159">
        <f t="shared" si="32"/>
        <v>0.18957871396895787</v>
      </c>
      <c r="M418" s="159">
        <f t="shared" si="33"/>
        <v>0.57460529104786529</v>
      </c>
      <c r="N418" s="160">
        <f t="shared" si="34"/>
        <v>0.76418400501682315</v>
      </c>
      <c r="O418" s="161"/>
      <c r="P418" s="161"/>
    </row>
    <row r="419" spans="1:16" x14ac:dyDescent="0.2">
      <c r="A419" s="165">
        <v>413</v>
      </c>
      <c r="B419" s="241" t="s">
        <v>133</v>
      </c>
      <c r="C419" s="241" t="s">
        <v>65</v>
      </c>
      <c r="D419" s="219" t="s">
        <v>491</v>
      </c>
      <c r="E419" s="241" t="s">
        <v>1112</v>
      </c>
      <c r="F419" s="199">
        <v>2187</v>
      </c>
      <c r="G419" s="191">
        <v>3835308.9</v>
      </c>
      <c r="H419" s="109">
        <v>1334</v>
      </c>
      <c r="I419" s="109">
        <v>2494100</v>
      </c>
      <c r="J419" s="159">
        <f t="shared" si="30"/>
        <v>0.60996799268404212</v>
      </c>
      <c r="K419" s="159">
        <f t="shared" si="31"/>
        <v>0.65029964079294889</v>
      </c>
      <c r="L419" s="159">
        <f t="shared" si="32"/>
        <v>0.18299039780521262</v>
      </c>
      <c r="M419" s="159">
        <f t="shared" si="33"/>
        <v>0.45520974855506419</v>
      </c>
      <c r="N419" s="160">
        <f t="shared" si="34"/>
        <v>0.63820014636027678</v>
      </c>
      <c r="O419" s="161"/>
      <c r="P419" s="161"/>
    </row>
    <row r="420" spans="1:16" x14ac:dyDescent="0.2">
      <c r="A420" s="165">
        <v>414</v>
      </c>
      <c r="B420" s="241" t="s">
        <v>133</v>
      </c>
      <c r="C420" s="241" t="s">
        <v>65</v>
      </c>
      <c r="D420" s="219" t="s">
        <v>488</v>
      </c>
      <c r="E420" s="232" t="s">
        <v>1377</v>
      </c>
      <c r="F420" s="199">
        <v>1132</v>
      </c>
      <c r="G420" s="191">
        <v>2018294.925</v>
      </c>
      <c r="H420" s="109">
        <v>714</v>
      </c>
      <c r="I420" s="109">
        <v>1168980</v>
      </c>
      <c r="J420" s="159">
        <f t="shared" si="30"/>
        <v>0.63074204946996471</v>
      </c>
      <c r="K420" s="159">
        <f t="shared" si="31"/>
        <v>0.57919186414245183</v>
      </c>
      <c r="L420" s="159">
        <f t="shared" si="32"/>
        <v>0.1892226148409894</v>
      </c>
      <c r="M420" s="159">
        <f t="shared" si="33"/>
        <v>0.40543430489971627</v>
      </c>
      <c r="N420" s="160">
        <f t="shared" si="34"/>
        <v>0.59465691974070567</v>
      </c>
      <c r="O420" s="161"/>
      <c r="P420" s="161"/>
    </row>
    <row r="421" spans="1:16" x14ac:dyDescent="0.2">
      <c r="A421" s="165">
        <v>415</v>
      </c>
      <c r="B421" s="241" t="s">
        <v>132</v>
      </c>
      <c r="C421" s="241" t="s">
        <v>65</v>
      </c>
      <c r="D421" s="219" t="s">
        <v>550</v>
      </c>
      <c r="E421" s="232" t="s">
        <v>551</v>
      </c>
      <c r="F421" s="199">
        <v>2292</v>
      </c>
      <c r="G421" s="191">
        <v>3786298.125</v>
      </c>
      <c r="H421" s="109">
        <v>1851</v>
      </c>
      <c r="I421" s="109">
        <v>3162350</v>
      </c>
      <c r="J421" s="159">
        <f t="shared" si="30"/>
        <v>0.80759162303664922</v>
      </c>
      <c r="K421" s="159">
        <f t="shared" si="31"/>
        <v>0.83520892850982253</v>
      </c>
      <c r="L421" s="159">
        <f t="shared" si="32"/>
        <v>0.24227748691099477</v>
      </c>
      <c r="M421" s="159">
        <f t="shared" si="33"/>
        <v>0.58464624995687575</v>
      </c>
      <c r="N421" s="160">
        <f t="shared" si="34"/>
        <v>0.82692373686787057</v>
      </c>
      <c r="O421" s="161"/>
      <c r="P421" s="161"/>
    </row>
    <row r="422" spans="1:16" x14ac:dyDescent="0.2">
      <c r="A422" s="165">
        <v>416</v>
      </c>
      <c r="B422" s="241" t="s">
        <v>132</v>
      </c>
      <c r="C422" s="241" t="s">
        <v>65</v>
      </c>
      <c r="D422" s="219" t="s">
        <v>552</v>
      </c>
      <c r="E422" s="232" t="s">
        <v>553</v>
      </c>
      <c r="F422" s="199">
        <v>1830</v>
      </c>
      <c r="G422" s="191">
        <v>3550875.4249999998</v>
      </c>
      <c r="H422" s="109">
        <v>1771</v>
      </c>
      <c r="I422" s="109">
        <v>3101860</v>
      </c>
      <c r="J422" s="159">
        <f t="shared" si="30"/>
        <v>0.96775956284153009</v>
      </c>
      <c r="K422" s="159">
        <f t="shared" si="31"/>
        <v>0.87354796458397299</v>
      </c>
      <c r="L422" s="159">
        <f t="shared" si="32"/>
        <v>0.29032786885245904</v>
      </c>
      <c r="M422" s="159">
        <f t="shared" si="33"/>
        <v>0.61148357520878105</v>
      </c>
      <c r="N422" s="160">
        <f t="shared" si="34"/>
        <v>0.90181144406124014</v>
      </c>
      <c r="O422" s="161"/>
      <c r="P422" s="161"/>
    </row>
    <row r="423" spans="1:16" x14ac:dyDescent="0.2">
      <c r="A423" s="165">
        <v>417</v>
      </c>
      <c r="B423" s="241" t="s">
        <v>132</v>
      </c>
      <c r="C423" s="241" t="s">
        <v>65</v>
      </c>
      <c r="D423" s="219" t="s">
        <v>547</v>
      </c>
      <c r="E423" s="232" t="s">
        <v>1347</v>
      </c>
      <c r="F423" s="199">
        <v>1497</v>
      </c>
      <c r="G423" s="191">
        <v>2667727.5750000002</v>
      </c>
      <c r="H423" s="109">
        <v>1600</v>
      </c>
      <c r="I423" s="109">
        <v>2320060</v>
      </c>
      <c r="J423" s="159">
        <f t="shared" si="30"/>
        <v>1.068804275217101</v>
      </c>
      <c r="K423" s="159">
        <f t="shared" si="31"/>
        <v>0.86967650735476609</v>
      </c>
      <c r="L423" s="159">
        <f t="shared" si="32"/>
        <v>0.3</v>
      </c>
      <c r="M423" s="159">
        <f t="shared" si="33"/>
        <v>0.6087735551483362</v>
      </c>
      <c r="N423" s="160">
        <f t="shared" si="34"/>
        <v>0.90877355514833624</v>
      </c>
      <c r="O423" s="161"/>
      <c r="P423" s="161"/>
    </row>
    <row r="424" spans="1:16" x14ac:dyDescent="0.2">
      <c r="A424" s="165">
        <v>418</v>
      </c>
      <c r="B424" s="241" t="s">
        <v>132</v>
      </c>
      <c r="C424" s="241" t="s">
        <v>65</v>
      </c>
      <c r="D424" s="219" t="s">
        <v>546</v>
      </c>
      <c r="E424" s="232" t="s">
        <v>1416</v>
      </c>
      <c r="F424" s="199">
        <v>1321</v>
      </c>
      <c r="G424" s="191">
        <v>2269081.7749999999</v>
      </c>
      <c r="H424" s="109">
        <v>1108</v>
      </c>
      <c r="I424" s="109">
        <v>1586050</v>
      </c>
      <c r="J424" s="159">
        <f t="shared" si="30"/>
        <v>0.83875851627554887</v>
      </c>
      <c r="K424" s="159">
        <f t="shared" si="31"/>
        <v>0.69898318230509782</v>
      </c>
      <c r="L424" s="159">
        <f t="shared" si="32"/>
        <v>0.25162755488266464</v>
      </c>
      <c r="M424" s="159">
        <f t="shared" si="33"/>
        <v>0.48928822761356844</v>
      </c>
      <c r="N424" s="160">
        <f t="shared" si="34"/>
        <v>0.74091578249623313</v>
      </c>
      <c r="O424" s="161"/>
      <c r="P424" s="161"/>
    </row>
    <row r="425" spans="1:16" x14ac:dyDescent="0.2">
      <c r="A425" s="165">
        <v>419</v>
      </c>
      <c r="B425" s="241" t="s">
        <v>132</v>
      </c>
      <c r="C425" s="241" t="s">
        <v>65</v>
      </c>
      <c r="D425" s="219" t="s">
        <v>549</v>
      </c>
      <c r="E425" s="232" t="s">
        <v>1353</v>
      </c>
      <c r="F425" s="199">
        <v>1253</v>
      </c>
      <c r="G425" s="191">
        <v>2185642.35</v>
      </c>
      <c r="H425" s="109">
        <v>1175</v>
      </c>
      <c r="I425" s="109">
        <v>1811525</v>
      </c>
      <c r="J425" s="159">
        <f t="shared" si="30"/>
        <v>0.93774940143655228</v>
      </c>
      <c r="K425" s="159">
        <f t="shared" si="31"/>
        <v>0.82882956582535106</v>
      </c>
      <c r="L425" s="159">
        <f t="shared" si="32"/>
        <v>0.28132482043096568</v>
      </c>
      <c r="M425" s="159">
        <f t="shared" si="33"/>
        <v>0.58018069607774569</v>
      </c>
      <c r="N425" s="160">
        <f t="shared" si="34"/>
        <v>0.86150551650871132</v>
      </c>
      <c r="O425" s="161"/>
      <c r="P425" s="161"/>
    </row>
    <row r="426" spans="1:16" x14ac:dyDescent="0.2">
      <c r="A426" s="165">
        <v>420</v>
      </c>
      <c r="B426" s="241" t="s">
        <v>74</v>
      </c>
      <c r="C426" s="241" t="s">
        <v>65</v>
      </c>
      <c r="D426" s="219" t="s">
        <v>791</v>
      </c>
      <c r="E426" s="232" t="s">
        <v>1053</v>
      </c>
      <c r="F426" s="199">
        <v>406</v>
      </c>
      <c r="G426" s="191">
        <v>833366.5</v>
      </c>
      <c r="H426" s="109">
        <v>339</v>
      </c>
      <c r="I426" s="109">
        <v>488410</v>
      </c>
      <c r="J426" s="159">
        <f t="shared" si="30"/>
        <v>0.83497536945812811</v>
      </c>
      <c r="K426" s="159">
        <f t="shared" si="31"/>
        <v>0.58606867446675626</v>
      </c>
      <c r="L426" s="159">
        <f t="shared" si="32"/>
        <v>0.2504926108374384</v>
      </c>
      <c r="M426" s="159">
        <f t="shared" si="33"/>
        <v>0.41024807212672937</v>
      </c>
      <c r="N426" s="160">
        <f t="shared" si="34"/>
        <v>0.66074068296416777</v>
      </c>
      <c r="O426" s="161"/>
      <c r="P426" s="161"/>
    </row>
    <row r="427" spans="1:16" x14ac:dyDescent="0.2">
      <c r="A427" s="165">
        <v>421</v>
      </c>
      <c r="B427" s="241" t="s">
        <v>74</v>
      </c>
      <c r="C427" s="241" t="s">
        <v>65</v>
      </c>
      <c r="D427" s="219" t="s">
        <v>790</v>
      </c>
      <c r="E427" s="241" t="s">
        <v>1214</v>
      </c>
      <c r="F427" s="199">
        <v>921</v>
      </c>
      <c r="G427" s="191">
        <v>1488271.0249999999</v>
      </c>
      <c r="H427" s="109">
        <v>653</v>
      </c>
      <c r="I427" s="109">
        <v>798400</v>
      </c>
      <c r="J427" s="159">
        <f t="shared" si="30"/>
        <v>0.70901194353963082</v>
      </c>
      <c r="K427" s="159">
        <f t="shared" si="31"/>
        <v>0.53646142845521039</v>
      </c>
      <c r="L427" s="159">
        <f t="shared" si="32"/>
        <v>0.21270358306188925</v>
      </c>
      <c r="M427" s="159">
        <f t="shared" si="33"/>
        <v>0.37552299991864724</v>
      </c>
      <c r="N427" s="160">
        <f t="shared" si="34"/>
        <v>0.58822658298053643</v>
      </c>
      <c r="O427" s="161"/>
      <c r="P427" s="161"/>
    </row>
    <row r="428" spans="1:16" x14ac:dyDescent="0.2">
      <c r="A428" s="165">
        <v>422</v>
      </c>
      <c r="B428" s="241" t="s">
        <v>74</v>
      </c>
      <c r="C428" s="241" t="s">
        <v>65</v>
      </c>
      <c r="D428" s="219" t="s">
        <v>792</v>
      </c>
      <c r="E428" s="241" t="s">
        <v>1492</v>
      </c>
      <c r="F428" s="199">
        <v>891</v>
      </c>
      <c r="G428" s="191">
        <v>1602804.7</v>
      </c>
      <c r="H428" s="109">
        <v>743</v>
      </c>
      <c r="I428" s="109">
        <v>959600</v>
      </c>
      <c r="J428" s="159">
        <f t="shared" si="30"/>
        <v>0.83389450056116721</v>
      </c>
      <c r="K428" s="159">
        <f t="shared" si="31"/>
        <v>0.59870051541525926</v>
      </c>
      <c r="L428" s="159">
        <f t="shared" si="32"/>
        <v>0.25016835016835015</v>
      </c>
      <c r="M428" s="159">
        <f t="shared" si="33"/>
        <v>0.41909036079068146</v>
      </c>
      <c r="N428" s="160">
        <f t="shared" si="34"/>
        <v>0.66925871095903156</v>
      </c>
      <c r="O428" s="161"/>
      <c r="P428" s="161"/>
    </row>
    <row r="429" spans="1:16" x14ac:dyDescent="0.2">
      <c r="A429" s="165">
        <v>423</v>
      </c>
      <c r="B429" s="241" t="s">
        <v>1266</v>
      </c>
      <c r="C429" s="241" t="s">
        <v>65</v>
      </c>
      <c r="D429" s="219" t="s">
        <v>757</v>
      </c>
      <c r="E429" s="232" t="s">
        <v>1488</v>
      </c>
      <c r="F429" s="199">
        <v>975</v>
      </c>
      <c r="G429" s="191">
        <v>1717167.85</v>
      </c>
      <c r="H429" s="109">
        <v>1092</v>
      </c>
      <c r="I429" s="109">
        <v>1730335</v>
      </c>
      <c r="J429" s="159">
        <f t="shared" si="30"/>
        <v>1.1200000000000001</v>
      </c>
      <c r="K429" s="159">
        <f t="shared" si="31"/>
        <v>1.0076679457980766</v>
      </c>
      <c r="L429" s="159">
        <f t="shared" si="32"/>
        <v>0.3</v>
      </c>
      <c r="M429" s="159">
        <f t="shared" si="33"/>
        <v>0.7</v>
      </c>
      <c r="N429" s="160">
        <f t="shared" si="34"/>
        <v>1</v>
      </c>
      <c r="O429" s="161"/>
      <c r="P429" s="161"/>
    </row>
    <row r="430" spans="1:16" x14ac:dyDescent="0.2">
      <c r="A430" s="165">
        <v>424</v>
      </c>
      <c r="B430" s="241" t="s">
        <v>1266</v>
      </c>
      <c r="C430" s="241" t="s">
        <v>65</v>
      </c>
      <c r="D430" s="219" t="s">
        <v>759</v>
      </c>
      <c r="E430" s="241" t="s">
        <v>760</v>
      </c>
      <c r="F430" s="199">
        <v>1282</v>
      </c>
      <c r="G430" s="191">
        <v>2391150.6749999998</v>
      </c>
      <c r="H430" s="109">
        <v>1132</v>
      </c>
      <c r="I430" s="109">
        <v>1640095</v>
      </c>
      <c r="J430" s="159">
        <f t="shared" si="30"/>
        <v>0.88299531981279256</v>
      </c>
      <c r="K430" s="159">
        <f t="shared" si="31"/>
        <v>0.68590198733503072</v>
      </c>
      <c r="L430" s="159">
        <f t="shared" si="32"/>
        <v>0.26489859594383774</v>
      </c>
      <c r="M430" s="159">
        <f t="shared" si="33"/>
        <v>0.48013139113452147</v>
      </c>
      <c r="N430" s="160">
        <f t="shared" si="34"/>
        <v>0.74502998707835921</v>
      </c>
      <c r="O430" s="161"/>
      <c r="P430" s="161"/>
    </row>
    <row r="431" spans="1:16" x14ac:dyDescent="0.2">
      <c r="A431" s="165">
        <v>425</v>
      </c>
      <c r="B431" s="241" t="s">
        <v>1266</v>
      </c>
      <c r="C431" s="241" t="s">
        <v>65</v>
      </c>
      <c r="D431" s="219" t="s">
        <v>761</v>
      </c>
      <c r="E431" s="241" t="s">
        <v>762</v>
      </c>
      <c r="F431" s="199">
        <v>1176</v>
      </c>
      <c r="G431" s="191">
        <v>1921309.95</v>
      </c>
      <c r="H431" s="109">
        <v>966</v>
      </c>
      <c r="I431" s="109">
        <v>1525840</v>
      </c>
      <c r="J431" s="159">
        <f t="shared" si="30"/>
        <v>0.8214285714285714</v>
      </c>
      <c r="K431" s="159">
        <f t="shared" si="31"/>
        <v>0.79416650082929097</v>
      </c>
      <c r="L431" s="159">
        <f t="shared" si="32"/>
        <v>0.24642857142857141</v>
      </c>
      <c r="M431" s="159">
        <f t="shared" si="33"/>
        <v>0.5559165505805036</v>
      </c>
      <c r="N431" s="160">
        <f t="shared" si="34"/>
        <v>0.80234512200907504</v>
      </c>
      <c r="O431" s="161"/>
      <c r="P431" s="161"/>
    </row>
    <row r="432" spans="1:16" x14ac:dyDescent="0.2">
      <c r="A432" s="165">
        <v>426</v>
      </c>
      <c r="B432" s="241" t="s">
        <v>71</v>
      </c>
      <c r="C432" s="241" t="s">
        <v>65</v>
      </c>
      <c r="D432" s="219" t="s">
        <v>765</v>
      </c>
      <c r="E432" s="241" t="s">
        <v>1181</v>
      </c>
      <c r="F432" s="199">
        <v>1174</v>
      </c>
      <c r="G432" s="191">
        <v>2006525.175</v>
      </c>
      <c r="H432" s="109">
        <v>1173</v>
      </c>
      <c r="I432" s="109">
        <v>1627800</v>
      </c>
      <c r="J432" s="159">
        <f t="shared" si="30"/>
        <v>0.99914821124361164</v>
      </c>
      <c r="K432" s="159">
        <f t="shared" si="31"/>
        <v>0.81125321540010076</v>
      </c>
      <c r="L432" s="159">
        <f t="shared" si="32"/>
        <v>0.29974446337308347</v>
      </c>
      <c r="M432" s="159">
        <f t="shared" si="33"/>
        <v>0.56787725078007045</v>
      </c>
      <c r="N432" s="160">
        <f t="shared" si="34"/>
        <v>0.86762171415315392</v>
      </c>
      <c r="O432" s="161"/>
      <c r="P432" s="161"/>
    </row>
    <row r="433" spans="1:16" x14ac:dyDescent="0.2">
      <c r="A433" s="165">
        <v>427</v>
      </c>
      <c r="B433" s="241" t="s">
        <v>71</v>
      </c>
      <c r="C433" s="241" t="s">
        <v>65</v>
      </c>
      <c r="D433" s="219" t="s">
        <v>764</v>
      </c>
      <c r="E433" s="245" t="s">
        <v>1528</v>
      </c>
      <c r="F433" s="199">
        <v>847</v>
      </c>
      <c r="G433" s="191">
        <v>1629809.1</v>
      </c>
      <c r="H433" s="109">
        <v>869</v>
      </c>
      <c r="I433" s="109">
        <v>1320525</v>
      </c>
      <c r="J433" s="159">
        <f t="shared" si="30"/>
        <v>1.025974025974026</v>
      </c>
      <c r="K433" s="159">
        <f t="shared" si="31"/>
        <v>0.8102329285067803</v>
      </c>
      <c r="L433" s="159">
        <f t="shared" si="32"/>
        <v>0.3</v>
      </c>
      <c r="M433" s="159">
        <f t="shared" si="33"/>
        <v>0.5671630499547462</v>
      </c>
      <c r="N433" s="160">
        <f t="shared" si="34"/>
        <v>0.86716304995474625</v>
      </c>
      <c r="O433" s="161"/>
      <c r="P433" s="161"/>
    </row>
    <row r="434" spans="1:16" x14ac:dyDescent="0.2">
      <c r="A434" s="165">
        <v>428</v>
      </c>
      <c r="B434" s="241" t="s">
        <v>71</v>
      </c>
      <c r="C434" s="241" t="s">
        <v>65</v>
      </c>
      <c r="D434" s="219" t="s">
        <v>763</v>
      </c>
      <c r="E434" s="245" t="s">
        <v>1180</v>
      </c>
      <c r="F434" s="199">
        <v>901</v>
      </c>
      <c r="G434" s="191">
        <v>1564972.825</v>
      </c>
      <c r="H434" s="109">
        <v>1110</v>
      </c>
      <c r="I434" s="109">
        <v>1571310</v>
      </c>
      <c r="J434" s="159">
        <f t="shared" si="30"/>
        <v>1.2319644839067703</v>
      </c>
      <c r="K434" s="159">
        <f t="shared" si="31"/>
        <v>1.004049383413415</v>
      </c>
      <c r="L434" s="159">
        <f t="shared" si="32"/>
        <v>0.3</v>
      </c>
      <c r="M434" s="159">
        <f t="shared" si="33"/>
        <v>0.7</v>
      </c>
      <c r="N434" s="160">
        <f t="shared" si="34"/>
        <v>1</v>
      </c>
      <c r="O434" s="161"/>
      <c r="P434" s="161"/>
    </row>
    <row r="435" spans="1:16" x14ac:dyDescent="0.2">
      <c r="A435" s="165">
        <v>429</v>
      </c>
      <c r="B435" s="241" t="s">
        <v>71</v>
      </c>
      <c r="C435" s="241" t="s">
        <v>65</v>
      </c>
      <c r="D435" s="219" t="s">
        <v>766</v>
      </c>
      <c r="E435" s="245" t="s">
        <v>1179</v>
      </c>
      <c r="F435" s="199">
        <v>1164</v>
      </c>
      <c r="G435" s="191">
        <v>2011144.55</v>
      </c>
      <c r="H435" s="109">
        <v>1330</v>
      </c>
      <c r="I435" s="109">
        <v>1900695</v>
      </c>
      <c r="J435" s="159">
        <f t="shared" si="30"/>
        <v>1.1426116838487972</v>
      </c>
      <c r="K435" s="159">
        <f t="shared" si="31"/>
        <v>0.94508124739218768</v>
      </c>
      <c r="L435" s="159">
        <f t="shared" si="32"/>
        <v>0.3</v>
      </c>
      <c r="M435" s="159">
        <f t="shared" si="33"/>
        <v>0.66155687317453138</v>
      </c>
      <c r="N435" s="160">
        <f t="shared" si="34"/>
        <v>0.96155687317453142</v>
      </c>
      <c r="O435" s="161"/>
      <c r="P435" s="161"/>
    </row>
    <row r="436" spans="1:16" x14ac:dyDescent="0.2">
      <c r="A436" s="165">
        <v>430</v>
      </c>
      <c r="B436" s="241" t="s">
        <v>72</v>
      </c>
      <c r="C436" s="241" t="s">
        <v>65</v>
      </c>
      <c r="D436" s="219" t="s">
        <v>778</v>
      </c>
      <c r="E436" s="245" t="s">
        <v>1480</v>
      </c>
      <c r="F436" s="199">
        <v>761</v>
      </c>
      <c r="G436" s="191">
        <v>1559388.175</v>
      </c>
      <c r="H436" s="109">
        <v>657</v>
      </c>
      <c r="I436" s="109">
        <v>681480</v>
      </c>
      <c r="J436" s="159">
        <f t="shared" si="30"/>
        <v>0.86333771353482258</v>
      </c>
      <c r="K436" s="159">
        <f t="shared" si="31"/>
        <v>0.4370175501683537</v>
      </c>
      <c r="L436" s="159">
        <f t="shared" si="32"/>
        <v>0.25900131406044674</v>
      </c>
      <c r="M436" s="159">
        <f t="shared" si="33"/>
        <v>0.30591228511784757</v>
      </c>
      <c r="N436" s="160">
        <f t="shared" si="34"/>
        <v>0.56491359917829431</v>
      </c>
      <c r="O436" s="161"/>
      <c r="P436" s="161"/>
    </row>
    <row r="437" spans="1:16" x14ac:dyDescent="0.2">
      <c r="A437" s="165">
        <v>431</v>
      </c>
      <c r="B437" s="241" t="s">
        <v>72</v>
      </c>
      <c r="C437" s="241" t="s">
        <v>65</v>
      </c>
      <c r="D437" s="219" t="s">
        <v>777</v>
      </c>
      <c r="E437" s="245" t="s">
        <v>1213</v>
      </c>
      <c r="F437" s="199">
        <v>685</v>
      </c>
      <c r="G437" s="191">
        <v>1203348</v>
      </c>
      <c r="H437" s="109">
        <v>609</v>
      </c>
      <c r="I437" s="109">
        <v>587310</v>
      </c>
      <c r="J437" s="159">
        <f t="shared" si="30"/>
        <v>0.88905109489051093</v>
      </c>
      <c r="K437" s="159">
        <f t="shared" si="31"/>
        <v>0.48806330338355985</v>
      </c>
      <c r="L437" s="159">
        <f t="shared" si="32"/>
        <v>0.26671532846715329</v>
      </c>
      <c r="M437" s="159">
        <f t="shared" si="33"/>
        <v>0.34164431236849185</v>
      </c>
      <c r="N437" s="160">
        <f t="shared" si="34"/>
        <v>0.60835964083564509</v>
      </c>
      <c r="O437" s="161"/>
      <c r="P437" s="161"/>
    </row>
    <row r="438" spans="1:16" x14ac:dyDescent="0.2">
      <c r="A438" s="165">
        <v>432</v>
      </c>
      <c r="B438" s="241" t="s">
        <v>72</v>
      </c>
      <c r="C438" s="241" t="s">
        <v>65</v>
      </c>
      <c r="D438" s="219" t="s">
        <v>780</v>
      </c>
      <c r="E438" s="232" t="s">
        <v>1481</v>
      </c>
      <c r="F438" s="199">
        <v>964</v>
      </c>
      <c r="G438" s="191">
        <v>1852675.4750000001</v>
      </c>
      <c r="H438" s="109">
        <v>1281</v>
      </c>
      <c r="I438" s="109">
        <v>1644245</v>
      </c>
      <c r="J438" s="159">
        <f t="shared" si="30"/>
        <v>1.3288381742738589</v>
      </c>
      <c r="K438" s="159">
        <f t="shared" si="31"/>
        <v>0.88749757968270182</v>
      </c>
      <c r="L438" s="159">
        <f t="shared" si="32"/>
        <v>0.3</v>
      </c>
      <c r="M438" s="159">
        <f t="shared" si="33"/>
        <v>0.62124830577789125</v>
      </c>
      <c r="N438" s="160">
        <f t="shared" si="34"/>
        <v>0.9212483057778913</v>
      </c>
      <c r="O438" s="161"/>
      <c r="P438" s="161"/>
    </row>
    <row r="439" spans="1:16" x14ac:dyDescent="0.2">
      <c r="A439" s="165">
        <v>433</v>
      </c>
      <c r="B439" s="241" t="s">
        <v>72</v>
      </c>
      <c r="C439" s="241" t="s">
        <v>65</v>
      </c>
      <c r="D439" s="219" t="s">
        <v>773</v>
      </c>
      <c r="E439" s="241" t="s">
        <v>1210</v>
      </c>
      <c r="F439" s="199">
        <v>807</v>
      </c>
      <c r="G439" s="191">
        <v>1344440.25</v>
      </c>
      <c r="H439" s="109">
        <v>934</v>
      </c>
      <c r="I439" s="109">
        <v>914955</v>
      </c>
      <c r="J439" s="159">
        <f t="shared" si="30"/>
        <v>1.157372986369269</v>
      </c>
      <c r="K439" s="159">
        <f t="shared" si="31"/>
        <v>0.68054716451698016</v>
      </c>
      <c r="L439" s="159">
        <f t="shared" si="32"/>
        <v>0.3</v>
      </c>
      <c r="M439" s="159">
        <f t="shared" si="33"/>
        <v>0.47638301516188608</v>
      </c>
      <c r="N439" s="160">
        <f t="shared" si="34"/>
        <v>0.77638301516188601</v>
      </c>
      <c r="O439" s="161"/>
      <c r="P439" s="161"/>
    </row>
    <row r="440" spans="1:16" x14ac:dyDescent="0.2">
      <c r="A440" s="165">
        <v>434</v>
      </c>
      <c r="B440" s="241" t="s">
        <v>72</v>
      </c>
      <c r="C440" s="241" t="s">
        <v>65</v>
      </c>
      <c r="D440" s="219" t="s">
        <v>776</v>
      </c>
      <c r="E440" s="232" t="s">
        <v>1212</v>
      </c>
      <c r="F440" s="199">
        <v>1259</v>
      </c>
      <c r="G440" s="191">
        <v>1832139.9750000001</v>
      </c>
      <c r="H440" s="109">
        <v>1344</v>
      </c>
      <c r="I440" s="109">
        <v>1302640</v>
      </c>
      <c r="J440" s="159">
        <f t="shared" si="30"/>
        <v>1.0675138999205718</v>
      </c>
      <c r="K440" s="159">
        <f t="shared" si="31"/>
        <v>0.71099371105638365</v>
      </c>
      <c r="L440" s="159">
        <f t="shared" si="32"/>
        <v>0.3</v>
      </c>
      <c r="M440" s="159">
        <f t="shared" si="33"/>
        <v>0.49769559773946853</v>
      </c>
      <c r="N440" s="160">
        <f t="shared" si="34"/>
        <v>0.79769559773946852</v>
      </c>
      <c r="O440" s="161"/>
      <c r="P440" s="161"/>
    </row>
    <row r="441" spans="1:16" x14ac:dyDescent="0.2">
      <c r="A441" s="165">
        <v>435</v>
      </c>
      <c r="B441" s="241" t="s">
        <v>72</v>
      </c>
      <c r="C441" s="241" t="s">
        <v>65</v>
      </c>
      <c r="D441" s="219" t="s">
        <v>774</v>
      </c>
      <c r="E441" s="232" t="s">
        <v>1482</v>
      </c>
      <c r="F441" s="199">
        <v>472</v>
      </c>
      <c r="G441" s="191">
        <v>908359.75</v>
      </c>
      <c r="H441" s="109">
        <v>377</v>
      </c>
      <c r="I441" s="109">
        <v>356445</v>
      </c>
      <c r="J441" s="159">
        <f t="shared" si="30"/>
        <v>0.79872881355932202</v>
      </c>
      <c r="K441" s="159">
        <f t="shared" si="31"/>
        <v>0.39240510161309988</v>
      </c>
      <c r="L441" s="159">
        <f t="shared" si="32"/>
        <v>0.23961864406779659</v>
      </c>
      <c r="M441" s="159">
        <f t="shared" si="33"/>
        <v>0.27468357112916991</v>
      </c>
      <c r="N441" s="160">
        <f t="shared" si="34"/>
        <v>0.51430221519696651</v>
      </c>
      <c r="O441" s="161"/>
      <c r="P441" s="161"/>
    </row>
    <row r="442" spans="1:16" x14ac:dyDescent="0.2">
      <c r="A442" s="165">
        <v>436</v>
      </c>
      <c r="B442" s="241" t="s">
        <v>76</v>
      </c>
      <c r="C442" s="241" t="s">
        <v>65</v>
      </c>
      <c r="D442" s="219" t="s">
        <v>801</v>
      </c>
      <c r="E442" s="232" t="s">
        <v>1483</v>
      </c>
      <c r="F442" s="199">
        <v>1059</v>
      </c>
      <c r="G442" s="191">
        <v>2534992.875</v>
      </c>
      <c r="H442" s="109">
        <v>1139</v>
      </c>
      <c r="I442" s="109">
        <v>2486490</v>
      </c>
      <c r="J442" s="159">
        <f t="shared" si="30"/>
        <v>1.0755429650613786</v>
      </c>
      <c r="K442" s="159">
        <f t="shared" si="31"/>
        <v>0.98086666219919849</v>
      </c>
      <c r="L442" s="159">
        <f t="shared" si="32"/>
        <v>0.3</v>
      </c>
      <c r="M442" s="159">
        <f t="shared" si="33"/>
        <v>0.68660666353943889</v>
      </c>
      <c r="N442" s="160">
        <f t="shared" si="34"/>
        <v>0.98660666353943882</v>
      </c>
      <c r="O442" s="161"/>
      <c r="P442" s="161"/>
    </row>
    <row r="443" spans="1:16" x14ac:dyDescent="0.2">
      <c r="A443" s="165">
        <v>437</v>
      </c>
      <c r="B443" s="241" t="s">
        <v>76</v>
      </c>
      <c r="C443" s="241" t="s">
        <v>65</v>
      </c>
      <c r="D443" s="219" t="s">
        <v>799</v>
      </c>
      <c r="E443" s="240" t="s">
        <v>1484</v>
      </c>
      <c r="F443" s="199">
        <v>1356</v>
      </c>
      <c r="G443" s="191">
        <v>1583003.2749999999</v>
      </c>
      <c r="H443" s="109">
        <v>1296</v>
      </c>
      <c r="I443" s="109">
        <v>1449570</v>
      </c>
      <c r="J443" s="159">
        <f t="shared" si="30"/>
        <v>0.95575221238938057</v>
      </c>
      <c r="K443" s="159">
        <f t="shared" si="31"/>
        <v>0.91570878146161772</v>
      </c>
      <c r="L443" s="159">
        <f t="shared" si="32"/>
        <v>0.28672566371681418</v>
      </c>
      <c r="M443" s="159">
        <f t="shared" si="33"/>
        <v>0.64099614702313235</v>
      </c>
      <c r="N443" s="160">
        <f t="shared" si="34"/>
        <v>0.92772181073994653</v>
      </c>
      <c r="O443" s="161"/>
      <c r="P443" s="161"/>
    </row>
    <row r="444" spans="1:16" x14ac:dyDescent="0.2">
      <c r="A444" s="165">
        <v>438</v>
      </c>
      <c r="B444" s="241" t="s">
        <v>76</v>
      </c>
      <c r="C444" s="241" t="s">
        <v>65</v>
      </c>
      <c r="D444" s="219" t="s">
        <v>797</v>
      </c>
      <c r="E444" s="240" t="s">
        <v>1485</v>
      </c>
      <c r="F444" s="199">
        <v>1340</v>
      </c>
      <c r="G444" s="191">
        <v>2193398.375</v>
      </c>
      <c r="H444" s="109">
        <v>1253</v>
      </c>
      <c r="I444" s="109">
        <v>1858835</v>
      </c>
      <c r="J444" s="159">
        <f t="shared" si="30"/>
        <v>0.93507462686567167</v>
      </c>
      <c r="K444" s="159">
        <f t="shared" si="31"/>
        <v>0.84746803006088667</v>
      </c>
      <c r="L444" s="159">
        <f t="shared" si="32"/>
        <v>0.28052238805970148</v>
      </c>
      <c r="M444" s="159">
        <f t="shared" si="33"/>
        <v>0.59322762104262061</v>
      </c>
      <c r="N444" s="160">
        <f t="shared" si="34"/>
        <v>0.87375000910232203</v>
      </c>
      <c r="O444" s="161"/>
      <c r="P444" s="161"/>
    </row>
    <row r="445" spans="1:16" x14ac:dyDescent="0.2">
      <c r="A445" s="165">
        <v>439</v>
      </c>
      <c r="B445" s="241" t="s">
        <v>76</v>
      </c>
      <c r="C445" s="241" t="s">
        <v>65</v>
      </c>
      <c r="D445" s="219" t="s">
        <v>1124</v>
      </c>
      <c r="E445" s="232" t="s">
        <v>1486</v>
      </c>
      <c r="F445" s="199">
        <v>1558</v>
      </c>
      <c r="G445" s="191">
        <v>3019383.85</v>
      </c>
      <c r="H445" s="109">
        <v>1462</v>
      </c>
      <c r="I445" s="109">
        <v>2344535</v>
      </c>
      <c r="J445" s="159">
        <f t="shared" si="30"/>
        <v>0.93838254172015401</v>
      </c>
      <c r="K445" s="159">
        <f t="shared" si="31"/>
        <v>0.77649451559463034</v>
      </c>
      <c r="L445" s="159">
        <f t="shared" si="32"/>
        <v>0.28151476251604618</v>
      </c>
      <c r="M445" s="159">
        <f t="shared" si="33"/>
        <v>0.54354616091624119</v>
      </c>
      <c r="N445" s="160">
        <f t="shared" si="34"/>
        <v>0.82506092343228743</v>
      </c>
      <c r="O445" s="161"/>
      <c r="P445" s="161"/>
    </row>
    <row r="446" spans="1:16" x14ac:dyDescent="0.2">
      <c r="A446" s="165">
        <v>440</v>
      </c>
      <c r="B446" s="241" t="s">
        <v>75</v>
      </c>
      <c r="C446" s="241" t="s">
        <v>65</v>
      </c>
      <c r="D446" s="219" t="s">
        <v>793</v>
      </c>
      <c r="E446" s="232" t="s">
        <v>1183</v>
      </c>
      <c r="F446" s="199">
        <v>1880</v>
      </c>
      <c r="G446" s="191">
        <v>3981828.5750000002</v>
      </c>
      <c r="H446" s="109">
        <v>1703</v>
      </c>
      <c r="I446" s="109">
        <v>3654275</v>
      </c>
      <c r="J446" s="159">
        <f t="shared" si="30"/>
        <v>0.9058510638297872</v>
      </c>
      <c r="K446" s="159">
        <f t="shared" si="31"/>
        <v>0.91773790136105993</v>
      </c>
      <c r="L446" s="159">
        <f t="shared" si="32"/>
        <v>0.27175531914893614</v>
      </c>
      <c r="M446" s="159">
        <f t="shared" si="33"/>
        <v>0.64241653095274187</v>
      </c>
      <c r="N446" s="160">
        <f t="shared" si="34"/>
        <v>0.91417185010167801</v>
      </c>
      <c r="O446" s="161"/>
      <c r="P446" s="161"/>
    </row>
    <row r="447" spans="1:16" x14ac:dyDescent="0.2">
      <c r="A447" s="165">
        <v>441</v>
      </c>
      <c r="B447" s="241" t="s">
        <v>75</v>
      </c>
      <c r="C447" s="241" t="s">
        <v>65</v>
      </c>
      <c r="D447" s="219" t="s">
        <v>794</v>
      </c>
      <c r="E447" s="232" t="s">
        <v>1185</v>
      </c>
      <c r="F447" s="199">
        <v>1629</v>
      </c>
      <c r="G447" s="191">
        <v>3006193.7749999999</v>
      </c>
      <c r="H447" s="109">
        <v>1059</v>
      </c>
      <c r="I447" s="109">
        <v>1732080</v>
      </c>
      <c r="J447" s="159">
        <f t="shared" si="30"/>
        <v>0.65009208103130756</v>
      </c>
      <c r="K447" s="159">
        <f t="shared" si="31"/>
        <v>0.57617044330417455</v>
      </c>
      <c r="L447" s="159">
        <f t="shared" si="32"/>
        <v>0.19502762430939227</v>
      </c>
      <c r="M447" s="159">
        <f t="shared" si="33"/>
        <v>0.40331931031292217</v>
      </c>
      <c r="N447" s="160">
        <f t="shared" si="34"/>
        <v>0.59834693462231447</v>
      </c>
      <c r="O447" s="161"/>
      <c r="P447" s="161"/>
    </row>
    <row r="448" spans="1:16" x14ac:dyDescent="0.2">
      <c r="A448" s="165">
        <v>442</v>
      </c>
      <c r="B448" s="241" t="s">
        <v>75</v>
      </c>
      <c r="C448" s="241" t="s">
        <v>65</v>
      </c>
      <c r="D448" s="219" t="s">
        <v>796</v>
      </c>
      <c r="E448" s="232" t="s">
        <v>1184</v>
      </c>
      <c r="F448" s="199">
        <v>1807</v>
      </c>
      <c r="G448" s="191">
        <v>3089321.4750000001</v>
      </c>
      <c r="H448" s="109">
        <v>1434</v>
      </c>
      <c r="I448" s="109">
        <v>2431825</v>
      </c>
      <c r="J448" s="159">
        <f t="shared" si="30"/>
        <v>0.7935805201992252</v>
      </c>
      <c r="K448" s="159">
        <f t="shared" si="31"/>
        <v>0.78717123474500172</v>
      </c>
      <c r="L448" s="159">
        <f t="shared" si="32"/>
        <v>0.23807415605976756</v>
      </c>
      <c r="M448" s="159">
        <f t="shared" si="33"/>
        <v>0.55101986432150118</v>
      </c>
      <c r="N448" s="160">
        <f t="shared" si="34"/>
        <v>0.78909402038126875</v>
      </c>
      <c r="O448" s="161"/>
      <c r="P448" s="161"/>
    </row>
    <row r="449" spans="1:16" x14ac:dyDescent="0.2">
      <c r="A449" s="165">
        <v>443</v>
      </c>
      <c r="B449" s="241" t="s">
        <v>75</v>
      </c>
      <c r="C449" s="241" t="s">
        <v>65</v>
      </c>
      <c r="D449" s="219" t="s">
        <v>795</v>
      </c>
      <c r="E449" s="232" t="s">
        <v>1186</v>
      </c>
      <c r="F449" s="199">
        <v>2060</v>
      </c>
      <c r="G449" s="191">
        <v>2870620.8250000002</v>
      </c>
      <c r="H449" s="109">
        <v>1279</v>
      </c>
      <c r="I449" s="109">
        <v>1683440</v>
      </c>
      <c r="J449" s="159">
        <f t="shared" si="30"/>
        <v>0.62087378640776703</v>
      </c>
      <c r="K449" s="159">
        <f t="shared" si="31"/>
        <v>0.58643760448578219</v>
      </c>
      <c r="L449" s="159">
        <f t="shared" si="32"/>
        <v>0.1862621359223301</v>
      </c>
      <c r="M449" s="159">
        <f t="shared" si="33"/>
        <v>0.41050632314004754</v>
      </c>
      <c r="N449" s="160">
        <f t="shared" si="34"/>
        <v>0.59676845906237763</v>
      </c>
      <c r="O449" s="161"/>
      <c r="P449" s="161"/>
    </row>
    <row r="450" spans="1:16" x14ac:dyDescent="0.2">
      <c r="A450" s="165">
        <v>444</v>
      </c>
      <c r="B450" s="241" t="s">
        <v>1327</v>
      </c>
      <c r="C450" s="241" t="s">
        <v>65</v>
      </c>
      <c r="D450" s="219" t="s">
        <v>752</v>
      </c>
      <c r="E450" s="232" t="s">
        <v>1174</v>
      </c>
      <c r="F450" s="199">
        <v>3069</v>
      </c>
      <c r="G450" s="191">
        <v>6625019.5</v>
      </c>
      <c r="H450" s="109">
        <v>2650</v>
      </c>
      <c r="I450" s="109">
        <v>5830550</v>
      </c>
      <c r="J450" s="159">
        <f t="shared" si="30"/>
        <v>0.86347344411860538</v>
      </c>
      <c r="K450" s="159">
        <f t="shared" si="31"/>
        <v>0.88008042844251255</v>
      </c>
      <c r="L450" s="159">
        <f t="shared" si="32"/>
        <v>0.25904203323558161</v>
      </c>
      <c r="M450" s="159">
        <f t="shared" si="33"/>
        <v>0.61605629990975874</v>
      </c>
      <c r="N450" s="160">
        <f t="shared" si="34"/>
        <v>0.87509833314534036</v>
      </c>
      <c r="O450" s="161"/>
      <c r="P450" s="161"/>
    </row>
    <row r="451" spans="1:16" x14ac:dyDescent="0.2">
      <c r="A451" s="165">
        <v>445</v>
      </c>
      <c r="B451" s="241" t="s">
        <v>1327</v>
      </c>
      <c r="C451" s="241" t="s">
        <v>65</v>
      </c>
      <c r="D451" s="219" t="s">
        <v>754</v>
      </c>
      <c r="E451" s="232" t="s">
        <v>1173</v>
      </c>
      <c r="F451" s="199">
        <v>1453</v>
      </c>
      <c r="G451" s="191">
        <v>2074638.825</v>
      </c>
      <c r="H451" s="109">
        <v>1050</v>
      </c>
      <c r="I451" s="109">
        <v>1475420</v>
      </c>
      <c r="J451" s="159">
        <f t="shared" si="30"/>
        <v>0.72264280798348246</v>
      </c>
      <c r="K451" s="159">
        <f t="shared" si="31"/>
        <v>0.71116956947915988</v>
      </c>
      <c r="L451" s="159">
        <f t="shared" si="32"/>
        <v>0.21679284239504473</v>
      </c>
      <c r="M451" s="159">
        <f t="shared" si="33"/>
        <v>0.49781869863541189</v>
      </c>
      <c r="N451" s="160">
        <f t="shared" si="34"/>
        <v>0.71461154103045665</v>
      </c>
      <c r="O451" s="161"/>
      <c r="P451" s="161"/>
    </row>
    <row r="452" spans="1:16" x14ac:dyDescent="0.2">
      <c r="A452" s="165">
        <v>446</v>
      </c>
      <c r="B452" s="241" t="s">
        <v>1327</v>
      </c>
      <c r="C452" s="241" t="s">
        <v>65</v>
      </c>
      <c r="D452" s="219" t="s">
        <v>756</v>
      </c>
      <c r="E452" s="241" t="s">
        <v>1491</v>
      </c>
      <c r="F452" s="199">
        <v>1904</v>
      </c>
      <c r="G452" s="191">
        <v>3020058.6</v>
      </c>
      <c r="H452" s="109">
        <v>1293</v>
      </c>
      <c r="I452" s="109">
        <v>2121955</v>
      </c>
      <c r="J452" s="159">
        <f t="shared" si="30"/>
        <v>0.67909663865546221</v>
      </c>
      <c r="K452" s="159">
        <f t="shared" si="31"/>
        <v>0.70262047233123226</v>
      </c>
      <c r="L452" s="159">
        <f t="shared" si="32"/>
        <v>0.20372899159663865</v>
      </c>
      <c r="M452" s="159">
        <f t="shared" si="33"/>
        <v>0.49183433063186255</v>
      </c>
      <c r="N452" s="160">
        <f t="shared" si="34"/>
        <v>0.69556332222850115</v>
      </c>
      <c r="O452" s="161"/>
      <c r="P452" s="161"/>
    </row>
    <row r="453" spans="1:16" x14ac:dyDescent="0.2">
      <c r="A453" s="165">
        <v>447</v>
      </c>
      <c r="B453" s="241" t="s">
        <v>1327</v>
      </c>
      <c r="C453" s="241" t="s">
        <v>65</v>
      </c>
      <c r="D453" s="219" t="s">
        <v>755</v>
      </c>
      <c r="E453" s="232" t="s">
        <v>1175</v>
      </c>
      <c r="F453" s="199">
        <v>1604</v>
      </c>
      <c r="G453" s="191">
        <v>2391329.9</v>
      </c>
      <c r="H453" s="109">
        <v>961</v>
      </c>
      <c r="I453" s="109">
        <v>1504390</v>
      </c>
      <c r="J453" s="159">
        <f t="shared" si="30"/>
        <v>0.5991271820448878</v>
      </c>
      <c r="K453" s="159">
        <f t="shared" si="31"/>
        <v>0.62910182321560904</v>
      </c>
      <c r="L453" s="159">
        <f t="shared" si="32"/>
        <v>0.17973815461346634</v>
      </c>
      <c r="M453" s="159">
        <f t="shared" si="33"/>
        <v>0.44037127625092631</v>
      </c>
      <c r="N453" s="160">
        <f t="shared" si="34"/>
        <v>0.62010943086439263</v>
      </c>
      <c r="O453" s="161"/>
      <c r="P453" s="161"/>
    </row>
    <row r="454" spans="1:16" x14ac:dyDescent="0.2">
      <c r="A454" s="165">
        <v>448</v>
      </c>
      <c r="B454" s="241" t="s">
        <v>69</v>
      </c>
      <c r="C454" s="241" t="s">
        <v>65</v>
      </c>
      <c r="D454" s="219" t="s">
        <v>771</v>
      </c>
      <c r="E454" s="232" t="s">
        <v>1529</v>
      </c>
      <c r="F454" s="199">
        <v>1332</v>
      </c>
      <c r="G454" s="191">
        <v>2008455.4750000001</v>
      </c>
      <c r="H454" s="109">
        <v>1144</v>
      </c>
      <c r="I454" s="109">
        <v>1572960</v>
      </c>
      <c r="J454" s="159">
        <f t="shared" si="30"/>
        <v>0.85885885885885882</v>
      </c>
      <c r="K454" s="159">
        <f t="shared" si="31"/>
        <v>0.78316896718858053</v>
      </c>
      <c r="L454" s="159">
        <f t="shared" si="32"/>
        <v>0.25765765765765763</v>
      </c>
      <c r="M454" s="159">
        <f t="shared" si="33"/>
        <v>0.54821827703200632</v>
      </c>
      <c r="N454" s="160">
        <f t="shared" si="34"/>
        <v>0.80587593468966401</v>
      </c>
      <c r="O454" s="161"/>
      <c r="P454" s="161"/>
    </row>
    <row r="455" spans="1:16" x14ac:dyDescent="0.2">
      <c r="A455" s="165">
        <v>449</v>
      </c>
      <c r="B455" s="241" t="s">
        <v>69</v>
      </c>
      <c r="C455" s="241" t="s">
        <v>65</v>
      </c>
      <c r="D455" s="219" t="s">
        <v>768</v>
      </c>
      <c r="E455" s="240" t="s">
        <v>1530</v>
      </c>
      <c r="F455" s="199">
        <v>1069</v>
      </c>
      <c r="G455" s="191">
        <v>1363096.825</v>
      </c>
      <c r="H455" s="109">
        <v>809</v>
      </c>
      <c r="I455" s="109">
        <v>913155</v>
      </c>
      <c r="J455" s="159">
        <f t="shared" ref="J455:J518" si="35">IFERROR(H455/F455,0)</f>
        <v>0.75678203928905519</v>
      </c>
      <c r="K455" s="159">
        <f t="shared" ref="K455:K518" si="36">IFERROR(I455/G455,0)</f>
        <v>0.66991205852159474</v>
      </c>
      <c r="L455" s="159">
        <f t="shared" ref="L455:L518" si="37">IF((J455*0.3)&gt;30%,30%,(J455*0.3))</f>
        <v>0.22703461178671655</v>
      </c>
      <c r="M455" s="159">
        <f t="shared" ref="M455:M518" si="38">IF((K455*0.7)&gt;70%,70%,(K455*0.7))</f>
        <v>0.46893844096511628</v>
      </c>
      <c r="N455" s="160">
        <f t="shared" ref="N455:N518" si="39">L455+M455</f>
        <v>0.69597305275183285</v>
      </c>
      <c r="O455" s="161"/>
      <c r="P455" s="161"/>
    </row>
    <row r="456" spans="1:16" x14ac:dyDescent="0.2">
      <c r="A456" s="165">
        <v>450</v>
      </c>
      <c r="B456" s="241" t="s">
        <v>69</v>
      </c>
      <c r="C456" s="241" t="s">
        <v>65</v>
      </c>
      <c r="D456" s="219" t="s">
        <v>769</v>
      </c>
      <c r="E456" s="232" t="s">
        <v>1531</v>
      </c>
      <c r="F456" s="199">
        <v>1158</v>
      </c>
      <c r="G456" s="191">
        <v>2173213.2999999998</v>
      </c>
      <c r="H456" s="109">
        <v>1136</v>
      </c>
      <c r="I456" s="109">
        <v>1618375</v>
      </c>
      <c r="J456" s="159">
        <f t="shared" si="35"/>
        <v>0.98100172711571676</v>
      </c>
      <c r="K456" s="159">
        <f t="shared" si="36"/>
        <v>0.74469220301569117</v>
      </c>
      <c r="L456" s="159">
        <f t="shared" si="37"/>
        <v>0.29430051813471503</v>
      </c>
      <c r="M456" s="159">
        <f t="shared" si="38"/>
        <v>0.52128454211098374</v>
      </c>
      <c r="N456" s="160">
        <f t="shared" si="39"/>
        <v>0.81558506024569877</v>
      </c>
      <c r="O456" s="161"/>
      <c r="P456" s="161"/>
    </row>
    <row r="457" spans="1:16" x14ac:dyDescent="0.2">
      <c r="A457" s="165">
        <v>451</v>
      </c>
      <c r="B457" s="241" t="s">
        <v>69</v>
      </c>
      <c r="C457" s="241" t="s">
        <v>65</v>
      </c>
      <c r="D457" s="219" t="s">
        <v>772</v>
      </c>
      <c r="E457" s="232" t="s">
        <v>1487</v>
      </c>
      <c r="F457" s="199">
        <v>1495</v>
      </c>
      <c r="G457" s="191">
        <v>2088689.375</v>
      </c>
      <c r="H457" s="109">
        <v>1127</v>
      </c>
      <c r="I457" s="109">
        <v>1681745</v>
      </c>
      <c r="J457" s="159">
        <f t="shared" si="35"/>
        <v>0.75384615384615383</v>
      </c>
      <c r="K457" s="159">
        <f t="shared" si="36"/>
        <v>0.80516759463096321</v>
      </c>
      <c r="L457" s="159">
        <f t="shared" si="37"/>
        <v>0.22615384615384615</v>
      </c>
      <c r="M457" s="159">
        <f t="shared" si="38"/>
        <v>0.56361731624167422</v>
      </c>
      <c r="N457" s="160">
        <f t="shared" si="39"/>
        <v>0.78977116239552037</v>
      </c>
      <c r="O457" s="161"/>
      <c r="P457" s="161"/>
    </row>
    <row r="458" spans="1:16" x14ac:dyDescent="0.2">
      <c r="A458" s="165">
        <v>452</v>
      </c>
      <c r="B458" s="241" t="s">
        <v>69</v>
      </c>
      <c r="C458" s="241" t="s">
        <v>65</v>
      </c>
      <c r="D458" s="219" t="s">
        <v>767</v>
      </c>
      <c r="E458" s="246" t="s">
        <v>1176</v>
      </c>
      <c r="F458" s="199">
        <v>1385</v>
      </c>
      <c r="G458" s="191">
        <v>3680883.2250000001</v>
      </c>
      <c r="H458" s="109">
        <v>1706</v>
      </c>
      <c r="I458" s="109">
        <v>3919620</v>
      </c>
      <c r="J458" s="159">
        <f t="shared" si="35"/>
        <v>1.231768953068592</v>
      </c>
      <c r="K458" s="159">
        <f t="shared" si="36"/>
        <v>1.0648585571469737</v>
      </c>
      <c r="L458" s="159">
        <f t="shared" si="37"/>
        <v>0.3</v>
      </c>
      <c r="M458" s="159">
        <f t="shared" si="38"/>
        <v>0.7</v>
      </c>
      <c r="N458" s="160">
        <f t="shared" si="39"/>
        <v>1</v>
      </c>
      <c r="O458" s="161"/>
      <c r="P458" s="161"/>
    </row>
    <row r="459" spans="1:16" x14ac:dyDescent="0.2">
      <c r="A459" s="165">
        <v>453</v>
      </c>
      <c r="B459" s="241" t="s">
        <v>73</v>
      </c>
      <c r="C459" s="241" t="s">
        <v>65</v>
      </c>
      <c r="D459" s="219" t="s">
        <v>783</v>
      </c>
      <c r="E459" s="232" t="s">
        <v>784</v>
      </c>
      <c r="F459" s="199">
        <v>748</v>
      </c>
      <c r="G459" s="191">
        <v>1915417.2250000001</v>
      </c>
      <c r="H459" s="109">
        <v>982</v>
      </c>
      <c r="I459" s="109">
        <v>1910780</v>
      </c>
      <c r="J459" s="159">
        <f t="shared" si="35"/>
        <v>1.3128342245989304</v>
      </c>
      <c r="K459" s="159">
        <f t="shared" si="36"/>
        <v>0.99757900005310851</v>
      </c>
      <c r="L459" s="159">
        <f t="shared" si="37"/>
        <v>0.3</v>
      </c>
      <c r="M459" s="159">
        <f t="shared" si="38"/>
        <v>0.69830530003717595</v>
      </c>
      <c r="N459" s="160">
        <f t="shared" si="39"/>
        <v>0.99830530003717599</v>
      </c>
      <c r="O459" s="161"/>
      <c r="P459" s="161"/>
    </row>
    <row r="460" spans="1:16" x14ac:dyDescent="0.2">
      <c r="A460" s="165">
        <v>454</v>
      </c>
      <c r="B460" s="241" t="s">
        <v>73</v>
      </c>
      <c r="C460" s="241" t="s">
        <v>65</v>
      </c>
      <c r="D460" s="219" t="s">
        <v>788</v>
      </c>
      <c r="E460" s="232" t="s">
        <v>789</v>
      </c>
      <c r="F460" s="199">
        <v>1057</v>
      </c>
      <c r="G460" s="191">
        <v>1862961.35</v>
      </c>
      <c r="H460" s="109">
        <v>570</v>
      </c>
      <c r="I460" s="109">
        <v>886235</v>
      </c>
      <c r="J460" s="159">
        <f t="shared" si="35"/>
        <v>0.53926206244087038</v>
      </c>
      <c r="K460" s="159">
        <f t="shared" si="36"/>
        <v>0.47571303612927879</v>
      </c>
      <c r="L460" s="159">
        <f t="shared" si="37"/>
        <v>0.1617786187322611</v>
      </c>
      <c r="M460" s="159">
        <f t="shared" si="38"/>
        <v>0.33299912529049513</v>
      </c>
      <c r="N460" s="160">
        <f t="shared" si="39"/>
        <v>0.49477774402275621</v>
      </c>
      <c r="O460" s="161"/>
      <c r="P460" s="161"/>
    </row>
    <row r="461" spans="1:16" x14ac:dyDescent="0.2">
      <c r="A461" s="165">
        <v>455</v>
      </c>
      <c r="B461" s="241" t="s">
        <v>73</v>
      </c>
      <c r="C461" s="241" t="s">
        <v>65</v>
      </c>
      <c r="D461" s="219" t="s">
        <v>781</v>
      </c>
      <c r="E461" s="232" t="s">
        <v>782</v>
      </c>
      <c r="F461" s="199">
        <v>1315</v>
      </c>
      <c r="G461" s="191">
        <v>2349791.2749999999</v>
      </c>
      <c r="H461" s="109">
        <v>1113</v>
      </c>
      <c r="I461" s="109">
        <v>1790180</v>
      </c>
      <c r="J461" s="159">
        <f t="shared" si="35"/>
        <v>0.84638783269961981</v>
      </c>
      <c r="K461" s="159">
        <f t="shared" si="36"/>
        <v>0.76184638995223097</v>
      </c>
      <c r="L461" s="159">
        <f t="shared" si="37"/>
        <v>0.25391634980988592</v>
      </c>
      <c r="M461" s="159">
        <f t="shared" si="38"/>
        <v>0.53329247296656168</v>
      </c>
      <c r="N461" s="160">
        <f t="shared" si="39"/>
        <v>0.78720882277644755</v>
      </c>
      <c r="O461" s="161"/>
      <c r="P461" s="161"/>
    </row>
    <row r="462" spans="1:16" x14ac:dyDescent="0.2">
      <c r="A462" s="165">
        <v>456</v>
      </c>
      <c r="B462" s="241" t="s">
        <v>73</v>
      </c>
      <c r="C462" s="241" t="s">
        <v>65</v>
      </c>
      <c r="D462" s="219" t="s">
        <v>787</v>
      </c>
      <c r="E462" s="232" t="s">
        <v>1489</v>
      </c>
      <c r="F462" s="199">
        <v>689</v>
      </c>
      <c r="G462" s="191">
        <v>1563763.575</v>
      </c>
      <c r="H462" s="109">
        <v>641</v>
      </c>
      <c r="I462" s="109">
        <v>1219030</v>
      </c>
      <c r="J462" s="159">
        <f t="shared" si="35"/>
        <v>0.93033381712626995</v>
      </c>
      <c r="K462" s="159">
        <f t="shared" si="36"/>
        <v>0.77954878824952811</v>
      </c>
      <c r="L462" s="159">
        <f t="shared" si="37"/>
        <v>0.27910014513788095</v>
      </c>
      <c r="M462" s="159">
        <f t="shared" si="38"/>
        <v>0.54568415177466967</v>
      </c>
      <c r="N462" s="160">
        <f t="shared" si="39"/>
        <v>0.82478429691255062</v>
      </c>
      <c r="O462" s="161"/>
      <c r="P462" s="161"/>
    </row>
    <row r="463" spans="1:16" x14ac:dyDescent="0.2">
      <c r="A463" s="165">
        <v>457</v>
      </c>
      <c r="B463" s="241" t="s">
        <v>73</v>
      </c>
      <c r="C463" s="241" t="s">
        <v>65</v>
      </c>
      <c r="D463" s="219" t="s">
        <v>786</v>
      </c>
      <c r="E463" s="232" t="s">
        <v>1182</v>
      </c>
      <c r="F463" s="199">
        <v>1502</v>
      </c>
      <c r="G463" s="191">
        <v>2088398.925</v>
      </c>
      <c r="H463" s="109">
        <v>802</v>
      </c>
      <c r="I463" s="109">
        <v>1154550</v>
      </c>
      <c r="J463" s="159">
        <f t="shared" si="35"/>
        <v>0.53395472703062585</v>
      </c>
      <c r="K463" s="159">
        <f t="shared" si="36"/>
        <v>0.55283977892298519</v>
      </c>
      <c r="L463" s="159">
        <f t="shared" si="37"/>
        <v>0.16018641810918774</v>
      </c>
      <c r="M463" s="159">
        <f t="shared" si="38"/>
        <v>0.38698784524608959</v>
      </c>
      <c r="N463" s="160">
        <f t="shared" si="39"/>
        <v>0.5471742633552773</v>
      </c>
      <c r="O463" s="161"/>
      <c r="P463" s="161"/>
    </row>
    <row r="464" spans="1:16" x14ac:dyDescent="0.2">
      <c r="A464" s="165">
        <v>458</v>
      </c>
      <c r="B464" s="241" t="s">
        <v>73</v>
      </c>
      <c r="C464" s="241" t="s">
        <v>65</v>
      </c>
      <c r="D464" s="219" t="s">
        <v>785</v>
      </c>
      <c r="E464" s="232" t="s">
        <v>1490</v>
      </c>
      <c r="F464" s="199">
        <v>1234</v>
      </c>
      <c r="G464" s="191">
        <v>1727395.375</v>
      </c>
      <c r="H464" s="109">
        <v>584</v>
      </c>
      <c r="I464" s="109">
        <v>809220</v>
      </c>
      <c r="J464" s="159">
        <f t="shared" si="35"/>
        <v>0.47325769854132899</v>
      </c>
      <c r="K464" s="159">
        <f t="shared" si="36"/>
        <v>0.46846252555237972</v>
      </c>
      <c r="L464" s="159">
        <f t="shared" si="37"/>
        <v>0.14197730956239868</v>
      </c>
      <c r="M464" s="159">
        <f t="shared" si="38"/>
        <v>0.32792376788666577</v>
      </c>
      <c r="N464" s="160">
        <f t="shared" si="39"/>
        <v>0.46990107744906445</v>
      </c>
      <c r="O464" s="161"/>
      <c r="P464" s="161"/>
    </row>
    <row r="465" spans="1:16" x14ac:dyDescent="0.2">
      <c r="A465" s="165">
        <v>459</v>
      </c>
      <c r="B465" s="247" t="s">
        <v>64</v>
      </c>
      <c r="C465" s="240" t="s">
        <v>65</v>
      </c>
      <c r="D465" s="219" t="s">
        <v>741</v>
      </c>
      <c r="E465" s="232" t="s">
        <v>1259</v>
      </c>
      <c r="F465" s="199">
        <v>1483</v>
      </c>
      <c r="G465" s="191">
        <v>2614126.5499999998</v>
      </c>
      <c r="H465" s="109">
        <v>1189</v>
      </c>
      <c r="I465" s="109">
        <v>1625425</v>
      </c>
      <c r="J465" s="159">
        <f t="shared" si="35"/>
        <v>0.80175320296695884</v>
      </c>
      <c r="K465" s="159">
        <f t="shared" si="36"/>
        <v>0.62178512360084481</v>
      </c>
      <c r="L465" s="159">
        <f t="shared" si="37"/>
        <v>0.24052596089008765</v>
      </c>
      <c r="M465" s="159">
        <f t="shared" si="38"/>
        <v>0.43524958652059137</v>
      </c>
      <c r="N465" s="160">
        <f t="shared" si="39"/>
        <v>0.67577554741067902</v>
      </c>
      <c r="O465" s="161"/>
      <c r="P465" s="161"/>
    </row>
    <row r="466" spans="1:16" x14ac:dyDescent="0.2">
      <c r="A466" s="165">
        <v>460</v>
      </c>
      <c r="B466" s="247" t="s">
        <v>64</v>
      </c>
      <c r="C466" s="240" t="s">
        <v>65</v>
      </c>
      <c r="D466" s="219" t="s">
        <v>735</v>
      </c>
      <c r="E466" s="232" t="s">
        <v>736</v>
      </c>
      <c r="F466" s="199">
        <v>896</v>
      </c>
      <c r="G466" s="191">
        <v>1534098.4</v>
      </c>
      <c r="H466" s="109">
        <v>838</v>
      </c>
      <c r="I466" s="109">
        <v>1695275</v>
      </c>
      <c r="J466" s="159">
        <f t="shared" si="35"/>
        <v>0.9352678571428571</v>
      </c>
      <c r="K466" s="159">
        <f t="shared" si="36"/>
        <v>1.1050627521676577</v>
      </c>
      <c r="L466" s="159">
        <f t="shared" si="37"/>
        <v>0.28058035714285712</v>
      </c>
      <c r="M466" s="159">
        <f t="shared" si="38"/>
        <v>0.7</v>
      </c>
      <c r="N466" s="160">
        <f t="shared" si="39"/>
        <v>0.98058035714285707</v>
      </c>
      <c r="O466" s="161"/>
      <c r="P466" s="161"/>
    </row>
    <row r="467" spans="1:16" x14ac:dyDescent="0.2">
      <c r="A467" s="165">
        <v>461</v>
      </c>
      <c r="B467" s="247" t="s">
        <v>64</v>
      </c>
      <c r="C467" s="240" t="s">
        <v>65</v>
      </c>
      <c r="D467" s="219" t="s">
        <v>742</v>
      </c>
      <c r="E467" s="232" t="s">
        <v>743</v>
      </c>
      <c r="F467" s="199">
        <v>1529</v>
      </c>
      <c r="G467" s="191">
        <v>2198126.2999999998</v>
      </c>
      <c r="H467" s="109">
        <v>924</v>
      </c>
      <c r="I467" s="109">
        <v>1432005</v>
      </c>
      <c r="J467" s="159">
        <f t="shared" si="35"/>
        <v>0.60431654676258995</v>
      </c>
      <c r="K467" s="159">
        <f t="shared" si="36"/>
        <v>0.65146620555879797</v>
      </c>
      <c r="L467" s="159">
        <f t="shared" si="37"/>
        <v>0.18129496402877698</v>
      </c>
      <c r="M467" s="159">
        <f t="shared" si="38"/>
        <v>0.45602634389115854</v>
      </c>
      <c r="N467" s="160">
        <f t="shared" si="39"/>
        <v>0.63732130791993558</v>
      </c>
      <c r="O467" s="161"/>
      <c r="P467" s="161"/>
    </row>
    <row r="468" spans="1:16" x14ac:dyDescent="0.2">
      <c r="A468" s="165">
        <v>462</v>
      </c>
      <c r="B468" s="247" t="s">
        <v>64</v>
      </c>
      <c r="C468" s="240" t="s">
        <v>65</v>
      </c>
      <c r="D468" s="219" t="s">
        <v>734</v>
      </c>
      <c r="E468" s="232" t="s">
        <v>1022</v>
      </c>
      <c r="F468" s="199">
        <v>1782</v>
      </c>
      <c r="G468" s="191">
        <v>3637744.4750000001</v>
      </c>
      <c r="H468" s="109">
        <v>1491</v>
      </c>
      <c r="I468" s="109">
        <v>2159410</v>
      </c>
      <c r="J468" s="159">
        <f t="shared" si="35"/>
        <v>0.83670033670033672</v>
      </c>
      <c r="K468" s="159">
        <f t="shared" si="36"/>
        <v>0.59361233721618112</v>
      </c>
      <c r="L468" s="159">
        <f t="shared" si="37"/>
        <v>0.25101010101010102</v>
      </c>
      <c r="M468" s="159">
        <f t="shared" si="38"/>
        <v>0.41552863605132678</v>
      </c>
      <c r="N468" s="160">
        <f t="shared" si="39"/>
        <v>0.66653873706142774</v>
      </c>
      <c r="O468" s="161"/>
      <c r="P468" s="161"/>
    </row>
    <row r="469" spans="1:16" x14ac:dyDescent="0.2">
      <c r="A469" s="165">
        <v>463</v>
      </c>
      <c r="B469" s="247" t="s">
        <v>64</v>
      </c>
      <c r="C469" s="240" t="s">
        <v>65</v>
      </c>
      <c r="D469" s="219" t="s">
        <v>737</v>
      </c>
      <c r="E469" s="232" t="s">
        <v>1411</v>
      </c>
      <c r="F469" s="199">
        <v>1196</v>
      </c>
      <c r="G469" s="191">
        <v>2672407.4500000002</v>
      </c>
      <c r="H469" s="109">
        <v>1425</v>
      </c>
      <c r="I469" s="109">
        <v>2142480</v>
      </c>
      <c r="J469" s="159">
        <f t="shared" si="35"/>
        <v>1.1914715719063544</v>
      </c>
      <c r="K469" s="159">
        <f t="shared" si="36"/>
        <v>0.80170409643185203</v>
      </c>
      <c r="L469" s="159">
        <f t="shared" si="37"/>
        <v>0.3</v>
      </c>
      <c r="M469" s="159">
        <f t="shared" si="38"/>
        <v>0.56119286750229636</v>
      </c>
      <c r="N469" s="160">
        <f t="shared" si="39"/>
        <v>0.8611928675022964</v>
      </c>
      <c r="O469" s="161"/>
      <c r="P469" s="161"/>
    </row>
    <row r="470" spans="1:16" x14ac:dyDescent="0.2">
      <c r="A470" s="165">
        <v>464</v>
      </c>
      <c r="B470" s="247" t="s">
        <v>64</v>
      </c>
      <c r="C470" s="240" t="s">
        <v>65</v>
      </c>
      <c r="D470" s="219" t="s">
        <v>738</v>
      </c>
      <c r="E470" s="232" t="s">
        <v>739</v>
      </c>
      <c r="F470" s="199">
        <v>1685</v>
      </c>
      <c r="G470" s="191">
        <v>2688499.5249999999</v>
      </c>
      <c r="H470" s="109">
        <v>1230</v>
      </c>
      <c r="I470" s="109">
        <v>1637635</v>
      </c>
      <c r="J470" s="159">
        <f t="shared" si="35"/>
        <v>0.72997032640949555</v>
      </c>
      <c r="K470" s="159">
        <f t="shared" si="36"/>
        <v>0.60912601425882718</v>
      </c>
      <c r="L470" s="159">
        <f t="shared" si="37"/>
        <v>0.21899109792284865</v>
      </c>
      <c r="M470" s="159">
        <f t="shared" si="38"/>
        <v>0.42638820998117899</v>
      </c>
      <c r="N470" s="160">
        <f t="shared" si="39"/>
        <v>0.64537930790402764</v>
      </c>
      <c r="O470" s="161"/>
      <c r="P470" s="161"/>
    </row>
    <row r="471" spans="1:16" x14ac:dyDescent="0.2">
      <c r="A471" s="165">
        <v>465</v>
      </c>
      <c r="B471" s="247" t="s">
        <v>64</v>
      </c>
      <c r="C471" s="240" t="s">
        <v>65</v>
      </c>
      <c r="D471" s="219" t="s">
        <v>740</v>
      </c>
      <c r="E471" s="232" t="s">
        <v>1479</v>
      </c>
      <c r="F471" s="199">
        <v>1529</v>
      </c>
      <c r="G471" s="191">
        <v>2390528.875</v>
      </c>
      <c r="H471" s="109">
        <v>1429</v>
      </c>
      <c r="I471" s="109">
        <v>2263555</v>
      </c>
      <c r="J471" s="159">
        <f t="shared" si="35"/>
        <v>0.934597776324395</v>
      </c>
      <c r="K471" s="159">
        <f t="shared" si="36"/>
        <v>0.94688460937331287</v>
      </c>
      <c r="L471" s="159">
        <f t="shared" si="37"/>
        <v>0.28037933289731848</v>
      </c>
      <c r="M471" s="159">
        <f t="shared" si="38"/>
        <v>0.66281922656131897</v>
      </c>
      <c r="N471" s="160">
        <f t="shared" si="39"/>
        <v>0.9431985594586374</v>
      </c>
      <c r="O471" s="161"/>
      <c r="P471" s="161"/>
    </row>
    <row r="472" spans="1:16" x14ac:dyDescent="0.2">
      <c r="A472" s="165">
        <v>466</v>
      </c>
      <c r="B472" s="247" t="s">
        <v>1023</v>
      </c>
      <c r="C472" s="240" t="s">
        <v>65</v>
      </c>
      <c r="D472" s="219" t="s">
        <v>713</v>
      </c>
      <c r="E472" s="232" t="s">
        <v>714</v>
      </c>
      <c r="F472" s="199">
        <v>1882</v>
      </c>
      <c r="G472" s="191">
        <v>3779112.875</v>
      </c>
      <c r="H472" s="109">
        <v>1893</v>
      </c>
      <c r="I472" s="109">
        <v>3348305</v>
      </c>
      <c r="J472" s="159">
        <f t="shared" si="35"/>
        <v>1.0058448459086078</v>
      </c>
      <c r="K472" s="159">
        <f t="shared" si="36"/>
        <v>0.88600290881758859</v>
      </c>
      <c r="L472" s="159">
        <f t="shared" si="37"/>
        <v>0.3</v>
      </c>
      <c r="M472" s="159">
        <f t="shared" si="38"/>
        <v>0.62020203617231195</v>
      </c>
      <c r="N472" s="160">
        <f t="shared" si="39"/>
        <v>0.920202036172312</v>
      </c>
      <c r="O472" s="161"/>
      <c r="P472" s="161"/>
    </row>
    <row r="473" spans="1:16" x14ac:dyDescent="0.2">
      <c r="A473" s="165">
        <v>467</v>
      </c>
      <c r="B473" s="247" t="s">
        <v>1023</v>
      </c>
      <c r="C473" s="240" t="s">
        <v>65</v>
      </c>
      <c r="D473" s="219" t="s">
        <v>717</v>
      </c>
      <c r="E473" s="232" t="s">
        <v>1097</v>
      </c>
      <c r="F473" s="199">
        <v>1326</v>
      </c>
      <c r="G473" s="191">
        <v>2159308.625</v>
      </c>
      <c r="H473" s="109">
        <v>1044</v>
      </c>
      <c r="I473" s="109">
        <v>1720545</v>
      </c>
      <c r="J473" s="159">
        <f t="shared" si="35"/>
        <v>0.78733031674208143</v>
      </c>
      <c r="K473" s="159">
        <f t="shared" si="36"/>
        <v>0.79680365283587007</v>
      </c>
      <c r="L473" s="159">
        <f t="shared" si="37"/>
        <v>0.23619909502262443</v>
      </c>
      <c r="M473" s="159">
        <f t="shared" si="38"/>
        <v>0.55776255698510901</v>
      </c>
      <c r="N473" s="160">
        <f t="shared" si="39"/>
        <v>0.7939616520077335</v>
      </c>
      <c r="O473" s="161"/>
      <c r="P473" s="161"/>
    </row>
    <row r="474" spans="1:16" x14ac:dyDescent="0.2">
      <c r="A474" s="165">
        <v>468</v>
      </c>
      <c r="B474" s="247" t="s">
        <v>1023</v>
      </c>
      <c r="C474" s="240" t="s">
        <v>65</v>
      </c>
      <c r="D474" s="219" t="s">
        <v>718</v>
      </c>
      <c r="E474" s="232" t="s">
        <v>719</v>
      </c>
      <c r="F474" s="199">
        <v>873</v>
      </c>
      <c r="G474" s="191">
        <v>1299035.75</v>
      </c>
      <c r="H474" s="109">
        <v>615</v>
      </c>
      <c r="I474" s="109">
        <v>901185</v>
      </c>
      <c r="J474" s="159">
        <f t="shared" si="35"/>
        <v>0.70446735395189009</v>
      </c>
      <c r="K474" s="159">
        <f t="shared" si="36"/>
        <v>0.69373379447024452</v>
      </c>
      <c r="L474" s="159">
        <f t="shared" si="37"/>
        <v>0.21134020618556701</v>
      </c>
      <c r="M474" s="159">
        <f t="shared" si="38"/>
        <v>0.48561365612917112</v>
      </c>
      <c r="N474" s="160">
        <f t="shared" si="39"/>
        <v>0.6969538623147381</v>
      </c>
      <c r="O474" s="161"/>
      <c r="P474" s="161"/>
    </row>
    <row r="475" spans="1:16" x14ac:dyDescent="0.2">
      <c r="A475" s="165">
        <v>469</v>
      </c>
      <c r="B475" s="247" t="s">
        <v>1023</v>
      </c>
      <c r="C475" s="240" t="s">
        <v>65</v>
      </c>
      <c r="D475" s="219" t="s">
        <v>715</v>
      </c>
      <c r="E475" s="232" t="s">
        <v>716</v>
      </c>
      <c r="F475" s="199">
        <v>1301</v>
      </c>
      <c r="G475" s="191">
        <v>2204422.6</v>
      </c>
      <c r="H475" s="109">
        <v>1116</v>
      </c>
      <c r="I475" s="109">
        <v>1669200</v>
      </c>
      <c r="J475" s="159">
        <f t="shared" si="35"/>
        <v>0.85780169100691772</v>
      </c>
      <c r="K475" s="159">
        <f t="shared" si="36"/>
        <v>0.75720508399795938</v>
      </c>
      <c r="L475" s="159">
        <f t="shared" si="37"/>
        <v>0.25734050730207531</v>
      </c>
      <c r="M475" s="159">
        <f t="shared" si="38"/>
        <v>0.53004355879857157</v>
      </c>
      <c r="N475" s="160">
        <f t="shared" si="39"/>
        <v>0.78738406610064682</v>
      </c>
      <c r="O475" s="161"/>
      <c r="P475" s="161"/>
    </row>
    <row r="476" spans="1:16" x14ac:dyDescent="0.2">
      <c r="A476" s="165">
        <v>470</v>
      </c>
      <c r="B476" s="247" t="s">
        <v>66</v>
      </c>
      <c r="C476" s="240" t="s">
        <v>65</v>
      </c>
      <c r="D476" s="219" t="s">
        <v>745</v>
      </c>
      <c r="E476" s="232" t="s">
        <v>746</v>
      </c>
      <c r="F476" s="199">
        <v>1906</v>
      </c>
      <c r="G476" s="191">
        <v>3394618.9249999998</v>
      </c>
      <c r="H476" s="109">
        <v>1966</v>
      </c>
      <c r="I476" s="109">
        <v>4127390</v>
      </c>
      <c r="J476" s="159">
        <f t="shared" si="35"/>
        <v>1.031479538300105</v>
      </c>
      <c r="K476" s="159">
        <f t="shared" si="36"/>
        <v>1.2158625433928494</v>
      </c>
      <c r="L476" s="159">
        <f t="shared" si="37"/>
        <v>0.3</v>
      </c>
      <c r="M476" s="159">
        <f t="shared" si="38"/>
        <v>0.7</v>
      </c>
      <c r="N476" s="160">
        <f t="shared" si="39"/>
        <v>1</v>
      </c>
      <c r="O476" s="161"/>
      <c r="P476" s="161"/>
    </row>
    <row r="477" spans="1:16" x14ac:dyDescent="0.2">
      <c r="A477" s="165">
        <v>471</v>
      </c>
      <c r="B477" s="240" t="s">
        <v>66</v>
      </c>
      <c r="C477" s="240" t="s">
        <v>65</v>
      </c>
      <c r="D477" s="219" t="s">
        <v>747</v>
      </c>
      <c r="E477" s="232" t="s">
        <v>317</v>
      </c>
      <c r="F477" s="199">
        <v>1652</v>
      </c>
      <c r="G477" s="191">
        <v>2924704.5750000002</v>
      </c>
      <c r="H477" s="109">
        <v>1569</v>
      </c>
      <c r="I477" s="109">
        <v>2007610</v>
      </c>
      <c r="J477" s="159">
        <f t="shared" si="35"/>
        <v>0.94975786924939465</v>
      </c>
      <c r="K477" s="159">
        <f t="shared" si="36"/>
        <v>0.68643172276639253</v>
      </c>
      <c r="L477" s="159">
        <f t="shared" si="37"/>
        <v>0.28492736077481839</v>
      </c>
      <c r="M477" s="159">
        <f t="shared" si="38"/>
        <v>0.48050220593647475</v>
      </c>
      <c r="N477" s="160">
        <f t="shared" si="39"/>
        <v>0.76542956671129314</v>
      </c>
      <c r="O477" s="161"/>
      <c r="P477" s="161"/>
    </row>
    <row r="478" spans="1:16" x14ac:dyDescent="0.2">
      <c r="A478" s="165">
        <v>472</v>
      </c>
      <c r="B478" s="240" t="s">
        <v>66</v>
      </c>
      <c r="C478" s="240" t="s">
        <v>65</v>
      </c>
      <c r="D478" s="219" t="s">
        <v>750</v>
      </c>
      <c r="E478" s="232" t="s">
        <v>751</v>
      </c>
      <c r="F478" s="199">
        <v>1402</v>
      </c>
      <c r="G478" s="191">
        <v>2422663</v>
      </c>
      <c r="H478" s="109">
        <v>1358</v>
      </c>
      <c r="I478" s="109">
        <v>1748000</v>
      </c>
      <c r="J478" s="159">
        <f t="shared" si="35"/>
        <v>0.96861626248216837</v>
      </c>
      <c r="K478" s="159">
        <f t="shared" si="36"/>
        <v>0.72152007935069795</v>
      </c>
      <c r="L478" s="159">
        <f t="shared" si="37"/>
        <v>0.2905848787446505</v>
      </c>
      <c r="M478" s="159">
        <f t="shared" si="38"/>
        <v>0.5050640555454885</v>
      </c>
      <c r="N478" s="160">
        <f t="shared" si="39"/>
        <v>0.79564893429013894</v>
      </c>
      <c r="O478" s="161"/>
      <c r="P478" s="161"/>
    </row>
    <row r="479" spans="1:16" x14ac:dyDescent="0.2">
      <c r="A479" s="165">
        <v>473</v>
      </c>
      <c r="B479" s="240" t="s">
        <v>66</v>
      </c>
      <c r="C479" s="240" t="s">
        <v>65</v>
      </c>
      <c r="D479" s="219" t="s">
        <v>748</v>
      </c>
      <c r="E479" s="232" t="s">
        <v>749</v>
      </c>
      <c r="F479" s="199">
        <v>1483</v>
      </c>
      <c r="G479" s="191">
        <v>2576431.7000000002</v>
      </c>
      <c r="H479" s="109">
        <v>1419</v>
      </c>
      <c r="I479" s="109">
        <v>1988500</v>
      </c>
      <c r="J479" s="159">
        <f t="shared" si="35"/>
        <v>0.95684423465947399</v>
      </c>
      <c r="K479" s="159">
        <f t="shared" si="36"/>
        <v>0.77180388674770606</v>
      </c>
      <c r="L479" s="159">
        <f t="shared" si="37"/>
        <v>0.28705327039784218</v>
      </c>
      <c r="M479" s="159">
        <f t="shared" si="38"/>
        <v>0.54026272072339421</v>
      </c>
      <c r="N479" s="160">
        <f t="shared" si="39"/>
        <v>0.82731599112123644</v>
      </c>
      <c r="O479" s="161"/>
      <c r="P479" s="161"/>
    </row>
    <row r="480" spans="1:16" x14ac:dyDescent="0.2">
      <c r="A480" s="165">
        <v>474</v>
      </c>
      <c r="B480" s="247" t="s">
        <v>77</v>
      </c>
      <c r="C480" s="240" t="s">
        <v>65</v>
      </c>
      <c r="D480" s="219" t="s">
        <v>720</v>
      </c>
      <c r="E480" s="232" t="s">
        <v>723</v>
      </c>
      <c r="F480" s="199">
        <v>2029</v>
      </c>
      <c r="G480" s="191">
        <v>3604675.85</v>
      </c>
      <c r="H480" s="109">
        <v>1732</v>
      </c>
      <c r="I480" s="109">
        <v>2994620</v>
      </c>
      <c r="J480" s="159">
        <f t="shared" si="35"/>
        <v>0.85362247412518477</v>
      </c>
      <c r="K480" s="159">
        <f t="shared" si="36"/>
        <v>0.83075985875401248</v>
      </c>
      <c r="L480" s="159">
        <f t="shared" si="37"/>
        <v>0.2560867422375554</v>
      </c>
      <c r="M480" s="159">
        <f t="shared" si="38"/>
        <v>0.58153190112780873</v>
      </c>
      <c r="N480" s="160">
        <f t="shared" si="39"/>
        <v>0.83761864336536407</v>
      </c>
      <c r="O480" s="161"/>
      <c r="P480" s="161"/>
    </row>
    <row r="481" spans="1:16" x14ac:dyDescent="0.2">
      <c r="A481" s="165">
        <v>475</v>
      </c>
      <c r="B481" s="247" t="s">
        <v>77</v>
      </c>
      <c r="C481" s="240" t="s">
        <v>65</v>
      </c>
      <c r="D481" s="219" t="s">
        <v>722</v>
      </c>
      <c r="E481" s="232" t="s">
        <v>1349</v>
      </c>
      <c r="F481" s="199">
        <v>1971</v>
      </c>
      <c r="G481" s="191">
        <v>3375188.85</v>
      </c>
      <c r="H481" s="109">
        <v>1721</v>
      </c>
      <c r="I481" s="109">
        <v>2979090</v>
      </c>
      <c r="J481" s="159">
        <f t="shared" si="35"/>
        <v>0.87316083206494166</v>
      </c>
      <c r="K481" s="159">
        <f t="shared" si="36"/>
        <v>0.88264394450106098</v>
      </c>
      <c r="L481" s="159">
        <f t="shared" si="37"/>
        <v>0.26194824961948249</v>
      </c>
      <c r="M481" s="159">
        <f t="shared" si="38"/>
        <v>0.61785076115074267</v>
      </c>
      <c r="N481" s="160">
        <f t="shared" si="39"/>
        <v>0.87979901077022515</v>
      </c>
      <c r="O481" s="161"/>
      <c r="P481" s="161"/>
    </row>
    <row r="482" spans="1:16" x14ac:dyDescent="0.2">
      <c r="A482" s="165">
        <v>476</v>
      </c>
      <c r="B482" s="247" t="s">
        <v>77</v>
      </c>
      <c r="C482" s="240" t="s">
        <v>65</v>
      </c>
      <c r="D482" s="219" t="s">
        <v>725</v>
      </c>
      <c r="E482" s="232" t="s">
        <v>726</v>
      </c>
      <c r="F482" s="199">
        <v>824</v>
      </c>
      <c r="G482" s="191">
        <v>1524088.0249999999</v>
      </c>
      <c r="H482" s="109">
        <v>690</v>
      </c>
      <c r="I482" s="109">
        <v>1652220</v>
      </c>
      <c r="J482" s="159">
        <f t="shared" si="35"/>
        <v>0.83737864077669899</v>
      </c>
      <c r="K482" s="159">
        <f t="shared" si="36"/>
        <v>1.0840712431947623</v>
      </c>
      <c r="L482" s="159">
        <f t="shared" si="37"/>
        <v>0.25121359223300971</v>
      </c>
      <c r="M482" s="159">
        <f t="shared" si="38"/>
        <v>0.7</v>
      </c>
      <c r="N482" s="160">
        <f t="shared" si="39"/>
        <v>0.95121359223300961</v>
      </c>
      <c r="O482" s="161"/>
      <c r="P482" s="161"/>
    </row>
    <row r="483" spans="1:16" x14ac:dyDescent="0.2">
      <c r="A483" s="165">
        <v>477</v>
      </c>
      <c r="B483" s="247" t="s">
        <v>77</v>
      </c>
      <c r="C483" s="240" t="s">
        <v>65</v>
      </c>
      <c r="D483" s="219" t="s">
        <v>727</v>
      </c>
      <c r="E483" s="232" t="s">
        <v>728</v>
      </c>
      <c r="F483" s="199">
        <v>1432</v>
      </c>
      <c r="G483" s="191">
        <v>2550559.7250000001</v>
      </c>
      <c r="H483" s="109">
        <v>866</v>
      </c>
      <c r="I483" s="109">
        <v>1995615</v>
      </c>
      <c r="J483" s="159">
        <f t="shared" si="35"/>
        <v>0.60474860335195535</v>
      </c>
      <c r="K483" s="159">
        <f t="shared" si="36"/>
        <v>0.78242237593554098</v>
      </c>
      <c r="L483" s="159">
        <f t="shared" si="37"/>
        <v>0.18142458100558659</v>
      </c>
      <c r="M483" s="159">
        <f t="shared" si="38"/>
        <v>0.54769566315487861</v>
      </c>
      <c r="N483" s="160">
        <f t="shared" si="39"/>
        <v>0.72912024416046517</v>
      </c>
      <c r="O483" s="161"/>
      <c r="P483" s="161"/>
    </row>
    <row r="484" spans="1:16" x14ac:dyDescent="0.2">
      <c r="A484" s="165">
        <v>478</v>
      </c>
      <c r="B484" s="247" t="s">
        <v>77</v>
      </c>
      <c r="C484" s="240" t="s">
        <v>65</v>
      </c>
      <c r="D484" s="219" t="s">
        <v>724</v>
      </c>
      <c r="E484" s="232" t="s">
        <v>1472</v>
      </c>
      <c r="F484" s="199">
        <v>916</v>
      </c>
      <c r="G484" s="191">
        <v>1670177.4</v>
      </c>
      <c r="H484" s="109">
        <v>589</v>
      </c>
      <c r="I484" s="109">
        <v>1760000</v>
      </c>
      <c r="J484" s="159">
        <f t="shared" si="35"/>
        <v>0.64301310043668125</v>
      </c>
      <c r="K484" s="159">
        <f t="shared" si="36"/>
        <v>1.0537802750773662</v>
      </c>
      <c r="L484" s="159">
        <f t="shared" si="37"/>
        <v>0.19290393013100438</v>
      </c>
      <c r="M484" s="159">
        <f t="shared" si="38"/>
        <v>0.7</v>
      </c>
      <c r="N484" s="160">
        <f t="shared" si="39"/>
        <v>0.89290393013100433</v>
      </c>
      <c r="O484" s="161"/>
      <c r="P484" s="161"/>
    </row>
    <row r="485" spans="1:16" x14ac:dyDescent="0.2">
      <c r="A485" s="165">
        <v>479</v>
      </c>
      <c r="B485" s="247" t="s">
        <v>77</v>
      </c>
      <c r="C485" s="240" t="s">
        <v>65</v>
      </c>
      <c r="D485" s="219" t="s">
        <v>733</v>
      </c>
      <c r="E485" s="232" t="s">
        <v>730</v>
      </c>
      <c r="F485" s="199">
        <v>1663</v>
      </c>
      <c r="G485" s="191">
        <v>2842083.4750000001</v>
      </c>
      <c r="H485" s="109">
        <v>1868</v>
      </c>
      <c r="I485" s="109">
        <v>2822330</v>
      </c>
      <c r="J485" s="159">
        <f t="shared" si="35"/>
        <v>1.1232711966325917</v>
      </c>
      <c r="K485" s="159">
        <f t="shared" si="36"/>
        <v>0.99304964995794143</v>
      </c>
      <c r="L485" s="159">
        <f t="shared" si="37"/>
        <v>0.3</v>
      </c>
      <c r="M485" s="159">
        <f t="shared" si="38"/>
        <v>0.69513475497055899</v>
      </c>
      <c r="N485" s="160">
        <f t="shared" si="39"/>
        <v>0.99513475497055892</v>
      </c>
      <c r="O485" s="161"/>
      <c r="P485" s="161"/>
    </row>
    <row r="486" spans="1:16" x14ac:dyDescent="0.2">
      <c r="A486" s="165">
        <v>480</v>
      </c>
      <c r="B486" s="247" t="s">
        <v>77</v>
      </c>
      <c r="C486" s="240" t="s">
        <v>65</v>
      </c>
      <c r="D486" s="219" t="s">
        <v>731</v>
      </c>
      <c r="E486" s="232" t="s">
        <v>732</v>
      </c>
      <c r="F486" s="199">
        <v>1774</v>
      </c>
      <c r="G486" s="191">
        <v>3152121</v>
      </c>
      <c r="H486" s="109">
        <v>1509</v>
      </c>
      <c r="I486" s="109">
        <v>2744760</v>
      </c>
      <c r="J486" s="159">
        <f t="shared" si="35"/>
        <v>0.85062006764374298</v>
      </c>
      <c r="K486" s="159">
        <f t="shared" si="36"/>
        <v>0.87076606513518995</v>
      </c>
      <c r="L486" s="159">
        <f t="shared" si="37"/>
        <v>0.25518602029312287</v>
      </c>
      <c r="M486" s="159">
        <f t="shared" si="38"/>
        <v>0.60953624559463293</v>
      </c>
      <c r="N486" s="160">
        <f t="shared" si="39"/>
        <v>0.8647222658877558</v>
      </c>
      <c r="O486" s="161"/>
      <c r="P486" s="161"/>
    </row>
    <row r="487" spans="1:16" x14ac:dyDescent="0.2">
      <c r="A487" s="165">
        <v>481</v>
      </c>
      <c r="B487" s="247" t="s">
        <v>77</v>
      </c>
      <c r="C487" s="240" t="s">
        <v>65</v>
      </c>
      <c r="D487" s="219" t="s">
        <v>729</v>
      </c>
      <c r="E487" s="232" t="s">
        <v>1119</v>
      </c>
      <c r="F487" s="199">
        <v>1295</v>
      </c>
      <c r="G487" s="191">
        <v>2223621.2000000002</v>
      </c>
      <c r="H487" s="109">
        <v>1252</v>
      </c>
      <c r="I487" s="109">
        <v>2021190</v>
      </c>
      <c r="J487" s="159">
        <f t="shared" si="35"/>
        <v>0.96679536679536682</v>
      </c>
      <c r="K487" s="159">
        <f t="shared" si="36"/>
        <v>0.90896327126220955</v>
      </c>
      <c r="L487" s="159">
        <f t="shared" si="37"/>
        <v>0.29003861003861003</v>
      </c>
      <c r="M487" s="159">
        <f t="shared" si="38"/>
        <v>0.63627428988354662</v>
      </c>
      <c r="N487" s="160">
        <f t="shared" si="39"/>
        <v>0.9263128999221566</v>
      </c>
      <c r="O487" s="161"/>
      <c r="P487" s="161"/>
    </row>
    <row r="488" spans="1:16" x14ac:dyDescent="0.2">
      <c r="A488" s="165">
        <v>482</v>
      </c>
      <c r="B488" s="247" t="s">
        <v>89</v>
      </c>
      <c r="C488" s="240" t="s">
        <v>80</v>
      </c>
      <c r="D488" s="219" t="s">
        <v>874</v>
      </c>
      <c r="E488" s="232" t="s">
        <v>1075</v>
      </c>
      <c r="F488" s="199">
        <v>2457</v>
      </c>
      <c r="G488" s="191">
        <v>3899311.9249999998</v>
      </c>
      <c r="H488" s="109">
        <v>1651</v>
      </c>
      <c r="I488" s="109">
        <v>2696725</v>
      </c>
      <c r="J488" s="159">
        <f t="shared" si="35"/>
        <v>0.67195767195767198</v>
      </c>
      <c r="K488" s="159">
        <f t="shared" si="36"/>
        <v>0.69158996558091468</v>
      </c>
      <c r="L488" s="159">
        <f t="shared" si="37"/>
        <v>0.20158730158730159</v>
      </c>
      <c r="M488" s="159">
        <f t="shared" si="38"/>
        <v>0.48411297590664026</v>
      </c>
      <c r="N488" s="160">
        <f t="shared" si="39"/>
        <v>0.6857002774939418</v>
      </c>
      <c r="O488" s="161"/>
      <c r="P488" s="161"/>
    </row>
    <row r="489" spans="1:16" x14ac:dyDescent="0.2">
      <c r="A489" s="165">
        <v>483</v>
      </c>
      <c r="B489" s="240" t="s">
        <v>89</v>
      </c>
      <c r="C489" s="240" t="s">
        <v>80</v>
      </c>
      <c r="D489" s="219" t="s">
        <v>877</v>
      </c>
      <c r="E489" s="232" t="s">
        <v>1336</v>
      </c>
      <c r="F489" s="199">
        <v>1393</v>
      </c>
      <c r="G489" s="191">
        <v>2027907.15</v>
      </c>
      <c r="H489" s="109">
        <v>1325</v>
      </c>
      <c r="I489" s="109">
        <v>2022685</v>
      </c>
      <c r="J489" s="159">
        <f t="shared" si="35"/>
        <v>0.9511844938980617</v>
      </c>
      <c r="K489" s="159">
        <f t="shared" si="36"/>
        <v>0.99742485744478004</v>
      </c>
      <c r="L489" s="159">
        <f t="shared" si="37"/>
        <v>0.28535534816941849</v>
      </c>
      <c r="M489" s="159">
        <f t="shared" si="38"/>
        <v>0.69819740021134602</v>
      </c>
      <c r="N489" s="160">
        <f t="shared" si="39"/>
        <v>0.98355274838076445</v>
      </c>
      <c r="O489" s="161"/>
      <c r="P489" s="161"/>
    </row>
    <row r="490" spans="1:16" x14ac:dyDescent="0.2">
      <c r="A490" s="165">
        <v>484</v>
      </c>
      <c r="B490" s="240" t="s">
        <v>89</v>
      </c>
      <c r="C490" s="240" t="s">
        <v>80</v>
      </c>
      <c r="D490" s="219" t="s">
        <v>876</v>
      </c>
      <c r="E490" s="232" t="s">
        <v>1317</v>
      </c>
      <c r="F490" s="199">
        <v>2014</v>
      </c>
      <c r="G490" s="191">
        <v>3776420.15</v>
      </c>
      <c r="H490" s="109">
        <v>1442</v>
      </c>
      <c r="I490" s="109">
        <v>2867085</v>
      </c>
      <c r="J490" s="159">
        <f t="shared" si="35"/>
        <v>0.71598808341608744</v>
      </c>
      <c r="K490" s="159">
        <f t="shared" si="36"/>
        <v>0.75920710252539036</v>
      </c>
      <c r="L490" s="159">
        <f t="shared" si="37"/>
        <v>0.21479642502482624</v>
      </c>
      <c r="M490" s="159">
        <f t="shared" si="38"/>
        <v>0.53144497176777317</v>
      </c>
      <c r="N490" s="160">
        <f t="shared" si="39"/>
        <v>0.74624139679259938</v>
      </c>
      <c r="O490" s="161"/>
      <c r="P490" s="161"/>
    </row>
    <row r="491" spans="1:16" x14ac:dyDescent="0.2">
      <c r="A491" s="165">
        <v>485</v>
      </c>
      <c r="B491" s="240" t="s">
        <v>89</v>
      </c>
      <c r="C491" s="240" t="s">
        <v>80</v>
      </c>
      <c r="D491" s="219" t="s">
        <v>875</v>
      </c>
      <c r="E491" s="232" t="s">
        <v>1076</v>
      </c>
      <c r="F491" s="199">
        <v>2752</v>
      </c>
      <c r="G491" s="191">
        <v>4557285.875</v>
      </c>
      <c r="H491" s="109">
        <v>2308</v>
      </c>
      <c r="I491" s="109">
        <v>3488795</v>
      </c>
      <c r="J491" s="159">
        <f t="shared" si="35"/>
        <v>0.83866279069767447</v>
      </c>
      <c r="K491" s="159">
        <f t="shared" si="36"/>
        <v>0.76554227575201217</v>
      </c>
      <c r="L491" s="159">
        <f t="shared" si="37"/>
        <v>0.25159883720930232</v>
      </c>
      <c r="M491" s="159">
        <f t="shared" si="38"/>
        <v>0.53587959302640853</v>
      </c>
      <c r="N491" s="160">
        <f t="shared" si="39"/>
        <v>0.78747843023571085</v>
      </c>
      <c r="O491" s="161"/>
      <c r="P491" s="161"/>
    </row>
    <row r="492" spans="1:16" x14ac:dyDescent="0.2">
      <c r="A492" s="165">
        <v>486</v>
      </c>
      <c r="B492" s="240" t="s">
        <v>87</v>
      </c>
      <c r="C492" s="240" t="s">
        <v>80</v>
      </c>
      <c r="D492" s="219" t="s">
        <v>867</v>
      </c>
      <c r="E492" s="232" t="s">
        <v>868</v>
      </c>
      <c r="F492" s="199">
        <v>2070</v>
      </c>
      <c r="G492" s="191">
        <v>4883775.25</v>
      </c>
      <c r="H492" s="109">
        <v>1895</v>
      </c>
      <c r="I492" s="109">
        <v>4024345</v>
      </c>
      <c r="J492" s="159">
        <f t="shared" si="35"/>
        <v>0.91545893719806759</v>
      </c>
      <c r="K492" s="159">
        <f t="shared" si="36"/>
        <v>0.82402338232087968</v>
      </c>
      <c r="L492" s="159">
        <f t="shared" si="37"/>
        <v>0.27463768115942028</v>
      </c>
      <c r="M492" s="159">
        <f t="shared" si="38"/>
        <v>0.57681636762461574</v>
      </c>
      <c r="N492" s="160">
        <f t="shared" si="39"/>
        <v>0.85145404878403608</v>
      </c>
      <c r="O492" s="161"/>
      <c r="P492" s="161"/>
    </row>
    <row r="493" spans="1:16" x14ac:dyDescent="0.2">
      <c r="A493" s="165">
        <v>487</v>
      </c>
      <c r="B493" s="240" t="s">
        <v>87</v>
      </c>
      <c r="C493" s="240" t="s">
        <v>80</v>
      </c>
      <c r="D493" s="219" t="s">
        <v>871</v>
      </c>
      <c r="E493" s="232" t="s">
        <v>866</v>
      </c>
      <c r="F493" s="199">
        <v>2301</v>
      </c>
      <c r="G493" s="191">
        <v>3294923.9249999998</v>
      </c>
      <c r="H493" s="109">
        <v>2331</v>
      </c>
      <c r="I493" s="109">
        <v>3133445</v>
      </c>
      <c r="J493" s="159">
        <f t="shared" si="35"/>
        <v>1.0130378096479791</v>
      </c>
      <c r="K493" s="159">
        <f t="shared" si="36"/>
        <v>0.95099160749212142</v>
      </c>
      <c r="L493" s="159">
        <f t="shared" si="37"/>
        <v>0.3</v>
      </c>
      <c r="M493" s="159">
        <f t="shared" si="38"/>
        <v>0.6656941252444849</v>
      </c>
      <c r="N493" s="160">
        <f t="shared" si="39"/>
        <v>0.96569412524448484</v>
      </c>
      <c r="O493" s="161"/>
      <c r="P493" s="161"/>
    </row>
    <row r="494" spans="1:16" x14ac:dyDescent="0.2">
      <c r="A494" s="165">
        <v>488</v>
      </c>
      <c r="B494" s="240" t="s">
        <v>87</v>
      </c>
      <c r="C494" s="240" t="s">
        <v>80</v>
      </c>
      <c r="D494" s="219" t="s">
        <v>873</v>
      </c>
      <c r="E494" s="232" t="s">
        <v>872</v>
      </c>
      <c r="F494" s="199">
        <v>2487</v>
      </c>
      <c r="G494" s="191">
        <v>3935914.9249999998</v>
      </c>
      <c r="H494" s="109">
        <v>1903</v>
      </c>
      <c r="I494" s="109">
        <v>3229930</v>
      </c>
      <c r="J494" s="159">
        <f t="shared" si="35"/>
        <v>0.765178930438279</v>
      </c>
      <c r="K494" s="159">
        <f t="shared" si="36"/>
        <v>0.82063003432423021</v>
      </c>
      <c r="L494" s="159">
        <f t="shared" si="37"/>
        <v>0.2295536791314837</v>
      </c>
      <c r="M494" s="159">
        <f t="shared" si="38"/>
        <v>0.57444102402696107</v>
      </c>
      <c r="N494" s="160">
        <f t="shared" si="39"/>
        <v>0.80399470315844479</v>
      </c>
      <c r="O494" s="161"/>
      <c r="P494" s="161"/>
    </row>
    <row r="495" spans="1:16" x14ac:dyDescent="0.2">
      <c r="A495" s="165">
        <v>489</v>
      </c>
      <c r="B495" s="240" t="s">
        <v>87</v>
      </c>
      <c r="C495" s="240" t="s">
        <v>80</v>
      </c>
      <c r="D495" s="219" t="s">
        <v>865</v>
      </c>
      <c r="E495" s="232" t="s">
        <v>1036</v>
      </c>
      <c r="F495" s="199">
        <v>2465</v>
      </c>
      <c r="G495" s="191">
        <v>3780227.6749999998</v>
      </c>
      <c r="H495" s="109">
        <v>1966</v>
      </c>
      <c r="I495" s="109">
        <v>2755900</v>
      </c>
      <c r="J495" s="159">
        <f t="shared" si="35"/>
        <v>0.79756592292089246</v>
      </c>
      <c r="K495" s="159">
        <f t="shared" si="36"/>
        <v>0.72903016350728134</v>
      </c>
      <c r="L495" s="159">
        <f t="shared" si="37"/>
        <v>0.23926977687626771</v>
      </c>
      <c r="M495" s="159">
        <f t="shared" si="38"/>
        <v>0.51032111445509687</v>
      </c>
      <c r="N495" s="160">
        <f t="shared" si="39"/>
        <v>0.74959089133136458</v>
      </c>
      <c r="O495" s="161"/>
      <c r="P495" s="161"/>
    </row>
    <row r="496" spans="1:16" x14ac:dyDescent="0.2">
      <c r="A496" s="165">
        <v>490</v>
      </c>
      <c r="B496" s="240" t="s">
        <v>87</v>
      </c>
      <c r="C496" s="240" t="s">
        <v>80</v>
      </c>
      <c r="D496" s="219" t="s">
        <v>869</v>
      </c>
      <c r="E496" s="232" t="s">
        <v>870</v>
      </c>
      <c r="F496" s="199">
        <v>2681</v>
      </c>
      <c r="G496" s="191">
        <v>3475228.9750000001</v>
      </c>
      <c r="H496" s="109">
        <v>2127</v>
      </c>
      <c r="I496" s="109">
        <v>3058585</v>
      </c>
      <c r="J496" s="159">
        <f t="shared" si="35"/>
        <v>0.79336068631107792</v>
      </c>
      <c r="K496" s="159">
        <f t="shared" si="36"/>
        <v>0.8801103530163793</v>
      </c>
      <c r="L496" s="159">
        <f t="shared" si="37"/>
        <v>0.23800820589332336</v>
      </c>
      <c r="M496" s="159">
        <f t="shared" si="38"/>
        <v>0.6160772471114655</v>
      </c>
      <c r="N496" s="160">
        <f t="shared" si="39"/>
        <v>0.85408545300478889</v>
      </c>
      <c r="O496" s="161"/>
      <c r="P496" s="161"/>
    </row>
    <row r="497" spans="1:16" x14ac:dyDescent="0.2">
      <c r="A497" s="165">
        <v>491</v>
      </c>
      <c r="B497" s="240" t="s">
        <v>85</v>
      </c>
      <c r="C497" s="240" t="s">
        <v>80</v>
      </c>
      <c r="D497" s="219" t="s">
        <v>842</v>
      </c>
      <c r="E497" s="232" t="s">
        <v>843</v>
      </c>
      <c r="F497" s="199">
        <v>1510</v>
      </c>
      <c r="G497" s="191">
        <v>2208903.625</v>
      </c>
      <c r="H497" s="109">
        <v>867</v>
      </c>
      <c r="I497" s="109">
        <v>1020340</v>
      </c>
      <c r="J497" s="159">
        <f t="shared" si="35"/>
        <v>0.57417218543046356</v>
      </c>
      <c r="K497" s="159">
        <f t="shared" si="36"/>
        <v>0.46192146567734482</v>
      </c>
      <c r="L497" s="159">
        <f t="shared" si="37"/>
        <v>0.17225165562913905</v>
      </c>
      <c r="M497" s="159">
        <f t="shared" si="38"/>
        <v>0.32334502597414133</v>
      </c>
      <c r="N497" s="160">
        <f t="shared" si="39"/>
        <v>0.49559668160328041</v>
      </c>
      <c r="O497" s="161"/>
      <c r="P497" s="161"/>
    </row>
    <row r="498" spans="1:16" x14ac:dyDescent="0.2">
      <c r="A498" s="165">
        <v>492</v>
      </c>
      <c r="B498" s="240" t="s">
        <v>85</v>
      </c>
      <c r="C498" s="240" t="s">
        <v>80</v>
      </c>
      <c r="D498" s="219" t="s">
        <v>841</v>
      </c>
      <c r="E498" s="232" t="s">
        <v>1035</v>
      </c>
      <c r="F498" s="199">
        <v>1640</v>
      </c>
      <c r="G498" s="191">
        <v>3451499.6</v>
      </c>
      <c r="H498" s="109">
        <v>1114</v>
      </c>
      <c r="I498" s="109">
        <v>2224675</v>
      </c>
      <c r="J498" s="159">
        <f t="shared" si="35"/>
        <v>0.67926829268292688</v>
      </c>
      <c r="K498" s="159">
        <f t="shared" si="36"/>
        <v>0.64455316755650205</v>
      </c>
      <c r="L498" s="159">
        <f t="shared" si="37"/>
        <v>0.20378048780487806</v>
      </c>
      <c r="M498" s="159">
        <f t="shared" si="38"/>
        <v>0.45118721728955141</v>
      </c>
      <c r="N498" s="160">
        <f t="shared" si="39"/>
        <v>0.65496770509442948</v>
      </c>
      <c r="O498" s="161"/>
      <c r="P498" s="161"/>
    </row>
    <row r="499" spans="1:16" x14ac:dyDescent="0.2">
      <c r="A499" s="165">
        <v>493</v>
      </c>
      <c r="B499" s="240" t="s">
        <v>90</v>
      </c>
      <c r="C499" s="240" t="s">
        <v>80</v>
      </c>
      <c r="D499" s="219" t="s">
        <v>805</v>
      </c>
      <c r="E499" s="232" t="s">
        <v>1532</v>
      </c>
      <c r="F499" s="199">
        <v>1487</v>
      </c>
      <c r="G499" s="191">
        <v>2292005</v>
      </c>
      <c r="H499" s="109">
        <v>1132</v>
      </c>
      <c r="I499" s="109">
        <v>1452175</v>
      </c>
      <c r="J499" s="159">
        <f t="shared" si="35"/>
        <v>0.76126429051782107</v>
      </c>
      <c r="K499" s="159">
        <f t="shared" si="36"/>
        <v>0.63358282377219943</v>
      </c>
      <c r="L499" s="159">
        <f t="shared" si="37"/>
        <v>0.22837928715534631</v>
      </c>
      <c r="M499" s="159">
        <f t="shared" si="38"/>
        <v>0.44350797664053959</v>
      </c>
      <c r="N499" s="160">
        <f t="shared" si="39"/>
        <v>0.67188726379588593</v>
      </c>
      <c r="O499" s="161"/>
      <c r="P499" s="161"/>
    </row>
    <row r="500" spans="1:16" x14ac:dyDescent="0.2">
      <c r="A500" s="165">
        <v>494</v>
      </c>
      <c r="B500" s="240" t="s">
        <v>90</v>
      </c>
      <c r="C500" s="240" t="s">
        <v>80</v>
      </c>
      <c r="D500" s="219" t="s">
        <v>807</v>
      </c>
      <c r="E500" s="232" t="s">
        <v>1261</v>
      </c>
      <c r="F500" s="199">
        <v>1837</v>
      </c>
      <c r="G500" s="191">
        <v>2826843.8</v>
      </c>
      <c r="H500" s="109">
        <v>1112</v>
      </c>
      <c r="I500" s="109">
        <v>2120105</v>
      </c>
      <c r="J500" s="159">
        <f t="shared" si="35"/>
        <v>0.60533478497550353</v>
      </c>
      <c r="K500" s="159">
        <f t="shared" si="36"/>
        <v>0.74999014802303554</v>
      </c>
      <c r="L500" s="159">
        <f t="shared" si="37"/>
        <v>0.18160043549265106</v>
      </c>
      <c r="M500" s="159">
        <f t="shared" si="38"/>
        <v>0.52499310361612483</v>
      </c>
      <c r="N500" s="160">
        <f t="shared" si="39"/>
        <v>0.70659353910877587</v>
      </c>
      <c r="O500" s="161"/>
      <c r="P500" s="161"/>
    </row>
    <row r="501" spans="1:16" x14ac:dyDescent="0.2">
      <c r="A501" s="165">
        <v>495</v>
      </c>
      <c r="B501" s="240" t="s">
        <v>90</v>
      </c>
      <c r="C501" s="240" t="s">
        <v>80</v>
      </c>
      <c r="D501" s="219" t="s">
        <v>804</v>
      </c>
      <c r="E501" s="232" t="s">
        <v>1303</v>
      </c>
      <c r="F501" s="199">
        <v>2260</v>
      </c>
      <c r="G501" s="191">
        <v>3479047.45</v>
      </c>
      <c r="H501" s="109">
        <v>1424</v>
      </c>
      <c r="I501" s="109">
        <v>2816505</v>
      </c>
      <c r="J501" s="159">
        <f t="shared" si="35"/>
        <v>0.63008849557522129</v>
      </c>
      <c r="K501" s="159">
        <f t="shared" si="36"/>
        <v>0.80956211160615243</v>
      </c>
      <c r="L501" s="159">
        <f t="shared" si="37"/>
        <v>0.18902654867256638</v>
      </c>
      <c r="M501" s="159">
        <f t="shared" si="38"/>
        <v>0.5666934781243067</v>
      </c>
      <c r="N501" s="160">
        <f t="shared" si="39"/>
        <v>0.75572002679687311</v>
      </c>
      <c r="O501" s="161"/>
      <c r="P501" s="161"/>
    </row>
    <row r="502" spans="1:16" x14ac:dyDescent="0.2">
      <c r="A502" s="165">
        <v>496</v>
      </c>
      <c r="B502" s="240" t="s">
        <v>90</v>
      </c>
      <c r="C502" s="240" t="s">
        <v>80</v>
      </c>
      <c r="D502" s="219" t="s">
        <v>803</v>
      </c>
      <c r="E502" s="232" t="s">
        <v>1334</v>
      </c>
      <c r="F502" s="199">
        <v>1487</v>
      </c>
      <c r="G502" s="191">
        <v>2292005</v>
      </c>
      <c r="H502" s="109">
        <v>1076</v>
      </c>
      <c r="I502" s="109">
        <v>1876150</v>
      </c>
      <c r="J502" s="159">
        <f t="shared" si="35"/>
        <v>0.7236045729657028</v>
      </c>
      <c r="K502" s="159">
        <f t="shared" si="36"/>
        <v>0.8185627867303954</v>
      </c>
      <c r="L502" s="159">
        <f t="shared" si="37"/>
        <v>0.21708137188971083</v>
      </c>
      <c r="M502" s="159">
        <f t="shared" si="38"/>
        <v>0.57299395071127679</v>
      </c>
      <c r="N502" s="160">
        <f t="shared" si="39"/>
        <v>0.79007532260098756</v>
      </c>
      <c r="O502" s="161"/>
      <c r="P502" s="161"/>
    </row>
    <row r="503" spans="1:16" x14ac:dyDescent="0.2">
      <c r="A503" s="165">
        <v>497</v>
      </c>
      <c r="B503" s="240" t="s">
        <v>1350</v>
      </c>
      <c r="C503" s="240" t="s">
        <v>80</v>
      </c>
      <c r="D503" s="219" t="s">
        <v>816</v>
      </c>
      <c r="E503" s="232" t="s">
        <v>1026</v>
      </c>
      <c r="F503" s="199">
        <v>2656</v>
      </c>
      <c r="G503" s="191">
        <v>5874457.25</v>
      </c>
      <c r="H503" s="109">
        <v>2488</v>
      </c>
      <c r="I503" s="109">
        <v>5557285</v>
      </c>
      <c r="J503" s="159">
        <f t="shared" si="35"/>
        <v>0.93674698795180722</v>
      </c>
      <c r="K503" s="159">
        <f t="shared" si="36"/>
        <v>0.94600824612350354</v>
      </c>
      <c r="L503" s="159">
        <f t="shared" si="37"/>
        <v>0.28102409638554215</v>
      </c>
      <c r="M503" s="159">
        <f t="shared" si="38"/>
        <v>0.66220577228645239</v>
      </c>
      <c r="N503" s="160">
        <f t="shared" si="39"/>
        <v>0.94322986867199454</v>
      </c>
      <c r="O503" s="161"/>
      <c r="P503" s="161"/>
    </row>
    <row r="504" spans="1:16" x14ac:dyDescent="0.2">
      <c r="A504" s="165">
        <v>498</v>
      </c>
      <c r="B504" s="240" t="s">
        <v>1350</v>
      </c>
      <c r="C504" s="240" t="s">
        <v>80</v>
      </c>
      <c r="D504" s="219" t="s">
        <v>812</v>
      </c>
      <c r="E504" s="232" t="s">
        <v>1121</v>
      </c>
      <c r="F504" s="199">
        <v>1396</v>
      </c>
      <c r="G504" s="191">
        <v>2606434.2999999998</v>
      </c>
      <c r="H504" s="109">
        <v>658</v>
      </c>
      <c r="I504" s="109">
        <v>1184330</v>
      </c>
      <c r="J504" s="159">
        <f t="shared" si="35"/>
        <v>0.47134670487106017</v>
      </c>
      <c r="K504" s="159">
        <f t="shared" si="36"/>
        <v>0.45438705284073344</v>
      </c>
      <c r="L504" s="159">
        <f t="shared" si="37"/>
        <v>0.14140401146131804</v>
      </c>
      <c r="M504" s="159">
        <f t="shared" si="38"/>
        <v>0.31807093698851341</v>
      </c>
      <c r="N504" s="160">
        <f t="shared" si="39"/>
        <v>0.45947494844983144</v>
      </c>
      <c r="O504" s="161"/>
      <c r="P504" s="161"/>
    </row>
    <row r="505" spans="1:16" x14ac:dyDescent="0.2">
      <c r="A505" s="165">
        <v>499</v>
      </c>
      <c r="B505" s="240" t="s">
        <v>1350</v>
      </c>
      <c r="C505" s="240" t="s">
        <v>80</v>
      </c>
      <c r="D505" s="219" t="s">
        <v>813</v>
      </c>
      <c r="E505" s="232" t="s">
        <v>814</v>
      </c>
      <c r="F505" s="199">
        <v>1722</v>
      </c>
      <c r="G505" s="191">
        <v>3111523.9</v>
      </c>
      <c r="H505" s="109">
        <v>1167</v>
      </c>
      <c r="I505" s="109">
        <v>1740375</v>
      </c>
      <c r="J505" s="159">
        <f t="shared" si="35"/>
        <v>0.67770034843205573</v>
      </c>
      <c r="K505" s="159">
        <f t="shared" si="36"/>
        <v>0.55933203662681175</v>
      </c>
      <c r="L505" s="159">
        <f t="shared" si="37"/>
        <v>0.2033101045296167</v>
      </c>
      <c r="M505" s="159">
        <f t="shared" si="38"/>
        <v>0.39153242563876822</v>
      </c>
      <c r="N505" s="160">
        <f t="shared" si="39"/>
        <v>0.59484253016838495</v>
      </c>
      <c r="O505" s="161"/>
      <c r="P505" s="161"/>
    </row>
    <row r="506" spans="1:16" x14ac:dyDescent="0.2">
      <c r="A506" s="165">
        <v>500</v>
      </c>
      <c r="B506" s="240" t="s">
        <v>1350</v>
      </c>
      <c r="C506" s="240" t="s">
        <v>80</v>
      </c>
      <c r="D506" s="219" t="s">
        <v>815</v>
      </c>
      <c r="E506" s="232" t="s">
        <v>1027</v>
      </c>
      <c r="F506" s="199">
        <v>1607</v>
      </c>
      <c r="G506" s="191">
        <v>2914009</v>
      </c>
      <c r="H506" s="109">
        <v>962</v>
      </c>
      <c r="I506" s="109">
        <v>1631740</v>
      </c>
      <c r="J506" s="159">
        <f t="shared" si="35"/>
        <v>0.5986309894212819</v>
      </c>
      <c r="K506" s="159">
        <f t="shared" si="36"/>
        <v>0.55996395344008887</v>
      </c>
      <c r="L506" s="159">
        <f t="shared" si="37"/>
        <v>0.17958929682638455</v>
      </c>
      <c r="M506" s="159">
        <f t="shared" si="38"/>
        <v>0.3919747674080622</v>
      </c>
      <c r="N506" s="160">
        <f t="shared" si="39"/>
        <v>0.57156406423444672</v>
      </c>
      <c r="O506" s="161"/>
      <c r="P506" s="161"/>
    </row>
    <row r="507" spans="1:16" x14ac:dyDescent="0.2">
      <c r="A507" s="165">
        <v>501</v>
      </c>
      <c r="B507" s="240" t="s">
        <v>1350</v>
      </c>
      <c r="C507" s="240" t="s">
        <v>80</v>
      </c>
      <c r="D507" s="219" t="s">
        <v>810</v>
      </c>
      <c r="E507" s="232" t="s">
        <v>585</v>
      </c>
      <c r="F507" s="199">
        <v>2519</v>
      </c>
      <c r="G507" s="191">
        <v>4052839.0750000002</v>
      </c>
      <c r="H507" s="109">
        <v>1321</v>
      </c>
      <c r="I507" s="109">
        <v>1882230</v>
      </c>
      <c r="J507" s="159">
        <f t="shared" si="35"/>
        <v>0.5244144501786423</v>
      </c>
      <c r="K507" s="159">
        <f t="shared" si="36"/>
        <v>0.46442258504922251</v>
      </c>
      <c r="L507" s="159">
        <f t="shared" si="37"/>
        <v>0.1573243350535927</v>
      </c>
      <c r="M507" s="159">
        <f t="shared" si="38"/>
        <v>0.32509580953445572</v>
      </c>
      <c r="N507" s="160">
        <f t="shared" si="39"/>
        <v>0.48242014458804838</v>
      </c>
      <c r="O507" s="161"/>
      <c r="P507" s="161"/>
    </row>
    <row r="508" spans="1:16" x14ac:dyDescent="0.2">
      <c r="A508" s="165">
        <v>502</v>
      </c>
      <c r="B508" s="240" t="s">
        <v>1350</v>
      </c>
      <c r="C508" s="240" t="s">
        <v>80</v>
      </c>
      <c r="D508" s="219" t="s">
        <v>808</v>
      </c>
      <c r="E508" s="232" t="s">
        <v>809</v>
      </c>
      <c r="F508" s="199">
        <v>1722</v>
      </c>
      <c r="G508" s="191">
        <v>3111523.9</v>
      </c>
      <c r="H508" s="109">
        <v>992</v>
      </c>
      <c r="I508" s="109">
        <v>1816300</v>
      </c>
      <c r="J508" s="159">
        <f t="shared" si="35"/>
        <v>0.57607433217189319</v>
      </c>
      <c r="K508" s="159">
        <f t="shared" si="36"/>
        <v>0.58373326330548192</v>
      </c>
      <c r="L508" s="159">
        <f t="shared" si="37"/>
        <v>0.17282229965156795</v>
      </c>
      <c r="M508" s="159">
        <f t="shared" si="38"/>
        <v>0.40861328431383731</v>
      </c>
      <c r="N508" s="160">
        <f t="shared" si="39"/>
        <v>0.58143558396540529</v>
      </c>
      <c r="O508" s="161"/>
      <c r="P508" s="161"/>
    </row>
    <row r="509" spans="1:16" x14ac:dyDescent="0.2">
      <c r="A509" s="165">
        <v>503</v>
      </c>
      <c r="B509" s="240" t="s">
        <v>86</v>
      </c>
      <c r="C509" s="240" t="s">
        <v>80</v>
      </c>
      <c r="D509" s="219" t="s">
        <v>849</v>
      </c>
      <c r="E509" s="248" t="s">
        <v>850</v>
      </c>
      <c r="F509" s="199">
        <v>3983</v>
      </c>
      <c r="G509" s="191">
        <v>6523950.7249999996</v>
      </c>
      <c r="H509" s="109">
        <v>3373</v>
      </c>
      <c r="I509" s="109">
        <v>6143370</v>
      </c>
      <c r="J509" s="159">
        <f t="shared" si="35"/>
        <v>0.84684910871202612</v>
      </c>
      <c r="K509" s="159">
        <f t="shared" si="36"/>
        <v>0.94166407119820794</v>
      </c>
      <c r="L509" s="159">
        <f t="shared" si="37"/>
        <v>0.25405473261360784</v>
      </c>
      <c r="M509" s="159">
        <f t="shared" si="38"/>
        <v>0.65916484983874557</v>
      </c>
      <c r="N509" s="160">
        <f t="shared" si="39"/>
        <v>0.91321958245235346</v>
      </c>
      <c r="O509" s="161"/>
      <c r="P509" s="161"/>
    </row>
    <row r="510" spans="1:16" x14ac:dyDescent="0.2">
      <c r="A510" s="165">
        <v>504</v>
      </c>
      <c r="B510" s="240" t="s">
        <v>86</v>
      </c>
      <c r="C510" s="240" t="s">
        <v>80</v>
      </c>
      <c r="D510" s="219" t="s">
        <v>847</v>
      </c>
      <c r="E510" s="232" t="s">
        <v>848</v>
      </c>
      <c r="F510" s="199">
        <v>2387</v>
      </c>
      <c r="G510" s="191">
        <v>4606409.8</v>
      </c>
      <c r="H510" s="109">
        <v>2349</v>
      </c>
      <c r="I510" s="109">
        <v>3503180</v>
      </c>
      <c r="J510" s="159">
        <f t="shared" si="35"/>
        <v>0.98408043569333892</v>
      </c>
      <c r="K510" s="159">
        <f t="shared" si="36"/>
        <v>0.76050116079555063</v>
      </c>
      <c r="L510" s="159">
        <f t="shared" si="37"/>
        <v>0.29522413070800169</v>
      </c>
      <c r="M510" s="159">
        <f t="shared" si="38"/>
        <v>0.53235081255688543</v>
      </c>
      <c r="N510" s="160">
        <f t="shared" si="39"/>
        <v>0.82757494326488712</v>
      </c>
      <c r="O510" s="161"/>
      <c r="P510" s="161"/>
    </row>
    <row r="511" spans="1:16" x14ac:dyDescent="0.2">
      <c r="A511" s="165">
        <v>505</v>
      </c>
      <c r="B511" s="240" t="s">
        <v>86</v>
      </c>
      <c r="C511" s="240" t="s">
        <v>80</v>
      </c>
      <c r="D511" s="219" t="s">
        <v>851</v>
      </c>
      <c r="E511" s="232" t="s">
        <v>1074</v>
      </c>
      <c r="F511" s="199">
        <v>2307</v>
      </c>
      <c r="G511" s="191">
        <v>4669865.3</v>
      </c>
      <c r="H511" s="109">
        <v>2349</v>
      </c>
      <c r="I511" s="109">
        <v>3225120</v>
      </c>
      <c r="J511" s="159">
        <f t="shared" si="35"/>
        <v>1.0182054616384915</v>
      </c>
      <c r="K511" s="159">
        <f t="shared" si="36"/>
        <v>0.69062377452300394</v>
      </c>
      <c r="L511" s="159">
        <f t="shared" si="37"/>
        <v>0.3</v>
      </c>
      <c r="M511" s="159">
        <f t="shared" si="38"/>
        <v>0.48343664216610271</v>
      </c>
      <c r="N511" s="160">
        <f t="shared" si="39"/>
        <v>0.78343664216610276</v>
      </c>
      <c r="O511" s="161"/>
      <c r="P511" s="161"/>
    </row>
    <row r="512" spans="1:16" x14ac:dyDescent="0.2">
      <c r="A512" s="165">
        <v>506</v>
      </c>
      <c r="B512" s="240" t="s">
        <v>86</v>
      </c>
      <c r="C512" s="240" t="s">
        <v>80</v>
      </c>
      <c r="D512" s="219" t="s">
        <v>846</v>
      </c>
      <c r="E512" s="232" t="s">
        <v>1335</v>
      </c>
      <c r="F512" s="199">
        <v>2343</v>
      </c>
      <c r="G512" s="191">
        <v>4561096.05</v>
      </c>
      <c r="H512" s="109">
        <v>2196</v>
      </c>
      <c r="I512" s="109">
        <v>5120875</v>
      </c>
      <c r="J512" s="159">
        <f t="shared" si="35"/>
        <v>0.93725992317541618</v>
      </c>
      <c r="K512" s="159">
        <f t="shared" si="36"/>
        <v>1.1227290422879825</v>
      </c>
      <c r="L512" s="159">
        <f t="shared" si="37"/>
        <v>0.28117797695262486</v>
      </c>
      <c r="M512" s="159">
        <f t="shared" si="38"/>
        <v>0.7</v>
      </c>
      <c r="N512" s="160">
        <f t="shared" si="39"/>
        <v>0.98117797695262476</v>
      </c>
      <c r="O512" s="161"/>
      <c r="P512" s="161"/>
    </row>
    <row r="513" spans="1:16" x14ac:dyDescent="0.2">
      <c r="A513" s="165">
        <v>507</v>
      </c>
      <c r="B513" s="240" t="s">
        <v>86</v>
      </c>
      <c r="C513" s="240" t="s">
        <v>80</v>
      </c>
      <c r="D513" s="219" t="s">
        <v>844</v>
      </c>
      <c r="E513" s="232" t="s">
        <v>845</v>
      </c>
      <c r="F513" s="199">
        <v>2059</v>
      </c>
      <c r="G513" s="191">
        <v>3706775.4249999998</v>
      </c>
      <c r="H513" s="109">
        <v>2121</v>
      </c>
      <c r="I513" s="109">
        <v>3858085</v>
      </c>
      <c r="J513" s="159">
        <f t="shared" si="35"/>
        <v>1.0301117047110249</v>
      </c>
      <c r="K513" s="159">
        <f t="shared" si="36"/>
        <v>1.0408197308041667</v>
      </c>
      <c r="L513" s="159">
        <f t="shared" si="37"/>
        <v>0.3</v>
      </c>
      <c r="M513" s="159">
        <f t="shared" si="38"/>
        <v>0.7</v>
      </c>
      <c r="N513" s="160">
        <f t="shared" si="39"/>
        <v>1</v>
      </c>
      <c r="O513" s="161"/>
      <c r="P513" s="161"/>
    </row>
    <row r="514" spans="1:16" x14ac:dyDescent="0.2">
      <c r="A514" s="165">
        <v>508</v>
      </c>
      <c r="B514" s="240" t="s">
        <v>1219</v>
      </c>
      <c r="C514" s="240" t="s">
        <v>80</v>
      </c>
      <c r="D514" s="219" t="s">
        <v>822</v>
      </c>
      <c r="E514" s="232" t="s">
        <v>1031</v>
      </c>
      <c r="F514" s="199">
        <v>3133</v>
      </c>
      <c r="G514" s="191">
        <v>4460182.4000000004</v>
      </c>
      <c r="H514" s="109">
        <v>1743</v>
      </c>
      <c r="I514" s="109">
        <v>2857760</v>
      </c>
      <c r="J514" s="159">
        <f t="shared" si="35"/>
        <v>0.55633578040217047</v>
      </c>
      <c r="K514" s="159">
        <f t="shared" si="36"/>
        <v>0.64072715949912717</v>
      </c>
      <c r="L514" s="159">
        <f t="shared" si="37"/>
        <v>0.16690073412065112</v>
      </c>
      <c r="M514" s="159">
        <f t="shared" si="38"/>
        <v>0.448509011649389</v>
      </c>
      <c r="N514" s="160">
        <f t="shared" si="39"/>
        <v>0.61540974577004015</v>
      </c>
      <c r="O514" s="161"/>
      <c r="P514" s="161"/>
    </row>
    <row r="515" spans="1:16" x14ac:dyDescent="0.2">
      <c r="A515" s="165">
        <v>509</v>
      </c>
      <c r="B515" s="240" t="s">
        <v>1219</v>
      </c>
      <c r="C515" s="240" t="s">
        <v>80</v>
      </c>
      <c r="D515" s="219" t="s">
        <v>823</v>
      </c>
      <c r="E515" s="232" t="s">
        <v>1032</v>
      </c>
      <c r="F515" s="199">
        <v>2757</v>
      </c>
      <c r="G515" s="191">
        <v>3329598</v>
      </c>
      <c r="H515" s="109">
        <v>1603</v>
      </c>
      <c r="I515" s="109">
        <v>2382780</v>
      </c>
      <c r="J515" s="159">
        <f t="shared" si="35"/>
        <v>0.58142908959013417</v>
      </c>
      <c r="K515" s="159">
        <f t="shared" si="36"/>
        <v>0.71563594163619748</v>
      </c>
      <c r="L515" s="159">
        <f t="shared" si="37"/>
        <v>0.17442872687704025</v>
      </c>
      <c r="M515" s="159">
        <f t="shared" si="38"/>
        <v>0.50094515914533821</v>
      </c>
      <c r="N515" s="160">
        <f t="shared" si="39"/>
        <v>0.67537388602237847</v>
      </c>
      <c r="O515" s="161"/>
      <c r="P515" s="161"/>
    </row>
    <row r="516" spans="1:16" x14ac:dyDescent="0.2">
      <c r="A516" s="165">
        <v>510</v>
      </c>
      <c r="B516" s="240" t="s">
        <v>1219</v>
      </c>
      <c r="C516" s="240" t="s">
        <v>80</v>
      </c>
      <c r="D516" s="219" t="s">
        <v>824</v>
      </c>
      <c r="E516" s="232" t="s">
        <v>1473</v>
      </c>
      <c r="F516" s="199">
        <v>2476</v>
      </c>
      <c r="G516" s="191">
        <v>2421735.2999999998</v>
      </c>
      <c r="H516" s="109">
        <v>1133</v>
      </c>
      <c r="I516" s="109">
        <v>1185670</v>
      </c>
      <c r="J516" s="159">
        <f t="shared" si="35"/>
        <v>0.45759289176090467</v>
      </c>
      <c r="K516" s="159">
        <f t="shared" si="36"/>
        <v>0.48959520885705388</v>
      </c>
      <c r="L516" s="159">
        <f t="shared" si="37"/>
        <v>0.1372778675282714</v>
      </c>
      <c r="M516" s="159">
        <f t="shared" si="38"/>
        <v>0.34271664619993769</v>
      </c>
      <c r="N516" s="160">
        <f t="shared" si="39"/>
        <v>0.47999451372820912</v>
      </c>
      <c r="O516" s="161"/>
      <c r="P516" s="161"/>
    </row>
    <row r="517" spans="1:16" x14ac:dyDescent="0.2">
      <c r="A517" s="165">
        <v>511</v>
      </c>
      <c r="B517" s="240" t="s">
        <v>79</v>
      </c>
      <c r="C517" s="240" t="s">
        <v>80</v>
      </c>
      <c r="D517" s="219" t="s">
        <v>819</v>
      </c>
      <c r="E517" s="232" t="s">
        <v>1029</v>
      </c>
      <c r="F517" s="199">
        <v>1464</v>
      </c>
      <c r="G517" s="191">
        <v>1908177.25</v>
      </c>
      <c r="H517" s="109">
        <v>843</v>
      </c>
      <c r="I517" s="109">
        <v>981705</v>
      </c>
      <c r="J517" s="159">
        <f t="shared" si="35"/>
        <v>0.57581967213114749</v>
      </c>
      <c r="K517" s="159">
        <f t="shared" si="36"/>
        <v>0.51447264660554992</v>
      </c>
      <c r="L517" s="159">
        <f t="shared" si="37"/>
        <v>0.17274590163934425</v>
      </c>
      <c r="M517" s="159">
        <f t="shared" si="38"/>
        <v>0.36013085262388495</v>
      </c>
      <c r="N517" s="160">
        <f t="shared" si="39"/>
        <v>0.53287675426322922</v>
      </c>
      <c r="O517" s="161"/>
      <c r="P517" s="161"/>
    </row>
    <row r="518" spans="1:16" x14ac:dyDescent="0.2">
      <c r="A518" s="165">
        <v>512</v>
      </c>
      <c r="B518" s="240" t="s">
        <v>79</v>
      </c>
      <c r="C518" s="240" t="s">
        <v>80</v>
      </c>
      <c r="D518" s="219" t="s">
        <v>817</v>
      </c>
      <c r="E518" s="232" t="s">
        <v>818</v>
      </c>
      <c r="F518" s="199">
        <v>2243</v>
      </c>
      <c r="G518" s="191">
        <v>3189544.75</v>
      </c>
      <c r="H518" s="109">
        <v>1380</v>
      </c>
      <c r="I518" s="109">
        <v>1845560</v>
      </c>
      <c r="J518" s="159">
        <f t="shared" si="35"/>
        <v>0.6152474364690147</v>
      </c>
      <c r="K518" s="159">
        <f t="shared" si="36"/>
        <v>0.57862803147690589</v>
      </c>
      <c r="L518" s="159">
        <f t="shared" si="37"/>
        <v>0.18457423094070441</v>
      </c>
      <c r="M518" s="159">
        <f t="shared" si="38"/>
        <v>0.40503962203383409</v>
      </c>
      <c r="N518" s="160">
        <f t="shared" si="39"/>
        <v>0.5896138529745385</v>
      </c>
      <c r="O518" s="161"/>
      <c r="P518" s="161"/>
    </row>
    <row r="519" spans="1:16" x14ac:dyDescent="0.2">
      <c r="A519" s="165">
        <v>513</v>
      </c>
      <c r="B519" s="240" t="s">
        <v>79</v>
      </c>
      <c r="C519" s="240" t="s">
        <v>80</v>
      </c>
      <c r="D519" s="219" t="s">
        <v>820</v>
      </c>
      <c r="E519" s="232" t="s">
        <v>1030</v>
      </c>
      <c r="F519" s="199">
        <v>2004</v>
      </c>
      <c r="G519" s="191">
        <v>3523423.25</v>
      </c>
      <c r="H519" s="109">
        <v>1432</v>
      </c>
      <c r="I519" s="109">
        <v>1791690</v>
      </c>
      <c r="J519" s="159">
        <f t="shared" ref="J519:J536" si="40">IFERROR(H519/F519,0)</f>
        <v>0.71457085828343314</v>
      </c>
      <c r="K519" s="159">
        <f t="shared" ref="K519:K536" si="41">IFERROR(I519/G519,0)</f>
        <v>0.50850830935511371</v>
      </c>
      <c r="L519" s="159">
        <f t="shared" ref="L519:L536" si="42">IF((J519*0.3)&gt;30%,30%,(J519*0.3))</f>
        <v>0.21437125748502994</v>
      </c>
      <c r="M519" s="159">
        <f t="shared" ref="M519:M536" si="43">IF((K519*0.7)&gt;70%,70%,(K519*0.7))</f>
        <v>0.35595581654857955</v>
      </c>
      <c r="N519" s="160">
        <f t="shared" ref="N519:N536" si="44">L519+M519</f>
        <v>0.57032707403360949</v>
      </c>
      <c r="O519" s="161"/>
      <c r="P519" s="161"/>
    </row>
    <row r="520" spans="1:16" x14ac:dyDescent="0.2">
      <c r="A520" s="165">
        <v>514</v>
      </c>
      <c r="B520" s="240" t="s">
        <v>79</v>
      </c>
      <c r="C520" s="240" t="s">
        <v>80</v>
      </c>
      <c r="D520" s="219" t="s">
        <v>821</v>
      </c>
      <c r="E520" s="232" t="s">
        <v>1188</v>
      </c>
      <c r="F520" s="199">
        <v>2099</v>
      </c>
      <c r="G520" s="191">
        <v>4184041.375</v>
      </c>
      <c r="H520" s="109">
        <v>1458</v>
      </c>
      <c r="I520" s="109">
        <v>2768110</v>
      </c>
      <c r="J520" s="159">
        <f t="shared" si="40"/>
        <v>0.69461648404001908</v>
      </c>
      <c r="K520" s="159">
        <f t="shared" si="41"/>
        <v>0.66158762591108455</v>
      </c>
      <c r="L520" s="159">
        <f t="shared" si="42"/>
        <v>0.20838494521200571</v>
      </c>
      <c r="M520" s="159">
        <f t="shared" si="43"/>
        <v>0.46311133813775918</v>
      </c>
      <c r="N520" s="160">
        <f t="shared" si="44"/>
        <v>0.67149628334976486</v>
      </c>
      <c r="O520" s="161"/>
      <c r="P520" s="161"/>
    </row>
    <row r="521" spans="1:16" x14ac:dyDescent="0.2">
      <c r="A521" s="165">
        <v>515</v>
      </c>
      <c r="B521" s="240" t="s">
        <v>81</v>
      </c>
      <c r="C521" s="240" t="s">
        <v>80</v>
      </c>
      <c r="D521" s="219" t="s">
        <v>858</v>
      </c>
      <c r="E521" s="232" t="s">
        <v>859</v>
      </c>
      <c r="F521" s="199">
        <v>3799</v>
      </c>
      <c r="G521" s="191">
        <v>6837035.875</v>
      </c>
      <c r="H521" s="109">
        <v>3082</v>
      </c>
      <c r="I521" s="109">
        <v>5307450</v>
      </c>
      <c r="J521" s="159">
        <f t="shared" si="40"/>
        <v>0.81126612266385889</v>
      </c>
      <c r="K521" s="159">
        <f t="shared" si="41"/>
        <v>0.77627938437576216</v>
      </c>
      <c r="L521" s="159">
        <f t="shared" si="42"/>
        <v>0.24337983679915765</v>
      </c>
      <c r="M521" s="159">
        <f t="shared" si="43"/>
        <v>0.54339556906303343</v>
      </c>
      <c r="N521" s="160">
        <f t="shared" si="44"/>
        <v>0.78677540586219108</v>
      </c>
      <c r="O521" s="161"/>
      <c r="P521" s="161"/>
    </row>
    <row r="522" spans="1:16" x14ac:dyDescent="0.2">
      <c r="A522" s="165">
        <v>516</v>
      </c>
      <c r="B522" s="240" t="s">
        <v>81</v>
      </c>
      <c r="C522" s="240" t="s">
        <v>80</v>
      </c>
      <c r="D522" s="219" t="s">
        <v>860</v>
      </c>
      <c r="E522" s="232" t="s">
        <v>861</v>
      </c>
      <c r="F522" s="199">
        <v>2948</v>
      </c>
      <c r="G522" s="191">
        <v>4209664.75</v>
      </c>
      <c r="H522" s="109">
        <v>2128</v>
      </c>
      <c r="I522" s="109">
        <v>3331765</v>
      </c>
      <c r="J522" s="159">
        <f t="shared" si="40"/>
        <v>0.72184531886024428</v>
      </c>
      <c r="K522" s="159">
        <f t="shared" si="41"/>
        <v>0.79145613673867976</v>
      </c>
      <c r="L522" s="159">
        <f t="shared" si="42"/>
        <v>0.21655359565807328</v>
      </c>
      <c r="M522" s="159">
        <f t="shared" si="43"/>
        <v>0.55401929571707575</v>
      </c>
      <c r="N522" s="160">
        <f t="shared" si="44"/>
        <v>0.77057289137514906</v>
      </c>
      <c r="O522" s="161"/>
      <c r="P522" s="161"/>
    </row>
    <row r="523" spans="1:16" x14ac:dyDescent="0.2">
      <c r="A523" s="165">
        <v>517</v>
      </c>
      <c r="B523" s="240" t="s">
        <v>81</v>
      </c>
      <c r="C523" s="240" t="s">
        <v>80</v>
      </c>
      <c r="D523" s="219" t="s">
        <v>863</v>
      </c>
      <c r="E523" s="232" t="s">
        <v>864</v>
      </c>
      <c r="F523" s="199">
        <v>3749</v>
      </c>
      <c r="G523" s="191">
        <v>6525261.2999999998</v>
      </c>
      <c r="H523" s="109">
        <v>2424</v>
      </c>
      <c r="I523" s="109">
        <v>3790665</v>
      </c>
      <c r="J523" s="159">
        <f t="shared" si="40"/>
        <v>0.64657241931181653</v>
      </c>
      <c r="K523" s="159">
        <f t="shared" si="41"/>
        <v>0.58092156401460893</v>
      </c>
      <c r="L523" s="159">
        <f t="shared" si="42"/>
        <v>0.19397172579354496</v>
      </c>
      <c r="M523" s="159">
        <f t="shared" si="43"/>
        <v>0.4066450948102262</v>
      </c>
      <c r="N523" s="160">
        <f t="shared" si="44"/>
        <v>0.6006168206037712</v>
      </c>
      <c r="O523" s="161"/>
      <c r="P523" s="161"/>
    </row>
    <row r="524" spans="1:16" x14ac:dyDescent="0.2">
      <c r="A524" s="165">
        <v>518</v>
      </c>
      <c r="B524" s="240" t="s">
        <v>81</v>
      </c>
      <c r="C524" s="240" t="s">
        <v>80</v>
      </c>
      <c r="D524" s="219" t="s">
        <v>862</v>
      </c>
      <c r="E524" s="232" t="s">
        <v>1033</v>
      </c>
      <c r="F524" s="199">
        <v>2606</v>
      </c>
      <c r="G524" s="191">
        <v>3901463.8</v>
      </c>
      <c r="H524" s="109">
        <v>2124</v>
      </c>
      <c r="I524" s="109">
        <v>3245145</v>
      </c>
      <c r="J524" s="159">
        <f t="shared" si="40"/>
        <v>0.81504221028396007</v>
      </c>
      <c r="K524" s="159">
        <f t="shared" si="41"/>
        <v>0.8317762681791383</v>
      </c>
      <c r="L524" s="159">
        <f t="shared" si="42"/>
        <v>0.24451266308518801</v>
      </c>
      <c r="M524" s="159">
        <f t="shared" si="43"/>
        <v>0.58224338772539674</v>
      </c>
      <c r="N524" s="160">
        <f t="shared" si="44"/>
        <v>0.82675605081058479</v>
      </c>
      <c r="O524" s="161"/>
      <c r="P524" s="161"/>
    </row>
    <row r="525" spans="1:16" x14ac:dyDescent="0.2">
      <c r="A525" s="165">
        <v>519</v>
      </c>
      <c r="B525" s="240" t="s">
        <v>852</v>
      </c>
      <c r="C525" s="240" t="s">
        <v>80</v>
      </c>
      <c r="D525" s="219" t="s">
        <v>853</v>
      </c>
      <c r="E525" s="232" t="s">
        <v>854</v>
      </c>
      <c r="F525" s="199">
        <v>1658</v>
      </c>
      <c r="G525" s="191">
        <v>4996740.5750000002</v>
      </c>
      <c r="H525" s="109">
        <v>2034</v>
      </c>
      <c r="I525" s="109">
        <v>4865455</v>
      </c>
      <c r="J525" s="159">
        <f t="shared" si="40"/>
        <v>1.226779252110977</v>
      </c>
      <c r="K525" s="159">
        <f t="shared" si="41"/>
        <v>0.97372575721524224</v>
      </c>
      <c r="L525" s="159">
        <f t="shared" si="42"/>
        <v>0.3</v>
      </c>
      <c r="M525" s="159">
        <f t="shared" si="43"/>
        <v>0.6816080300506695</v>
      </c>
      <c r="N525" s="160">
        <f t="shared" si="44"/>
        <v>0.98160803005066954</v>
      </c>
      <c r="O525" s="161"/>
      <c r="P525" s="161"/>
    </row>
    <row r="526" spans="1:16" x14ac:dyDescent="0.2">
      <c r="A526" s="165">
        <v>520</v>
      </c>
      <c r="B526" s="240" t="s">
        <v>852</v>
      </c>
      <c r="C526" s="240" t="s">
        <v>80</v>
      </c>
      <c r="D526" s="219" t="s">
        <v>855</v>
      </c>
      <c r="E526" s="232" t="s">
        <v>1289</v>
      </c>
      <c r="F526" s="199">
        <v>1940</v>
      </c>
      <c r="G526" s="191">
        <v>6609369.2000000002</v>
      </c>
      <c r="H526" s="109">
        <v>2075</v>
      </c>
      <c r="I526" s="109">
        <v>5798040</v>
      </c>
      <c r="J526" s="159">
        <f t="shared" si="40"/>
        <v>1.0695876288659794</v>
      </c>
      <c r="K526" s="159">
        <f t="shared" si="41"/>
        <v>0.87724559251433554</v>
      </c>
      <c r="L526" s="159">
        <f t="shared" si="42"/>
        <v>0.3</v>
      </c>
      <c r="M526" s="159">
        <f t="shared" si="43"/>
        <v>0.61407191476003486</v>
      </c>
      <c r="N526" s="160">
        <f t="shared" si="44"/>
        <v>0.91407191476003491</v>
      </c>
      <c r="O526" s="161"/>
      <c r="P526" s="161"/>
    </row>
    <row r="527" spans="1:16" x14ac:dyDescent="0.2">
      <c r="A527" s="165">
        <v>521</v>
      </c>
      <c r="B527" s="240" t="s">
        <v>852</v>
      </c>
      <c r="C527" s="240" t="s">
        <v>80</v>
      </c>
      <c r="D527" s="219" t="s">
        <v>856</v>
      </c>
      <c r="E527" s="232" t="s">
        <v>1493</v>
      </c>
      <c r="F527" s="199">
        <v>940</v>
      </c>
      <c r="G527" s="191">
        <v>1236044.875</v>
      </c>
      <c r="H527" s="109">
        <v>1181</v>
      </c>
      <c r="I527" s="109">
        <v>1334690</v>
      </c>
      <c r="J527" s="159">
        <f t="shared" si="40"/>
        <v>1.2563829787234042</v>
      </c>
      <c r="K527" s="159">
        <f t="shared" si="41"/>
        <v>1.0798070741565915</v>
      </c>
      <c r="L527" s="159">
        <f t="shared" si="42"/>
        <v>0.3</v>
      </c>
      <c r="M527" s="159">
        <f t="shared" si="43"/>
        <v>0.7</v>
      </c>
      <c r="N527" s="160">
        <f t="shared" si="44"/>
        <v>1</v>
      </c>
      <c r="O527" s="161"/>
      <c r="P527" s="161"/>
    </row>
    <row r="528" spans="1:16" x14ac:dyDescent="0.2">
      <c r="A528" s="165">
        <v>522</v>
      </c>
      <c r="B528" s="240" t="s">
        <v>1403</v>
      </c>
      <c r="C528" s="240" t="s">
        <v>80</v>
      </c>
      <c r="D528" s="219" t="s">
        <v>831</v>
      </c>
      <c r="E528" s="232" t="s">
        <v>832</v>
      </c>
      <c r="F528" s="199">
        <v>1634</v>
      </c>
      <c r="G528" s="191">
        <v>2743412.875</v>
      </c>
      <c r="H528" s="109">
        <v>1345</v>
      </c>
      <c r="I528" s="109">
        <v>2266360</v>
      </c>
      <c r="J528" s="159">
        <f t="shared" si="40"/>
        <v>0.82313341493268055</v>
      </c>
      <c r="K528" s="159">
        <f t="shared" si="41"/>
        <v>0.82610970468672162</v>
      </c>
      <c r="L528" s="159">
        <f t="shared" si="42"/>
        <v>0.24694002447980415</v>
      </c>
      <c r="M528" s="159">
        <f t="shared" si="43"/>
        <v>0.57827679328070514</v>
      </c>
      <c r="N528" s="160">
        <f t="shared" si="44"/>
        <v>0.82521681776050926</v>
      </c>
      <c r="O528" s="161"/>
      <c r="P528" s="161"/>
    </row>
    <row r="529" spans="1:16" x14ac:dyDescent="0.2">
      <c r="A529" s="165">
        <v>523</v>
      </c>
      <c r="B529" s="240" t="s">
        <v>1403</v>
      </c>
      <c r="C529" s="240" t="s">
        <v>80</v>
      </c>
      <c r="D529" s="219" t="s">
        <v>825</v>
      </c>
      <c r="E529" s="232" t="s">
        <v>826</v>
      </c>
      <c r="F529" s="199">
        <v>1437</v>
      </c>
      <c r="G529" s="191">
        <v>2417339.5499999998</v>
      </c>
      <c r="H529" s="109">
        <v>1266</v>
      </c>
      <c r="I529" s="109">
        <v>2469760</v>
      </c>
      <c r="J529" s="159">
        <f t="shared" si="40"/>
        <v>0.88100208768267219</v>
      </c>
      <c r="K529" s="159">
        <f t="shared" si="41"/>
        <v>1.0216851827870024</v>
      </c>
      <c r="L529" s="159">
        <f t="shared" si="42"/>
        <v>0.26430062630480167</v>
      </c>
      <c r="M529" s="159">
        <f t="shared" si="43"/>
        <v>0.7</v>
      </c>
      <c r="N529" s="160">
        <f t="shared" si="44"/>
        <v>0.96430062630480162</v>
      </c>
      <c r="O529" s="161"/>
      <c r="P529" s="161"/>
    </row>
    <row r="530" spans="1:16" x14ac:dyDescent="0.2">
      <c r="A530" s="165">
        <v>524</v>
      </c>
      <c r="B530" s="240" t="s">
        <v>1403</v>
      </c>
      <c r="C530" s="240" t="s">
        <v>80</v>
      </c>
      <c r="D530" s="219" t="s">
        <v>829</v>
      </c>
      <c r="E530" s="232" t="s">
        <v>830</v>
      </c>
      <c r="F530" s="199">
        <v>1370</v>
      </c>
      <c r="G530" s="191">
        <v>2186097.5499999998</v>
      </c>
      <c r="H530" s="109">
        <v>704</v>
      </c>
      <c r="I530" s="109">
        <v>1431960</v>
      </c>
      <c r="J530" s="159">
        <f t="shared" si="40"/>
        <v>0.51386861313868615</v>
      </c>
      <c r="K530" s="159">
        <f t="shared" si="41"/>
        <v>0.6550302387009217</v>
      </c>
      <c r="L530" s="159">
        <f t="shared" si="42"/>
        <v>0.15416058394160584</v>
      </c>
      <c r="M530" s="159">
        <f t="shared" si="43"/>
        <v>0.45852116709064517</v>
      </c>
      <c r="N530" s="160">
        <f t="shared" si="44"/>
        <v>0.61268175103225098</v>
      </c>
      <c r="O530" s="161"/>
      <c r="P530" s="161"/>
    </row>
    <row r="531" spans="1:16" x14ac:dyDescent="0.2">
      <c r="A531" s="165">
        <v>525</v>
      </c>
      <c r="B531" s="240" t="s">
        <v>1403</v>
      </c>
      <c r="C531" s="240" t="s">
        <v>80</v>
      </c>
      <c r="D531" s="219" t="s">
        <v>827</v>
      </c>
      <c r="E531" s="232" t="s">
        <v>828</v>
      </c>
      <c r="F531" s="199">
        <v>1822</v>
      </c>
      <c r="G531" s="191">
        <v>3528465.15</v>
      </c>
      <c r="H531" s="109">
        <v>1155</v>
      </c>
      <c r="I531" s="109">
        <v>2018520</v>
      </c>
      <c r="J531" s="159">
        <f t="shared" si="40"/>
        <v>0.63391877058177826</v>
      </c>
      <c r="K531" s="159">
        <f t="shared" si="41"/>
        <v>0.57206743277597627</v>
      </c>
      <c r="L531" s="159">
        <f t="shared" si="42"/>
        <v>0.19017563117453348</v>
      </c>
      <c r="M531" s="159">
        <f t="shared" si="43"/>
        <v>0.40044720294318337</v>
      </c>
      <c r="N531" s="160">
        <f t="shared" si="44"/>
        <v>0.59062283411771688</v>
      </c>
      <c r="O531" s="161"/>
      <c r="P531" s="161"/>
    </row>
    <row r="532" spans="1:16" x14ac:dyDescent="0.2">
      <c r="A532" s="165">
        <v>526</v>
      </c>
      <c r="B532" s="240" t="s">
        <v>1403</v>
      </c>
      <c r="C532" s="240" t="s">
        <v>80</v>
      </c>
      <c r="D532" s="219" t="s">
        <v>833</v>
      </c>
      <c r="E532" s="232" t="s">
        <v>834</v>
      </c>
      <c r="F532" s="199">
        <v>1171</v>
      </c>
      <c r="G532" s="191">
        <v>1602450.9</v>
      </c>
      <c r="H532" s="109">
        <v>693</v>
      </c>
      <c r="I532" s="109">
        <v>871290</v>
      </c>
      <c r="J532" s="159">
        <f t="shared" si="40"/>
        <v>0.591801878736123</v>
      </c>
      <c r="K532" s="159">
        <f t="shared" si="41"/>
        <v>0.54372336774874042</v>
      </c>
      <c r="L532" s="159">
        <f t="shared" si="42"/>
        <v>0.17754056362083689</v>
      </c>
      <c r="M532" s="159">
        <f t="shared" si="43"/>
        <v>0.38060635742411825</v>
      </c>
      <c r="N532" s="160">
        <f t="shared" si="44"/>
        <v>0.55814692104495511</v>
      </c>
      <c r="O532" s="161"/>
      <c r="P532" s="161"/>
    </row>
    <row r="533" spans="1:16" x14ac:dyDescent="0.2">
      <c r="A533" s="165">
        <v>527</v>
      </c>
      <c r="B533" s="240" t="s">
        <v>83</v>
      </c>
      <c r="C533" s="240" t="s">
        <v>80</v>
      </c>
      <c r="D533" s="219" t="s">
        <v>836</v>
      </c>
      <c r="E533" s="232" t="s">
        <v>837</v>
      </c>
      <c r="F533" s="199">
        <v>2484</v>
      </c>
      <c r="G533" s="191">
        <v>4152225.0750000002</v>
      </c>
      <c r="H533" s="109">
        <v>1933</v>
      </c>
      <c r="I533" s="109">
        <v>3219115</v>
      </c>
      <c r="J533" s="159">
        <f t="shared" si="40"/>
        <v>0.7781803542673108</v>
      </c>
      <c r="K533" s="159">
        <f t="shared" si="41"/>
        <v>0.77527468811405886</v>
      </c>
      <c r="L533" s="159">
        <f t="shared" si="42"/>
        <v>0.23345410628019322</v>
      </c>
      <c r="M533" s="159">
        <f t="shared" si="43"/>
        <v>0.54269228167984118</v>
      </c>
      <c r="N533" s="160">
        <f t="shared" si="44"/>
        <v>0.77614638796003443</v>
      </c>
      <c r="O533" s="161"/>
      <c r="P533" s="161"/>
    </row>
    <row r="534" spans="1:16" x14ac:dyDescent="0.2">
      <c r="A534" s="165">
        <v>528</v>
      </c>
      <c r="B534" s="240" t="s">
        <v>83</v>
      </c>
      <c r="C534" s="240" t="s">
        <v>80</v>
      </c>
      <c r="D534" s="219" t="s">
        <v>835</v>
      </c>
      <c r="E534" s="232" t="s">
        <v>1533</v>
      </c>
      <c r="F534" s="199">
        <v>1994</v>
      </c>
      <c r="G534" s="191">
        <v>3229647.3</v>
      </c>
      <c r="H534" s="109">
        <v>1558</v>
      </c>
      <c r="I534" s="109">
        <v>2172325</v>
      </c>
      <c r="J534" s="159">
        <f t="shared" si="40"/>
        <v>0.78134403209628889</v>
      </c>
      <c r="K534" s="159">
        <f t="shared" si="41"/>
        <v>0.67261988638821335</v>
      </c>
      <c r="L534" s="159">
        <f t="shared" si="42"/>
        <v>0.23440320962888667</v>
      </c>
      <c r="M534" s="159">
        <f t="shared" si="43"/>
        <v>0.47083392047174932</v>
      </c>
      <c r="N534" s="160">
        <f t="shared" si="44"/>
        <v>0.70523713010063593</v>
      </c>
      <c r="P534" s="161"/>
    </row>
    <row r="535" spans="1:16" x14ac:dyDescent="0.2">
      <c r="A535" s="165">
        <v>529</v>
      </c>
      <c r="B535" s="240" t="s">
        <v>83</v>
      </c>
      <c r="C535" s="240" t="s">
        <v>80</v>
      </c>
      <c r="D535" s="219" t="s">
        <v>838</v>
      </c>
      <c r="E535" s="232" t="s">
        <v>839</v>
      </c>
      <c r="F535" s="199">
        <v>2144</v>
      </c>
      <c r="G535" s="191">
        <v>3705563.2749999999</v>
      </c>
      <c r="H535" s="109">
        <v>1818</v>
      </c>
      <c r="I535" s="109">
        <v>2264475</v>
      </c>
      <c r="J535" s="159">
        <f t="shared" si="40"/>
        <v>0.84794776119402981</v>
      </c>
      <c r="K535" s="159">
        <f t="shared" si="41"/>
        <v>0.61110142559905423</v>
      </c>
      <c r="L535" s="159">
        <f t="shared" si="42"/>
        <v>0.25438432835820896</v>
      </c>
      <c r="M535" s="159">
        <f t="shared" si="43"/>
        <v>0.42777099791933793</v>
      </c>
      <c r="N535" s="160">
        <f t="shared" si="44"/>
        <v>0.68215532627754683</v>
      </c>
    </row>
    <row r="536" spans="1:16" x14ac:dyDescent="0.2">
      <c r="A536" s="165">
        <v>530</v>
      </c>
      <c r="B536" s="249" t="s">
        <v>83</v>
      </c>
      <c r="C536" s="249" t="s">
        <v>80</v>
      </c>
      <c r="D536" s="249" t="s">
        <v>840</v>
      </c>
      <c r="E536" s="249" t="s">
        <v>1316</v>
      </c>
      <c r="F536" s="108">
        <v>2568</v>
      </c>
      <c r="G536" s="108">
        <v>4303997.55</v>
      </c>
      <c r="H536" s="109">
        <v>3166</v>
      </c>
      <c r="I536" s="109">
        <v>4974315</v>
      </c>
      <c r="J536" s="159">
        <f t="shared" si="40"/>
        <v>1.2328660436137071</v>
      </c>
      <c r="K536" s="159">
        <f t="shared" si="41"/>
        <v>1.1557429906064887</v>
      </c>
      <c r="L536" s="159">
        <f t="shared" si="42"/>
        <v>0.3</v>
      </c>
      <c r="M536" s="159">
        <f t="shared" si="43"/>
        <v>0.7</v>
      </c>
      <c r="N536" s="160">
        <f t="shared" si="44"/>
        <v>1</v>
      </c>
    </row>
    <row r="537" spans="1:16" x14ac:dyDescent="0.2">
      <c r="A537" s="120"/>
    </row>
    <row r="538" spans="1:16" x14ac:dyDescent="0.2">
      <c r="A538" s="120"/>
    </row>
    <row r="539" spans="1:16" x14ac:dyDescent="0.2">
      <c r="A539" s="120"/>
    </row>
    <row r="540" spans="1:16" x14ac:dyDescent="0.2">
      <c r="A540" s="120"/>
    </row>
    <row r="541" spans="1:16" x14ac:dyDescent="0.2">
      <c r="A541" s="120"/>
    </row>
    <row r="542" spans="1:16" x14ac:dyDescent="0.2">
      <c r="A542" s="120"/>
    </row>
    <row r="543" spans="1:16" x14ac:dyDescent="0.2">
      <c r="A543" s="120"/>
    </row>
    <row r="544" spans="1:16" x14ac:dyDescent="0.2">
      <c r="A544" s="120"/>
    </row>
  </sheetData>
  <mergeCells count="11">
    <mergeCell ref="A4:A6"/>
    <mergeCell ref="B4:B6"/>
    <mergeCell ref="C4:C6"/>
    <mergeCell ref="E4:E6"/>
    <mergeCell ref="D4:D6"/>
    <mergeCell ref="L4:M5"/>
    <mergeCell ref="N4:N6"/>
    <mergeCell ref="F5:G5"/>
    <mergeCell ref="H5:I5"/>
    <mergeCell ref="J5:K5"/>
    <mergeCell ref="F4:K4"/>
  </mergeCells>
  <conditionalFormatting sqref="N7:N536">
    <cfRule type="expression" dxfId="70" priority="437">
      <formula>$N7&lt;10%</formula>
    </cfRule>
  </conditionalFormatting>
  <conditionalFormatting sqref="N7:N536">
    <cfRule type="expression" dxfId="69" priority="436">
      <formula>$N7&gt;79.5%</formula>
    </cfRule>
  </conditionalFormatting>
  <conditionalFormatting sqref="F301:F352">
    <cfRule type="cellIs" dxfId="68" priority="4" operator="lessThan">
      <formula>-1</formula>
    </cfRule>
  </conditionalFormatting>
  <conditionalFormatting sqref="E193:E195">
    <cfRule type="duplicateValues" dxfId="67" priority="50"/>
  </conditionalFormatting>
  <conditionalFormatting sqref="E206:E211">
    <cfRule type="duplicateValues" dxfId="66" priority="47"/>
  </conditionalFormatting>
  <conditionalFormatting sqref="E212">
    <cfRule type="duplicateValues" dxfId="65" priority="44"/>
  </conditionalFormatting>
  <conditionalFormatting sqref="E279:E286">
    <cfRule type="duplicateValues" dxfId="64" priority="40"/>
  </conditionalFormatting>
  <conditionalFormatting sqref="D182:D188">
    <cfRule type="duplicateValues" dxfId="63" priority="474"/>
  </conditionalFormatting>
  <conditionalFormatting sqref="D193:D195">
    <cfRule type="duplicateValues" dxfId="62" priority="475"/>
  </conditionalFormatting>
  <conditionalFormatting sqref="D206:D211">
    <cfRule type="duplicateValues" dxfId="61" priority="477"/>
  </conditionalFormatting>
  <conditionalFormatting sqref="D212">
    <cfRule type="duplicateValues" dxfId="60" priority="479"/>
  </conditionalFormatting>
  <conditionalFormatting sqref="D327:D328">
    <cfRule type="duplicateValues" dxfId="59" priority="482"/>
    <cfRule type="duplicateValues" dxfId="58" priority="483"/>
  </conditionalFormatting>
  <conditionalFormatting sqref="D324:D326">
    <cfRule type="duplicateValues" dxfId="57" priority="484"/>
    <cfRule type="duplicateValues" dxfId="56" priority="485"/>
  </conditionalFormatting>
  <conditionalFormatting sqref="D329:D343">
    <cfRule type="duplicateValues" dxfId="55" priority="486"/>
    <cfRule type="duplicateValues" dxfId="54" priority="487"/>
  </conditionalFormatting>
  <conditionalFormatting sqref="D287:D290">
    <cfRule type="duplicateValues" dxfId="53" priority="488"/>
    <cfRule type="duplicateValues" dxfId="52" priority="489"/>
  </conditionalFormatting>
  <conditionalFormatting sqref="D291:D295">
    <cfRule type="duplicateValues" dxfId="51" priority="490"/>
    <cfRule type="duplicateValues" dxfId="50" priority="491"/>
  </conditionalFormatting>
  <conditionalFormatting sqref="D313:D317">
    <cfRule type="duplicateValues" dxfId="49" priority="492"/>
    <cfRule type="duplicateValues" dxfId="48" priority="493"/>
  </conditionalFormatting>
  <conditionalFormatting sqref="D319:D322">
    <cfRule type="duplicateValues" dxfId="47" priority="494"/>
    <cfRule type="duplicateValues" dxfId="46" priority="495"/>
  </conditionalFormatting>
  <conditionalFormatting sqref="D318">
    <cfRule type="duplicateValues" dxfId="45" priority="496"/>
    <cfRule type="duplicateValues" dxfId="44" priority="497"/>
  </conditionalFormatting>
  <conditionalFormatting sqref="D323">
    <cfRule type="duplicateValues" dxfId="43" priority="498"/>
    <cfRule type="duplicateValues" dxfId="42" priority="499"/>
  </conditionalFormatting>
  <conditionalFormatting sqref="D303:D307">
    <cfRule type="duplicateValues" dxfId="41" priority="500"/>
    <cfRule type="duplicateValues" dxfId="40" priority="501"/>
  </conditionalFormatting>
  <conditionalFormatting sqref="D308:D312">
    <cfRule type="duplicateValues" dxfId="39" priority="502"/>
    <cfRule type="duplicateValues" dxfId="38" priority="503"/>
  </conditionalFormatting>
  <conditionalFormatting sqref="D296:D302">
    <cfRule type="duplicateValues" dxfId="37" priority="504"/>
    <cfRule type="duplicateValues" dxfId="36" priority="505"/>
  </conditionalFormatting>
  <conditionalFormatting sqref="D279:D286">
    <cfRule type="duplicateValues" dxfId="35" priority="506"/>
    <cfRule type="duplicateValues" dxfId="34" priority="507"/>
  </conditionalFormatting>
  <conditionalFormatting sqref="D279:D286">
    <cfRule type="duplicateValues" dxfId="33" priority="508"/>
  </conditionalFormatting>
  <conditionalFormatting sqref="D14:E14 D12:E12 D16:E16">
    <cfRule type="duplicateValues" dxfId="32" priority="512"/>
  </conditionalFormatting>
  <conditionalFormatting sqref="D327:E328">
    <cfRule type="duplicateValues" dxfId="31" priority="515"/>
  </conditionalFormatting>
  <conditionalFormatting sqref="D287:E295">
    <cfRule type="duplicateValues" dxfId="30" priority="516"/>
  </conditionalFormatting>
  <conditionalFormatting sqref="D347:E350">
    <cfRule type="duplicateValues" dxfId="29" priority="517"/>
  </conditionalFormatting>
  <conditionalFormatting sqref="D313:E317">
    <cfRule type="duplicateValues" dxfId="28" priority="518"/>
  </conditionalFormatting>
  <conditionalFormatting sqref="D318:E323">
    <cfRule type="duplicateValues" dxfId="27" priority="519"/>
  </conditionalFormatting>
  <conditionalFormatting sqref="D303:E307">
    <cfRule type="duplicateValues" dxfId="26" priority="520"/>
  </conditionalFormatting>
  <conditionalFormatting sqref="D308:E312">
    <cfRule type="duplicateValues" dxfId="25" priority="521"/>
  </conditionalFormatting>
  <conditionalFormatting sqref="D296:E302">
    <cfRule type="duplicateValues" dxfId="24" priority="522"/>
  </conditionalFormatting>
  <conditionalFormatting sqref="D344:E346 D324:E326 D351:E352">
    <cfRule type="duplicateValues" dxfId="23" priority="523"/>
  </conditionalFormatting>
  <conditionalFormatting sqref="D45:E47 D51:E84">
    <cfRule type="duplicateValues" dxfId="22" priority="526"/>
  </conditionalFormatting>
  <conditionalFormatting sqref="D48:E50">
    <cfRule type="duplicateValues" dxfId="21" priority="528"/>
  </conditionalFormatting>
  <conditionalFormatting sqref="D353:E399 D15:E15 D9:E10 D17:E44 D465:E535">
    <cfRule type="duplicateValues" dxfId="20" priority="529"/>
  </conditionalFormatting>
  <conditionalFormatting sqref="D7:D88">
    <cfRule type="duplicateValues" dxfId="19" priority="1"/>
  </conditionalFormatting>
  <conditionalFormatting sqref="D7:D535">
    <cfRule type="duplicateValues" dxfId="18" priority="534"/>
    <cfRule type="duplicateValues" dxfId="17" priority="535"/>
  </conditionalFormatting>
  <conditionalFormatting sqref="D7:E8 D13:E13 D11:E11 D7:D535">
    <cfRule type="duplicateValues" dxfId="16" priority="538"/>
  </conditionalFormatting>
  <conditionalFormatting sqref="D85:D212">
    <cfRule type="duplicateValues" dxfId="15" priority="543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D128"/>
  <sheetViews>
    <sheetView showGridLines="0" zoomScale="80" zoomScaleNormal="80" workbookViewId="0">
      <pane xSplit="2" ySplit="4" topLeftCell="C83" activePane="bottomRight" state="frozen"/>
      <selection pane="topRight" activeCell="E1" sqref="E1"/>
      <selection pane="bottomLeft" activeCell="A4" sqref="A4"/>
      <selection pane="bottomRight" activeCell="E4" sqref="A4:XFD4"/>
    </sheetView>
  </sheetViews>
  <sheetFormatPr defaultRowHeight="14.25" x14ac:dyDescent="0.2"/>
  <cols>
    <col min="1" max="1" width="7.5703125" style="130" bestFit="1" customWidth="1"/>
    <col min="2" max="2" width="37.85546875" style="91" bestFit="1" customWidth="1"/>
    <col min="3" max="3" width="13.42578125" style="166" bestFit="1" customWidth="1"/>
    <col min="4" max="4" width="13.42578125" style="91" bestFit="1" customWidth="1"/>
    <col min="5" max="5" width="14.85546875" style="91" bestFit="1" customWidth="1"/>
    <col min="6" max="6" width="15" style="91" bestFit="1" customWidth="1"/>
    <col min="7" max="7" width="8.85546875" style="91" bestFit="1" customWidth="1"/>
    <col min="8" max="8" width="8" style="91" bestFit="1" customWidth="1"/>
    <col min="9" max="9" width="14.42578125" style="91" bestFit="1" customWidth="1"/>
    <col min="10" max="10" width="13.85546875" style="91" bestFit="1" customWidth="1"/>
    <col min="11" max="11" width="8.85546875" style="91" bestFit="1" customWidth="1"/>
    <col min="12" max="12" width="8" style="91" bestFit="1" customWidth="1"/>
    <col min="13" max="13" width="15.7109375" style="91" bestFit="1" customWidth="1"/>
    <col min="14" max="14" width="13.85546875" style="91" bestFit="1" customWidth="1"/>
    <col min="15" max="15" width="8.140625" style="91" bestFit="1" customWidth="1"/>
    <col min="16" max="16" width="8" style="91" bestFit="1" customWidth="1"/>
    <col min="17" max="17" width="15.140625" style="91" bestFit="1" customWidth="1"/>
    <col min="18" max="18" width="16" style="91" bestFit="1" customWidth="1"/>
    <col min="19" max="19" width="8.85546875" style="91" bestFit="1" customWidth="1"/>
    <col min="20" max="20" width="8" style="91" customWidth="1"/>
    <col min="21" max="21" width="15.7109375" style="91" bestFit="1" customWidth="1"/>
    <col min="22" max="22" width="16" style="91" bestFit="1" customWidth="1"/>
    <col min="23" max="23" width="8.7109375" style="91" bestFit="1" customWidth="1"/>
    <col min="24" max="24" width="8" style="91" customWidth="1"/>
    <col min="25" max="25" width="13.5703125" style="91" customWidth="1"/>
    <col min="26" max="26" width="13.85546875" style="91" bestFit="1" customWidth="1"/>
    <col min="27" max="27" width="8.85546875" style="91" bestFit="1" customWidth="1"/>
    <col min="28" max="28" width="13.85546875" style="91" bestFit="1" customWidth="1"/>
    <col min="29" max="29" width="10.7109375" style="91" bestFit="1" customWidth="1"/>
    <col min="30" max="30" width="10.140625" style="91" bestFit="1" customWidth="1"/>
    <col min="31" max="16384" width="9.140625" style="91"/>
  </cols>
  <sheetData>
    <row r="1" spans="1:30" x14ac:dyDescent="0.2">
      <c r="B1" s="282" t="s">
        <v>1498</v>
      </c>
    </row>
    <row r="2" spans="1:30" x14ac:dyDescent="0.2">
      <c r="B2" s="282"/>
      <c r="L2" s="167"/>
      <c r="AB2" s="168" t="s">
        <v>1430</v>
      </c>
      <c r="AC2" s="168">
        <f>'Dealer Wise'!Q2</f>
        <v>1</v>
      </c>
    </row>
    <row r="3" spans="1:30" s="98" customFormat="1" x14ac:dyDescent="0.25">
      <c r="A3" s="283" t="s">
        <v>1431</v>
      </c>
      <c r="B3" s="273" t="s">
        <v>150</v>
      </c>
      <c r="C3" s="266" t="s">
        <v>1393</v>
      </c>
      <c r="D3" s="266" t="s">
        <v>1432</v>
      </c>
      <c r="E3" s="281" t="s">
        <v>1433</v>
      </c>
      <c r="F3" s="281"/>
      <c r="G3" s="281"/>
      <c r="H3" s="281"/>
      <c r="I3" s="281" t="s">
        <v>1434</v>
      </c>
      <c r="J3" s="281"/>
      <c r="K3" s="281"/>
      <c r="L3" s="281"/>
      <c r="M3" s="281" t="s">
        <v>1435</v>
      </c>
      <c r="N3" s="281"/>
      <c r="O3" s="281"/>
      <c r="P3" s="281"/>
      <c r="Q3" s="281" t="s">
        <v>1495</v>
      </c>
      <c r="R3" s="281"/>
      <c r="S3" s="281"/>
      <c r="T3" s="281"/>
      <c r="U3" s="281" t="s">
        <v>1496</v>
      </c>
      <c r="V3" s="281"/>
      <c r="W3" s="281"/>
      <c r="X3" s="281"/>
      <c r="Y3" s="266" t="s">
        <v>1436</v>
      </c>
      <c r="Z3" s="273"/>
      <c r="AA3" s="273"/>
      <c r="AB3" s="169"/>
      <c r="AC3" s="268" t="s">
        <v>1437</v>
      </c>
    </row>
    <row r="4" spans="1:30" s="98" customFormat="1" ht="30.75" customHeight="1" x14ac:dyDescent="0.25">
      <c r="A4" s="276"/>
      <c r="B4" s="277"/>
      <c r="C4" s="277"/>
      <c r="D4" s="277"/>
      <c r="E4" s="200" t="s">
        <v>1438</v>
      </c>
      <c r="F4" s="200" t="s">
        <v>155</v>
      </c>
      <c r="G4" s="200" t="s">
        <v>1439</v>
      </c>
      <c r="H4" s="170" t="s">
        <v>1440</v>
      </c>
      <c r="I4" s="200" t="s">
        <v>1438</v>
      </c>
      <c r="J4" s="200" t="s">
        <v>155</v>
      </c>
      <c r="K4" s="200" t="s">
        <v>1439</v>
      </c>
      <c r="L4" s="170" t="s">
        <v>1440</v>
      </c>
      <c r="M4" s="200" t="s">
        <v>1438</v>
      </c>
      <c r="N4" s="200" t="s">
        <v>155</v>
      </c>
      <c r="O4" s="200" t="s">
        <v>1439</v>
      </c>
      <c r="P4" s="170" t="s">
        <v>1440</v>
      </c>
      <c r="Q4" s="200" t="s">
        <v>1438</v>
      </c>
      <c r="R4" s="212" t="s">
        <v>155</v>
      </c>
      <c r="S4" s="200" t="s">
        <v>1439</v>
      </c>
      <c r="T4" s="170" t="s">
        <v>1440</v>
      </c>
      <c r="U4" s="200" t="s">
        <v>1438</v>
      </c>
      <c r="V4" s="200" t="s">
        <v>155</v>
      </c>
      <c r="W4" s="200" t="s">
        <v>1439</v>
      </c>
      <c r="X4" s="170" t="s">
        <v>1440</v>
      </c>
      <c r="Y4" s="171" t="s">
        <v>1441</v>
      </c>
      <c r="Z4" s="171" t="s">
        <v>1442</v>
      </c>
      <c r="AA4" s="200" t="s">
        <v>1443</v>
      </c>
      <c r="AB4" s="172" t="s">
        <v>1444</v>
      </c>
      <c r="AC4" s="270"/>
    </row>
    <row r="5" spans="1:30" x14ac:dyDescent="0.2">
      <c r="A5" s="107">
        <v>1</v>
      </c>
      <c r="B5" s="173" t="s">
        <v>15</v>
      </c>
      <c r="C5" s="111" t="s">
        <v>16</v>
      </c>
      <c r="D5" s="111" t="s">
        <v>1451</v>
      </c>
      <c r="E5" s="204">
        <v>13946603.457500003</v>
      </c>
      <c r="F5" s="204">
        <v>15266102.771499999</v>
      </c>
      <c r="G5" s="205">
        <f t="shared" ref="G5:G69" si="0">IFERROR(F5/E5,0)</f>
        <v>1.0946108002583534</v>
      </c>
      <c r="H5" s="205">
        <f>IF(G5&gt;=89.5%,90%,0%)</f>
        <v>0.9</v>
      </c>
      <c r="I5" s="206">
        <v>13445482.235880954</v>
      </c>
      <c r="J5" s="206">
        <v>12266706.107100004</v>
      </c>
      <c r="K5" s="207">
        <f>IFERROR(J5/I5,0)</f>
        <v>0.91232920410729201</v>
      </c>
      <c r="L5" s="207">
        <f>IF(K5&gt;=89.5%,90%,0%)</f>
        <v>0.9</v>
      </c>
      <c r="M5" s="208">
        <v>12846534.264985716</v>
      </c>
      <c r="N5" s="208">
        <v>5541285.6949000005</v>
      </c>
      <c r="O5" s="209">
        <f>IFERROR(N5/M5,0)</f>
        <v>0.43134479545998872</v>
      </c>
      <c r="P5" s="209">
        <f>IF(O5&gt;=89.5%,90%,0%)</f>
        <v>0</v>
      </c>
      <c r="Q5" s="210">
        <v>10231115.103461908</v>
      </c>
      <c r="R5" s="203">
        <v>11595518.336500002</v>
      </c>
      <c r="S5" s="209">
        <f>IFERROR(R5/Q5,0)</f>
        <v>1.1333582135711111</v>
      </c>
      <c r="T5" s="209">
        <f>IF(S5&gt;=89.5%,90%,0%)</f>
        <v>0.9</v>
      </c>
      <c r="U5" s="213">
        <v>15167336.155942859</v>
      </c>
      <c r="V5" s="213">
        <f>VLOOKUP(B5,'Dealer Wise'!B4:F124,5,0)</f>
        <v>17010990.527199998</v>
      </c>
      <c r="W5" s="214">
        <f>IFERROR(V5/U5,0)</f>
        <v>1.1215542632075679</v>
      </c>
      <c r="X5" s="214">
        <f>IF(W5&gt;=89.5%,90%,0%)</f>
        <v>0.9</v>
      </c>
      <c r="Y5" s="174">
        <f>E5+I5+M5+Q5+U5</f>
        <v>65637071.217771441</v>
      </c>
      <c r="Z5" s="174">
        <f>F5+J5+N5+R5+V5</f>
        <v>61680603.437200002</v>
      </c>
      <c r="AA5" s="159">
        <f t="shared" ref="AA5:AA68" si="1">IFERROR(Z5/Y5,0)</f>
        <v>0.93972205482105342</v>
      </c>
      <c r="AB5" s="175" t="e">
        <f>Y5-M5:N126A5</f>
        <v>#NAME?</v>
      </c>
      <c r="AC5" s="176" t="e">
        <f>AB5/AC$2</f>
        <v>#NAME?</v>
      </c>
      <c r="AD5" s="131"/>
    </row>
    <row r="6" spans="1:30" x14ac:dyDescent="0.2">
      <c r="A6" s="107">
        <v>2</v>
      </c>
      <c r="B6" s="173" t="s">
        <v>25</v>
      </c>
      <c r="C6" s="111" t="s">
        <v>16</v>
      </c>
      <c r="D6" s="111" t="s">
        <v>22</v>
      </c>
      <c r="E6" s="204">
        <v>12566632.595000001</v>
      </c>
      <c r="F6" s="204">
        <v>12798336.324999999</v>
      </c>
      <c r="G6" s="205">
        <f t="shared" si="0"/>
        <v>1.018438012589959</v>
      </c>
      <c r="H6" s="205">
        <f t="shared" ref="H6:H69" si="2">IF(G6&gt;=89.5%,90%,0%)</f>
        <v>0.9</v>
      </c>
      <c r="I6" s="206">
        <v>11946061.381742861</v>
      </c>
      <c r="J6" s="206">
        <v>10892991.908700004</v>
      </c>
      <c r="K6" s="207">
        <f t="shared" ref="K6:K69" si="3">IFERROR(J6/I6,0)</f>
        <v>0.9118479773884085</v>
      </c>
      <c r="L6" s="207">
        <f t="shared" ref="L6:L69" si="4">IF(K6&gt;=89.5%,90%,0%)</f>
        <v>0.9</v>
      </c>
      <c r="M6" s="208">
        <v>12036002.842719048</v>
      </c>
      <c r="N6" s="208">
        <v>3688918.8465999998</v>
      </c>
      <c r="O6" s="209">
        <f t="shared" ref="O6:O69" si="5">IFERROR(N6/M6,0)</f>
        <v>0.30649036019724285</v>
      </c>
      <c r="P6" s="209">
        <f t="shared" ref="P6:P69" si="6">IF(O6&gt;=89.5%,90%,0%)</f>
        <v>0</v>
      </c>
      <c r="Q6" s="210">
        <v>8468919.1476476192</v>
      </c>
      <c r="R6" s="203">
        <v>11694244.424500002</v>
      </c>
      <c r="S6" s="209">
        <f t="shared" ref="S6:S69" si="7">IFERROR(R6/Q6,0)</f>
        <v>1.3808426105648051</v>
      </c>
      <c r="T6" s="209">
        <f t="shared" ref="T6:T69" si="8">IF(S6&gt;=89.5%,90%,0%)</f>
        <v>0.9</v>
      </c>
      <c r="U6" s="213">
        <v>14973802.175938094</v>
      </c>
      <c r="V6" s="213">
        <f>VLOOKUP(B6,'Dealer Wise'!B5:F125,5,0)</f>
        <v>13628906.219799997</v>
      </c>
      <c r="W6" s="214">
        <f t="shared" ref="W6:W69" si="9">IFERROR(V6/U6,0)</f>
        <v>0.9101834029636604</v>
      </c>
      <c r="X6" s="214">
        <f t="shared" ref="X6:X69" si="10">IF(W6&gt;=89.5%,90%,0%)</f>
        <v>0.9</v>
      </c>
      <c r="Y6" s="174">
        <f t="shared" ref="Y6:Y69" si="11">E6+I6+M6+Q6+U6</f>
        <v>59991418.143047623</v>
      </c>
      <c r="Z6" s="174">
        <f t="shared" ref="Z6:Z69" si="12">F6+J6+N6+R6+V6</f>
        <v>52703397.724600002</v>
      </c>
      <c r="AA6" s="159">
        <f t="shared" si="1"/>
        <v>0.87851561699925862</v>
      </c>
      <c r="AB6" s="175">
        <f>Y6-Z6</f>
        <v>7288020.4184476212</v>
      </c>
      <c r="AC6" s="176">
        <f>AB6/AC$2</f>
        <v>7288020.4184476212</v>
      </c>
    </row>
    <row r="7" spans="1:30" x14ac:dyDescent="0.2">
      <c r="A7" s="107">
        <v>3</v>
      </c>
      <c r="B7" s="173" t="s">
        <v>17</v>
      </c>
      <c r="C7" s="111" t="s">
        <v>27</v>
      </c>
      <c r="D7" s="111" t="s">
        <v>29</v>
      </c>
      <c r="E7" s="204">
        <v>13251518.692499999</v>
      </c>
      <c r="F7" s="204">
        <v>13461502.973300004</v>
      </c>
      <c r="G7" s="205">
        <f t="shared" si="0"/>
        <v>1.0158460540012557</v>
      </c>
      <c r="H7" s="205">
        <f t="shared" si="2"/>
        <v>0.9</v>
      </c>
      <c r="I7" s="206">
        <v>13373095.797428574</v>
      </c>
      <c r="J7" s="206">
        <v>10896642.329500005</v>
      </c>
      <c r="K7" s="207">
        <f t="shared" si="3"/>
        <v>0.81481823614807647</v>
      </c>
      <c r="L7" s="207">
        <f t="shared" si="4"/>
        <v>0</v>
      </c>
      <c r="M7" s="208">
        <v>13961721.665980959</v>
      </c>
      <c r="N7" s="208">
        <v>6680595.8022999996</v>
      </c>
      <c r="O7" s="209">
        <f t="shared" si="5"/>
        <v>0.47849369598721453</v>
      </c>
      <c r="P7" s="209">
        <f t="shared" si="6"/>
        <v>0</v>
      </c>
      <c r="Q7" s="210">
        <v>10636826.734223809</v>
      </c>
      <c r="R7" s="203">
        <v>372471.29000000004</v>
      </c>
      <c r="S7" s="209">
        <f t="shared" si="7"/>
        <v>3.5017143675150783E-2</v>
      </c>
      <c r="T7" s="209">
        <f t="shared" si="8"/>
        <v>0</v>
      </c>
      <c r="U7" s="213">
        <v>10971048.008666668</v>
      </c>
      <c r="V7" s="213">
        <f>VLOOKUP(B7,'Dealer Wise'!B6:F126,5,0)</f>
        <v>16853738.904100005</v>
      </c>
      <c r="W7" s="214">
        <f t="shared" si="9"/>
        <v>1.5362013629679003</v>
      </c>
      <c r="X7" s="214">
        <f t="shared" si="10"/>
        <v>0.9</v>
      </c>
      <c r="Y7" s="174">
        <f t="shared" si="11"/>
        <v>62194210.898800001</v>
      </c>
      <c r="Z7" s="174">
        <f t="shared" si="12"/>
        <v>48264951.299200013</v>
      </c>
      <c r="AA7" s="159">
        <f t="shared" si="1"/>
        <v>0.77603607476803371</v>
      </c>
      <c r="AB7" s="175">
        <f t="shared" ref="AB7:AB70" si="13">Y7-Z7</f>
        <v>13929259.599599987</v>
      </c>
      <c r="AC7" s="176">
        <f t="shared" ref="AC7:AC70" si="14">AB7/AC$2</f>
        <v>13929259.599599987</v>
      </c>
    </row>
    <row r="8" spans="1:30" x14ac:dyDescent="0.2">
      <c r="A8" s="107">
        <v>4</v>
      </c>
      <c r="B8" s="173" t="s">
        <v>19</v>
      </c>
      <c r="C8" s="111" t="s">
        <v>16</v>
      </c>
      <c r="D8" s="111" t="s">
        <v>1452</v>
      </c>
      <c r="E8" s="204">
        <v>24518113.522500008</v>
      </c>
      <c r="F8" s="204">
        <v>24552382.902300008</v>
      </c>
      <c r="G8" s="205">
        <f t="shared" si="0"/>
        <v>1.0013977168255033</v>
      </c>
      <c r="H8" s="205">
        <f t="shared" si="2"/>
        <v>0.9</v>
      </c>
      <c r="I8" s="206">
        <v>25762885.098033324</v>
      </c>
      <c r="J8" s="206">
        <v>25768229.766000003</v>
      </c>
      <c r="K8" s="207">
        <f t="shared" si="3"/>
        <v>1.000207456111625</v>
      </c>
      <c r="L8" s="207">
        <f t="shared" si="4"/>
        <v>0.9</v>
      </c>
      <c r="M8" s="208">
        <v>27386124.133747615</v>
      </c>
      <c r="N8" s="208">
        <v>4459056.4460000005</v>
      </c>
      <c r="O8" s="209">
        <f t="shared" si="5"/>
        <v>0.16282174228901397</v>
      </c>
      <c r="P8" s="209">
        <f t="shared" si="6"/>
        <v>0</v>
      </c>
      <c r="Q8" s="210">
        <v>15571528.336495241</v>
      </c>
      <c r="R8" s="203">
        <v>23363649.201699995</v>
      </c>
      <c r="S8" s="209">
        <f t="shared" si="7"/>
        <v>1.5004082256294802</v>
      </c>
      <c r="T8" s="209">
        <f t="shared" si="8"/>
        <v>0.9</v>
      </c>
      <c r="U8" s="213">
        <v>31611265.778271433</v>
      </c>
      <c r="V8" s="213">
        <f>VLOOKUP(B8,'Dealer Wise'!B7:F127,5,0)</f>
        <v>21125123.643400002</v>
      </c>
      <c r="W8" s="214">
        <f t="shared" si="9"/>
        <v>0.66827832177225666</v>
      </c>
      <c r="X8" s="214">
        <f t="shared" si="10"/>
        <v>0</v>
      </c>
      <c r="Y8" s="174">
        <f t="shared" si="11"/>
        <v>124849916.86904763</v>
      </c>
      <c r="Z8" s="174">
        <f t="shared" si="12"/>
        <v>99268441.959400013</v>
      </c>
      <c r="AA8" s="159">
        <f t="shared" si="1"/>
        <v>0.79510218708051306</v>
      </c>
      <c r="AB8" s="175">
        <f t="shared" si="13"/>
        <v>25581474.909647614</v>
      </c>
      <c r="AC8" s="176">
        <f t="shared" si="14"/>
        <v>25581474.909647614</v>
      </c>
    </row>
    <row r="9" spans="1:30" x14ac:dyDescent="0.2">
      <c r="A9" s="107">
        <v>5</v>
      </c>
      <c r="B9" s="173" t="s">
        <v>23</v>
      </c>
      <c r="C9" s="111" t="s">
        <v>16</v>
      </c>
      <c r="D9" s="111" t="s">
        <v>1451</v>
      </c>
      <c r="E9" s="204">
        <v>14165696.534999998</v>
      </c>
      <c r="F9" s="204">
        <v>14204736.4914</v>
      </c>
      <c r="G9" s="205">
        <f t="shared" si="0"/>
        <v>1.0027559503553916</v>
      </c>
      <c r="H9" s="205">
        <f t="shared" si="2"/>
        <v>0.9</v>
      </c>
      <c r="I9" s="206">
        <v>15542887.802180951</v>
      </c>
      <c r="J9" s="206">
        <v>12513226.297899995</v>
      </c>
      <c r="K9" s="207">
        <f t="shared" si="3"/>
        <v>0.80507730977406655</v>
      </c>
      <c r="L9" s="207">
        <f t="shared" si="4"/>
        <v>0</v>
      </c>
      <c r="M9" s="208">
        <v>15879125.506666668</v>
      </c>
      <c r="N9" s="208">
        <v>6961879.8273</v>
      </c>
      <c r="O9" s="209">
        <f t="shared" si="5"/>
        <v>0.43842967450424991</v>
      </c>
      <c r="P9" s="209">
        <f t="shared" si="6"/>
        <v>0</v>
      </c>
      <c r="Q9" s="210">
        <v>12896058.288380956</v>
      </c>
      <c r="R9" s="203">
        <v>12473873.189099995</v>
      </c>
      <c r="S9" s="209">
        <f t="shared" si="7"/>
        <v>0.96726246967561091</v>
      </c>
      <c r="T9" s="209">
        <f t="shared" si="8"/>
        <v>0.9</v>
      </c>
      <c r="U9" s="213">
        <v>15628878.02405238</v>
      </c>
      <c r="V9" s="213">
        <f>VLOOKUP(B9,'Dealer Wise'!B8:F128,5,0)</f>
        <v>18134039.830200002</v>
      </c>
      <c r="W9" s="214">
        <f t="shared" si="9"/>
        <v>1.1602905725089321</v>
      </c>
      <c r="X9" s="214">
        <f t="shared" si="10"/>
        <v>0.9</v>
      </c>
      <c r="Y9" s="174">
        <f t="shared" si="11"/>
        <v>74112646.15628095</v>
      </c>
      <c r="Z9" s="174">
        <f t="shared" si="12"/>
        <v>64287755.635899991</v>
      </c>
      <c r="AA9" s="159">
        <f t="shared" si="1"/>
        <v>0.86743300867083784</v>
      </c>
      <c r="AB9" s="175">
        <f t="shared" si="13"/>
        <v>9824890.5203809589</v>
      </c>
      <c r="AC9" s="176">
        <f t="shared" si="14"/>
        <v>9824890.5203809589</v>
      </c>
    </row>
    <row r="10" spans="1:30" x14ac:dyDescent="0.2">
      <c r="A10" s="107">
        <v>6</v>
      </c>
      <c r="B10" s="173" t="s">
        <v>20</v>
      </c>
      <c r="C10" s="111" t="s">
        <v>16</v>
      </c>
      <c r="D10" s="111" t="s">
        <v>1450</v>
      </c>
      <c r="E10" s="204">
        <v>24534221.565000005</v>
      </c>
      <c r="F10" s="204">
        <v>22435447.986800004</v>
      </c>
      <c r="G10" s="205">
        <f t="shared" si="0"/>
        <v>0.91445526108747355</v>
      </c>
      <c r="H10" s="205">
        <f t="shared" si="2"/>
        <v>0.9</v>
      </c>
      <c r="I10" s="206">
        <v>25134353.601466656</v>
      </c>
      <c r="J10" s="206">
        <v>23636530.581900008</v>
      </c>
      <c r="K10" s="207">
        <f t="shared" si="3"/>
        <v>0.94040733876365745</v>
      </c>
      <c r="L10" s="207">
        <f t="shared" si="4"/>
        <v>0.9</v>
      </c>
      <c r="M10" s="208">
        <v>26110039.760385722</v>
      </c>
      <c r="N10" s="208">
        <v>11851680.910999997</v>
      </c>
      <c r="O10" s="209">
        <f t="shared" si="5"/>
        <v>0.45391278679634278</v>
      </c>
      <c r="P10" s="209">
        <f t="shared" si="6"/>
        <v>0</v>
      </c>
      <c r="Q10" s="210">
        <v>17361287.506509528</v>
      </c>
      <c r="R10" s="203">
        <v>16442527.669000002</v>
      </c>
      <c r="S10" s="209">
        <f t="shared" si="7"/>
        <v>0.94707997104678776</v>
      </c>
      <c r="T10" s="209">
        <f t="shared" si="8"/>
        <v>0.9</v>
      </c>
      <c r="U10" s="213">
        <v>27982608.102290478</v>
      </c>
      <c r="V10" s="213">
        <f>VLOOKUP(B10,'Dealer Wise'!B9:F129,5,0)</f>
        <v>30642958.398900002</v>
      </c>
      <c r="W10" s="214">
        <f t="shared" si="9"/>
        <v>1.0950715632683203</v>
      </c>
      <c r="X10" s="214">
        <f t="shared" si="10"/>
        <v>0.9</v>
      </c>
      <c r="Y10" s="174">
        <f t="shared" si="11"/>
        <v>121122510.53565238</v>
      </c>
      <c r="Z10" s="174">
        <f t="shared" si="12"/>
        <v>105009145.54760002</v>
      </c>
      <c r="AA10" s="159">
        <f t="shared" si="1"/>
        <v>0.86696638868536824</v>
      </c>
      <c r="AB10" s="175">
        <f t="shared" si="13"/>
        <v>16113364.988052368</v>
      </c>
      <c r="AC10" s="176">
        <f t="shared" si="14"/>
        <v>16113364.988052368</v>
      </c>
    </row>
    <row r="11" spans="1:30" x14ac:dyDescent="0.2">
      <c r="A11" s="107">
        <v>7</v>
      </c>
      <c r="B11" s="173" t="s">
        <v>18</v>
      </c>
      <c r="C11" s="111" t="s">
        <v>16</v>
      </c>
      <c r="D11" s="111" t="s">
        <v>1450</v>
      </c>
      <c r="E11" s="204">
        <v>6896011.5424999995</v>
      </c>
      <c r="F11" s="204">
        <v>6949645.5500999978</v>
      </c>
      <c r="G11" s="205">
        <f t="shared" si="0"/>
        <v>1.0077775402882452</v>
      </c>
      <c r="H11" s="205">
        <f t="shared" si="2"/>
        <v>0.9</v>
      </c>
      <c r="I11" s="206">
        <v>6572328.0519619044</v>
      </c>
      <c r="J11" s="206">
        <v>6621142.5077000009</v>
      </c>
      <c r="K11" s="207">
        <f t="shared" si="3"/>
        <v>1.007427270116793</v>
      </c>
      <c r="L11" s="207">
        <f t="shared" si="4"/>
        <v>0.9</v>
      </c>
      <c r="M11" s="208">
        <v>6965120.3319142861</v>
      </c>
      <c r="N11" s="208">
        <v>4072595.1901000002</v>
      </c>
      <c r="O11" s="209">
        <f t="shared" si="5"/>
        <v>0.58471282562618598</v>
      </c>
      <c r="P11" s="209">
        <f t="shared" si="6"/>
        <v>0</v>
      </c>
      <c r="Q11" s="210">
        <v>6322222.2637238074</v>
      </c>
      <c r="R11" s="203">
        <v>1888384.2130999998</v>
      </c>
      <c r="S11" s="209">
        <f t="shared" si="7"/>
        <v>0.29868994387232062</v>
      </c>
      <c r="T11" s="209">
        <f t="shared" si="8"/>
        <v>0</v>
      </c>
      <c r="U11" s="213">
        <v>8265601.4537095251</v>
      </c>
      <c r="V11" s="213">
        <f>VLOOKUP(B11,'Dealer Wise'!B10:F130,5,0)</f>
        <v>8466022.9173000008</v>
      </c>
      <c r="W11" s="214">
        <f t="shared" si="9"/>
        <v>1.0242476563517986</v>
      </c>
      <c r="X11" s="214">
        <f t="shared" si="10"/>
        <v>0.9</v>
      </c>
      <c r="Y11" s="174">
        <f t="shared" si="11"/>
        <v>35021283.643809527</v>
      </c>
      <c r="Z11" s="174">
        <f t="shared" si="12"/>
        <v>27997790.3783</v>
      </c>
      <c r="AA11" s="159">
        <f t="shared" si="1"/>
        <v>0.79945071868457851</v>
      </c>
      <c r="AB11" s="175">
        <f t="shared" si="13"/>
        <v>7023493.2655095272</v>
      </c>
      <c r="AC11" s="176">
        <f t="shared" si="14"/>
        <v>7023493.2655095272</v>
      </c>
    </row>
    <row r="12" spans="1:30" x14ac:dyDescent="0.2">
      <c r="A12" s="107">
        <v>8</v>
      </c>
      <c r="B12" s="173" t="s">
        <v>24</v>
      </c>
      <c r="C12" s="111" t="s">
        <v>16</v>
      </c>
      <c r="D12" s="111" t="s">
        <v>22</v>
      </c>
      <c r="E12" s="204">
        <v>7016253.3049999997</v>
      </c>
      <c r="F12" s="204">
        <v>7023259.3658999978</v>
      </c>
      <c r="G12" s="205">
        <f t="shared" si="0"/>
        <v>1.0009985473151326</v>
      </c>
      <c r="H12" s="205">
        <f t="shared" si="2"/>
        <v>0.9</v>
      </c>
      <c r="I12" s="206">
        <v>6965260.1548714293</v>
      </c>
      <c r="J12" s="206">
        <v>6694113.1144000012</v>
      </c>
      <c r="K12" s="207">
        <f t="shared" si="3"/>
        <v>0.96107151284481585</v>
      </c>
      <c r="L12" s="207">
        <f t="shared" si="4"/>
        <v>0.9</v>
      </c>
      <c r="M12" s="208">
        <v>6912801.5808809502</v>
      </c>
      <c r="N12" s="208">
        <v>4148108.8009999995</v>
      </c>
      <c r="O12" s="209">
        <f t="shared" si="5"/>
        <v>0.60006189277479227</v>
      </c>
      <c r="P12" s="209">
        <f t="shared" si="6"/>
        <v>0</v>
      </c>
      <c r="Q12" s="210">
        <v>6033147.297857143</v>
      </c>
      <c r="R12" s="203">
        <v>6787207.0346999997</v>
      </c>
      <c r="S12" s="209">
        <f t="shared" si="7"/>
        <v>1.1249861307232933</v>
      </c>
      <c r="T12" s="209">
        <f t="shared" si="8"/>
        <v>0.9</v>
      </c>
      <c r="U12" s="213">
        <v>8672771.7852666676</v>
      </c>
      <c r="V12" s="213">
        <f>VLOOKUP(B12,'Dealer Wise'!B11:F131,5,0)</f>
        <v>9250627.3529000003</v>
      </c>
      <c r="W12" s="214">
        <f t="shared" si="9"/>
        <v>1.0666287067088511</v>
      </c>
      <c r="X12" s="214">
        <f t="shared" si="10"/>
        <v>0.9</v>
      </c>
      <c r="Y12" s="174">
        <f t="shared" si="11"/>
        <v>35600234.123876192</v>
      </c>
      <c r="Z12" s="174">
        <f t="shared" si="12"/>
        <v>33903315.668899998</v>
      </c>
      <c r="AA12" s="159">
        <f t="shared" si="1"/>
        <v>0.95233406474037452</v>
      </c>
      <c r="AB12" s="175">
        <f t="shared" si="13"/>
        <v>1696918.4549761936</v>
      </c>
      <c r="AC12" s="176">
        <f t="shared" si="14"/>
        <v>1696918.4549761936</v>
      </c>
    </row>
    <row r="13" spans="1:30" x14ac:dyDescent="0.2">
      <c r="A13" s="107">
        <v>9</v>
      </c>
      <c r="B13" s="173" t="s">
        <v>21</v>
      </c>
      <c r="C13" s="111" t="s">
        <v>16</v>
      </c>
      <c r="D13" s="111" t="s">
        <v>22</v>
      </c>
      <c r="E13" s="204">
        <v>15861346.319999998</v>
      </c>
      <c r="F13" s="204">
        <v>14438925.4573</v>
      </c>
      <c r="G13" s="205">
        <f t="shared" si="0"/>
        <v>0.9103215556862011</v>
      </c>
      <c r="H13" s="205">
        <f t="shared" si="2"/>
        <v>0.9</v>
      </c>
      <c r="I13" s="206">
        <v>15806536.603338094</v>
      </c>
      <c r="J13" s="206">
        <v>15830032.048000002</v>
      </c>
      <c r="K13" s="207">
        <f t="shared" si="3"/>
        <v>1.0014864385065192</v>
      </c>
      <c r="L13" s="207">
        <f t="shared" si="4"/>
        <v>0.9</v>
      </c>
      <c r="M13" s="208">
        <v>15402436.487847619</v>
      </c>
      <c r="N13" s="208">
        <v>9320422.6180000007</v>
      </c>
      <c r="O13" s="209">
        <f t="shared" si="5"/>
        <v>0.60512650874124552</v>
      </c>
      <c r="P13" s="209">
        <f t="shared" si="6"/>
        <v>0</v>
      </c>
      <c r="Q13" s="210">
        <v>19424581.174823809</v>
      </c>
      <c r="R13" s="203">
        <v>16282265.122299999</v>
      </c>
      <c r="S13" s="209">
        <f t="shared" si="7"/>
        <v>0.83822991990187334</v>
      </c>
      <c r="T13" s="209">
        <f t="shared" si="8"/>
        <v>0</v>
      </c>
      <c r="U13" s="213">
        <v>19367585.031671423</v>
      </c>
      <c r="V13" s="213">
        <f>VLOOKUP(B13,'Dealer Wise'!B12:F132,5,0)</f>
        <v>21975071.040600009</v>
      </c>
      <c r="W13" s="214">
        <f t="shared" si="9"/>
        <v>1.1346314475792731</v>
      </c>
      <c r="X13" s="214">
        <f t="shared" si="10"/>
        <v>0.9</v>
      </c>
      <c r="Y13" s="174">
        <f t="shared" si="11"/>
        <v>85862485.617680937</v>
      </c>
      <c r="Z13" s="174">
        <f t="shared" si="12"/>
        <v>77846716.286200017</v>
      </c>
      <c r="AA13" s="159">
        <f t="shared" si="1"/>
        <v>0.90664410337277379</v>
      </c>
      <c r="AB13" s="175">
        <f t="shared" si="13"/>
        <v>8015769.3314809203</v>
      </c>
      <c r="AC13" s="176">
        <f t="shared" si="14"/>
        <v>8015769.3314809203</v>
      </c>
    </row>
    <row r="14" spans="1:30" x14ac:dyDescent="0.2">
      <c r="A14" s="107">
        <v>10</v>
      </c>
      <c r="B14" s="173" t="s">
        <v>26</v>
      </c>
      <c r="C14" s="111" t="s">
        <v>27</v>
      </c>
      <c r="D14" s="111" t="s">
        <v>37</v>
      </c>
      <c r="E14" s="204">
        <v>13685259.6625</v>
      </c>
      <c r="F14" s="204">
        <v>12513321.811000003</v>
      </c>
      <c r="G14" s="205">
        <f t="shared" si="0"/>
        <v>0.91436495321230105</v>
      </c>
      <c r="H14" s="205">
        <f t="shared" si="2"/>
        <v>0.9</v>
      </c>
      <c r="I14" s="206">
        <v>14002214.806633331</v>
      </c>
      <c r="J14" s="206">
        <v>9679959.8078000005</v>
      </c>
      <c r="K14" s="207">
        <f t="shared" si="3"/>
        <v>0.69131633398555425</v>
      </c>
      <c r="L14" s="207">
        <f t="shared" si="4"/>
        <v>0</v>
      </c>
      <c r="M14" s="208">
        <v>13703135.446933338</v>
      </c>
      <c r="N14" s="208">
        <v>5783499.4664000021</v>
      </c>
      <c r="O14" s="209">
        <f t="shared" si="5"/>
        <v>0.42205665183688357</v>
      </c>
      <c r="P14" s="209">
        <f t="shared" si="6"/>
        <v>0</v>
      </c>
      <c r="Q14" s="210">
        <v>9066793.2123619057</v>
      </c>
      <c r="R14" s="203">
        <v>4263316.7291000001</v>
      </c>
      <c r="S14" s="209">
        <f t="shared" si="7"/>
        <v>0.47021219401886011</v>
      </c>
      <c r="T14" s="209">
        <f t="shared" si="8"/>
        <v>0</v>
      </c>
      <c r="U14" s="213">
        <v>16047731.449571427</v>
      </c>
      <c r="V14" s="213">
        <f>VLOOKUP(B14,'Dealer Wise'!B13:F133,5,0)</f>
        <v>20714176.707599998</v>
      </c>
      <c r="W14" s="214">
        <f t="shared" si="9"/>
        <v>1.2907853532253117</v>
      </c>
      <c r="X14" s="214">
        <f t="shared" si="10"/>
        <v>0.9</v>
      </c>
      <c r="Y14" s="174">
        <f t="shared" si="11"/>
        <v>66505134.578000009</v>
      </c>
      <c r="Z14" s="174">
        <f t="shared" si="12"/>
        <v>52954274.521899998</v>
      </c>
      <c r="AA14" s="159">
        <f t="shared" si="1"/>
        <v>0.79624340072258637</v>
      </c>
      <c r="AB14" s="175">
        <f t="shared" si="13"/>
        <v>13550860.056100011</v>
      </c>
      <c r="AC14" s="176">
        <f t="shared" si="14"/>
        <v>13550860.056100011</v>
      </c>
    </row>
    <row r="15" spans="1:30" x14ac:dyDescent="0.2">
      <c r="A15" s="107">
        <v>11</v>
      </c>
      <c r="B15" s="173" t="s">
        <v>41</v>
      </c>
      <c r="C15" s="111" t="s">
        <v>27</v>
      </c>
      <c r="D15" s="111" t="s">
        <v>1455</v>
      </c>
      <c r="E15" s="204">
        <v>8701407.0325000025</v>
      </c>
      <c r="F15" s="204">
        <v>7929466.0653999951</v>
      </c>
      <c r="G15" s="205">
        <f t="shared" si="0"/>
        <v>0.91128550081420323</v>
      </c>
      <c r="H15" s="205">
        <f t="shared" si="2"/>
        <v>0.9</v>
      </c>
      <c r="I15" s="206">
        <v>9077948.8671238124</v>
      </c>
      <c r="J15" s="206">
        <v>4184153.6615999993</v>
      </c>
      <c r="K15" s="207">
        <f t="shared" si="3"/>
        <v>0.46091399311061271</v>
      </c>
      <c r="L15" s="207">
        <f t="shared" si="4"/>
        <v>0</v>
      </c>
      <c r="M15" s="208">
        <v>7753631.1445523817</v>
      </c>
      <c r="N15" s="208">
        <v>5840770.4384000022</v>
      </c>
      <c r="O15" s="209">
        <f t="shared" si="5"/>
        <v>0.75329485366397197</v>
      </c>
      <c r="P15" s="209">
        <f t="shared" si="6"/>
        <v>0</v>
      </c>
      <c r="Q15" s="210">
        <v>6403039.1590238074</v>
      </c>
      <c r="R15" s="203">
        <v>5549698.2403999986</v>
      </c>
      <c r="S15" s="209">
        <f t="shared" si="7"/>
        <v>0.86672876778815344</v>
      </c>
      <c r="T15" s="209">
        <f t="shared" si="8"/>
        <v>0</v>
      </c>
      <c r="U15" s="213">
        <v>7324268.2187761916</v>
      </c>
      <c r="V15" s="213">
        <f>VLOOKUP(B15,'Dealer Wise'!B14:F134,5,0)</f>
        <v>9421253.6405000035</v>
      </c>
      <c r="W15" s="214">
        <f t="shared" si="9"/>
        <v>1.2863064758262219</v>
      </c>
      <c r="X15" s="214">
        <f t="shared" si="10"/>
        <v>0.9</v>
      </c>
      <c r="Y15" s="174">
        <f t="shared" si="11"/>
        <v>39260294.421976194</v>
      </c>
      <c r="Z15" s="174">
        <f t="shared" si="12"/>
        <v>32925342.046300001</v>
      </c>
      <c r="AA15" s="159">
        <f t="shared" si="1"/>
        <v>0.83864226010159104</v>
      </c>
      <c r="AB15" s="175">
        <f t="shared" si="13"/>
        <v>6334952.3756761923</v>
      </c>
      <c r="AC15" s="176">
        <f t="shared" si="14"/>
        <v>6334952.3756761923</v>
      </c>
    </row>
    <row r="16" spans="1:30" x14ac:dyDescent="0.2">
      <c r="A16" s="107">
        <v>12</v>
      </c>
      <c r="B16" s="173" t="s">
        <v>39</v>
      </c>
      <c r="C16" s="111" t="s">
        <v>27</v>
      </c>
      <c r="D16" s="111" t="s">
        <v>1454</v>
      </c>
      <c r="E16" s="204">
        <v>5476783.3249999993</v>
      </c>
      <c r="F16" s="204">
        <v>4446004.0591000002</v>
      </c>
      <c r="G16" s="205">
        <f t="shared" si="0"/>
        <v>0.81179111811950322</v>
      </c>
      <c r="H16" s="205">
        <f t="shared" si="2"/>
        <v>0</v>
      </c>
      <c r="I16" s="206">
        <v>6469583.7127095237</v>
      </c>
      <c r="J16" s="206">
        <v>3993599.6734999996</v>
      </c>
      <c r="K16" s="207">
        <f t="shared" si="3"/>
        <v>0.61728850739724672</v>
      </c>
      <c r="L16" s="207">
        <f t="shared" si="4"/>
        <v>0</v>
      </c>
      <c r="M16" s="208">
        <v>4363777.8466142854</v>
      </c>
      <c r="N16" s="208">
        <v>1776728.7038</v>
      </c>
      <c r="O16" s="209">
        <f t="shared" si="5"/>
        <v>0.40715379339910868</v>
      </c>
      <c r="P16" s="209">
        <f t="shared" si="6"/>
        <v>0</v>
      </c>
      <c r="Q16" s="210">
        <v>4000974.1472666673</v>
      </c>
      <c r="R16" s="203">
        <v>4316090.5100000007</v>
      </c>
      <c r="S16" s="209">
        <f t="shared" si="7"/>
        <v>1.0787599097456329</v>
      </c>
      <c r="T16" s="209">
        <f t="shared" si="8"/>
        <v>0.9</v>
      </c>
      <c r="U16" s="213">
        <v>6358681.1997190481</v>
      </c>
      <c r="V16" s="213">
        <f>VLOOKUP(B16,'Dealer Wise'!B15:F135,5,0)</f>
        <v>8976005.147300005</v>
      </c>
      <c r="W16" s="214">
        <f t="shared" si="9"/>
        <v>1.4116142743084212</v>
      </c>
      <c r="X16" s="214">
        <f t="shared" si="10"/>
        <v>0.9</v>
      </c>
      <c r="Y16" s="174">
        <f t="shared" si="11"/>
        <v>26669800.231309526</v>
      </c>
      <c r="Z16" s="174">
        <f t="shared" si="12"/>
        <v>23508428.093700007</v>
      </c>
      <c r="AA16" s="159">
        <f t="shared" si="1"/>
        <v>0.88146247402715205</v>
      </c>
      <c r="AB16" s="175">
        <f t="shared" si="13"/>
        <v>3161372.1376095191</v>
      </c>
      <c r="AC16" s="176">
        <f t="shared" si="14"/>
        <v>3161372.1376095191</v>
      </c>
    </row>
    <row r="17" spans="1:29" x14ac:dyDescent="0.2">
      <c r="A17" s="107">
        <v>13</v>
      </c>
      <c r="B17" s="173" t="s">
        <v>28</v>
      </c>
      <c r="C17" s="111" t="s">
        <v>27</v>
      </c>
      <c r="D17" s="111" t="s">
        <v>29</v>
      </c>
      <c r="E17" s="204">
        <v>8730470.0625000019</v>
      </c>
      <c r="F17" s="204">
        <v>2747935.2234999998</v>
      </c>
      <c r="G17" s="205">
        <f t="shared" si="0"/>
        <v>0.31475226463500622</v>
      </c>
      <c r="H17" s="205">
        <f t="shared" si="2"/>
        <v>0</v>
      </c>
      <c r="I17" s="206">
        <v>6700617.7662142869</v>
      </c>
      <c r="J17" s="206">
        <v>3534105.8090999997</v>
      </c>
      <c r="K17" s="207">
        <f t="shared" si="3"/>
        <v>0.5274298478745636</v>
      </c>
      <c r="L17" s="207">
        <f t="shared" si="4"/>
        <v>0</v>
      </c>
      <c r="M17" s="208">
        <v>4955036.6505809529</v>
      </c>
      <c r="N17" s="208">
        <v>1718410.4676999999</v>
      </c>
      <c r="O17" s="209">
        <f t="shared" si="5"/>
        <v>0.34680075827461843</v>
      </c>
      <c r="P17" s="209">
        <f t="shared" si="6"/>
        <v>0</v>
      </c>
      <c r="Q17" s="210">
        <v>2839901.8996809525</v>
      </c>
      <c r="R17" s="203">
        <v>3370138.6285999999</v>
      </c>
      <c r="S17" s="209">
        <f t="shared" si="7"/>
        <v>1.1867095229516966</v>
      </c>
      <c r="T17" s="209">
        <f t="shared" si="8"/>
        <v>0.9</v>
      </c>
      <c r="U17" s="213">
        <v>6925170.0187761914</v>
      </c>
      <c r="V17" s="213">
        <f>VLOOKUP(B17,'Dealer Wise'!B16:F136,5,0)</f>
        <v>2134036.0391000002</v>
      </c>
      <c r="W17" s="214">
        <f t="shared" si="9"/>
        <v>0.30815648327968775</v>
      </c>
      <c r="X17" s="214">
        <f t="shared" si="10"/>
        <v>0</v>
      </c>
      <c r="Y17" s="174">
        <f t="shared" si="11"/>
        <v>30151196.397752389</v>
      </c>
      <c r="Z17" s="174">
        <f t="shared" si="12"/>
        <v>13504626.168</v>
      </c>
      <c r="AA17" s="159">
        <f t="shared" si="1"/>
        <v>0.44789685921075745</v>
      </c>
      <c r="AB17" s="175">
        <f t="shared" si="13"/>
        <v>16646570.22975239</v>
      </c>
      <c r="AC17" s="176">
        <f t="shared" si="14"/>
        <v>16646570.22975239</v>
      </c>
    </row>
    <row r="18" spans="1:29" x14ac:dyDescent="0.2">
      <c r="A18" s="107">
        <v>14</v>
      </c>
      <c r="B18" s="173" t="s">
        <v>33</v>
      </c>
      <c r="C18" s="111" t="s">
        <v>27</v>
      </c>
      <c r="D18" s="111" t="s">
        <v>1453</v>
      </c>
      <c r="E18" s="204">
        <v>3301990.7650000001</v>
      </c>
      <c r="F18" s="204">
        <v>2660140.0401999997</v>
      </c>
      <c r="G18" s="205">
        <f t="shared" si="0"/>
        <v>0.80561704423785674</v>
      </c>
      <c r="H18" s="205">
        <f t="shared" si="2"/>
        <v>0</v>
      </c>
      <c r="I18" s="206">
        <v>3878217.8033619053</v>
      </c>
      <c r="J18" s="206">
        <v>2238861.8296999997</v>
      </c>
      <c r="K18" s="207">
        <f t="shared" si="3"/>
        <v>0.57729141147235219</v>
      </c>
      <c r="L18" s="207">
        <f t="shared" si="4"/>
        <v>0</v>
      </c>
      <c r="M18" s="208">
        <v>2832858.3474238096</v>
      </c>
      <c r="N18" s="208">
        <v>2080017.1128000005</v>
      </c>
      <c r="O18" s="209">
        <f t="shared" si="5"/>
        <v>0.73424677753180279</v>
      </c>
      <c r="P18" s="209">
        <f t="shared" si="6"/>
        <v>0</v>
      </c>
      <c r="Q18" s="210">
        <v>2094480.9135238095</v>
      </c>
      <c r="R18" s="203">
        <v>4023990.8070000005</v>
      </c>
      <c r="S18" s="209">
        <f t="shared" si="7"/>
        <v>1.9212353672060603</v>
      </c>
      <c r="T18" s="209">
        <f t="shared" si="8"/>
        <v>0.9</v>
      </c>
      <c r="U18" s="213">
        <v>3648316.2661476182</v>
      </c>
      <c r="V18" s="213">
        <f>VLOOKUP(B18,'Dealer Wise'!B17:F137,5,0)</f>
        <v>5834170.7824000027</v>
      </c>
      <c r="W18" s="214">
        <f t="shared" si="9"/>
        <v>1.5991406327720878</v>
      </c>
      <c r="X18" s="214">
        <f t="shared" si="10"/>
        <v>0.9</v>
      </c>
      <c r="Y18" s="174">
        <f t="shared" si="11"/>
        <v>15755864.095457144</v>
      </c>
      <c r="Z18" s="174">
        <f t="shared" si="12"/>
        <v>16837180.572100002</v>
      </c>
      <c r="AA18" s="159">
        <f t="shared" si="1"/>
        <v>1.0686294620270704</v>
      </c>
      <c r="AB18" s="175">
        <f t="shared" si="13"/>
        <v>-1081316.4766428582</v>
      </c>
      <c r="AC18" s="176">
        <f t="shared" si="14"/>
        <v>-1081316.4766428582</v>
      </c>
    </row>
    <row r="19" spans="1:29" x14ac:dyDescent="0.2">
      <c r="A19" s="107">
        <v>15</v>
      </c>
      <c r="B19" s="173" t="s">
        <v>35</v>
      </c>
      <c r="C19" s="111" t="s">
        <v>27</v>
      </c>
      <c r="D19" s="111" t="s">
        <v>1453</v>
      </c>
      <c r="E19" s="204">
        <v>8706647.3650000002</v>
      </c>
      <c r="F19" s="204">
        <v>6975957.4188999981</v>
      </c>
      <c r="G19" s="205">
        <f t="shared" si="0"/>
        <v>0.80122200043874159</v>
      </c>
      <c r="H19" s="205">
        <f t="shared" si="2"/>
        <v>0</v>
      </c>
      <c r="I19" s="206">
        <v>8458142.5605571419</v>
      </c>
      <c r="J19" s="206">
        <v>3600041.8204999994</v>
      </c>
      <c r="K19" s="207">
        <f t="shared" si="3"/>
        <v>0.42563030768576487</v>
      </c>
      <c r="L19" s="207">
        <f t="shared" si="4"/>
        <v>0</v>
      </c>
      <c r="M19" s="208">
        <v>7753631.1445523817</v>
      </c>
      <c r="N19" s="208">
        <v>4765322.8503</v>
      </c>
      <c r="O19" s="209">
        <f t="shared" si="5"/>
        <v>0.61459240986051611</v>
      </c>
      <c r="P19" s="209">
        <f t="shared" si="6"/>
        <v>0</v>
      </c>
      <c r="Q19" s="210">
        <v>6887145.9773904765</v>
      </c>
      <c r="R19" s="203">
        <v>10892388.720199998</v>
      </c>
      <c r="S19" s="209">
        <f t="shared" si="7"/>
        <v>1.581553339504951</v>
      </c>
      <c r="T19" s="209">
        <f t="shared" si="8"/>
        <v>0.9</v>
      </c>
      <c r="U19" s="213">
        <v>10482264.466138093</v>
      </c>
      <c r="V19" s="213">
        <f>VLOOKUP(B19,'Dealer Wise'!B18:F138,5,0)</f>
        <v>13712499.958500007</v>
      </c>
      <c r="W19" s="214">
        <f t="shared" si="9"/>
        <v>1.3081619914090956</v>
      </c>
      <c r="X19" s="214">
        <f t="shared" si="10"/>
        <v>0.9</v>
      </c>
      <c r="Y19" s="174">
        <f t="shared" si="11"/>
        <v>42287831.513638094</v>
      </c>
      <c r="Z19" s="174">
        <f t="shared" si="12"/>
        <v>39946210.768400006</v>
      </c>
      <c r="AA19" s="159">
        <f t="shared" si="1"/>
        <v>0.94462660625000594</v>
      </c>
      <c r="AB19" s="175">
        <f t="shared" si="13"/>
        <v>2341620.7452380881</v>
      </c>
      <c r="AC19" s="176">
        <f t="shared" si="14"/>
        <v>2341620.7452380881</v>
      </c>
    </row>
    <row r="20" spans="1:29" x14ac:dyDescent="0.2">
      <c r="A20" s="107">
        <v>16</v>
      </c>
      <c r="B20" s="173" t="s">
        <v>36</v>
      </c>
      <c r="C20" s="111" t="s">
        <v>27</v>
      </c>
      <c r="D20" s="111" t="s">
        <v>37</v>
      </c>
      <c r="E20" s="204">
        <v>12287766.645</v>
      </c>
      <c r="F20" s="204">
        <v>11228952.854900002</v>
      </c>
      <c r="G20" s="205">
        <f t="shared" si="0"/>
        <v>0.91383187680156364</v>
      </c>
      <c r="H20" s="205">
        <f t="shared" si="2"/>
        <v>0.9</v>
      </c>
      <c r="I20" s="206">
        <v>11631809.677290477</v>
      </c>
      <c r="J20" s="206">
        <v>9319153.2541999985</v>
      </c>
      <c r="K20" s="207">
        <f t="shared" si="3"/>
        <v>0.80117827859532253</v>
      </c>
      <c r="L20" s="207">
        <f t="shared" si="4"/>
        <v>0</v>
      </c>
      <c r="M20" s="208">
        <v>10956964.058738094</v>
      </c>
      <c r="N20" s="208">
        <v>3728606.7422000002</v>
      </c>
      <c r="O20" s="209">
        <f t="shared" si="5"/>
        <v>0.34029560763471384</v>
      </c>
      <c r="P20" s="209">
        <f t="shared" si="6"/>
        <v>0</v>
      </c>
      <c r="Q20" s="210">
        <v>7025617.9225857146</v>
      </c>
      <c r="R20" s="203">
        <v>5978094.2399000013</v>
      </c>
      <c r="S20" s="209">
        <f t="shared" si="7"/>
        <v>0.85089942347730441</v>
      </c>
      <c r="T20" s="209">
        <f t="shared" si="8"/>
        <v>0</v>
      </c>
      <c r="U20" s="213">
        <v>12518443.960595239</v>
      </c>
      <c r="V20" s="213">
        <f>VLOOKUP(B20,'Dealer Wise'!B19:F139,5,0)</f>
        <v>14968281.281899998</v>
      </c>
      <c r="W20" s="214">
        <f t="shared" si="9"/>
        <v>1.1956982296694543</v>
      </c>
      <c r="X20" s="214">
        <f t="shared" si="10"/>
        <v>0.9</v>
      </c>
      <c r="Y20" s="174">
        <f t="shared" si="11"/>
        <v>54420602.264209524</v>
      </c>
      <c r="Z20" s="174">
        <f t="shared" si="12"/>
        <v>45223088.373099998</v>
      </c>
      <c r="AA20" s="159">
        <f t="shared" si="1"/>
        <v>0.8309920598368975</v>
      </c>
      <c r="AB20" s="175">
        <f t="shared" si="13"/>
        <v>9197513.8911095262</v>
      </c>
      <c r="AC20" s="176">
        <f t="shared" si="14"/>
        <v>9197513.8911095262</v>
      </c>
    </row>
    <row r="21" spans="1:29" x14ac:dyDescent="0.2">
      <c r="A21" s="107">
        <v>17</v>
      </c>
      <c r="B21" s="173" t="s">
        <v>143</v>
      </c>
      <c r="C21" s="111" t="s">
        <v>27</v>
      </c>
      <c r="D21" s="111" t="s">
        <v>37</v>
      </c>
      <c r="E21" s="204">
        <v>8345031.4650000017</v>
      </c>
      <c r="F21" s="204">
        <v>8381093.6563999979</v>
      </c>
      <c r="G21" s="205">
        <f t="shared" si="0"/>
        <v>1.0043213966958957</v>
      </c>
      <c r="H21" s="205">
        <f t="shared" si="2"/>
        <v>0.9</v>
      </c>
      <c r="I21" s="206">
        <v>8772977.7650142871</v>
      </c>
      <c r="J21" s="206">
        <v>5906749.963299999</v>
      </c>
      <c r="K21" s="207">
        <f t="shared" si="3"/>
        <v>0.67328906119601684</v>
      </c>
      <c r="L21" s="207">
        <f t="shared" si="4"/>
        <v>0</v>
      </c>
      <c r="M21" s="208">
        <v>7753631.1445523817</v>
      </c>
      <c r="N21" s="208">
        <v>5468520.7473000018</v>
      </c>
      <c r="O21" s="209">
        <f t="shared" si="5"/>
        <v>0.70528512968302937</v>
      </c>
      <c r="P21" s="209">
        <f t="shared" si="6"/>
        <v>0</v>
      </c>
      <c r="Q21" s="210">
        <v>6100130.3576809522</v>
      </c>
      <c r="R21" s="203">
        <v>6783091.4135999987</v>
      </c>
      <c r="S21" s="209">
        <f t="shared" si="7"/>
        <v>1.1119584362749066</v>
      </c>
      <c r="T21" s="209">
        <f t="shared" si="8"/>
        <v>0.9</v>
      </c>
      <c r="U21" s="213">
        <v>8136031.5746571431</v>
      </c>
      <c r="V21" s="213">
        <f>VLOOKUP(B21,'Dealer Wise'!B20:F140,5,0)</f>
        <v>10039193.558300007</v>
      </c>
      <c r="W21" s="214">
        <f t="shared" si="9"/>
        <v>1.2339177234231744</v>
      </c>
      <c r="X21" s="214">
        <f t="shared" si="10"/>
        <v>0.9</v>
      </c>
      <c r="Y21" s="174">
        <f t="shared" si="11"/>
        <v>39107802.306904763</v>
      </c>
      <c r="Z21" s="174">
        <f t="shared" si="12"/>
        <v>36578649.3389</v>
      </c>
      <c r="AA21" s="159">
        <f t="shared" ref="AA21:AA30" si="15">IFERROR(Z21/Y31,0)</f>
        <v>0.20758913049746763</v>
      </c>
      <c r="AB21" s="175">
        <f t="shared" ref="AB21:AB30" si="16">Y31-Z21</f>
        <v>139628309.3358762</v>
      </c>
      <c r="AC21" s="176">
        <f t="shared" si="14"/>
        <v>139628309.3358762</v>
      </c>
    </row>
    <row r="22" spans="1:29" x14ac:dyDescent="0.2">
      <c r="A22" s="107">
        <v>18</v>
      </c>
      <c r="B22" s="173" t="s">
        <v>1321</v>
      </c>
      <c r="C22" s="111" t="s">
        <v>27</v>
      </c>
      <c r="D22" s="111" t="s">
        <v>31</v>
      </c>
      <c r="E22" s="204">
        <v>7267570.8875000011</v>
      </c>
      <c r="F22" s="204">
        <v>5922143.7917000009</v>
      </c>
      <c r="G22" s="205">
        <f t="shared" si="0"/>
        <v>0.81487251839344377</v>
      </c>
      <c r="H22" s="205">
        <f t="shared" si="2"/>
        <v>0</v>
      </c>
      <c r="I22" s="206">
        <v>7013095.5592428595</v>
      </c>
      <c r="J22" s="206">
        <v>5614677.6417000005</v>
      </c>
      <c r="K22" s="207">
        <f t="shared" si="3"/>
        <v>0.80059904991600694</v>
      </c>
      <c r="L22" s="207">
        <f t="shared" si="4"/>
        <v>0</v>
      </c>
      <c r="M22" s="208">
        <v>6552441.1636714302</v>
      </c>
      <c r="N22" s="208">
        <v>4278936.0900000008</v>
      </c>
      <c r="O22" s="209">
        <f t="shared" si="5"/>
        <v>0.65302930360117106</v>
      </c>
      <c r="P22" s="209">
        <f t="shared" si="6"/>
        <v>0</v>
      </c>
      <c r="Q22" s="210">
        <v>5005247.0838619052</v>
      </c>
      <c r="R22" s="203">
        <v>2436957.8075999999</v>
      </c>
      <c r="S22" s="209">
        <f t="shared" si="7"/>
        <v>0.48688062083035333</v>
      </c>
      <c r="T22" s="209">
        <f t="shared" si="8"/>
        <v>0</v>
      </c>
      <c r="U22" s="213">
        <v>7613817.9571571425</v>
      </c>
      <c r="V22" s="213">
        <f>VLOOKUP(B22,'Dealer Wise'!B21:F141,5,0)</f>
        <v>6568038.5876000011</v>
      </c>
      <c r="W22" s="214">
        <f t="shared" si="9"/>
        <v>0.86264717971433924</v>
      </c>
      <c r="X22" s="214">
        <f t="shared" si="10"/>
        <v>0</v>
      </c>
      <c r="Y22" s="174">
        <f t="shared" si="11"/>
        <v>33452172.651433337</v>
      </c>
      <c r="Z22" s="174">
        <f t="shared" si="12"/>
        <v>24820753.9186</v>
      </c>
      <c r="AA22" s="159">
        <f t="shared" si="15"/>
        <v>0.27561197118540348</v>
      </c>
      <c r="AB22" s="175">
        <f t="shared" si="16"/>
        <v>65236125.003771417</v>
      </c>
      <c r="AC22" s="176">
        <f t="shared" si="14"/>
        <v>65236125.003771417</v>
      </c>
    </row>
    <row r="23" spans="1:29" x14ac:dyDescent="0.2">
      <c r="A23" s="107">
        <v>19</v>
      </c>
      <c r="B23" s="173" t="s">
        <v>34</v>
      </c>
      <c r="C23" s="111" t="s">
        <v>27</v>
      </c>
      <c r="D23" s="111" t="s">
        <v>1453</v>
      </c>
      <c r="E23" s="204">
        <v>11256993.005000001</v>
      </c>
      <c r="F23" s="204">
        <v>9206764.3725000005</v>
      </c>
      <c r="G23" s="205">
        <f t="shared" si="0"/>
        <v>0.81787066656349938</v>
      </c>
      <c r="H23" s="205">
        <f t="shared" si="2"/>
        <v>0</v>
      </c>
      <c r="I23" s="206">
        <v>11059255.570685714</v>
      </c>
      <c r="J23" s="206">
        <v>5388835.8202000018</v>
      </c>
      <c r="K23" s="207">
        <f t="shared" si="3"/>
        <v>0.48726930901967341</v>
      </c>
      <c r="L23" s="207">
        <f t="shared" si="4"/>
        <v>0</v>
      </c>
      <c r="M23" s="208">
        <v>10575099.525985712</v>
      </c>
      <c r="N23" s="208">
        <v>6228991.4699000036</v>
      </c>
      <c r="O23" s="209">
        <f t="shared" si="5"/>
        <v>0.58902438266361334</v>
      </c>
      <c r="P23" s="209">
        <f t="shared" si="6"/>
        <v>0</v>
      </c>
      <c r="Q23" s="210">
        <v>7819923.0389904762</v>
      </c>
      <c r="R23" s="203">
        <v>6348798.4617999978</v>
      </c>
      <c r="S23" s="209">
        <f t="shared" si="7"/>
        <v>0.81187480108750598</v>
      </c>
      <c r="T23" s="209">
        <f t="shared" si="8"/>
        <v>0</v>
      </c>
      <c r="U23" s="213">
        <v>11322607.190119047</v>
      </c>
      <c r="V23" s="213">
        <f>VLOOKUP(B23,'Dealer Wise'!B22:F142,5,0)</f>
        <v>13666722.746800004</v>
      </c>
      <c r="W23" s="214">
        <f t="shared" si="9"/>
        <v>1.2070296635148314</v>
      </c>
      <c r="X23" s="214">
        <f t="shared" si="10"/>
        <v>0.9</v>
      </c>
      <c r="Y23" s="174">
        <f t="shared" si="11"/>
        <v>52033878.330780953</v>
      </c>
      <c r="Z23" s="174">
        <f t="shared" si="12"/>
        <v>40840112.87120001</v>
      </c>
      <c r="AA23" s="159">
        <f t="shared" si="15"/>
        <v>1.6098809063492054</v>
      </c>
      <c r="AB23" s="175">
        <f t="shared" si="16"/>
        <v>-15471706.605785728</v>
      </c>
      <c r="AC23" s="176">
        <f t="shared" si="14"/>
        <v>-15471706.605785728</v>
      </c>
    </row>
    <row r="24" spans="1:29" x14ac:dyDescent="0.2">
      <c r="A24" s="107">
        <v>20</v>
      </c>
      <c r="B24" s="173" t="s">
        <v>40</v>
      </c>
      <c r="C24" s="111" t="s">
        <v>27</v>
      </c>
      <c r="D24" s="111" t="s">
        <v>1454</v>
      </c>
      <c r="E24" s="204">
        <v>10010925.502499999</v>
      </c>
      <c r="F24" s="204">
        <v>8658426.8501999993</v>
      </c>
      <c r="G24" s="205">
        <f t="shared" si="0"/>
        <v>0.86489774077708947</v>
      </c>
      <c r="H24" s="205">
        <f t="shared" si="2"/>
        <v>0</v>
      </c>
      <c r="I24" s="206">
        <v>10514524.339509523</v>
      </c>
      <c r="J24" s="206">
        <v>10566830.452500001</v>
      </c>
      <c r="K24" s="207">
        <f t="shared" si="3"/>
        <v>1.004974653279743</v>
      </c>
      <c r="L24" s="207">
        <f t="shared" si="4"/>
        <v>0.9</v>
      </c>
      <c r="M24" s="208">
        <v>9673349.1259523816</v>
      </c>
      <c r="N24" s="208">
        <v>4989026.5465000002</v>
      </c>
      <c r="O24" s="209">
        <f t="shared" si="5"/>
        <v>0.5157496624530038</v>
      </c>
      <c r="P24" s="209">
        <f t="shared" si="6"/>
        <v>0</v>
      </c>
      <c r="Q24" s="210">
        <v>9746918.2723333351</v>
      </c>
      <c r="R24" s="203">
        <v>9963733.7350000031</v>
      </c>
      <c r="S24" s="209">
        <f t="shared" si="7"/>
        <v>1.0222445142771024</v>
      </c>
      <c r="T24" s="209">
        <f t="shared" si="8"/>
        <v>0.9</v>
      </c>
      <c r="U24" s="213">
        <v>11237412.243566666</v>
      </c>
      <c r="V24" s="213">
        <f>VLOOKUP(B24,'Dealer Wise'!B23:F143,5,0)</f>
        <v>14618145.113600008</v>
      </c>
      <c r="W24" s="214">
        <f t="shared" si="9"/>
        <v>1.3008462087851931</v>
      </c>
      <c r="X24" s="214">
        <f t="shared" si="10"/>
        <v>0.9</v>
      </c>
      <c r="Y24" s="174">
        <f t="shared" si="11"/>
        <v>51183129.483861908</v>
      </c>
      <c r="Z24" s="174">
        <f t="shared" si="12"/>
        <v>48796162.69780001</v>
      </c>
      <c r="AA24" s="159">
        <f t="shared" si="15"/>
        <v>0.78205386946173849</v>
      </c>
      <c r="AB24" s="175">
        <f t="shared" si="16"/>
        <v>13598724.154923804</v>
      </c>
      <c r="AC24" s="176">
        <f t="shared" si="14"/>
        <v>13598724.154923804</v>
      </c>
    </row>
    <row r="25" spans="1:29" x14ac:dyDescent="0.2">
      <c r="A25" s="107">
        <v>21</v>
      </c>
      <c r="B25" s="173" t="s">
        <v>38</v>
      </c>
      <c r="C25" s="111" t="s">
        <v>27</v>
      </c>
      <c r="D25" s="111" t="s">
        <v>1456</v>
      </c>
      <c r="E25" s="204">
        <v>14840546.882499998</v>
      </c>
      <c r="F25" s="204">
        <v>16510228.7334</v>
      </c>
      <c r="G25" s="205">
        <f t="shared" si="0"/>
        <v>1.1125081079639252</v>
      </c>
      <c r="H25" s="205">
        <f t="shared" si="2"/>
        <v>0.9</v>
      </c>
      <c r="I25" s="206">
        <v>15433096.511466665</v>
      </c>
      <c r="J25" s="206">
        <v>12789230.442800006</v>
      </c>
      <c r="K25" s="207">
        <f t="shared" si="3"/>
        <v>0.82868855471082625</v>
      </c>
      <c r="L25" s="207">
        <f t="shared" si="4"/>
        <v>0</v>
      </c>
      <c r="M25" s="208">
        <v>14015289.579614285</v>
      </c>
      <c r="N25" s="208">
        <v>7697075.0431000022</v>
      </c>
      <c r="O25" s="209">
        <f t="shared" si="5"/>
        <v>0.54919129564726643</v>
      </c>
      <c r="P25" s="209">
        <f t="shared" si="6"/>
        <v>0</v>
      </c>
      <c r="Q25" s="210">
        <v>11258297.069004763</v>
      </c>
      <c r="R25" s="203">
        <v>6792777.9915000023</v>
      </c>
      <c r="S25" s="209">
        <f t="shared" si="7"/>
        <v>0.60335750157110446</v>
      </c>
      <c r="T25" s="209">
        <f t="shared" si="8"/>
        <v>0</v>
      </c>
      <c r="U25" s="213">
        <v>15204681.236876192</v>
      </c>
      <c r="V25" s="213">
        <f>VLOOKUP(B25,'Dealer Wise'!B24:F144,5,0)</f>
        <v>24365614.055899996</v>
      </c>
      <c r="W25" s="214">
        <f t="shared" si="9"/>
        <v>1.6025073907373755</v>
      </c>
      <c r="X25" s="214">
        <f t="shared" si="10"/>
        <v>0.9</v>
      </c>
      <c r="Y25" s="174">
        <f t="shared" si="11"/>
        <v>70751911.279461905</v>
      </c>
      <c r="Z25" s="174">
        <f t="shared" si="12"/>
        <v>68154926.266700014</v>
      </c>
      <c r="AA25" s="159">
        <f t="shared" si="15"/>
        <v>1.3951027286045063</v>
      </c>
      <c r="AB25" s="175">
        <f t="shared" si="16"/>
        <v>-19301945.859390482</v>
      </c>
      <c r="AC25" s="176">
        <f t="shared" si="14"/>
        <v>-19301945.859390482</v>
      </c>
    </row>
    <row r="26" spans="1:29" x14ac:dyDescent="0.2">
      <c r="A26" s="107">
        <v>22</v>
      </c>
      <c r="B26" s="173" t="s">
        <v>32</v>
      </c>
      <c r="C26" s="111" t="s">
        <v>27</v>
      </c>
      <c r="D26" s="111" t="s">
        <v>31</v>
      </c>
      <c r="E26" s="204">
        <v>8466647.432500001</v>
      </c>
      <c r="F26" s="204">
        <v>7690130.7296000002</v>
      </c>
      <c r="G26" s="205">
        <f t="shared" si="0"/>
        <v>0.90828522043810744</v>
      </c>
      <c r="H26" s="205">
        <f t="shared" si="2"/>
        <v>0.9</v>
      </c>
      <c r="I26" s="206">
        <v>9035879.4367666673</v>
      </c>
      <c r="J26" s="206">
        <v>7874551.0080000013</v>
      </c>
      <c r="K26" s="207">
        <f t="shared" si="3"/>
        <v>0.87147588268594389</v>
      </c>
      <c r="L26" s="207">
        <f t="shared" si="4"/>
        <v>0</v>
      </c>
      <c r="M26" s="208">
        <v>9470719.8882142846</v>
      </c>
      <c r="N26" s="208">
        <v>6058092.4275000012</v>
      </c>
      <c r="O26" s="209">
        <f t="shared" si="5"/>
        <v>0.63966546355561804</v>
      </c>
      <c r="P26" s="209">
        <f t="shared" si="6"/>
        <v>0</v>
      </c>
      <c r="Q26" s="210">
        <v>7834208.2217809539</v>
      </c>
      <c r="R26" s="203">
        <v>4001812.5673999996</v>
      </c>
      <c r="S26" s="209">
        <f t="shared" si="7"/>
        <v>0.51081263787117803</v>
      </c>
      <c r="T26" s="209">
        <f t="shared" si="8"/>
        <v>0</v>
      </c>
      <c r="U26" s="213">
        <v>9949681.5185619034</v>
      </c>
      <c r="V26" s="213">
        <f>VLOOKUP(B26,'Dealer Wise'!B25:F145,5,0)</f>
        <v>13224639.720999999</v>
      </c>
      <c r="W26" s="214">
        <f t="shared" si="9"/>
        <v>1.3291520634432776</v>
      </c>
      <c r="X26" s="214">
        <f t="shared" si="10"/>
        <v>0.9</v>
      </c>
      <c r="Y26" s="174">
        <f t="shared" si="11"/>
        <v>44757136.497823805</v>
      </c>
      <c r="Z26" s="174">
        <f t="shared" si="12"/>
        <v>38849226.453500003</v>
      </c>
      <c r="AA26" s="159">
        <f t="shared" si="15"/>
        <v>0.53541876867798288</v>
      </c>
      <c r="AB26" s="175">
        <f t="shared" si="16"/>
        <v>33709355.214123815</v>
      </c>
      <c r="AC26" s="176">
        <f t="shared" si="14"/>
        <v>33709355.214123815</v>
      </c>
    </row>
    <row r="27" spans="1:29" x14ac:dyDescent="0.2">
      <c r="A27" s="107">
        <v>23</v>
      </c>
      <c r="B27" s="173" t="s">
        <v>42</v>
      </c>
      <c r="C27" s="111" t="s">
        <v>16</v>
      </c>
      <c r="D27" s="111" t="s">
        <v>47</v>
      </c>
      <c r="E27" s="204">
        <v>5658323.1500000013</v>
      </c>
      <c r="F27" s="204">
        <v>3566355.0305999992</v>
      </c>
      <c r="G27" s="205">
        <f t="shared" si="0"/>
        <v>0.6302847921649718</v>
      </c>
      <c r="H27" s="205">
        <f t="shared" si="2"/>
        <v>0</v>
      </c>
      <c r="I27" s="206">
        <v>5453825.5532333339</v>
      </c>
      <c r="J27" s="206">
        <v>2972089.4920999995</v>
      </c>
      <c r="K27" s="207">
        <f t="shared" si="3"/>
        <v>0.54495499775162004</v>
      </c>
      <c r="L27" s="207">
        <f t="shared" si="4"/>
        <v>0</v>
      </c>
      <c r="M27" s="208">
        <v>3900046.3226523804</v>
      </c>
      <c r="N27" s="208">
        <v>2167455.3814999997</v>
      </c>
      <c r="O27" s="209">
        <f t="shared" si="5"/>
        <v>0.55575118913611676</v>
      </c>
      <c r="P27" s="209">
        <f t="shared" si="6"/>
        <v>0</v>
      </c>
      <c r="Q27" s="210">
        <v>7976320.5596428579</v>
      </c>
      <c r="R27" s="203">
        <v>9664592.2402999979</v>
      </c>
      <c r="S27" s="209">
        <f t="shared" si="7"/>
        <v>1.2116604602376628</v>
      </c>
      <c r="T27" s="209">
        <f t="shared" si="8"/>
        <v>0.9</v>
      </c>
      <c r="U27" s="213">
        <v>4983838.0316857146</v>
      </c>
      <c r="V27" s="213">
        <f>VLOOKUP(B27,'Dealer Wise'!B26:F146,5,0)</f>
        <v>8442394.1138000004</v>
      </c>
      <c r="W27" s="214">
        <f t="shared" si="9"/>
        <v>1.6939543500663237</v>
      </c>
      <c r="X27" s="214">
        <f t="shared" si="10"/>
        <v>0.9</v>
      </c>
      <c r="Y27" s="174">
        <f t="shared" si="11"/>
        <v>27972353.617214289</v>
      </c>
      <c r="Z27" s="174">
        <f t="shared" si="12"/>
        <v>26812886.258299995</v>
      </c>
      <c r="AA27" s="159">
        <f t="shared" si="15"/>
        <v>0.92764897720597417</v>
      </c>
      <c r="AB27" s="175">
        <f t="shared" si="16"/>
        <v>2091243.3393619135</v>
      </c>
      <c r="AC27" s="176">
        <f t="shared" si="14"/>
        <v>2091243.3393619135</v>
      </c>
    </row>
    <row r="28" spans="1:29" x14ac:dyDescent="0.2">
      <c r="A28" s="107">
        <v>24</v>
      </c>
      <c r="B28" s="173" t="s">
        <v>49</v>
      </c>
      <c r="C28" s="111" t="s">
        <v>16</v>
      </c>
      <c r="D28" s="111" t="s">
        <v>47</v>
      </c>
      <c r="E28" s="204">
        <v>6044659.8075000001</v>
      </c>
      <c r="F28" s="204">
        <v>6298731.9590999996</v>
      </c>
      <c r="G28" s="205">
        <f t="shared" si="0"/>
        <v>1.0420324980546889</v>
      </c>
      <c r="H28" s="205">
        <f t="shared" si="2"/>
        <v>0.9</v>
      </c>
      <c r="I28" s="206">
        <v>9169049.6530761905</v>
      </c>
      <c r="J28" s="206">
        <v>9359171.3769000042</v>
      </c>
      <c r="K28" s="207">
        <f t="shared" si="3"/>
        <v>1.0207351613326718</v>
      </c>
      <c r="L28" s="207">
        <f t="shared" si="4"/>
        <v>0.9</v>
      </c>
      <c r="M28" s="208">
        <v>9420009.5162476171</v>
      </c>
      <c r="N28" s="208">
        <v>4571803.5369999995</v>
      </c>
      <c r="O28" s="209">
        <f t="shared" si="5"/>
        <v>0.48532897223878174</v>
      </c>
      <c r="P28" s="209">
        <f t="shared" si="6"/>
        <v>0</v>
      </c>
      <c r="Q28" s="210">
        <v>7688847.6028380953</v>
      </c>
      <c r="R28" s="203">
        <v>7845077.9594000001</v>
      </c>
      <c r="S28" s="209">
        <f t="shared" si="7"/>
        <v>1.0203190861143141</v>
      </c>
      <c r="T28" s="209">
        <f t="shared" si="8"/>
        <v>0.9</v>
      </c>
      <c r="U28" s="213">
        <v>10777372.872357141</v>
      </c>
      <c r="V28" s="213">
        <f>VLOOKUP(B28,'Dealer Wise'!B27:F147,5,0)</f>
        <v>14884903.4682</v>
      </c>
      <c r="W28" s="214">
        <f t="shared" si="9"/>
        <v>1.3811254045388237</v>
      </c>
      <c r="X28" s="214">
        <f t="shared" si="10"/>
        <v>0.9</v>
      </c>
      <c r="Y28" s="174">
        <f t="shared" si="11"/>
        <v>43099939.452019043</v>
      </c>
      <c r="Z28" s="174">
        <f t="shared" si="12"/>
        <v>42959688.3006</v>
      </c>
      <c r="AA28" s="159">
        <f t="shared" si="15"/>
        <v>1.7904804973767972</v>
      </c>
      <c r="AB28" s="175">
        <f t="shared" si="16"/>
        <v>-18966303.081638098</v>
      </c>
      <c r="AC28" s="176">
        <f t="shared" si="14"/>
        <v>-18966303.081638098</v>
      </c>
    </row>
    <row r="29" spans="1:29" x14ac:dyDescent="0.2">
      <c r="A29" s="107">
        <v>25</v>
      </c>
      <c r="B29" s="173" t="s">
        <v>44</v>
      </c>
      <c r="C29" s="111" t="s">
        <v>16</v>
      </c>
      <c r="D29" s="111" t="s">
        <v>43</v>
      </c>
      <c r="E29" s="204">
        <v>2326781.3575000004</v>
      </c>
      <c r="F29" s="204">
        <v>207401.81080000006</v>
      </c>
      <c r="G29" s="205">
        <f t="shared" si="0"/>
        <v>8.9136785513376296E-2</v>
      </c>
      <c r="H29" s="205">
        <f t="shared" si="2"/>
        <v>0</v>
      </c>
      <c r="I29" s="206">
        <v>2178753.2422523811</v>
      </c>
      <c r="J29" s="206">
        <v>1885969.7065999997</v>
      </c>
      <c r="K29" s="207">
        <f t="shared" si="3"/>
        <v>0.86561877225265604</v>
      </c>
      <c r="L29" s="207">
        <f t="shared" si="4"/>
        <v>0</v>
      </c>
      <c r="M29" s="208">
        <v>2505467.8884666674</v>
      </c>
      <c r="N29" s="208">
        <v>1005820.9353999995</v>
      </c>
      <c r="O29" s="209">
        <f t="shared" si="5"/>
        <v>0.40145033988663748</v>
      </c>
      <c r="P29" s="209">
        <f t="shared" si="6"/>
        <v>0</v>
      </c>
      <c r="Q29" s="210">
        <v>3246047.8679380948</v>
      </c>
      <c r="R29" s="203">
        <v>1500897.3429</v>
      </c>
      <c r="S29" s="209">
        <f t="shared" si="7"/>
        <v>0.4623768360672319</v>
      </c>
      <c r="T29" s="209">
        <f t="shared" si="8"/>
        <v>0</v>
      </c>
      <c r="U29" s="213">
        <v>1837611.0789857144</v>
      </c>
      <c r="V29" s="213">
        <f>VLOOKUP(B29,'Dealer Wise'!B28:F148,5,0)</f>
        <v>1872030.9523</v>
      </c>
      <c r="W29" s="214">
        <f t="shared" si="9"/>
        <v>1.0187307715478533</v>
      </c>
      <c r="X29" s="214">
        <f t="shared" si="10"/>
        <v>0.9</v>
      </c>
      <c r="Y29" s="174">
        <f t="shared" si="11"/>
        <v>12094661.435142856</v>
      </c>
      <c r="Z29" s="174">
        <f t="shared" si="12"/>
        <v>6472120.7479999987</v>
      </c>
      <c r="AA29" s="159">
        <f t="shared" si="15"/>
        <v>0.10807831018165297</v>
      </c>
      <c r="AB29" s="175">
        <f t="shared" si="16"/>
        <v>53411501.943009526</v>
      </c>
      <c r="AC29" s="176">
        <f t="shared" si="14"/>
        <v>53411501.943009526</v>
      </c>
    </row>
    <row r="30" spans="1:29" x14ac:dyDescent="0.2">
      <c r="A30" s="107">
        <v>26</v>
      </c>
      <c r="B30" s="173" t="s">
        <v>46</v>
      </c>
      <c r="C30" s="111" t="s">
        <v>16</v>
      </c>
      <c r="D30" s="111" t="s">
        <v>47</v>
      </c>
      <c r="E30" s="204">
        <v>5467555.8725000005</v>
      </c>
      <c r="F30" s="204">
        <v>5259150.513799998</v>
      </c>
      <c r="G30" s="205">
        <f t="shared" si="0"/>
        <v>0.9618832685829124</v>
      </c>
      <c r="H30" s="205">
        <f t="shared" si="2"/>
        <v>0.9</v>
      </c>
      <c r="I30" s="206">
        <v>4693554.8833666658</v>
      </c>
      <c r="J30" s="206">
        <v>4737512.7764999988</v>
      </c>
      <c r="K30" s="207">
        <f t="shared" si="3"/>
        <v>1.0093655862615165</v>
      </c>
      <c r="L30" s="207">
        <f t="shared" si="4"/>
        <v>0.9</v>
      </c>
      <c r="M30" s="208">
        <v>5411113.5976428557</v>
      </c>
      <c r="N30" s="208">
        <v>3289042.3223000006</v>
      </c>
      <c r="O30" s="209">
        <f t="shared" si="5"/>
        <v>0.6078309506813433</v>
      </c>
      <c r="P30" s="209">
        <f t="shared" si="6"/>
        <v>0</v>
      </c>
      <c r="Q30" s="210">
        <v>4555794.8742523808</v>
      </c>
      <c r="R30" s="203">
        <v>4988156.9291999992</v>
      </c>
      <c r="S30" s="209">
        <f t="shared" si="7"/>
        <v>1.0949037581545131</v>
      </c>
      <c r="T30" s="209">
        <f t="shared" si="8"/>
        <v>0.9</v>
      </c>
      <c r="U30" s="213">
        <v>5468353.3310047621</v>
      </c>
      <c r="V30" s="213">
        <f>VLOOKUP(B30,'Dealer Wise'!B29:F149,5,0)</f>
        <v>7614226.5439000018</v>
      </c>
      <c r="W30" s="214">
        <f t="shared" si="9"/>
        <v>1.3924167081026848</v>
      </c>
      <c r="X30" s="214">
        <f t="shared" si="10"/>
        <v>0.9</v>
      </c>
      <c r="Y30" s="174">
        <f t="shared" si="11"/>
        <v>25596372.558766663</v>
      </c>
      <c r="Z30" s="174">
        <f t="shared" si="12"/>
        <v>25888089.085699998</v>
      </c>
      <c r="AA30" s="159">
        <f t="shared" si="15"/>
        <v>0.6581302872368443</v>
      </c>
      <c r="AB30" s="175">
        <f t="shared" si="16"/>
        <v>13447722.664266668</v>
      </c>
      <c r="AC30" s="176">
        <f t="shared" si="14"/>
        <v>13447722.664266668</v>
      </c>
    </row>
    <row r="31" spans="1:29" x14ac:dyDescent="0.2">
      <c r="A31" s="107">
        <v>27</v>
      </c>
      <c r="B31" s="173" t="s">
        <v>48</v>
      </c>
      <c r="C31" s="111" t="s">
        <v>16</v>
      </c>
      <c r="D31" s="111" t="s">
        <v>47</v>
      </c>
      <c r="E31" s="204">
        <v>36189056.337499999</v>
      </c>
      <c r="F31" s="204">
        <v>36581898.256300002</v>
      </c>
      <c r="G31" s="205">
        <f t="shared" si="0"/>
        <v>1.0108552683755097</v>
      </c>
      <c r="H31" s="205">
        <f t="shared" si="2"/>
        <v>0.9</v>
      </c>
      <c r="I31" s="206">
        <v>36204566.01329048</v>
      </c>
      <c r="J31" s="206">
        <v>36404333.940800004</v>
      </c>
      <c r="K31" s="207">
        <f t="shared" si="3"/>
        <v>1.0055177550653747</v>
      </c>
      <c r="L31" s="207">
        <f t="shared" si="4"/>
        <v>0.9</v>
      </c>
      <c r="M31" s="208">
        <v>36642507.584104761</v>
      </c>
      <c r="N31" s="208">
        <v>18042690.089499999</v>
      </c>
      <c r="O31" s="209">
        <f t="shared" si="5"/>
        <v>0.49239779914316723</v>
      </c>
      <c r="P31" s="209">
        <f t="shared" si="6"/>
        <v>0</v>
      </c>
      <c r="Q31" s="210">
        <v>29503982.267642859</v>
      </c>
      <c r="R31" s="203">
        <v>29666880.133300006</v>
      </c>
      <c r="S31" s="209">
        <f t="shared" si="7"/>
        <v>1.0055212162269971</v>
      </c>
      <c r="T31" s="209">
        <f t="shared" si="8"/>
        <v>0.9</v>
      </c>
      <c r="U31" s="213">
        <v>37666846.472238094</v>
      </c>
      <c r="V31" s="213">
        <f>VLOOKUP(B31,'Dealer Wise'!B30:F150,5,0)</f>
        <v>52729026.410200022</v>
      </c>
      <c r="W31" s="214">
        <f t="shared" si="9"/>
        <v>1.3998789744467546</v>
      </c>
      <c r="X31" s="214">
        <f t="shared" si="10"/>
        <v>0.9</v>
      </c>
      <c r="Y31" s="174">
        <f t="shared" si="11"/>
        <v>176206958.6747762</v>
      </c>
      <c r="Z31" s="174">
        <f t="shared" si="12"/>
        <v>173424828.83010003</v>
      </c>
      <c r="AA31" s="159">
        <f t="shared" si="1"/>
        <v>0.98421101036190561</v>
      </c>
      <c r="AB31" s="175">
        <f t="shared" si="13"/>
        <v>2782129.8446761668</v>
      </c>
      <c r="AC31" s="176">
        <f t="shared" si="14"/>
        <v>2782129.8446761668</v>
      </c>
    </row>
    <row r="32" spans="1:29" x14ac:dyDescent="0.2">
      <c r="A32" s="107">
        <v>28</v>
      </c>
      <c r="B32" s="173" t="s">
        <v>50</v>
      </c>
      <c r="C32" s="111" t="s">
        <v>16</v>
      </c>
      <c r="D32" s="111" t="s">
        <v>51</v>
      </c>
      <c r="E32" s="204">
        <v>18057911.127499998</v>
      </c>
      <c r="F32" s="204">
        <v>17576175.886300009</v>
      </c>
      <c r="G32" s="205">
        <f t="shared" si="0"/>
        <v>0.97332275932699852</v>
      </c>
      <c r="H32" s="205">
        <f t="shared" si="2"/>
        <v>0.9</v>
      </c>
      <c r="I32" s="206">
        <v>18128277.925795242</v>
      </c>
      <c r="J32" s="206">
        <v>16510216.988500008</v>
      </c>
      <c r="K32" s="207">
        <f t="shared" si="3"/>
        <v>0.91074381450248787</v>
      </c>
      <c r="L32" s="207">
        <f t="shared" si="4"/>
        <v>0.9</v>
      </c>
      <c r="M32" s="208">
        <v>16773490.060138095</v>
      </c>
      <c r="N32" s="208">
        <v>9536764.9240000043</v>
      </c>
      <c r="O32" s="209">
        <f t="shared" si="5"/>
        <v>0.5685617536844022</v>
      </c>
      <c r="P32" s="209">
        <f t="shared" si="6"/>
        <v>0</v>
      </c>
      <c r="Q32" s="210">
        <v>16564828.241042856</v>
      </c>
      <c r="R32" s="203">
        <v>20110720.389300004</v>
      </c>
      <c r="S32" s="209">
        <f t="shared" si="7"/>
        <v>1.2140615101261027</v>
      </c>
      <c r="T32" s="209">
        <f t="shared" si="8"/>
        <v>0.9</v>
      </c>
      <c r="U32" s="213">
        <v>20532371.567895241</v>
      </c>
      <c r="V32" s="213">
        <f>VLOOKUP(B32,'Dealer Wise'!B4:F124,5,0)</f>
        <v>18441931.389700007</v>
      </c>
      <c r="W32" s="214">
        <f t="shared" si="9"/>
        <v>0.8981880796729842</v>
      </c>
      <c r="X32" s="214">
        <f t="shared" si="10"/>
        <v>0.9</v>
      </c>
      <c r="Y32" s="174">
        <f t="shared" si="11"/>
        <v>90056878.922371417</v>
      </c>
      <c r="Z32" s="174">
        <f t="shared" si="12"/>
        <v>82175809.577800035</v>
      </c>
      <c r="AA32" s="159">
        <f t="shared" si="1"/>
        <v>0.91248786945675942</v>
      </c>
      <c r="AB32" s="175">
        <f t="shared" si="13"/>
        <v>7881069.3445713818</v>
      </c>
      <c r="AC32" s="176">
        <f t="shared" si="14"/>
        <v>7881069.3445713818</v>
      </c>
    </row>
    <row r="33" spans="1:29" x14ac:dyDescent="0.2">
      <c r="A33" s="107">
        <v>29</v>
      </c>
      <c r="B33" s="173" t="s">
        <v>62</v>
      </c>
      <c r="C33" s="111" t="s">
        <v>16</v>
      </c>
      <c r="D33" s="111" t="s">
        <v>1461</v>
      </c>
      <c r="E33" s="204">
        <v>4092843.4925000006</v>
      </c>
      <c r="F33" s="204">
        <v>4759278.3855999997</v>
      </c>
      <c r="G33" s="205">
        <f t="shared" si="0"/>
        <v>1.1628293127555986</v>
      </c>
      <c r="H33" s="205">
        <f t="shared" si="2"/>
        <v>0.9</v>
      </c>
      <c r="I33" s="206">
        <v>4769847.4366666675</v>
      </c>
      <c r="J33" s="206">
        <v>4854607.5771999983</v>
      </c>
      <c r="K33" s="207">
        <f t="shared" si="3"/>
        <v>1.0177699898495212</v>
      </c>
      <c r="L33" s="207">
        <f t="shared" si="4"/>
        <v>0.9</v>
      </c>
      <c r="M33" s="208">
        <v>5306923.566838095</v>
      </c>
      <c r="N33" s="208">
        <v>3525944.7450999999</v>
      </c>
      <c r="O33" s="209">
        <f t="shared" si="5"/>
        <v>0.66440465944015548</v>
      </c>
      <c r="P33" s="209">
        <f t="shared" si="6"/>
        <v>0</v>
      </c>
      <c r="Q33" s="210">
        <v>5908296.3130571423</v>
      </c>
      <c r="R33" s="203">
        <v>6473011.4127000012</v>
      </c>
      <c r="S33" s="209">
        <f t="shared" si="7"/>
        <v>1.0955800233639021</v>
      </c>
      <c r="T33" s="209">
        <f t="shared" si="8"/>
        <v>0.9</v>
      </c>
      <c r="U33" s="213">
        <v>5290495.4563523792</v>
      </c>
      <c r="V33" s="213">
        <f>VLOOKUP(B33,'Dealer Wise'!B32:F152,5,0)</f>
        <v>6167709.9113999978</v>
      </c>
      <c r="W33" s="214">
        <f t="shared" si="9"/>
        <v>1.1658095092009453</v>
      </c>
      <c r="X33" s="214">
        <f t="shared" si="10"/>
        <v>0.9</v>
      </c>
      <c r="Y33" s="174">
        <f t="shared" si="11"/>
        <v>25368406.265414283</v>
      </c>
      <c r="Z33" s="174">
        <f t="shared" si="12"/>
        <v>25780552.031999998</v>
      </c>
      <c r="AA33" s="159">
        <f t="shared" si="1"/>
        <v>1.0162464193561742</v>
      </c>
      <c r="AB33" s="175">
        <f t="shared" si="13"/>
        <v>-412145.76658571512</v>
      </c>
      <c r="AC33" s="176">
        <f t="shared" si="14"/>
        <v>-412145.76658571512</v>
      </c>
    </row>
    <row r="34" spans="1:29" x14ac:dyDescent="0.2">
      <c r="A34" s="107">
        <v>30</v>
      </c>
      <c r="B34" s="173" t="s">
        <v>54</v>
      </c>
      <c r="C34" s="111" t="s">
        <v>16</v>
      </c>
      <c r="D34" s="111" t="s">
        <v>58</v>
      </c>
      <c r="E34" s="204">
        <v>11359254.382499998</v>
      </c>
      <c r="F34" s="204">
        <v>11958385.919500001</v>
      </c>
      <c r="G34" s="205">
        <f t="shared" si="0"/>
        <v>1.0527439140656116</v>
      </c>
      <c r="H34" s="205">
        <f t="shared" si="2"/>
        <v>0.9</v>
      </c>
      <c r="I34" s="206">
        <v>12229299.815400003</v>
      </c>
      <c r="J34" s="206">
        <v>11144409.6461</v>
      </c>
      <c r="K34" s="207">
        <f t="shared" si="3"/>
        <v>0.91128763006252966</v>
      </c>
      <c r="L34" s="207">
        <f t="shared" si="4"/>
        <v>0.9</v>
      </c>
      <c r="M34" s="208">
        <v>12014734.435528571</v>
      </c>
      <c r="N34" s="208">
        <v>5997877.5371000022</v>
      </c>
      <c r="O34" s="209">
        <f t="shared" si="5"/>
        <v>0.49921016309472299</v>
      </c>
      <c r="P34" s="209">
        <f t="shared" si="6"/>
        <v>0</v>
      </c>
      <c r="Q34" s="210">
        <v>11580125.530252384</v>
      </c>
      <c r="R34" s="203">
        <v>13451292.606999999</v>
      </c>
      <c r="S34" s="209">
        <f t="shared" si="7"/>
        <v>1.1615843517291158</v>
      </c>
      <c r="T34" s="209">
        <f t="shared" si="8"/>
        <v>0.9</v>
      </c>
      <c r="U34" s="213">
        <v>15211472.689042859</v>
      </c>
      <c r="V34" s="213">
        <f>VLOOKUP(B34,'Dealer Wise'!B33:F153,5,0)</f>
        <v>16584226.604799999</v>
      </c>
      <c r="W34" s="214">
        <f t="shared" si="9"/>
        <v>1.0902446425681034</v>
      </c>
      <c r="X34" s="214">
        <f t="shared" si="10"/>
        <v>0.9</v>
      </c>
      <c r="Y34" s="174">
        <f t="shared" si="11"/>
        <v>62394886.852723815</v>
      </c>
      <c r="Z34" s="174">
        <f t="shared" si="12"/>
        <v>59136192.314500004</v>
      </c>
      <c r="AA34" s="159">
        <f t="shared" si="1"/>
        <v>0.94777305156565794</v>
      </c>
      <c r="AB34" s="175">
        <f t="shared" si="13"/>
        <v>3258694.5382238105</v>
      </c>
      <c r="AC34" s="176">
        <f t="shared" si="14"/>
        <v>3258694.5382238105</v>
      </c>
    </row>
    <row r="35" spans="1:29" s="120" customFormat="1" x14ac:dyDescent="0.2">
      <c r="A35" s="107">
        <v>31</v>
      </c>
      <c r="B35" s="173" t="s">
        <v>61</v>
      </c>
      <c r="C35" s="111" t="s">
        <v>16</v>
      </c>
      <c r="D35" s="111" t="s">
        <v>43</v>
      </c>
      <c r="E35" s="204">
        <v>8751896.0425000004</v>
      </c>
      <c r="F35" s="204">
        <v>8755764.6346000005</v>
      </c>
      <c r="G35" s="205">
        <f t="shared" si="0"/>
        <v>1.0004420290279059</v>
      </c>
      <c r="H35" s="205">
        <f t="shared" si="2"/>
        <v>0.9</v>
      </c>
      <c r="I35" s="206">
        <v>8868115.9819190502</v>
      </c>
      <c r="J35" s="206">
        <v>9483601.4353000056</v>
      </c>
      <c r="K35" s="207">
        <f t="shared" si="3"/>
        <v>1.0694043080442173</v>
      </c>
      <c r="L35" s="207">
        <f t="shared" si="4"/>
        <v>0.9</v>
      </c>
      <c r="M35" s="208">
        <v>8810214.6232333351</v>
      </c>
      <c r="N35" s="208">
        <v>8205083.4108000025</v>
      </c>
      <c r="O35" s="209">
        <f t="shared" si="5"/>
        <v>0.93131481600487387</v>
      </c>
      <c r="P35" s="209">
        <f t="shared" si="6"/>
        <v>0.9</v>
      </c>
      <c r="Q35" s="210">
        <v>12023736.269457145</v>
      </c>
      <c r="R35" s="203">
        <v>15207928.312899992</v>
      </c>
      <c r="S35" s="209">
        <f t="shared" si="7"/>
        <v>1.2648255061558007</v>
      </c>
      <c r="T35" s="209">
        <f t="shared" si="8"/>
        <v>0.9</v>
      </c>
      <c r="U35" s="213">
        <v>10399017.4902</v>
      </c>
      <c r="V35" s="213">
        <f>VLOOKUP(B35,'Dealer Wise'!B7:F127,5,0)</f>
        <v>15115605.266200008</v>
      </c>
      <c r="W35" s="214">
        <f t="shared" si="9"/>
        <v>1.4535609042339726</v>
      </c>
      <c r="X35" s="214">
        <f t="shared" si="10"/>
        <v>0.9</v>
      </c>
      <c r="Y35" s="174">
        <f t="shared" si="11"/>
        <v>48852980.407309532</v>
      </c>
      <c r="Z35" s="174">
        <f t="shared" si="12"/>
        <v>56767983.059800006</v>
      </c>
      <c r="AA35" s="137">
        <f t="shared" si="1"/>
        <v>1.1620167815044138</v>
      </c>
      <c r="AB35" s="175">
        <f t="shared" si="13"/>
        <v>-7915002.6524904743</v>
      </c>
      <c r="AC35" s="176">
        <f t="shared" si="14"/>
        <v>-7915002.6524904743</v>
      </c>
    </row>
    <row r="36" spans="1:29" x14ac:dyDescent="0.2">
      <c r="A36" s="107">
        <v>32</v>
      </c>
      <c r="B36" s="173" t="s">
        <v>60</v>
      </c>
      <c r="C36" s="111" t="s">
        <v>16</v>
      </c>
      <c r="D36" s="111" t="s">
        <v>43</v>
      </c>
      <c r="E36" s="204">
        <v>14114289.104999997</v>
      </c>
      <c r="F36" s="204">
        <v>4397166.1897</v>
      </c>
      <c r="G36" s="205">
        <f t="shared" si="0"/>
        <v>0.31154003981272432</v>
      </c>
      <c r="H36" s="205">
        <f t="shared" si="2"/>
        <v>0</v>
      </c>
      <c r="I36" s="206">
        <v>13171231.046423815</v>
      </c>
      <c r="J36" s="206">
        <v>13236078.274200007</v>
      </c>
      <c r="K36" s="207">
        <f t="shared" si="3"/>
        <v>1.0049233991528681</v>
      </c>
      <c r="L36" s="207">
        <f t="shared" si="4"/>
        <v>0.9</v>
      </c>
      <c r="M36" s="208">
        <v>15022689.642995238</v>
      </c>
      <c r="N36" s="208">
        <v>6802140.8752000015</v>
      </c>
      <c r="O36" s="209">
        <f t="shared" si="5"/>
        <v>0.45279114704813833</v>
      </c>
      <c r="P36" s="209">
        <f t="shared" si="6"/>
        <v>0</v>
      </c>
      <c r="Q36" s="210">
        <v>15045237.751309521</v>
      </c>
      <c r="R36" s="203">
        <v>15106262.672700007</v>
      </c>
      <c r="S36" s="209">
        <f t="shared" si="7"/>
        <v>1.0040560955166808</v>
      </c>
      <c r="T36" s="209">
        <f t="shared" si="8"/>
        <v>0.9</v>
      </c>
      <c r="U36" s="213">
        <v>15205134.121895241</v>
      </c>
      <c r="V36" s="213">
        <f>VLOOKUP(B36,'Dealer Wise'!B8:F128,5,0)</f>
        <v>21084970.483200006</v>
      </c>
      <c r="W36" s="214">
        <f t="shared" si="9"/>
        <v>1.3867007232009785</v>
      </c>
      <c r="X36" s="214">
        <f t="shared" si="10"/>
        <v>0.9</v>
      </c>
      <c r="Y36" s="174">
        <f t="shared" si="11"/>
        <v>72558581.667623818</v>
      </c>
      <c r="Z36" s="174">
        <f t="shared" si="12"/>
        <v>60626618.495000027</v>
      </c>
      <c r="AA36" s="159">
        <f t="shared" si="1"/>
        <v>0.83555407370996171</v>
      </c>
      <c r="AB36" s="175">
        <f t="shared" si="13"/>
        <v>11931963.172623791</v>
      </c>
      <c r="AC36" s="176">
        <f t="shared" si="14"/>
        <v>11931963.172623791</v>
      </c>
    </row>
    <row r="37" spans="1:29" x14ac:dyDescent="0.2">
      <c r="A37" s="107">
        <v>33</v>
      </c>
      <c r="B37" s="173" t="s">
        <v>56</v>
      </c>
      <c r="C37" s="111" t="s">
        <v>16</v>
      </c>
      <c r="D37" s="111" t="s">
        <v>43</v>
      </c>
      <c r="E37" s="204">
        <v>4985965.2949999999</v>
      </c>
      <c r="F37" s="204">
        <v>5267295.6294999998</v>
      </c>
      <c r="G37" s="205">
        <f t="shared" si="0"/>
        <v>1.0564244469936688</v>
      </c>
      <c r="H37" s="205">
        <f t="shared" si="2"/>
        <v>0.9</v>
      </c>
      <c r="I37" s="206">
        <v>5138726.6670761909</v>
      </c>
      <c r="J37" s="206">
        <v>6039191.191800002</v>
      </c>
      <c r="K37" s="207">
        <f t="shared" si="3"/>
        <v>1.1752310607398297</v>
      </c>
      <c r="L37" s="207">
        <f t="shared" si="4"/>
        <v>0.9</v>
      </c>
      <c r="M37" s="208">
        <v>5554870.317495238</v>
      </c>
      <c r="N37" s="208">
        <v>4388863.7306000032</v>
      </c>
      <c r="O37" s="209">
        <f t="shared" si="5"/>
        <v>0.79009292382166685</v>
      </c>
      <c r="P37" s="209">
        <f t="shared" si="6"/>
        <v>0</v>
      </c>
      <c r="Q37" s="210">
        <v>6716798.7949142857</v>
      </c>
      <c r="R37" s="203">
        <v>7327164.9986999994</v>
      </c>
      <c r="S37" s="209">
        <f t="shared" si="7"/>
        <v>1.0908715926175816</v>
      </c>
      <c r="T37" s="209">
        <f t="shared" si="8"/>
        <v>0.9</v>
      </c>
      <c r="U37" s="213">
        <v>6507768.5231761923</v>
      </c>
      <c r="V37" s="213">
        <f>VLOOKUP(B37,'Dealer Wise'!B36:F156,5,0)</f>
        <v>6942003.734000002</v>
      </c>
      <c r="W37" s="214">
        <f t="shared" si="9"/>
        <v>1.0667256693715155</v>
      </c>
      <c r="X37" s="214">
        <f t="shared" si="10"/>
        <v>0.9</v>
      </c>
      <c r="Y37" s="174">
        <f t="shared" si="11"/>
        <v>28904129.597661909</v>
      </c>
      <c r="Z37" s="174">
        <f t="shared" si="12"/>
        <v>29964519.284600005</v>
      </c>
      <c r="AA37" s="159">
        <f t="shared" si="1"/>
        <v>1.0366864424460605</v>
      </c>
      <c r="AB37" s="175">
        <f t="shared" si="13"/>
        <v>-1060389.6869380958</v>
      </c>
      <c r="AC37" s="176">
        <f t="shared" si="14"/>
        <v>-1060389.6869380958</v>
      </c>
    </row>
    <row r="38" spans="1:29" x14ac:dyDescent="0.2">
      <c r="A38" s="107">
        <v>34</v>
      </c>
      <c r="B38" s="173" t="s">
        <v>57</v>
      </c>
      <c r="C38" s="111" t="s">
        <v>16</v>
      </c>
      <c r="D38" s="111" t="s">
        <v>58</v>
      </c>
      <c r="E38" s="204">
        <v>4561648.0999999996</v>
      </c>
      <c r="F38" s="204">
        <v>4611830.1499000005</v>
      </c>
      <c r="G38" s="205">
        <f t="shared" si="0"/>
        <v>1.0110008595139115</v>
      </c>
      <c r="H38" s="205">
        <f t="shared" si="2"/>
        <v>0.9</v>
      </c>
      <c r="I38" s="206">
        <v>4301975.2220047619</v>
      </c>
      <c r="J38" s="206">
        <v>5121955.9501000009</v>
      </c>
      <c r="K38" s="207">
        <f t="shared" si="3"/>
        <v>1.1906056371271057</v>
      </c>
      <c r="L38" s="207">
        <f t="shared" si="4"/>
        <v>0.9</v>
      </c>
      <c r="M38" s="208">
        <v>4844036.7472761897</v>
      </c>
      <c r="N38" s="208">
        <v>2604879.0109999999</v>
      </c>
      <c r="O38" s="209">
        <f t="shared" si="5"/>
        <v>0.53774963876249038</v>
      </c>
      <c r="P38" s="209">
        <f t="shared" si="6"/>
        <v>0</v>
      </c>
      <c r="Q38" s="210">
        <v>5593376.4879904753</v>
      </c>
      <c r="R38" s="203">
        <v>5929536.1121000005</v>
      </c>
      <c r="S38" s="209">
        <f t="shared" si="7"/>
        <v>1.0600995882954227</v>
      </c>
      <c r="T38" s="209">
        <f t="shared" si="8"/>
        <v>0.9</v>
      </c>
      <c r="U38" s="213">
        <v>4692348.6616904754</v>
      </c>
      <c r="V38" s="213">
        <f>VLOOKUP(B38,'Dealer Wise'!B10:F130,5,0)</f>
        <v>7831770.348600002</v>
      </c>
      <c r="W38" s="214">
        <f t="shared" si="9"/>
        <v>1.6690512392100274</v>
      </c>
      <c r="X38" s="214">
        <f t="shared" si="10"/>
        <v>0.9</v>
      </c>
      <c r="Y38" s="174">
        <f t="shared" si="11"/>
        <v>23993385.218961902</v>
      </c>
      <c r="Z38" s="174">
        <f t="shared" si="12"/>
        <v>26099971.571700007</v>
      </c>
      <c r="AA38" s="159">
        <f t="shared" si="1"/>
        <v>1.0877986300604749</v>
      </c>
      <c r="AB38" s="175">
        <f t="shared" si="13"/>
        <v>-2106586.3527381048</v>
      </c>
      <c r="AC38" s="176">
        <f t="shared" si="14"/>
        <v>-2106586.3527381048</v>
      </c>
    </row>
    <row r="39" spans="1:29" x14ac:dyDescent="0.2">
      <c r="A39" s="107">
        <v>35</v>
      </c>
      <c r="B39" s="173" t="s">
        <v>59</v>
      </c>
      <c r="C39" s="111" t="s">
        <v>16</v>
      </c>
      <c r="D39" s="111" t="s">
        <v>58</v>
      </c>
      <c r="E39" s="204">
        <v>11467512.102500001</v>
      </c>
      <c r="F39" s="204">
        <v>11775998.501799999</v>
      </c>
      <c r="G39" s="205">
        <f t="shared" si="0"/>
        <v>1.0269009002600265</v>
      </c>
      <c r="H39" s="205">
        <f t="shared" si="2"/>
        <v>0.9</v>
      </c>
      <c r="I39" s="206">
        <v>11194543.319376189</v>
      </c>
      <c r="J39" s="206">
        <v>10780501.148199998</v>
      </c>
      <c r="K39" s="207">
        <f t="shared" si="3"/>
        <v>0.96301392925430529</v>
      </c>
      <c r="L39" s="207">
        <f t="shared" si="4"/>
        <v>0.9</v>
      </c>
      <c r="M39" s="208">
        <v>12014734.435528571</v>
      </c>
      <c r="N39" s="208">
        <v>5138832.9239000008</v>
      </c>
      <c r="O39" s="209">
        <f t="shared" si="5"/>
        <v>0.42771090376363574</v>
      </c>
      <c r="P39" s="209">
        <f t="shared" si="6"/>
        <v>0</v>
      </c>
      <c r="Q39" s="210">
        <v>11370516.362938095</v>
      </c>
      <c r="R39" s="203">
        <v>20634083.826500002</v>
      </c>
      <c r="S39" s="209">
        <f t="shared" si="7"/>
        <v>1.8147006844611091</v>
      </c>
      <c r="T39" s="209">
        <f t="shared" si="8"/>
        <v>0.9</v>
      </c>
      <c r="U39" s="213">
        <v>13836316.470666664</v>
      </c>
      <c r="V39" s="213">
        <f>VLOOKUP(B39,'Dealer Wise'!B38:F158,5,0)</f>
        <v>18801128.409000013</v>
      </c>
      <c r="W39" s="214">
        <f t="shared" si="9"/>
        <v>1.3588246878321173</v>
      </c>
      <c r="X39" s="214">
        <f t="shared" si="10"/>
        <v>0.9</v>
      </c>
      <c r="Y39" s="174">
        <f t="shared" si="11"/>
        <v>59883622.691009521</v>
      </c>
      <c r="Z39" s="174">
        <f t="shared" si="12"/>
        <v>67130544.809400007</v>
      </c>
      <c r="AA39" s="159">
        <f t="shared" si="1"/>
        <v>1.1210167620583595</v>
      </c>
      <c r="AB39" s="175">
        <f t="shared" si="13"/>
        <v>-7246922.1183904856</v>
      </c>
      <c r="AC39" s="176">
        <f t="shared" si="14"/>
        <v>-7246922.1183904856</v>
      </c>
    </row>
    <row r="40" spans="1:29" x14ac:dyDescent="0.2">
      <c r="A40" s="107">
        <v>36</v>
      </c>
      <c r="B40" s="173" t="s">
        <v>52</v>
      </c>
      <c r="C40" s="111" t="s">
        <v>16</v>
      </c>
      <c r="D40" s="111" t="s">
        <v>51</v>
      </c>
      <c r="E40" s="204">
        <v>7142539.807500001</v>
      </c>
      <c r="F40" s="204">
        <v>7465139.6386999963</v>
      </c>
      <c r="G40" s="205">
        <f t="shared" si="0"/>
        <v>1.0451659829548658</v>
      </c>
      <c r="H40" s="205">
        <f t="shared" si="2"/>
        <v>0.9</v>
      </c>
      <c r="I40" s="206">
        <v>8262920.892852379</v>
      </c>
      <c r="J40" s="206">
        <v>7537088.7444000002</v>
      </c>
      <c r="K40" s="207">
        <f t="shared" si="3"/>
        <v>0.91215792116801686</v>
      </c>
      <c r="L40" s="207">
        <f t="shared" si="4"/>
        <v>0.9</v>
      </c>
      <c r="M40" s="208">
        <v>7473254.7413952369</v>
      </c>
      <c r="N40" s="208">
        <v>3546790.7280000011</v>
      </c>
      <c r="O40" s="209">
        <f t="shared" si="5"/>
        <v>0.47459786274297733</v>
      </c>
      <c r="P40" s="209">
        <f t="shared" si="6"/>
        <v>0</v>
      </c>
      <c r="Q40" s="210">
        <v>7798119.8679523794</v>
      </c>
      <c r="R40" s="203">
        <v>10454227.720699998</v>
      </c>
      <c r="S40" s="209">
        <f t="shared" si="7"/>
        <v>1.3406087489964496</v>
      </c>
      <c r="T40" s="209">
        <f t="shared" si="8"/>
        <v>0.9</v>
      </c>
      <c r="U40" s="213">
        <v>8658976.4402666688</v>
      </c>
      <c r="V40" s="213">
        <f>VLOOKUP(B40,'Dealer Wise'!B12:F132,5,0)</f>
        <v>12252773.970900003</v>
      </c>
      <c r="W40" s="214">
        <f t="shared" si="9"/>
        <v>1.4150372224043903</v>
      </c>
      <c r="X40" s="214">
        <f t="shared" si="10"/>
        <v>0.9</v>
      </c>
      <c r="Y40" s="174">
        <f t="shared" si="11"/>
        <v>39335811.749966666</v>
      </c>
      <c r="Z40" s="174">
        <f t="shared" si="12"/>
        <v>41256020.802699998</v>
      </c>
      <c r="AA40" s="159">
        <f t="shared" si="1"/>
        <v>1.0488157983096653</v>
      </c>
      <c r="AB40" s="175">
        <f t="shared" si="13"/>
        <v>-1920209.0527333319</v>
      </c>
      <c r="AC40" s="176">
        <f t="shared" si="14"/>
        <v>-1920209.0527333319</v>
      </c>
    </row>
    <row r="41" spans="1:29" x14ac:dyDescent="0.2">
      <c r="A41" s="107">
        <v>37</v>
      </c>
      <c r="B41" s="173" t="s">
        <v>55</v>
      </c>
      <c r="C41" s="111" t="s">
        <v>16</v>
      </c>
      <c r="D41" s="111" t="s">
        <v>51</v>
      </c>
      <c r="E41" s="204">
        <v>5947608.0274999999</v>
      </c>
      <c r="F41" s="204">
        <v>5415446.3205999983</v>
      </c>
      <c r="G41" s="205">
        <f t="shared" si="0"/>
        <v>0.91052508765886364</v>
      </c>
      <c r="H41" s="205">
        <f t="shared" si="2"/>
        <v>0.9</v>
      </c>
      <c r="I41" s="206">
        <v>5448695.7607333334</v>
      </c>
      <c r="J41" s="206">
        <v>5892103.6415000027</v>
      </c>
      <c r="K41" s="207">
        <f t="shared" si="3"/>
        <v>1.0813787189151101</v>
      </c>
      <c r="L41" s="207">
        <f t="shared" si="4"/>
        <v>0.9</v>
      </c>
      <c r="M41" s="208">
        <v>6197064.2914619055</v>
      </c>
      <c r="N41" s="208">
        <v>2795119.6324000005</v>
      </c>
      <c r="O41" s="209">
        <f t="shared" si="5"/>
        <v>0.45103931489802629</v>
      </c>
      <c r="P41" s="209">
        <f t="shared" si="6"/>
        <v>0</v>
      </c>
      <c r="Q41" s="210">
        <v>6567947.3954904778</v>
      </c>
      <c r="R41" s="203">
        <v>8374632.4236000031</v>
      </c>
      <c r="S41" s="209">
        <f t="shared" si="7"/>
        <v>1.2750760502969294</v>
      </c>
      <c r="T41" s="209">
        <f t="shared" si="8"/>
        <v>0.9</v>
      </c>
      <c r="U41" s="213">
        <v>6787407.0162809528</v>
      </c>
      <c r="V41" s="213">
        <f>VLOOKUP(B41,'Dealer Wise'!B13:F133,5,0)</f>
        <v>9717752.9169000033</v>
      </c>
      <c r="W41" s="214">
        <f t="shared" si="9"/>
        <v>1.4317327506056481</v>
      </c>
      <c r="X41" s="214">
        <f t="shared" si="10"/>
        <v>0.9</v>
      </c>
      <c r="Y41" s="174">
        <f t="shared" si="11"/>
        <v>30948722.491466671</v>
      </c>
      <c r="Z41" s="174">
        <f t="shared" si="12"/>
        <v>32195054.93500001</v>
      </c>
      <c r="AA41" s="159">
        <f t="shared" si="1"/>
        <v>1.0402708849735876</v>
      </c>
      <c r="AB41" s="175">
        <f t="shared" si="13"/>
        <v>-1246332.4435333386</v>
      </c>
      <c r="AC41" s="176">
        <f t="shared" si="14"/>
        <v>-1246332.4435333386</v>
      </c>
    </row>
    <row r="42" spans="1:29" x14ac:dyDescent="0.2">
      <c r="A42" s="107">
        <v>38</v>
      </c>
      <c r="B42" s="173" t="s">
        <v>63</v>
      </c>
      <c r="C42" s="111" t="s">
        <v>16</v>
      </c>
      <c r="D42" s="111" t="s">
        <v>1461</v>
      </c>
      <c r="E42" s="204">
        <v>16177258.529999997</v>
      </c>
      <c r="F42" s="204">
        <v>14742379.152099999</v>
      </c>
      <c r="G42" s="205">
        <f t="shared" si="0"/>
        <v>0.91130268609856979</v>
      </c>
      <c r="H42" s="205">
        <f t="shared" si="2"/>
        <v>0.9</v>
      </c>
      <c r="I42" s="206">
        <v>16729959.0510619</v>
      </c>
      <c r="J42" s="206">
        <v>16762728.447799999</v>
      </c>
      <c r="K42" s="207">
        <f t="shared" si="3"/>
        <v>1.0019587254600015</v>
      </c>
      <c r="L42" s="207">
        <f t="shared" si="4"/>
        <v>0.9</v>
      </c>
      <c r="M42" s="208">
        <v>16441199.232180953</v>
      </c>
      <c r="N42" s="208">
        <v>8250051.2523999996</v>
      </c>
      <c r="O42" s="209">
        <f t="shared" si="5"/>
        <v>0.5017913313921698</v>
      </c>
      <c r="P42" s="209">
        <f t="shared" si="6"/>
        <v>0</v>
      </c>
      <c r="Q42" s="210">
        <v>12078626.651285715</v>
      </c>
      <c r="R42" s="203">
        <v>20315634.056300007</v>
      </c>
      <c r="S42" s="209">
        <f t="shared" si="7"/>
        <v>1.6819490032120084</v>
      </c>
      <c r="T42" s="209">
        <f t="shared" si="8"/>
        <v>0.9</v>
      </c>
      <c r="U42" s="213">
        <v>18214703.76507619</v>
      </c>
      <c r="V42" s="213">
        <f>VLOOKUP(B42,'Dealer Wise'!B41:F161,5,0)</f>
        <v>22168705.641800012</v>
      </c>
      <c r="W42" s="214">
        <f t="shared" si="9"/>
        <v>1.2170774736564749</v>
      </c>
      <c r="X42" s="214">
        <f t="shared" si="10"/>
        <v>0.9</v>
      </c>
      <c r="Y42" s="174">
        <f t="shared" si="11"/>
        <v>79641747.229604751</v>
      </c>
      <c r="Z42" s="174">
        <f t="shared" si="12"/>
        <v>82239498.550400019</v>
      </c>
      <c r="AA42" s="159">
        <f t="shared" si="1"/>
        <v>1.0326179599413612</v>
      </c>
      <c r="AB42" s="175">
        <f t="shared" si="13"/>
        <v>-2597751.3207952678</v>
      </c>
      <c r="AC42" s="176">
        <f t="shared" si="14"/>
        <v>-2597751.3207952678</v>
      </c>
    </row>
    <row r="43" spans="1:29" x14ac:dyDescent="0.2">
      <c r="A43" s="107">
        <v>39</v>
      </c>
      <c r="B43" s="173" t="s">
        <v>53</v>
      </c>
      <c r="C43" s="111" t="s">
        <v>27</v>
      </c>
      <c r="D43" s="111" t="s">
        <v>1455</v>
      </c>
      <c r="E43" s="204">
        <v>3375933.8274999997</v>
      </c>
      <c r="F43" s="204">
        <v>3412159.6527000004</v>
      </c>
      <c r="G43" s="205">
        <f t="shared" si="0"/>
        <v>1.0107306087888657</v>
      </c>
      <c r="H43" s="205">
        <f t="shared" si="2"/>
        <v>0.9</v>
      </c>
      <c r="I43" s="206">
        <v>3541409.380876191</v>
      </c>
      <c r="J43" s="206">
        <v>3226998.6419000006</v>
      </c>
      <c r="K43" s="207">
        <f t="shared" si="3"/>
        <v>0.91121875356347504</v>
      </c>
      <c r="L43" s="207">
        <f t="shared" si="4"/>
        <v>0.9</v>
      </c>
      <c r="M43" s="208">
        <v>3514647.3128333329</v>
      </c>
      <c r="N43" s="208">
        <v>1981859.4325999997</v>
      </c>
      <c r="O43" s="209">
        <f t="shared" si="5"/>
        <v>0.56388572058523956</v>
      </c>
      <c r="P43" s="209">
        <f t="shared" si="6"/>
        <v>0</v>
      </c>
      <c r="Q43" s="210">
        <v>4164353.0543095232</v>
      </c>
      <c r="R43" s="203">
        <v>5780353.1228999961</v>
      </c>
      <c r="S43" s="209">
        <f t="shared" si="7"/>
        <v>1.3880554908566503</v>
      </c>
      <c r="T43" s="209">
        <f t="shared" si="8"/>
        <v>0.9</v>
      </c>
      <c r="U43" s="213">
        <v>5675444.328842856</v>
      </c>
      <c r="V43" s="213">
        <f>VLOOKUP(B43,'Dealer Wise'!B42:F162,5,0)</f>
        <v>5302772.1223000009</v>
      </c>
      <c r="W43" s="214">
        <f t="shared" si="9"/>
        <v>0.93433602993004117</v>
      </c>
      <c r="X43" s="214">
        <f t="shared" si="10"/>
        <v>0.9</v>
      </c>
      <c r="Y43" s="174">
        <f t="shared" si="11"/>
        <v>20271787.904361904</v>
      </c>
      <c r="Z43" s="174">
        <f t="shared" si="12"/>
        <v>19704142.972399995</v>
      </c>
      <c r="AA43" s="159">
        <f t="shared" si="1"/>
        <v>0.97199827984389242</v>
      </c>
      <c r="AB43" s="175">
        <f t="shared" si="13"/>
        <v>567644.93196190894</v>
      </c>
      <c r="AC43" s="176">
        <f t="shared" si="14"/>
        <v>567644.93196190894</v>
      </c>
    </row>
    <row r="44" spans="1:29" x14ac:dyDescent="0.2">
      <c r="A44" s="107">
        <v>40</v>
      </c>
      <c r="B44" s="173" t="s">
        <v>104</v>
      </c>
      <c r="C44" s="111" t="s">
        <v>27</v>
      </c>
      <c r="D44" s="111" t="s">
        <v>1455</v>
      </c>
      <c r="E44" s="204">
        <v>11233719.667499997</v>
      </c>
      <c r="F44" s="204">
        <v>9706859.9215999991</v>
      </c>
      <c r="G44" s="205">
        <f t="shared" si="0"/>
        <v>0.86408244187209704</v>
      </c>
      <c r="H44" s="205">
        <f t="shared" si="2"/>
        <v>0</v>
      </c>
      <c r="I44" s="206">
        <v>12754674.660895243</v>
      </c>
      <c r="J44" s="206">
        <v>5382491.6504999995</v>
      </c>
      <c r="K44" s="207">
        <f t="shared" si="3"/>
        <v>0.42200148522817793</v>
      </c>
      <c r="L44" s="207">
        <f t="shared" si="4"/>
        <v>0</v>
      </c>
      <c r="M44" s="208">
        <v>10575099.525985712</v>
      </c>
      <c r="N44" s="208">
        <v>7771258.3182000006</v>
      </c>
      <c r="O44" s="209">
        <f t="shared" si="5"/>
        <v>0.73486384682281625</v>
      </c>
      <c r="P44" s="209">
        <f t="shared" si="6"/>
        <v>0</v>
      </c>
      <c r="Q44" s="210">
        <v>8865309.9247095231</v>
      </c>
      <c r="R44" s="203">
        <v>7144654.6873999992</v>
      </c>
      <c r="S44" s="209">
        <f t="shared" si="7"/>
        <v>0.80591143999222314</v>
      </c>
      <c r="T44" s="209">
        <f t="shared" si="8"/>
        <v>0</v>
      </c>
      <c r="U44" s="213">
        <v>12134240.129785717</v>
      </c>
      <c r="V44" s="213">
        <f>VLOOKUP(B44,'Dealer Wise'!B43:F163,5,0)</f>
        <v>15919332.250199994</v>
      </c>
      <c r="W44" s="214">
        <f t="shared" si="9"/>
        <v>1.3119348290399393</v>
      </c>
      <c r="X44" s="214">
        <f t="shared" si="10"/>
        <v>0.9</v>
      </c>
      <c r="Y44" s="174">
        <f t="shared" si="11"/>
        <v>55563043.908876188</v>
      </c>
      <c r="Z44" s="174">
        <f t="shared" si="12"/>
        <v>45924596.827899992</v>
      </c>
      <c r="AA44" s="159">
        <f t="shared" si="1"/>
        <v>0.82653133444626747</v>
      </c>
      <c r="AB44" s="175">
        <f t="shared" si="13"/>
        <v>9638447.0809761956</v>
      </c>
      <c r="AC44" s="176">
        <f t="shared" si="14"/>
        <v>9638447.0809761956</v>
      </c>
    </row>
    <row r="45" spans="1:29" x14ac:dyDescent="0.2">
      <c r="A45" s="107">
        <v>41</v>
      </c>
      <c r="B45" s="173" t="s">
        <v>97</v>
      </c>
      <c r="C45" s="111" t="s">
        <v>27</v>
      </c>
      <c r="D45" s="111" t="s">
        <v>1455</v>
      </c>
      <c r="E45" s="204">
        <v>5739362.0899999999</v>
      </c>
      <c r="F45" s="204">
        <v>5246066.6566000003</v>
      </c>
      <c r="G45" s="205">
        <f t="shared" si="0"/>
        <v>0.91405047709753406</v>
      </c>
      <c r="H45" s="205">
        <f t="shared" si="2"/>
        <v>0.9</v>
      </c>
      <c r="I45" s="206">
        <v>6208696.38172381</v>
      </c>
      <c r="J45" s="206">
        <v>4997612.9802000001</v>
      </c>
      <c r="K45" s="207">
        <f t="shared" si="3"/>
        <v>0.80493757029433621</v>
      </c>
      <c r="L45" s="207">
        <f t="shared" si="4"/>
        <v>0</v>
      </c>
      <c r="M45" s="208">
        <v>5383539.4488428561</v>
      </c>
      <c r="N45" s="208">
        <v>3045246.2619999996</v>
      </c>
      <c r="O45" s="209">
        <f t="shared" si="5"/>
        <v>0.56565876240668178</v>
      </c>
      <c r="P45" s="209">
        <f t="shared" si="6"/>
        <v>0</v>
      </c>
      <c r="Q45" s="210">
        <v>4006529.5921047614</v>
      </c>
      <c r="R45" s="203">
        <v>4871907.112999999</v>
      </c>
      <c r="S45" s="209">
        <f t="shared" si="7"/>
        <v>1.2159917956429285</v>
      </c>
      <c r="T45" s="209">
        <f t="shared" si="8"/>
        <v>0.9</v>
      </c>
      <c r="U45" s="213">
        <v>5675444.328842856</v>
      </c>
      <c r="V45" s="213">
        <f>VLOOKUP(B45,'Dealer Wise'!B44:F164,5,0)</f>
        <v>7892293.6694999998</v>
      </c>
      <c r="W45" s="214">
        <f t="shared" si="9"/>
        <v>1.3906036624112439</v>
      </c>
      <c r="X45" s="214">
        <f t="shared" si="10"/>
        <v>0.9</v>
      </c>
      <c r="Y45" s="174">
        <f t="shared" si="11"/>
        <v>27013571.841514286</v>
      </c>
      <c r="Z45" s="174">
        <f t="shared" si="12"/>
        <v>26053126.681299999</v>
      </c>
      <c r="AA45" s="159">
        <f t="shared" si="1"/>
        <v>0.964445828717168</v>
      </c>
      <c r="AB45" s="175">
        <f t="shared" si="13"/>
        <v>960445.1602142863</v>
      </c>
      <c r="AC45" s="176">
        <f t="shared" si="14"/>
        <v>960445.1602142863</v>
      </c>
    </row>
    <row r="46" spans="1:29" x14ac:dyDescent="0.2">
      <c r="A46" s="107">
        <v>42</v>
      </c>
      <c r="B46" s="173" t="s">
        <v>98</v>
      </c>
      <c r="C46" s="111" t="s">
        <v>94</v>
      </c>
      <c r="D46" s="111" t="s">
        <v>1466</v>
      </c>
      <c r="E46" s="204">
        <v>7489675.3925000019</v>
      </c>
      <c r="F46" s="204">
        <v>6482049.4771999987</v>
      </c>
      <c r="G46" s="205">
        <f t="shared" si="0"/>
        <v>0.86546467470285593</v>
      </c>
      <c r="H46" s="205">
        <f t="shared" si="2"/>
        <v>0</v>
      </c>
      <c r="I46" s="206">
        <v>8237351.8294904772</v>
      </c>
      <c r="J46" s="206">
        <v>5744980.9970000014</v>
      </c>
      <c r="K46" s="207">
        <f t="shared" si="3"/>
        <v>0.69743057185349799</v>
      </c>
      <c r="L46" s="207">
        <f t="shared" si="4"/>
        <v>0</v>
      </c>
      <c r="M46" s="208">
        <v>7206614.8765285695</v>
      </c>
      <c r="N46" s="208">
        <v>3319580.4592999998</v>
      </c>
      <c r="O46" s="209">
        <f t="shared" si="5"/>
        <v>0.46062964598144912</v>
      </c>
      <c r="P46" s="209">
        <f t="shared" si="6"/>
        <v>0</v>
      </c>
      <c r="Q46" s="210">
        <v>5612749.2035142863</v>
      </c>
      <c r="R46" s="203">
        <v>3445348.6072</v>
      </c>
      <c r="S46" s="209">
        <f t="shared" si="7"/>
        <v>0.61384332031845978</v>
      </c>
      <c r="T46" s="209">
        <f t="shared" si="8"/>
        <v>0</v>
      </c>
      <c r="U46" s="213">
        <v>6916063.3934428571</v>
      </c>
      <c r="V46" s="213">
        <f>VLOOKUP(B46,'Dealer Wise'!B45:F165,5,0)</f>
        <v>10459880.097500004</v>
      </c>
      <c r="W46" s="214">
        <f t="shared" si="9"/>
        <v>1.5124037335194254</v>
      </c>
      <c r="X46" s="214">
        <f t="shared" si="10"/>
        <v>0.9</v>
      </c>
      <c r="Y46" s="174">
        <f t="shared" si="11"/>
        <v>35462454.695476189</v>
      </c>
      <c r="Z46" s="174">
        <f t="shared" si="12"/>
        <v>29451839.638200004</v>
      </c>
      <c r="AA46" s="159">
        <f t="shared" si="1"/>
        <v>0.83050764226868545</v>
      </c>
      <c r="AB46" s="175">
        <f t="shared" si="13"/>
        <v>6010615.0572761856</v>
      </c>
      <c r="AC46" s="176">
        <f t="shared" si="14"/>
        <v>6010615.0572761856</v>
      </c>
    </row>
    <row r="47" spans="1:29" x14ac:dyDescent="0.2">
      <c r="A47" s="107">
        <v>43</v>
      </c>
      <c r="B47" s="108" t="s">
        <v>121</v>
      </c>
      <c r="C47" s="111" t="s">
        <v>94</v>
      </c>
      <c r="D47" s="111" t="s">
        <v>1396</v>
      </c>
      <c r="E47" s="204">
        <v>9260004.2524999995</v>
      </c>
      <c r="F47" s="204">
        <v>7419726.3269000016</v>
      </c>
      <c r="G47" s="205">
        <f t="shared" si="0"/>
        <v>0.80126597402985389</v>
      </c>
      <c r="H47" s="205">
        <f t="shared" si="2"/>
        <v>0</v>
      </c>
      <c r="I47" s="206">
        <v>9854274.5551380944</v>
      </c>
      <c r="J47" s="206">
        <v>4092492.0460000001</v>
      </c>
      <c r="K47" s="207">
        <f t="shared" si="3"/>
        <v>0.41530119980939068</v>
      </c>
      <c r="L47" s="207">
        <f t="shared" si="4"/>
        <v>0</v>
      </c>
      <c r="M47" s="208">
        <v>9114942.3419904746</v>
      </c>
      <c r="N47" s="208">
        <v>4621810.6157999989</v>
      </c>
      <c r="O47" s="209">
        <f t="shared" si="5"/>
        <v>0.50705867820012029</v>
      </c>
      <c r="P47" s="209">
        <f t="shared" si="6"/>
        <v>0</v>
      </c>
      <c r="Q47" s="210">
        <v>7419740.7231666669</v>
      </c>
      <c r="R47" s="203">
        <v>9557441.8836000022</v>
      </c>
      <c r="S47" s="209">
        <f t="shared" si="7"/>
        <v>1.2881099542681846</v>
      </c>
      <c r="T47" s="209">
        <f t="shared" si="8"/>
        <v>0.9</v>
      </c>
      <c r="U47" s="213">
        <v>8497477.3262142856</v>
      </c>
      <c r="V47" s="213">
        <f>VLOOKUP(B47,'Dealer Wise'!B46:F166,5,0)</f>
        <v>11268939.457400005</v>
      </c>
      <c r="W47" s="214">
        <f t="shared" si="9"/>
        <v>1.3261511651976876</v>
      </c>
      <c r="X47" s="214">
        <f t="shared" si="10"/>
        <v>0.9</v>
      </c>
      <c r="Y47" s="174">
        <f t="shared" si="11"/>
        <v>44146439.199009523</v>
      </c>
      <c r="Z47" s="174">
        <f t="shared" si="12"/>
        <v>36960410.329700008</v>
      </c>
      <c r="AA47" s="159">
        <f t="shared" si="1"/>
        <v>0.83722291084643718</v>
      </c>
      <c r="AB47" s="175">
        <f t="shared" si="13"/>
        <v>7186028.8693095148</v>
      </c>
      <c r="AC47" s="176">
        <f t="shared" si="14"/>
        <v>7186028.8693095148</v>
      </c>
    </row>
    <row r="48" spans="1:29" x14ac:dyDescent="0.2">
      <c r="A48" s="107">
        <v>44</v>
      </c>
      <c r="B48" s="173" t="s">
        <v>1126</v>
      </c>
      <c r="C48" s="111" t="s">
        <v>94</v>
      </c>
      <c r="D48" s="111" t="s">
        <v>1396</v>
      </c>
      <c r="E48" s="204">
        <v>4747651.3325000005</v>
      </c>
      <c r="F48" s="204">
        <v>3818130.6775000002</v>
      </c>
      <c r="G48" s="205">
        <f t="shared" si="0"/>
        <v>0.80421463374174595</v>
      </c>
      <c r="H48" s="205">
        <f t="shared" si="2"/>
        <v>0</v>
      </c>
      <c r="I48" s="206">
        <v>5293521.8939809529</v>
      </c>
      <c r="J48" s="206">
        <v>1125386.1873999999</v>
      </c>
      <c r="K48" s="207">
        <f t="shared" si="3"/>
        <v>0.21259687027640908</v>
      </c>
      <c r="L48" s="207">
        <f t="shared" si="4"/>
        <v>0</v>
      </c>
      <c r="M48" s="208">
        <v>4506127.6281714272</v>
      </c>
      <c r="N48" s="208">
        <v>2195061.129699999</v>
      </c>
      <c r="O48" s="209">
        <f t="shared" si="5"/>
        <v>0.48712804226336309</v>
      </c>
      <c r="P48" s="209">
        <f t="shared" si="6"/>
        <v>0</v>
      </c>
      <c r="Q48" s="210">
        <v>4007785.535509523</v>
      </c>
      <c r="R48" s="203">
        <v>5851825.0389999971</v>
      </c>
      <c r="S48" s="209">
        <f t="shared" si="7"/>
        <v>1.4601143167846768</v>
      </c>
      <c r="T48" s="209">
        <f t="shared" si="8"/>
        <v>0.9</v>
      </c>
      <c r="U48" s="213">
        <v>4797836.7207428562</v>
      </c>
      <c r="V48" s="213">
        <f>VLOOKUP(B48,'Dealer Wise'!B47:F167,5,0)</f>
        <v>6918009.067400001</v>
      </c>
      <c r="W48" s="214">
        <f t="shared" si="9"/>
        <v>1.4419017298964845</v>
      </c>
      <c r="X48" s="214">
        <f t="shared" si="10"/>
        <v>0.9</v>
      </c>
      <c r="Y48" s="174">
        <f t="shared" si="11"/>
        <v>23352923.110904757</v>
      </c>
      <c r="Z48" s="174">
        <f t="shared" si="12"/>
        <v>19908412.100999996</v>
      </c>
      <c r="AA48" s="159">
        <f t="shared" si="1"/>
        <v>0.8525019333320063</v>
      </c>
      <c r="AB48" s="175">
        <f t="shared" si="13"/>
        <v>3444511.0099047609</v>
      </c>
      <c r="AC48" s="176">
        <f t="shared" si="14"/>
        <v>3444511.0099047609</v>
      </c>
    </row>
    <row r="49" spans="1:29" x14ac:dyDescent="0.2">
      <c r="A49" s="107">
        <v>45</v>
      </c>
      <c r="B49" s="173" t="s">
        <v>123</v>
      </c>
      <c r="C49" s="111" t="s">
        <v>138</v>
      </c>
      <c r="D49" s="111" t="s">
        <v>1399</v>
      </c>
      <c r="E49" s="204">
        <v>19282697.295000006</v>
      </c>
      <c r="F49" s="204">
        <v>19664322.4417</v>
      </c>
      <c r="G49" s="205">
        <f t="shared" si="0"/>
        <v>1.0197910666159216</v>
      </c>
      <c r="H49" s="205">
        <f t="shared" si="2"/>
        <v>0.9</v>
      </c>
      <c r="I49" s="206">
        <v>20819460.362861905</v>
      </c>
      <c r="J49" s="206">
        <v>29391575.384400014</v>
      </c>
      <c r="K49" s="207">
        <f t="shared" si="3"/>
        <v>1.4117356968977537</v>
      </c>
      <c r="L49" s="207">
        <f t="shared" si="4"/>
        <v>0.9</v>
      </c>
      <c r="M49" s="208">
        <v>14909009.483747618</v>
      </c>
      <c r="N49" s="208">
        <v>8294862.7327000033</v>
      </c>
      <c r="O49" s="209">
        <f t="shared" si="5"/>
        <v>0.55636578283367999</v>
      </c>
      <c r="P49" s="209">
        <f t="shared" si="6"/>
        <v>0</v>
      </c>
      <c r="Q49" s="210">
        <v>16784326.614495236</v>
      </c>
      <c r="R49" s="203">
        <v>19497874.516100008</v>
      </c>
      <c r="S49" s="209">
        <f t="shared" si="7"/>
        <v>1.1616715382112086</v>
      </c>
      <c r="T49" s="209">
        <f t="shared" si="8"/>
        <v>0.9</v>
      </c>
      <c r="U49" s="213">
        <v>25367561.171190478</v>
      </c>
      <c r="V49" s="213">
        <f>VLOOKUP(B49,'Dealer Wise'!B4:F124,5,0)</f>
        <v>35960255.670400023</v>
      </c>
      <c r="W49" s="214">
        <f t="shared" si="9"/>
        <v>1.4175685012731729</v>
      </c>
      <c r="X49" s="214">
        <f t="shared" si="10"/>
        <v>0.9</v>
      </c>
      <c r="Y49" s="174">
        <f t="shared" si="11"/>
        <v>97163054.927295238</v>
      </c>
      <c r="Z49" s="174">
        <f t="shared" si="12"/>
        <v>112808890.74530005</v>
      </c>
      <c r="AA49" s="159">
        <f t="shared" si="1"/>
        <v>1.1610265942102398</v>
      </c>
      <c r="AB49" s="175">
        <f t="shared" si="13"/>
        <v>-15645835.818004817</v>
      </c>
      <c r="AC49" s="176">
        <f t="shared" si="14"/>
        <v>-15645835.818004817</v>
      </c>
    </row>
    <row r="50" spans="1:29" x14ac:dyDescent="0.2">
      <c r="A50" s="107">
        <v>46</v>
      </c>
      <c r="B50" s="173" t="s">
        <v>124</v>
      </c>
      <c r="C50" s="111" t="s">
        <v>138</v>
      </c>
      <c r="D50" s="111" t="s">
        <v>1399</v>
      </c>
      <c r="E50" s="204">
        <v>14509482.7325</v>
      </c>
      <c r="F50" s="204">
        <v>13999030.607800005</v>
      </c>
      <c r="G50" s="205">
        <f t="shared" si="0"/>
        <v>0.96481941264821069</v>
      </c>
      <c r="H50" s="205">
        <f t="shared" si="2"/>
        <v>0.9</v>
      </c>
      <c r="I50" s="206">
        <v>15501013.03818571</v>
      </c>
      <c r="J50" s="206">
        <v>15950486.235600006</v>
      </c>
      <c r="K50" s="207">
        <f t="shared" si="3"/>
        <v>1.0289963756760316</v>
      </c>
      <c r="L50" s="207">
        <f t="shared" si="4"/>
        <v>0.9</v>
      </c>
      <c r="M50" s="208">
        <v>14019783.819376189</v>
      </c>
      <c r="N50" s="208">
        <v>5773846.1376000065</v>
      </c>
      <c r="O50" s="209">
        <f t="shared" si="5"/>
        <v>0.41183560402837327</v>
      </c>
      <c r="P50" s="209">
        <f t="shared" si="6"/>
        <v>0</v>
      </c>
      <c r="Q50" s="210">
        <v>14203884.874342859</v>
      </c>
      <c r="R50" s="203">
        <v>12933107.111999998</v>
      </c>
      <c r="S50" s="209">
        <f t="shared" si="7"/>
        <v>0.91053308488592966</v>
      </c>
      <c r="T50" s="209">
        <f t="shared" si="8"/>
        <v>0.9</v>
      </c>
      <c r="U50" s="213">
        <v>12980974.704190478</v>
      </c>
      <c r="V50" s="213">
        <f>VLOOKUP(B50,'Dealer Wise'!B22:F142,5,0)</f>
        <v>19308762.159799997</v>
      </c>
      <c r="W50" s="214">
        <f t="shared" si="9"/>
        <v>1.487466280445551</v>
      </c>
      <c r="X50" s="214">
        <f t="shared" si="10"/>
        <v>0.9</v>
      </c>
      <c r="Y50" s="174">
        <f t="shared" si="11"/>
        <v>71215139.16859524</v>
      </c>
      <c r="Z50" s="174">
        <f t="shared" si="12"/>
        <v>67965232.252800003</v>
      </c>
      <c r="AA50" s="159">
        <f t="shared" si="1"/>
        <v>0.95436494327278665</v>
      </c>
      <c r="AB50" s="175">
        <f t="shared" si="13"/>
        <v>3249906.9157952368</v>
      </c>
      <c r="AC50" s="176">
        <f t="shared" si="14"/>
        <v>3249906.9157952368</v>
      </c>
    </row>
    <row r="51" spans="1:29" x14ac:dyDescent="0.2">
      <c r="A51" s="107">
        <v>47</v>
      </c>
      <c r="B51" s="173" t="s">
        <v>122</v>
      </c>
      <c r="C51" s="111" t="s">
        <v>138</v>
      </c>
      <c r="D51" s="111" t="s">
        <v>1399</v>
      </c>
      <c r="E51" s="204">
        <v>9611385.0350000001</v>
      </c>
      <c r="F51" s="204">
        <v>5289008.3500999976</v>
      </c>
      <c r="G51" s="205">
        <f t="shared" si="0"/>
        <v>0.5502857632734508</v>
      </c>
      <c r="H51" s="205">
        <f t="shared" si="2"/>
        <v>0</v>
      </c>
      <c r="I51" s="206">
        <v>9808266.8844380975</v>
      </c>
      <c r="J51" s="206">
        <v>4891587.4751999974</v>
      </c>
      <c r="K51" s="207">
        <f t="shared" si="3"/>
        <v>0.4987208782992073</v>
      </c>
      <c r="L51" s="207">
        <f t="shared" si="4"/>
        <v>0</v>
      </c>
      <c r="M51" s="208">
        <v>9220164.7302428596</v>
      </c>
      <c r="N51" s="208">
        <v>3683078.0066000009</v>
      </c>
      <c r="O51" s="209">
        <f t="shared" si="5"/>
        <v>0.39945902425357083</v>
      </c>
      <c r="P51" s="209">
        <f t="shared" si="6"/>
        <v>0</v>
      </c>
      <c r="Q51" s="210">
        <v>7175261.069980952</v>
      </c>
      <c r="R51" s="203">
        <v>873043.17299999995</v>
      </c>
      <c r="S51" s="209">
        <f t="shared" si="7"/>
        <v>0.12167406377066049</v>
      </c>
      <c r="T51" s="209">
        <f t="shared" si="8"/>
        <v>0</v>
      </c>
      <c r="U51" s="213">
        <v>0</v>
      </c>
      <c r="V51" s="213">
        <v>0</v>
      </c>
      <c r="W51" s="214">
        <f t="shared" si="9"/>
        <v>0</v>
      </c>
      <c r="X51" s="214">
        <f t="shared" si="10"/>
        <v>0</v>
      </c>
      <c r="Y51" s="174">
        <f t="shared" si="11"/>
        <v>35815077.719661906</v>
      </c>
      <c r="Z51" s="174">
        <f t="shared" si="12"/>
        <v>14736717.004899997</v>
      </c>
      <c r="AA51" s="159">
        <f t="shared" si="1"/>
        <v>0.41146684422269941</v>
      </c>
      <c r="AB51" s="175">
        <f t="shared" si="13"/>
        <v>21078360.714761909</v>
      </c>
      <c r="AC51" s="176">
        <f t="shared" si="14"/>
        <v>21078360.714761909</v>
      </c>
    </row>
    <row r="52" spans="1:29" x14ac:dyDescent="0.2">
      <c r="A52" s="107">
        <v>48</v>
      </c>
      <c r="B52" s="173" t="s">
        <v>109</v>
      </c>
      <c r="C52" s="111" t="s">
        <v>138</v>
      </c>
      <c r="D52" s="111" t="s">
        <v>1449</v>
      </c>
      <c r="E52" s="204">
        <v>5344484.5074999966</v>
      </c>
      <c r="F52" s="204">
        <v>2970563.4692000006</v>
      </c>
      <c r="G52" s="205">
        <f t="shared" si="0"/>
        <v>0.5558185200146738</v>
      </c>
      <c r="H52" s="205">
        <f t="shared" si="2"/>
        <v>0</v>
      </c>
      <c r="I52" s="206">
        <v>5256501.3097809535</v>
      </c>
      <c r="J52" s="206">
        <v>2965065.6096000001</v>
      </c>
      <c r="K52" s="207">
        <f t="shared" si="3"/>
        <v>0.56407588143900966</v>
      </c>
      <c r="L52" s="207">
        <f t="shared" si="4"/>
        <v>0</v>
      </c>
      <c r="M52" s="208">
        <v>4497781.2872714279</v>
      </c>
      <c r="N52" s="208">
        <v>2831482.3491999996</v>
      </c>
      <c r="O52" s="209">
        <f t="shared" si="5"/>
        <v>0.62952868722474364</v>
      </c>
      <c r="P52" s="209">
        <f t="shared" si="6"/>
        <v>0</v>
      </c>
      <c r="Q52" s="210">
        <v>3575898.1894904757</v>
      </c>
      <c r="R52" s="203">
        <v>3586383.7161000017</v>
      </c>
      <c r="S52" s="209">
        <f t="shared" si="7"/>
        <v>1.0029322777254517</v>
      </c>
      <c r="T52" s="209">
        <f t="shared" si="8"/>
        <v>0.9</v>
      </c>
      <c r="U52" s="213">
        <v>4967354.8607476195</v>
      </c>
      <c r="V52" s="213">
        <f>VLOOKUP(B52,'Dealer Wise'!B7:F127,5,0)</f>
        <v>4487040.9965000013</v>
      </c>
      <c r="W52" s="214">
        <f t="shared" si="9"/>
        <v>0.90330590873563488</v>
      </c>
      <c r="X52" s="214">
        <f t="shared" si="10"/>
        <v>0.9</v>
      </c>
      <c r="Y52" s="174">
        <f t="shared" si="11"/>
        <v>23642020.154790472</v>
      </c>
      <c r="Z52" s="174">
        <f t="shared" si="12"/>
        <v>16840536.140600003</v>
      </c>
      <c r="AA52" s="159">
        <f t="shared" si="1"/>
        <v>0.71231375450746681</v>
      </c>
      <c r="AB52" s="175">
        <f t="shared" si="13"/>
        <v>6801484.0141904689</v>
      </c>
      <c r="AC52" s="176">
        <f t="shared" si="14"/>
        <v>6801484.0141904689</v>
      </c>
    </row>
    <row r="53" spans="1:29" x14ac:dyDescent="0.2">
      <c r="A53" s="107">
        <v>49</v>
      </c>
      <c r="B53" s="173" t="s">
        <v>117</v>
      </c>
      <c r="C53" s="111" t="s">
        <v>138</v>
      </c>
      <c r="D53" s="111" t="s">
        <v>1449</v>
      </c>
      <c r="E53" s="204">
        <v>3987981.0075000008</v>
      </c>
      <c r="F53" s="204">
        <v>3660593.7566999993</v>
      </c>
      <c r="G53" s="205">
        <f t="shared" si="0"/>
        <v>0.91790651706106419</v>
      </c>
      <c r="H53" s="205">
        <f t="shared" si="2"/>
        <v>0.9</v>
      </c>
      <c r="I53" s="206">
        <v>4197837.4077523816</v>
      </c>
      <c r="J53" s="206">
        <v>3660816.3947000005</v>
      </c>
      <c r="K53" s="207">
        <f t="shared" si="3"/>
        <v>0.87207198352641424</v>
      </c>
      <c r="L53" s="207">
        <f t="shared" si="4"/>
        <v>0</v>
      </c>
      <c r="M53" s="208">
        <v>3800213.1378000001</v>
      </c>
      <c r="N53" s="208">
        <v>2268895.61</v>
      </c>
      <c r="O53" s="209">
        <f t="shared" si="5"/>
        <v>0.59704430455011193</v>
      </c>
      <c r="P53" s="209">
        <f t="shared" si="6"/>
        <v>0</v>
      </c>
      <c r="Q53" s="210">
        <v>3460917.0404380942</v>
      </c>
      <c r="R53" s="203">
        <v>2301710.1639</v>
      </c>
      <c r="S53" s="209">
        <f t="shared" si="7"/>
        <v>0.66505788408283895</v>
      </c>
      <c r="T53" s="209">
        <f t="shared" si="8"/>
        <v>0</v>
      </c>
      <c r="U53" s="213">
        <v>4291940.5926333331</v>
      </c>
      <c r="V53" s="213">
        <f>VLOOKUP(B53,'Dealer Wise'!B8:F128,5,0)</f>
        <v>4723536.5485000024</v>
      </c>
      <c r="W53" s="214">
        <f t="shared" si="9"/>
        <v>1.1005596295082598</v>
      </c>
      <c r="X53" s="214">
        <f t="shared" si="10"/>
        <v>0.9</v>
      </c>
      <c r="Y53" s="174">
        <f t="shared" si="11"/>
        <v>19738889.186123811</v>
      </c>
      <c r="Z53" s="174">
        <f t="shared" si="12"/>
        <v>16615552.4738</v>
      </c>
      <c r="AA53" s="159">
        <f t="shared" si="1"/>
        <v>0.84176735160358074</v>
      </c>
      <c r="AB53" s="175">
        <f t="shared" si="13"/>
        <v>3123336.7123238109</v>
      </c>
      <c r="AC53" s="176">
        <f t="shared" si="14"/>
        <v>3123336.7123238109</v>
      </c>
    </row>
    <row r="54" spans="1:29" x14ac:dyDescent="0.2">
      <c r="A54" s="107">
        <v>50</v>
      </c>
      <c r="B54" s="173" t="s">
        <v>118</v>
      </c>
      <c r="C54" s="111" t="s">
        <v>138</v>
      </c>
      <c r="D54" s="111" t="s">
        <v>1449</v>
      </c>
      <c r="E54" s="204">
        <v>7356265.4775</v>
      </c>
      <c r="F54" s="204">
        <v>7469595.4065000024</v>
      </c>
      <c r="G54" s="205">
        <f t="shared" si="0"/>
        <v>1.0154059052581279</v>
      </c>
      <c r="H54" s="205">
        <f t="shared" si="2"/>
        <v>0.9</v>
      </c>
      <c r="I54" s="206">
        <v>7405369.4510809537</v>
      </c>
      <c r="J54" s="206">
        <v>6390323.1598000014</v>
      </c>
      <c r="K54" s="207">
        <f t="shared" si="3"/>
        <v>0.86293103970217355</v>
      </c>
      <c r="L54" s="207">
        <f t="shared" si="4"/>
        <v>0</v>
      </c>
      <c r="M54" s="208">
        <v>6801050.6939809546</v>
      </c>
      <c r="N54" s="208">
        <v>5041386.6328999996</v>
      </c>
      <c r="O54" s="209">
        <f t="shared" si="5"/>
        <v>0.74126585137230527</v>
      </c>
      <c r="P54" s="209">
        <f t="shared" si="6"/>
        <v>0</v>
      </c>
      <c r="Q54" s="210">
        <v>7423688.4856428541</v>
      </c>
      <c r="R54" s="203">
        <v>13097754.361</v>
      </c>
      <c r="S54" s="209">
        <f t="shared" si="7"/>
        <v>1.76431896170355</v>
      </c>
      <c r="T54" s="209">
        <f t="shared" si="8"/>
        <v>0.9</v>
      </c>
      <c r="U54" s="213">
        <v>8964140.0512238108</v>
      </c>
      <c r="V54" s="213">
        <f>VLOOKUP(B54,'Dealer Wise'!B9:F129,5,0)</f>
        <v>10411691.546400001</v>
      </c>
      <c r="W54" s="214">
        <f t="shared" si="9"/>
        <v>1.1614824720390848</v>
      </c>
      <c r="X54" s="214">
        <f t="shared" si="10"/>
        <v>0.9</v>
      </c>
      <c r="Y54" s="174">
        <f t="shared" si="11"/>
        <v>37950514.159428574</v>
      </c>
      <c r="Z54" s="174">
        <f t="shared" si="12"/>
        <v>42410751.106600009</v>
      </c>
      <c r="AA54" s="159">
        <f t="shared" si="1"/>
        <v>1.1175277080156059</v>
      </c>
      <c r="AB54" s="175">
        <f t="shared" si="13"/>
        <v>-4460236.9471714348</v>
      </c>
      <c r="AC54" s="176">
        <f t="shared" si="14"/>
        <v>-4460236.9471714348</v>
      </c>
    </row>
    <row r="55" spans="1:29" x14ac:dyDescent="0.2">
      <c r="A55" s="107">
        <v>51</v>
      </c>
      <c r="B55" s="173" t="s">
        <v>119</v>
      </c>
      <c r="C55" s="111" t="s">
        <v>138</v>
      </c>
      <c r="D55" s="111" t="s">
        <v>1449</v>
      </c>
      <c r="E55" s="204">
        <v>5077710.9924999997</v>
      </c>
      <c r="F55" s="204">
        <v>4118334.6554999994</v>
      </c>
      <c r="G55" s="205">
        <f t="shared" si="0"/>
        <v>0.81106125606261548</v>
      </c>
      <c r="H55" s="205">
        <f t="shared" si="2"/>
        <v>0</v>
      </c>
      <c r="I55" s="206">
        <v>5636594.6728428574</v>
      </c>
      <c r="J55" s="206">
        <v>3174056.8188000005</v>
      </c>
      <c r="K55" s="207">
        <f t="shared" si="3"/>
        <v>0.56311603069360705</v>
      </c>
      <c r="L55" s="207">
        <f t="shared" si="4"/>
        <v>0</v>
      </c>
      <c r="M55" s="208">
        <v>5004253.5165380957</v>
      </c>
      <c r="N55" s="208">
        <v>3572888.1688999995</v>
      </c>
      <c r="O55" s="209">
        <f t="shared" si="5"/>
        <v>0.71397025692089555</v>
      </c>
      <c r="P55" s="209">
        <f t="shared" si="6"/>
        <v>0</v>
      </c>
      <c r="Q55" s="210">
        <v>4781904.904504762</v>
      </c>
      <c r="R55" s="203">
        <v>5705656.2000999982</v>
      </c>
      <c r="S55" s="209">
        <f t="shared" si="7"/>
        <v>1.1931764253038621</v>
      </c>
      <c r="T55" s="209">
        <f t="shared" si="8"/>
        <v>0.9</v>
      </c>
      <c r="U55" s="213">
        <v>5160069.937561905</v>
      </c>
      <c r="V55" s="213">
        <f>VLOOKUP(B55,'Dealer Wise'!B10:F130,5,0)</f>
        <v>5741804.7116999999</v>
      </c>
      <c r="W55" s="214">
        <f t="shared" si="9"/>
        <v>1.112737769289414</v>
      </c>
      <c r="X55" s="214">
        <f t="shared" si="10"/>
        <v>0.9</v>
      </c>
      <c r="Y55" s="174">
        <f t="shared" si="11"/>
        <v>25660534.023947619</v>
      </c>
      <c r="Z55" s="174">
        <f t="shared" si="12"/>
        <v>22312740.554999996</v>
      </c>
      <c r="AA55" s="159">
        <f t="shared" si="1"/>
        <v>0.86953531575674514</v>
      </c>
      <c r="AB55" s="175">
        <f t="shared" si="13"/>
        <v>3347793.4689476229</v>
      </c>
      <c r="AC55" s="176">
        <f t="shared" si="14"/>
        <v>3347793.4689476229</v>
      </c>
    </row>
    <row r="56" spans="1:29" x14ac:dyDescent="0.2">
      <c r="A56" s="107">
        <v>52</v>
      </c>
      <c r="B56" s="173" t="s">
        <v>107</v>
      </c>
      <c r="C56" s="111" t="s">
        <v>138</v>
      </c>
      <c r="D56" s="111" t="s">
        <v>1398</v>
      </c>
      <c r="E56" s="204">
        <v>4806555.1124999998</v>
      </c>
      <c r="F56" s="204">
        <v>3852619.4976999997</v>
      </c>
      <c r="G56" s="205">
        <f t="shared" si="0"/>
        <v>0.80153444775465477</v>
      </c>
      <c r="H56" s="205">
        <f t="shared" si="2"/>
        <v>0</v>
      </c>
      <c r="I56" s="206">
        <v>5312456.8847285714</v>
      </c>
      <c r="J56" s="206">
        <v>4262360.2879999988</v>
      </c>
      <c r="K56" s="207">
        <f t="shared" si="3"/>
        <v>0.8023331540351456</v>
      </c>
      <c r="L56" s="207">
        <f t="shared" si="4"/>
        <v>0</v>
      </c>
      <c r="M56" s="208">
        <v>4496973.9908190472</v>
      </c>
      <c r="N56" s="208">
        <v>1332021.1368</v>
      </c>
      <c r="O56" s="209">
        <f t="shared" si="5"/>
        <v>0.29620387832338674</v>
      </c>
      <c r="P56" s="209">
        <f t="shared" si="6"/>
        <v>0</v>
      </c>
      <c r="Q56" s="210">
        <v>3752374.5269428575</v>
      </c>
      <c r="R56" s="203">
        <v>3629238.9076999999</v>
      </c>
      <c r="S56" s="209">
        <f t="shared" si="7"/>
        <v>0.96718461380687948</v>
      </c>
      <c r="T56" s="209">
        <f t="shared" si="8"/>
        <v>0.9</v>
      </c>
      <c r="U56" s="213">
        <v>4620797.1297904756</v>
      </c>
      <c r="V56" s="213">
        <f>VLOOKUP(B56,'Dealer Wise'!B11:F131,5,0)</f>
        <v>3832774.4065</v>
      </c>
      <c r="W56" s="214">
        <f t="shared" si="9"/>
        <v>0.8294617354633339</v>
      </c>
      <c r="X56" s="214">
        <f t="shared" si="10"/>
        <v>0</v>
      </c>
      <c r="Y56" s="174">
        <f t="shared" si="11"/>
        <v>22989157.644780949</v>
      </c>
      <c r="Z56" s="174">
        <f t="shared" si="12"/>
        <v>16909014.236699998</v>
      </c>
      <c r="AA56" s="159">
        <f t="shared" si="1"/>
        <v>0.73552126171698695</v>
      </c>
      <c r="AB56" s="175">
        <f t="shared" si="13"/>
        <v>6080143.4080809504</v>
      </c>
      <c r="AC56" s="176">
        <f t="shared" si="14"/>
        <v>6080143.4080809504</v>
      </c>
    </row>
    <row r="57" spans="1:29" x14ac:dyDescent="0.2">
      <c r="A57" s="107">
        <v>53</v>
      </c>
      <c r="B57" s="173" t="s">
        <v>120</v>
      </c>
      <c r="C57" s="111" t="s">
        <v>138</v>
      </c>
      <c r="D57" s="111" t="s">
        <v>1398</v>
      </c>
      <c r="E57" s="204">
        <v>3124089.8000000003</v>
      </c>
      <c r="F57" s="204">
        <v>2518630.4870999996</v>
      </c>
      <c r="G57" s="205">
        <f t="shared" si="0"/>
        <v>0.80619657191032068</v>
      </c>
      <c r="H57" s="205">
        <f t="shared" si="2"/>
        <v>0</v>
      </c>
      <c r="I57" s="206">
        <v>3512839.9232428581</v>
      </c>
      <c r="J57" s="206">
        <v>2824038.8882000009</v>
      </c>
      <c r="K57" s="207">
        <f t="shared" si="3"/>
        <v>0.80391903699187217</v>
      </c>
      <c r="L57" s="207">
        <f t="shared" si="4"/>
        <v>0</v>
      </c>
      <c r="M57" s="208">
        <v>3197896.6094428576</v>
      </c>
      <c r="N57" s="208">
        <v>1330870.6184999999</v>
      </c>
      <c r="O57" s="209">
        <f t="shared" si="5"/>
        <v>0.41617062120462556</v>
      </c>
      <c r="P57" s="209">
        <f t="shared" si="6"/>
        <v>0</v>
      </c>
      <c r="Q57" s="210">
        <v>3340524.9166333331</v>
      </c>
      <c r="R57" s="203">
        <v>3769854.0012999997</v>
      </c>
      <c r="S57" s="209">
        <f t="shared" si="7"/>
        <v>1.1285214435997548</v>
      </c>
      <c r="T57" s="209">
        <f t="shared" si="8"/>
        <v>0.9</v>
      </c>
      <c r="U57" s="213">
        <v>3762607.7558238101</v>
      </c>
      <c r="V57" s="213">
        <f>VLOOKUP(B57,'Dealer Wise'!B12:F132,5,0)</f>
        <v>2898481.4031000012</v>
      </c>
      <c r="W57" s="214">
        <f t="shared" si="9"/>
        <v>0.77033844375983551</v>
      </c>
      <c r="X57" s="214">
        <f t="shared" si="10"/>
        <v>0</v>
      </c>
      <c r="Y57" s="174">
        <f t="shared" si="11"/>
        <v>16937959.00514286</v>
      </c>
      <c r="Z57" s="174">
        <f t="shared" si="12"/>
        <v>13341875.3982</v>
      </c>
      <c r="AA57" s="159">
        <f t="shared" si="1"/>
        <v>0.78769085426107222</v>
      </c>
      <c r="AB57" s="175">
        <f t="shared" si="13"/>
        <v>3596083.6069428604</v>
      </c>
      <c r="AC57" s="176">
        <f t="shared" si="14"/>
        <v>3596083.6069428604</v>
      </c>
    </row>
    <row r="58" spans="1:29" x14ac:dyDescent="0.2">
      <c r="A58" s="107">
        <v>54</v>
      </c>
      <c r="B58" s="173" t="s">
        <v>111</v>
      </c>
      <c r="C58" s="111" t="s">
        <v>138</v>
      </c>
      <c r="D58" s="111" t="s">
        <v>1398</v>
      </c>
      <c r="E58" s="204">
        <v>1721934.7849999997</v>
      </c>
      <c r="F58" s="204">
        <v>1828311.5106000004</v>
      </c>
      <c r="G58" s="205">
        <f t="shared" si="0"/>
        <v>1.0617774415887653</v>
      </c>
      <c r="H58" s="205">
        <f t="shared" si="2"/>
        <v>0.9</v>
      </c>
      <c r="I58" s="206">
        <v>1953766.196095238</v>
      </c>
      <c r="J58" s="206">
        <v>2453127.3789999997</v>
      </c>
      <c r="K58" s="207">
        <f t="shared" si="3"/>
        <v>1.255589017715004</v>
      </c>
      <c r="L58" s="207">
        <f t="shared" si="4"/>
        <v>0.9</v>
      </c>
      <c r="M58" s="208">
        <v>1909439.5073476189</v>
      </c>
      <c r="N58" s="208">
        <v>2097879.4273999999</v>
      </c>
      <c r="O58" s="209">
        <f t="shared" si="5"/>
        <v>1.0986886043403077</v>
      </c>
      <c r="P58" s="209">
        <f t="shared" si="6"/>
        <v>0.9</v>
      </c>
      <c r="Q58" s="210">
        <v>1600779.849571429</v>
      </c>
      <c r="R58" s="203">
        <v>1922377.6038999995</v>
      </c>
      <c r="S58" s="209">
        <f t="shared" si="7"/>
        <v>1.2009006762639289</v>
      </c>
      <c r="T58" s="209">
        <f t="shared" si="8"/>
        <v>0.9</v>
      </c>
      <c r="U58" s="213">
        <v>1982227.1237380949</v>
      </c>
      <c r="V58" s="213">
        <f>VLOOKUP(B58,'Dealer Wise'!B13:F133,5,0)</f>
        <v>3127122.7927000001</v>
      </c>
      <c r="W58" s="214">
        <f t="shared" si="9"/>
        <v>1.5775804675716749</v>
      </c>
      <c r="X58" s="214">
        <f t="shared" si="10"/>
        <v>0.9</v>
      </c>
      <c r="Y58" s="174">
        <f t="shared" si="11"/>
        <v>9168147.4617523812</v>
      </c>
      <c r="Z58" s="174">
        <f t="shared" si="12"/>
        <v>11428818.713599999</v>
      </c>
      <c r="AA58" s="159">
        <f t="shared" si="1"/>
        <v>1.2465788493562817</v>
      </c>
      <c r="AB58" s="175">
        <f t="shared" si="13"/>
        <v>-2260671.2518476173</v>
      </c>
      <c r="AC58" s="176">
        <f t="shared" si="14"/>
        <v>-2260671.2518476173</v>
      </c>
    </row>
    <row r="59" spans="1:29" x14ac:dyDescent="0.2">
      <c r="A59" s="107">
        <v>55</v>
      </c>
      <c r="B59" s="173" t="s">
        <v>112</v>
      </c>
      <c r="C59" s="111" t="s">
        <v>138</v>
      </c>
      <c r="D59" s="111" t="s">
        <v>1399</v>
      </c>
      <c r="E59" s="204">
        <v>3466322.7524999995</v>
      </c>
      <c r="F59" s="204">
        <v>2788205.2362999995</v>
      </c>
      <c r="G59" s="205">
        <f t="shared" si="0"/>
        <v>0.80436977032478452</v>
      </c>
      <c r="H59" s="205">
        <f t="shared" si="2"/>
        <v>0</v>
      </c>
      <c r="I59" s="206">
        <v>3656949.3621904766</v>
      </c>
      <c r="J59" s="206">
        <v>3172784.2498999992</v>
      </c>
      <c r="K59" s="207">
        <f t="shared" si="3"/>
        <v>0.86760409720290266</v>
      </c>
      <c r="L59" s="207">
        <f t="shared" si="4"/>
        <v>0</v>
      </c>
      <c r="M59" s="208">
        <v>3498767.2671952378</v>
      </c>
      <c r="N59" s="208">
        <v>1453425.5156999999</v>
      </c>
      <c r="O59" s="209">
        <f t="shared" si="5"/>
        <v>0.41541074461495353</v>
      </c>
      <c r="P59" s="209">
        <f t="shared" si="6"/>
        <v>0</v>
      </c>
      <c r="Q59" s="210">
        <v>3216380.0188952382</v>
      </c>
      <c r="R59" s="203">
        <v>2732315.4071999998</v>
      </c>
      <c r="S59" s="209">
        <f t="shared" si="7"/>
        <v>0.84950018068402722</v>
      </c>
      <c r="T59" s="209">
        <f t="shared" si="8"/>
        <v>0</v>
      </c>
      <c r="U59" s="213">
        <v>3633430.8470190475</v>
      </c>
      <c r="V59" s="213">
        <f>VLOOKUP(B59,'Dealer Wise'!B14:F134,5,0)</f>
        <v>4589265.0929999994</v>
      </c>
      <c r="W59" s="214">
        <f t="shared" si="9"/>
        <v>1.2630665853363194</v>
      </c>
      <c r="X59" s="214">
        <f t="shared" si="10"/>
        <v>0.9</v>
      </c>
      <c r="Y59" s="174">
        <f t="shared" si="11"/>
        <v>17471850.2478</v>
      </c>
      <c r="Z59" s="174">
        <f t="shared" si="12"/>
        <v>14735995.502099998</v>
      </c>
      <c r="AA59" s="159">
        <f t="shared" si="1"/>
        <v>0.84341356485444396</v>
      </c>
      <c r="AB59" s="175">
        <f t="shared" si="13"/>
        <v>2735854.7457000017</v>
      </c>
      <c r="AC59" s="176">
        <f t="shared" si="14"/>
        <v>2735854.7457000017</v>
      </c>
    </row>
    <row r="60" spans="1:29" x14ac:dyDescent="0.2">
      <c r="A60" s="107">
        <v>56</v>
      </c>
      <c r="B60" s="173" t="s">
        <v>113</v>
      </c>
      <c r="C60" s="111" t="s">
        <v>138</v>
      </c>
      <c r="D60" s="111" t="s">
        <v>1398</v>
      </c>
      <c r="E60" s="204">
        <v>4030988.9399999985</v>
      </c>
      <c r="F60" s="204">
        <v>3229029.6129999985</v>
      </c>
      <c r="G60" s="205">
        <f t="shared" si="0"/>
        <v>0.80105146927046633</v>
      </c>
      <c r="H60" s="205">
        <f t="shared" si="2"/>
        <v>0</v>
      </c>
      <c r="I60" s="206">
        <v>4804646.3783666659</v>
      </c>
      <c r="J60" s="206">
        <v>2331531.2202999997</v>
      </c>
      <c r="K60" s="207">
        <f t="shared" si="3"/>
        <v>0.48526593565718379</v>
      </c>
      <c r="L60" s="207">
        <f t="shared" si="4"/>
        <v>0</v>
      </c>
      <c r="M60" s="208">
        <v>3816296.8659000001</v>
      </c>
      <c r="N60" s="208">
        <v>1303104.8957</v>
      </c>
      <c r="O60" s="209">
        <f t="shared" si="5"/>
        <v>0.341457947714633</v>
      </c>
      <c r="P60" s="209">
        <f t="shared" si="6"/>
        <v>0</v>
      </c>
      <c r="Q60" s="210">
        <v>3213800.5651333337</v>
      </c>
      <c r="R60" s="203">
        <v>3876470.2664000001</v>
      </c>
      <c r="S60" s="209">
        <f t="shared" si="7"/>
        <v>1.2061950291676464</v>
      </c>
      <c r="T60" s="209">
        <f t="shared" si="8"/>
        <v>0.9</v>
      </c>
      <c r="U60" s="213">
        <v>3893913.3520238097</v>
      </c>
      <c r="V60" s="213">
        <f>VLOOKUP(B60,'Dealer Wise'!B15:F135,5,0)</f>
        <v>4719938.9353000009</v>
      </c>
      <c r="W60" s="214">
        <f t="shared" si="9"/>
        <v>1.2121325023441714</v>
      </c>
      <c r="X60" s="214">
        <f t="shared" si="10"/>
        <v>0.9</v>
      </c>
      <c r="Y60" s="174">
        <f t="shared" si="11"/>
        <v>19759646.101423807</v>
      </c>
      <c r="Z60" s="174">
        <f t="shared" si="12"/>
        <v>15460074.9307</v>
      </c>
      <c r="AA60" s="159">
        <f t="shared" si="1"/>
        <v>0.78240646878721198</v>
      </c>
      <c r="AB60" s="175">
        <f t="shared" si="13"/>
        <v>4299571.1707238071</v>
      </c>
      <c r="AC60" s="176">
        <f t="shared" si="14"/>
        <v>4299571.1707238071</v>
      </c>
    </row>
    <row r="61" spans="1:29" x14ac:dyDescent="0.2">
      <c r="A61" s="107">
        <v>57</v>
      </c>
      <c r="B61" s="173" t="s">
        <v>1290</v>
      </c>
      <c r="C61" s="111" t="s">
        <v>138</v>
      </c>
      <c r="D61" s="111" t="s">
        <v>1398</v>
      </c>
      <c r="E61" s="204">
        <v>9500656.7999999989</v>
      </c>
      <c r="F61" s="204">
        <v>7611444.9033000022</v>
      </c>
      <c r="G61" s="205">
        <f t="shared" si="0"/>
        <v>0.80114933772789299</v>
      </c>
      <c r="H61" s="205">
        <f t="shared" si="2"/>
        <v>0</v>
      </c>
      <c r="I61" s="206">
        <v>7500816.0712333322</v>
      </c>
      <c r="J61" s="206">
        <v>8070263.3199999975</v>
      </c>
      <c r="K61" s="207">
        <f t="shared" si="3"/>
        <v>1.0759180392318344</v>
      </c>
      <c r="L61" s="207">
        <f t="shared" si="4"/>
        <v>0.9</v>
      </c>
      <c r="M61" s="208">
        <v>7178259.8781095222</v>
      </c>
      <c r="N61" s="208">
        <v>4437844.6514000008</v>
      </c>
      <c r="O61" s="209">
        <f t="shared" si="5"/>
        <v>0.61823404651779734</v>
      </c>
      <c r="P61" s="209">
        <f t="shared" si="6"/>
        <v>0</v>
      </c>
      <c r="Q61" s="210">
        <v>7112461.9994333321</v>
      </c>
      <c r="R61" s="203">
        <v>9128349.6375999972</v>
      </c>
      <c r="S61" s="209">
        <f t="shared" si="7"/>
        <v>1.2834303562292884</v>
      </c>
      <c r="T61" s="209">
        <f t="shared" si="8"/>
        <v>0.9</v>
      </c>
      <c r="U61" s="213">
        <v>8020077.8428238099</v>
      </c>
      <c r="V61" s="213">
        <f>VLOOKUP(B61,'Dealer Wise'!B16:F136,5,0)</f>
        <v>8956111.3229000047</v>
      </c>
      <c r="W61" s="214">
        <f t="shared" si="9"/>
        <v>1.1167112711896852</v>
      </c>
      <c r="X61" s="214">
        <f t="shared" si="10"/>
        <v>0.9</v>
      </c>
      <c r="Y61" s="174">
        <f t="shared" si="11"/>
        <v>39312272.591599993</v>
      </c>
      <c r="Z61" s="174">
        <f t="shared" si="12"/>
        <v>38204013.835199997</v>
      </c>
      <c r="AA61" s="159">
        <f t="shared" si="1"/>
        <v>0.97180883517182359</v>
      </c>
      <c r="AB61" s="175">
        <f t="shared" si="13"/>
        <v>1108258.7563999966</v>
      </c>
      <c r="AC61" s="176">
        <f t="shared" si="14"/>
        <v>1108258.7563999966</v>
      </c>
    </row>
    <row r="62" spans="1:29" x14ac:dyDescent="0.2">
      <c r="A62" s="107">
        <v>58</v>
      </c>
      <c r="B62" s="173" t="s">
        <v>116</v>
      </c>
      <c r="C62" s="111" t="s">
        <v>94</v>
      </c>
      <c r="D62" s="111" t="s">
        <v>1397</v>
      </c>
      <c r="E62" s="204">
        <v>10569254.172499999</v>
      </c>
      <c r="F62" s="204">
        <v>8477035.1606000047</v>
      </c>
      <c r="G62" s="205">
        <f t="shared" si="0"/>
        <v>0.80204667446226141</v>
      </c>
      <c r="H62" s="205">
        <f t="shared" si="2"/>
        <v>0</v>
      </c>
      <c r="I62" s="206">
        <v>10278158.780238098</v>
      </c>
      <c r="J62" s="206">
        <v>5171217.1670000022</v>
      </c>
      <c r="K62" s="207">
        <f t="shared" si="3"/>
        <v>0.50312680291948253</v>
      </c>
      <c r="L62" s="207">
        <f t="shared" si="4"/>
        <v>0</v>
      </c>
      <c r="M62" s="208">
        <v>8810214.6232333351</v>
      </c>
      <c r="N62" s="208">
        <v>4433662.7034000009</v>
      </c>
      <c r="O62" s="209">
        <f t="shared" si="5"/>
        <v>0.50324116868935631</v>
      </c>
      <c r="P62" s="209">
        <f t="shared" si="6"/>
        <v>0</v>
      </c>
      <c r="Q62" s="210">
        <v>8840592.1004857142</v>
      </c>
      <c r="R62" s="203">
        <v>8948505.3019000012</v>
      </c>
      <c r="S62" s="209">
        <f t="shared" si="7"/>
        <v>1.0122065581340822</v>
      </c>
      <c r="T62" s="209">
        <f t="shared" si="8"/>
        <v>0.9</v>
      </c>
      <c r="U62" s="213">
        <v>8842407.6945904754</v>
      </c>
      <c r="V62" s="213">
        <f>VLOOKUP(B62,'Dealer Wise'!B61:F181,5,0)</f>
        <v>12055303.916500008</v>
      </c>
      <c r="W62" s="214">
        <f t="shared" si="9"/>
        <v>1.3633508353019153</v>
      </c>
      <c r="X62" s="214">
        <f t="shared" si="10"/>
        <v>0.9</v>
      </c>
      <c r="Y62" s="174">
        <f t="shared" si="11"/>
        <v>47340627.371047616</v>
      </c>
      <c r="Z62" s="174">
        <f t="shared" si="12"/>
        <v>39085724.24940002</v>
      </c>
      <c r="AA62" s="159">
        <f t="shared" si="1"/>
        <v>0.82562750896926018</v>
      </c>
      <c r="AB62" s="175">
        <f t="shared" si="13"/>
        <v>8254903.1216475964</v>
      </c>
      <c r="AC62" s="176">
        <f t="shared" si="14"/>
        <v>8254903.1216475964</v>
      </c>
    </row>
    <row r="63" spans="1:29" x14ac:dyDescent="0.2">
      <c r="A63" s="107">
        <v>59</v>
      </c>
      <c r="B63" s="173" t="s">
        <v>110</v>
      </c>
      <c r="C63" s="111" t="s">
        <v>94</v>
      </c>
      <c r="D63" s="111" t="s">
        <v>1397</v>
      </c>
      <c r="E63" s="204">
        <v>10216375.184999997</v>
      </c>
      <c r="F63" s="204">
        <v>8181505.9734000014</v>
      </c>
      <c r="G63" s="205">
        <f t="shared" si="0"/>
        <v>0.80082277963052351</v>
      </c>
      <c r="H63" s="205">
        <f t="shared" si="2"/>
        <v>0</v>
      </c>
      <c r="I63" s="206">
        <v>10994420.828219047</v>
      </c>
      <c r="J63" s="206">
        <v>10999729.600900004</v>
      </c>
      <c r="K63" s="207">
        <f t="shared" si="3"/>
        <v>1.0004828606039284</v>
      </c>
      <c r="L63" s="207">
        <f t="shared" si="4"/>
        <v>0.9</v>
      </c>
      <c r="M63" s="208">
        <v>9315114.6537476201</v>
      </c>
      <c r="N63" s="208">
        <v>3678319.0765000004</v>
      </c>
      <c r="O63" s="209">
        <f t="shared" si="5"/>
        <v>0.39487641464725864</v>
      </c>
      <c r="P63" s="209">
        <f t="shared" si="6"/>
        <v>0</v>
      </c>
      <c r="Q63" s="210">
        <v>8911727.8953523822</v>
      </c>
      <c r="R63" s="203">
        <v>2699819.8394000009</v>
      </c>
      <c r="S63" s="209">
        <f t="shared" si="7"/>
        <v>0.30295133234577359</v>
      </c>
      <c r="T63" s="209">
        <f t="shared" si="8"/>
        <v>0</v>
      </c>
      <c r="U63" s="213">
        <v>10528318.474252379</v>
      </c>
      <c r="V63" s="213">
        <f>VLOOKUP(B63,'Dealer Wise'!B62:F182,5,0)</f>
        <v>12519044.394999992</v>
      </c>
      <c r="W63" s="214">
        <f t="shared" si="9"/>
        <v>1.1890829884768448</v>
      </c>
      <c r="X63" s="214">
        <f t="shared" si="10"/>
        <v>0.9</v>
      </c>
      <c r="Y63" s="174">
        <f t="shared" si="11"/>
        <v>49965957.036571421</v>
      </c>
      <c r="Z63" s="174">
        <f t="shared" si="12"/>
        <v>38078418.885199994</v>
      </c>
      <c r="AA63" s="159">
        <f t="shared" si="1"/>
        <v>0.76208725187289783</v>
      </c>
      <c r="AB63" s="175">
        <f t="shared" si="13"/>
        <v>11887538.151371427</v>
      </c>
      <c r="AC63" s="176">
        <f t="shared" si="14"/>
        <v>11887538.151371427</v>
      </c>
    </row>
    <row r="64" spans="1:29" x14ac:dyDescent="0.2">
      <c r="A64" s="107">
        <v>60</v>
      </c>
      <c r="B64" s="173" t="s">
        <v>114</v>
      </c>
      <c r="C64" s="111" t="s">
        <v>94</v>
      </c>
      <c r="D64" s="111" t="s">
        <v>1397</v>
      </c>
      <c r="E64" s="204">
        <v>7480443.2499999981</v>
      </c>
      <c r="F64" s="204">
        <v>6009764.3600000003</v>
      </c>
      <c r="G64" s="205">
        <f t="shared" si="0"/>
        <v>0.80339682544881308</v>
      </c>
      <c r="H64" s="205">
        <f t="shared" si="2"/>
        <v>0</v>
      </c>
      <c r="I64" s="206">
        <v>8403601.8780571427</v>
      </c>
      <c r="J64" s="206">
        <v>4064551.7234000014</v>
      </c>
      <c r="K64" s="207">
        <f t="shared" si="3"/>
        <v>0.48366781082443411</v>
      </c>
      <c r="L64" s="207">
        <f t="shared" si="4"/>
        <v>0</v>
      </c>
      <c r="M64" s="208">
        <v>6509911.9027238116</v>
      </c>
      <c r="N64" s="208">
        <v>3465340.6549000014</v>
      </c>
      <c r="O64" s="209">
        <f t="shared" si="5"/>
        <v>0.53231759610296236</v>
      </c>
      <c r="P64" s="209">
        <f t="shared" si="6"/>
        <v>0</v>
      </c>
      <c r="Q64" s="210">
        <v>4460684.8814523807</v>
      </c>
      <c r="R64" s="203">
        <v>4095422.5773000005</v>
      </c>
      <c r="S64" s="209">
        <f t="shared" si="7"/>
        <v>0.91811519668848418</v>
      </c>
      <c r="T64" s="209">
        <f t="shared" si="8"/>
        <v>0.9</v>
      </c>
      <c r="U64" s="213">
        <v>7381535.6809428567</v>
      </c>
      <c r="V64" s="213">
        <f>VLOOKUP(B64,'Dealer Wise'!B63:F183,5,0)</f>
        <v>9351943.1071000025</v>
      </c>
      <c r="W64" s="214">
        <f t="shared" si="9"/>
        <v>1.2669373300252695</v>
      </c>
      <c r="X64" s="214">
        <f t="shared" si="10"/>
        <v>0.9</v>
      </c>
      <c r="Y64" s="174">
        <f t="shared" si="11"/>
        <v>34236177.593176194</v>
      </c>
      <c r="Z64" s="174">
        <f t="shared" si="12"/>
        <v>26987022.422700007</v>
      </c>
      <c r="AA64" s="159">
        <f t="shared" si="1"/>
        <v>0.78826038185054115</v>
      </c>
      <c r="AB64" s="175">
        <f t="shared" si="13"/>
        <v>7249155.170476187</v>
      </c>
      <c r="AC64" s="176">
        <f t="shared" si="14"/>
        <v>7249155.170476187</v>
      </c>
    </row>
    <row r="65" spans="1:29" x14ac:dyDescent="0.2">
      <c r="A65" s="107">
        <v>61</v>
      </c>
      <c r="B65" s="173" t="s">
        <v>1046</v>
      </c>
      <c r="C65" s="111" t="s">
        <v>94</v>
      </c>
      <c r="D65" s="111" t="s">
        <v>1397</v>
      </c>
      <c r="E65" s="204">
        <v>3082520.1999999997</v>
      </c>
      <c r="F65" s="204">
        <v>2492987.6842999994</v>
      </c>
      <c r="G65" s="205">
        <f t="shared" si="0"/>
        <v>0.80874982889001001</v>
      </c>
      <c r="H65" s="205">
        <f t="shared" si="2"/>
        <v>0</v>
      </c>
      <c r="I65" s="206">
        <v>3435073.1052333345</v>
      </c>
      <c r="J65" s="206">
        <v>951165.68889999983</v>
      </c>
      <c r="K65" s="207">
        <f t="shared" si="3"/>
        <v>0.27689823760981935</v>
      </c>
      <c r="L65" s="207">
        <f t="shared" si="4"/>
        <v>0</v>
      </c>
      <c r="M65" s="208">
        <v>2890690.1233761902</v>
      </c>
      <c r="N65" s="208">
        <v>1539062.4464999996</v>
      </c>
      <c r="O65" s="209">
        <f t="shared" si="5"/>
        <v>0.53242041893527037</v>
      </c>
      <c r="P65" s="209">
        <f t="shared" si="6"/>
        <v>0</v>
      </c>
      <c r="Q65" s="210">
        <v>2182594.3042761902</v>
      </c>
      <c r="R65" s="203">
        <v>2393703.2072000001</v>
      </c>
      <c r="S65" s="209">
        <f t="shared" si="7"/>
        <v>1.0967238402987676</v>
      </c>
      <c r="T65" s="209">
        <f t="shared" si="8"/>
        <v>0.9</v>
      </c>
      <c r="U65" s="213">
        <v>3097629.6783095235</v>
      </c>
      <c r="V65" s="213">
        <f>VLOOKUP(B65,'Dealer Wise'!B64:F184,5,0)</f>
        <v>3839155.8073</v>
      </c>
      <c r="W65" s="214">
        <f t="shared" si="9"/>
        <v>1.2393850156404593</v>
      </c>
      <c r="X65" s="214">
        <f t="shared" si="10"/>
        <v>0.9</v>
      </c>
      <c r="Y65" s="174">
        <f t="shared" si="11"/>
        <v>14688507.411195237</v>
      </c>
      <c r="Z65" s="174">
        <f t="shared" si="12"/>
        <v>11216074.834199999</v>
      </c>
      <c r="AA65" s="159">
        <f t="shared" si="1"/>
        <v>0.76359527351644785</v>
      </c>
      <c r="AB65" s="175">
        <f t="shared" si="13"/>
        <v>3472432.5769952387</v>
      </c>
      <c r="AC65" s="176">
        <f t="shared" si="14"/>
        <v>3472432.5769952387</v>
      </c>
    </row>
    <row r="66" spans="1:29" x14ac:dyDescent="0.2">
      <c r="A66" s="107">
        <v>62</v>
      </c>
      <c r="B66" s="177" t="s">
        <v>1392</v>
      </c>
      <c r="C66" s="111" t="s">
        <v>94</v>
      </c>
      <c r="D66" s="111" t="s">
        <v>1397</v>
      </c>
      <c r="E66" s="204">
        <v>0</v>
      </c>
      <c r="F66" s="204">
        <v>0</v>
      </c>
      <c r="G66" s="205">
        <f t="shared" si="0"/>
        <v>0</v>
      </c>
      <c r="H66" s="205">
        <f t="shared" si="2"/>
        <v>0</v>
      </c>
      <c r="I66" s="206">
        <v>10231702.012399999</v>
      </c>
      <c r="J66" s="206">
        <v>10243128.7618</v>
      </c>
      <c r="K66" s="207">
        <f t="shared" si="3"/>
        <v>1.0011167984941463</v>
      </c>
      <c r="L66" s="207">
        <f t="shared" si="4"/>
        <v>0.9</v>
      </c>
      <c r="M66" s="208">
        <v>9314506.6212476175</v>
      </c>
      <c r="N66" s="208">
        <v>3770897.5025000004</v>
      </c>
      <c r="O66" s="209">
        <f t="shared" si="5"/>
        <v>0.40484135723282283</v>
      </c>
      <c r="P66" s="209">
        <f t="shared" si="6"/>
        <v>0</v>
      </c>
      <c r="Q66" s="210">
        <v>7334723.8730047606</v>
      </c>
      <c r="R66" s="203">
        <v>9326930.3252000026</v>
      </c>
      <c r="S66" s="209">
        <f t="shared" si="7"/>
        <v>1.2716130132079682</v>
      </c>
      <c r="T66" s="209">
        <f t="shared" si="8"/>
        <v>0.9</v>
      </c>
      <c r="U66" s="213">
        <v>9511434.4580333326</v>
      </c>
      <c r="V66" s="213">
        <f>VLOOKUP(B66,'Dealer Wise'!B65:F185,5,0)</f>
        <v>16605874.964099988</v>
      </c>
      <c r="W66" s="214">
        <f t="shared" si="9"/>
        <v>1.7458854431861968</v>
      </c>
      <c r="X66" s="214">
        <f t="shared" si="10"/>
        <v>0.9</v>
      </c>
      <c r="Y66" s="174">
        <f t="shared" si="11"/>
        <v>36392366.964685708</v>
      </c>
      <c r="Z66" s="174">
        <f t="shared" si="12"/>
        <v>39946831.553599991</v>
      </c>
      <c r="AA66" s="159">
        <f t="shared" si="1"/>
        <v>1.097670607475558</v>
      </c>
      <c r="AB66" s="175">
        <f t="shared" si="13"/>
        <v>-3554464.5889142826</v>
      </c>
      <c r="AC66" s="176">
        <f t="shared" si="14"/>
        <v>-3554464.5889142826</v>
      </c>
    </row>
    <row r="67" spans="1:29" x14ac:dyDescent="0.2">
      <c r="A67" s="107">
        <v>63</v>
      </c>
      <c r="B67" s="173" t="s">
        <v>106</v>
      </c>
      <c r="C67" s="111" t="s">
        <v>94</v>
      </c>
      <c r="D67" s="111" t="s">
        <v>1401</v>
      </c>
      <c r="E67" s="204">
        <v>5533360.2975000003</v>
      </c>
      <c r="F67" s="204">
        <v>5588680.1484999983</v>
      </c>
      <c r="G67" s="205">
        <f t="shared" si="0"/>
        <v>1.0099975147154239</v>
      </c>
      <c r="H67" s="205">
        <f t="shared" si="2"/>
        <v>0.9</v>
      </c>
      <c r="I67" s="206">
        <v>6066997.3605523808</v>
      </c>
      <c r="J67" s="206">
        <v>5247657.5950999996</v>
      </c>
      <c r="K67" s="207">
        <f t="shared" si="3"/>
        <v>0.86495135620468067</v>
      </c>
      <c r="L67" s="207">
        <f t="shared" si="4"/>
        <v>0</v>
      </c>
      <c r="M67" s="208">
        <v>5489037.4890000001</v>
      </c>
      <c r="N67" s="208">
        <v>4399368.8892999999</v>
      </c>
      <c r="O67" s="209">
        <f t="shared" si="5"/>
        <v>0.8014827550579332</v>
      </c>
      <c r="P67" s="209">
        <f t="shared" si="6"/>
        <v>0</v>
      </c>
      <c r="Q67" s="210">
        <v>6180744.131190476</v>
      </c>
      <c r="R67" s="203">
        <v>6560085.2556999996</v>
      </c>
      <c r="S67" s="209">
        <f t="shared" si="7"/>
        <v>1.0613746688841588</v>
      </c>
      <c r="T67" s="209">
        <f t="shared" si="8"/>
        <v>0.9</v>
      </c>
      <c r="U67" s="213">
        <v>6338805.75317143</v>
      </c>
      <c r="V67" s="213">
        <f>VLOOKUP(B67,'Dealer Wise'!B66:F186,5,0)</f>
        <v>8553492.3688000012</v>
      </c>
      <c r="W67" s="214">
        <f t="shared" si="9"/>
        <v>1.3493854681570767</v>
      </c>
      <c r="X67" s="214">
        <f t="shared" si="10"/>
        <v>0.9</v>
      </c>
      <c r="Y67" s="174">
        <f t="shared" si="11"/>
        <v>29608945.031414285</v>
      </c>
      <c r="Z67" s="174">
        <f t="shared" si="12"/>
        <v>30349284.257399999</v>
      </c>
      <c r="AA67" s="159">
        <f t="shared" si="1"/>
        <v>1.0250039042323269</v>
      </c>
      <c r="AB67" s="175">
        <f t="shared" si="13"/>
        <v>-740339.2259857133</v>
      </c>
      <c r="AC67" s="176">
        <f t="shared" si="14"/>
        <v>-740339.2259857133</v>
      </c>
    </row>
    <row r="68" spans="1:29" x14ac:dyDescent="0.2">
      <c r="A68" s="107">
        <v>64</v>
      </c>
      <c r="B68" s="173" t="s">
        <v>95</v>
      </c>
      <c r="C68" s="111" t="s">
        <v>94</v>
      </c>
      <c r="D68" s="111" t="s">
        <v>1466</v>
      </c>
      <c r="E68" s="204">
        <v>4000247.9274999998</v>
      </c>
      <c r="F68" s="204">
        <v>3302039.4799000006</v>
      </c>
      <c r="G68" s="205">
        <f t="shared" si="0"/>
        <v>0.82545870649663644</v>
      </c>
      <c r="H68" s="205">
        <f t="shared" si="2"/>
        <v>0</v>
      </c>
      <c r="I68" s="206">
        <v>4176367.522719047</v>
      </c>
      <c r="J68" s="206">
        <v>3371066.7084000008</v>
      </c>
      <c r="K68" s="207">
        <f t="shared" si="3"/>
        <v>0.80717673673634194</v>
      </c>
      <c r="L68" s="207">
        <f t="shared" si="4"/>
        <v>0</v>
      </c>
      <c r="M68" s="208">
        <v>3316961.0735523799</v>
      </c>
      <c r="N68" s="208">
        <v>1082266.9857999999</v>
      </c>
      <c r="O68" s="209">
        <f t="shared" si="5"/>
        <v>0.3262826912348778</v>
      </c>
      <c r="P68" s="209">
        <f t="shared" si="6"/>
        <v>0</v>
      </c>
      <c r="Q68" s="210">
        <v>2769322.1114809532</v>
      </c>
      <c r="R68" s="203">
        <v>3262270.1366000003</v>
      </c>
      <c r="S68" s="209">
        <f t="shared" si="7"/>
        <v>1.1780031376904121</v>
      </c>
      <c r="T68" s="209">
        <f t="shared" si="8"/>
        <v>0.9</v>
      </c>
      <c r="U68" s="213">
        <v>3958334.9260761901</v>
      </c>
      <c r="V68" s="213">
        <f>VLOOKUP(B68,'Dealer Wise'!B67:F187,5,0)</f>
        <v>5093097.8929000031</v>
      </c>
      <c r="W68" s="214">
        <f t="shared" si="9"/>
        <v>1.2866768446874906</v>
      </c>
      <c r="X68" s="214">
        <f t="shared" si="10"/>
        <v>0.9</v>
      </c>
      <c r="Y68" s="174">
        <f t="shared" si="11"/>
        <v>18221233.561328568</v>
      </c>
      <c r="Z68" s="174">
        <f t="shared" si="12"/>
        <v>16110741.203600004</v>
      </c>
      <c r="AA68" s="159">
        <f t="shared" si="1"/>
        <v>0.88417401321238098</v>
      </c>
      <c r="AB68" s="175">
        <f t="shared" si="13"/>
        <v>2110492.3577285632</v>
      </c>
      <c r="AC68" s="176">
        <f t="shared" si="14"/>
        <v>2110492.3577285632</v>
      </c>
    </row>
    <row r="69" spans="1:29" x14ac:dyDescent="0.2">
      <c r="A69" s="107">
        <v>65</v>
      </c>
      <c r="B69" s="173" t="s">
        <v>96</v>
      </c>
      <c r="C69" s="111" t="s">
        <v>94</v>
      </c>
      <c r="D69" s="111" t="s">
        <v>1401</v>
      </c>
      <c r="E69" s="204">
        <v>12450788.465000002</v>
      </c>
      <c r="F69" s="204">
        <v>11001955.002600005</v>
      </c>
      <c r="G69" s="205">
        <f t="shared" si="0"/>
        <v>0.88363520378867855</v>
      </c>
      <c r="H69" s="205">
        <f t="shared" si="2"/>
        <v>0</v>
      </c>
      <c r="I69" s="206">
        <v>13556079.639038095</v>
      </c>
      <c r="J69" s="206">
        <v>10889566.064000001</v>
      </c>
      <c r="K69" s="207">
        <f t="shared" si="3"/>
        <v>0.80329758705760279</v>
      </c>
      <c r="L69" s="207">
        <f t="shared" si="4"/>
        <v>0</v>
      </c>
      <c r="M69" s="208">
        <v>12014734.435528571</v>
      </c>
      <c r="N69" s="208">
        <v>5275102.5494000008</v>
      </c>
      <c r="O69" s="209">
        <f t="shared" si="5"/>
        <v>0.43905277954384769</v>
      </c>
      <c r="P69" s="209">
        <f t="shared" si="6"/>
        <v>0</v>
      </c>
      <c r="Q69" s="210">
        <v>10738143.504761904</v>
      </c>
      <c r="R69" s="203">
        <v>8797404.3739999998</v>
      </c>
      <c r="S69" s="209">
        <f t="shared" si="7"/>
        <v>0.81926679133117652</v>
      </c>
      <c r="T69" s="209">
        <f t="shared" si="8"/>
        <v>0</v>
      </c>
      <c r="U69" s="213">
        <v>13205733.071004761</v>
      </c>
      <c r="V69" s="213">
        <f>VLOOKUP(B69,'Dealer Wise'!B68:F188,5,0)</f>
        <v>16583790.672400003</v>
      </c>
      <c r="W69" s="214">
        <f t="shared" si="9"/>
        <v>1.2558023536620084</v>
      </c>
      <c r="X69" s="214">
        <f t="shared" si="10"/>
        <v>0.9</v>
      </c>
      <c r="Y69" s="174">
        <f t="shared" si="11"/>
        <v>61965479.115333334</v>
      </c>
      <c r="Z69" s="174">
        <f t="shared" si="12"/>
        <v>52547818.662400015</v>
      </c>
      <c r="AA69" s="159">
        <f t="shared" ref="AA69:AA127" si="17">IFERROR(Z69/Y69,0)</f>
        <v>0.84801762872833297</v>
      </c>
      <c r="AB69" s="175">
        <f t="shared" si="13"/>
        <v>9417660.4529333189</v>
      </c>
      <c r="AC69" s="176">
        <f t="shared" si="14"/>
        <v>9417660.4529333189</v>
      </c>
    </row>
    <row r="70" spans="1:29" x14ac:dyDescent="0.2">
      <c r="A70" s="107">
        <v>66</v>
      </c>
      <c r="B70" s="173" t="s">
        <v>93</v>
      </c>
      <c r="C70" s="111" t="s">
        <v>94</v>
      </c>
      <c r="D70" s="111" t="s">
        <v>1466</v>
      </c>
      <c r="E70" s="204">
        <v>9356189.0799999982</v>
      </c>
      <c r="F70" s="204">
        <v>3583248.1879000007</v>
      </c>
      <c r="G70" s="205">
        <f t="shared" ref="G70:G127" si="18">IFERROR(F70/E70,0)</f>
        <v>0.38298159189189895</v>
      </c>
      <c r="H70" s="205">
        <f t="shared" ref="H70:H127" si="19">IF(G70&gt;=89.5%,90%,0%)</f>
        <v>0</v>
      </c>
      <c r="I70" s="206">
        <v>9088221.7458619047</v>
      </c>
      <c r="J70" s="206">
        <v>7365942.3604000006</v>
      </c>
      <c r="K70" s="207">
        <f t="shared" ref="K70:K127" si="20">IFERROR(J70/I70,0)</f>
        <v>0.8104932478957062</v>
      </c>
      <c r="L70" s="207">
        <f t="shared" ref="L70:L127" si="21">IF(K70&gt;=89.5%,90%,0%)</f>
        <v>0</v>
      </c>
      <c r="M70" s="208">
        <v>7516215.3734857151</v>
      </c>
      <c r="N70" s="208">
        <v>2298281.0490000001</v>
      </c>
      <c r="O70" s="209">
        <f t="shared" ref="O70:O127" si="22">IFERROR(N70/M70,0)</f>
        <v>0.30577636946214204</v>
      </c>
      <c r="P70" s="209">
        <f t="shared" ref="P70:P127" si="23">IF(O70&gt;=89.5%,90%,0%)</f>
        <v>0</v>
      </c>
      <c r="Q70" s="210">
        <v>6468355.8767761923</v>
      </c>
      <c r="R70" s="203">
        <v>7589697.2265999997</v>
      </c>
      <c r="S70" s="209">
        <f t="shared" ref="S70:S127" si="24">IFERROR(R70/Q70,0)</f>
        <v>1.1733580172745042</v>
      </c>
      <c r="T70" s="209">
        <f t="shared" ref="T70:T127" si="25">IF(S70&gt;=89.5%,90%,0%)</f>
        <v>0.9</v>
      </c>
      <c r="U70" s="213">
        <v>7689568.5865476197</v>
      </c>
      <c r="V70" s="213">
        <f>VLOOKUP(B70,'Dealer Wise'!B69:F189,5,0)</f>
        <v>9332016.1336000059</v>
      </c>
      <c r="W70" s="214">
        <f t="shared" ref="W70:W127" si="26">IFERROR(V70/U70,0)</f>
        <v>1.2135942385539986</v>
      </c>
      <c r="X70" s="214">
        <f t="shared" ref="X70:X127" si="27">IF(W70&gt;=89.5%,90%,0%)</f>
        <v>0.9</v>
      </c>
      <c r="Y70" s="174">
        <f t="shared" ref="Y70:Y127" si="28">E70+I70+M70+Q70+U70</f>
        <v>40118550.662671424</v>
      </c>
      <c r="Z70" s="174">
        <f t="shared" ref="Z70:Z127" si="29">F70+J70+N70+R70+V70</f>
        <v>30169184.957500011</v>
      </c>
      <c r="AA70" s="159">
        <f t="shared" si="17"/>
        <v>0.75200086890404871</v>
      </c>
      <c r="AB70" s="175">
        <f t="shared" si="13"/>
        <v>9949365.7051714137</v>
      </c>
      <c r="AC70" s="176">
        <f t="shared" si="14"/>
        <v>9949365.7051714137</v>
      </c>
    </row>
    <row r="71" spans="1:29" x14ac:dyDescent="0.2">
      <c r="A71" s="107">
        <v>67</v>
      </c>
      <c r="B71" s="173" t="s">
        <v>100</v>
      </c>
      <c r="C71" s="111" t="s">
        <v>94</v>
      </c>
      <c r="D71" s="111" t="s">
        <v>94</v>
      </c>
      <c r="E71" s="204">
        <v>7292173.5625</v>
      </c>
      <c r="F71" s="204">
        <v>5878021.0466999989</v>
      </c>
      <c r="G71" s="205">
        <f t="shared" si="18"/>
        <v>0.8060725648286432</v>
      </c>
      <c r="H71" s="205">
        <f t="shared" si="19"/>
        <v>0</v>
      </c>
      <c r="I71" s="206">
        <v>7975294.158180953</v>
      </c>
      <c r="J71" s="206">
        <v>5371843.7766000004</v>
      </c>
      <c r="K71" s="207">
        <f t="shared" si="20"/>
        <v>0.67356058222499959</v>
      </c>
      <c r="L71" s="207">
        <f t="shared" si="21"/>
        <v>0</v>
      </c>
      <c r="M71" s="208">
        <v>6508166.0542095238</v>
      </c>
      <c r="N71" s="208">
        <v>3406681.7549999999</v>
      </c>
      <c r="O71" s="209">
        <f t="shared" si="22"/>
        <v>0.52344727018705006</v>
      </c>
      <c r="P71" s="209">
        <f t="shared" si="23"/>
        <v>0</v>
      </c>
      <c r="Q71" s="210">
        <v>6095446.041171426</v>
      </c>
      <c r="R71" s="203">
        <v>2883954.3618000005</v>
      </c>
      <c r="S71" s="209">
        <f t="shared" si="24"/>
        <v>0.47313262102895437</v>
      </c>
      <c r="T71" s="209">
        <f t="shared" si="25"/>
        <v>0</v>
      </c>
      <c r="U71" s="213">
        <v>7507684.6424952373</v>
      </c>
      <c r="V71" s="213">
        <f>VLOOKUP(B71,'Dealer Wise'!B70:F190,5,0)</f>
        <v>8513565.801400004</v>
      </c>
      <c r="W71" s="214">
        <f t="shared" si="26"/>
        <v>1.133980209186098</v>
      </c>
      <c r="X71" s="214">
        <f t="shared" si="27"/>
        <v>0.9</v>
      </c>
      <c r="Y71" s="174">
        <f t="shared" si="28"/>
        <v>35378764.458557136</v>
      </c>
      <c r="Z71" s="174">
        <f t="shared" si="29"/>
        <v>26054066.741500005</v>
      </c>
      <c r="AA71" s="159">
        <f t="shared" si="17"/>
        <v>0.73643235257748674</v>
      </c>
      <c r="AB71" s="175">
        <f t="shared" ref="AB71:AB127" si="30">Y71-Z71</f>
        <v>9324697.7170571312</v>
      </c>
      <c r="AC71" s="176">
        <f t="shared" ref="AC71:AC127" si="31">AB71/AC$2</f>
        <v>9324697.7170571312</v>
      </c>
    </row>
    <row r="72" spans="1:29" x14ac:dyDescent="0.2">
      <c r="A72" s="107">
        <v>68</v>
      </c>
      <c r="B72" s="173" t="s">
        <v>99</v>
      </c>
      <c r="C72" s="111" t="s">
        <v>94</v>
      </c>
      <c r="D72" s="111" t="s">
        <v>94</v>
      </c>
      <c r="E72" s="204">
        <v>9070535.4125000015</v>
      </c>
      <c r="F72" s="204">
        <v>8309830.2173999958</v>
      </c>
      <c r="G72" s="205">
        <f t="shared" si="18"/>
        <v>0.91613447712781249</v>
      </c>
      <c r="H72" s="205">
        <f t="shared" si="19"/>
        <v>0.9</v>
      </c>
      <c r="I72" s="206">
        <v>8219952.7176904771</v>
      </c>
      <c r="J72" s="206">
        <v>8294755.7597000012</v>
      </c>
      <c r="K72" s="207">
        <f t="shared" si="20"/>
        <v>1.0091001791103418</v>
      </c>
      <c r="L72" s="207">
        <f t="shared" si="21"/>
        <v>0.9</v>
      </c>
      <c r="M72" s="208">
        <v>6638824.3309619036</v>
      </c>
      <c r="N72" s="208">
        <v>2705183.6264999993</v>
      </c>
      <c r="O72" s="209">
        <f t="shared" si="22"/>
        <v>0.4074793203796136</v>
      </c>
      <c r="P72" s="209">
        <f t="shared" si="23"/>
        <v>0</v>
      </c>
      <c r="Q72" s="210">
        <v>6902841.8657285701</v>
      </c>
      <c r="R72" s="203">
        <v>6941724.5643999996</v>
      </c>
      <c r="S72" s="209">
        <f t="shared" si="24"/>
        <v>1.0056328537474508</v>
      </c>
      <c r="T72" s="209">
        <f t="shared" si="25"/>
        <v>0.9</v>
      </c>
      <c r="U72" s="213">
        <v>8497477.3262142856</v>
      </c>
      <c r="V72" s="213">
        <f>VLOOKUP(B72,'Dealer Wise'!B71:F191,5,0)</f>
        <v>11673015.028400002</v>
      </c>
      <c r="W72" s="214">
        <f t="shared" si="26"/>
        <v>1.3737035805190494</v>
      </c>
      <c r="X72" s="214">
        <f t="shared" si="27"/>
        <v>0.9</v>
      </c>
      <c r="Y72" s="174">
        <f t="shared" si="28"/>
        <v>39329631.653095238</v>
      </c>
      <c r="Z72" s="174">
        <f t="shared" si="29"/>
        <v>37924509.196399994</v>
      </c>
      <c r="AA72" s="159">
        <f t="shared" si="17"/>
        <v>0.96427318544223739</v>
      </c>
      <c r="AB72" s="175">
        <f t="shared" si="30"/>
        <v>1405122.4566952437</v>
      </c>
      <c r="AC72" s="176">
        <f t="shared" si="31"/>
        <v>1405122.4566952437</v>
      </c>
    </row>
    <row r="73" spans="1:29" x14ac:dyDescent="0.2">
      <c r="A73" s="107">
        <v>69</v>
      </c>
      <c r="B73" s="173" t="s">
        <v>101</v>
      </c>
      <c r="C73" s="111" t="s">
        <v>94</v>
      </c>
      <c r="D73" s="111" t="s">
        <v>94</v>
      </c>
      <c r="E73" s="204">
        <v>9547515.1199999992</v>
      </c>
      <c r="F73" s="204">
        <v>8723874.6203999985</v>
      </c>
      <c r="G73" s="205">
        <f t="shared" si="18"/>
        <v>0.91373247496883769</v>
      </c>
      <c r="H73" s="205">
        <f t="shared" si="19"/>
        <v>0.9</v>
      </c>
      <c r="I73" s="206">
        <v>9476878.7344666645</v>
      </c>
      <c r="J73" s="206">
        <v>7604735.4951000009</v>
      </c>
      <c r="K73" s="207">
        <f t="shared" si="20"/>
        <v>0.8024514935959004</v>
      </c>
      <c r="L73" s="207">
        <f t="shared" si="21"/>
        <v>0</v>
      </c>
      <c r="M73" s="208">
        <v>7003114.0821333313</v>
      </c>
      <c r="N73" s="208">
        <v>3906696.6610000008</v>
      </c>
      <c r="O73" s="209">
        <f t="shared" si="22"/>
        <v>0.55785135229582306</v>
      </c>
      <c r="P73" s="209">
        <f t="shared" si="23"/>
        <v>0</v>
      </c>
      <c r="Q73" s="210">
        <v>6601351.6504761893</v>
      </c>
      <c r="R73" s="203">
        <v>11970579.597599998</v>
      </c>
      <c r="S73" s="209">
        <f t="shared" si="24"/>
        <v>1.8133528149097313</v>
      </c>
      <c r="T73" s="209">
        <f t="shared" si="25"/>
        <v>0.9</v>
      </c>
      <c r="U73" s="213">
        <v>11311713.813919049</v>
      </c>
      <c r="V73" s="213">
        <f>VLOOKUP(B73,'Dealer Wise'!B72:F192,5,0)</f>
        <v>14322380.776499994</v>
      </c>
      <c r="W73" s="214">
        <f t="shared" si="26"/>
        <v>1.2661548030746963</v>
      </c>
      <c r="X73" s="214">
        <f t="shared" si="27"/>
        <v>0.9</v>
      </c>
      <c r="Y73" s="174">
        <f t="shared" si="28"/>
        <v>43940573.400995225</v>
      </c>
      <c r="Z73" s="174">
        <f t="shared" si="29"/>
        <v>46528267.150599994</v>
      </c>
      <c r="AA73" s="159">
        <f t="shared" si="17"/>
        <v>1.0588907597083419</v>
      </c>
      <c r="AB73" s="175">
        <f t="shared" si="30"/>
        <v>-2587693.7496047691</v>
      </c>
      <c r="AC73" s="176">
        <f t="shared" si="31"/>
        <v>-2587693.7496047691</v>
      </c>
    </row>
    <row r="74" spans="1:29" x14ac:dyDescent="0.2">
      <c r="A74" s="107">
        <v>70</v>
      </c>
      <c r="B74" s="173" t="s">
        <v>102</v>
      </c>
      <c r="C74" s="111" t="s">
        <v>94</v>
      </c>
      <c r="D74" s="111" t="s">
        <v>94</v>
      </c>
      <c r="E74" s="204">
        <v>13957049.27</v>
      </c>
      <c r="F74" s="204">
        <v>11216419.610499999</v>
      </c>
      <c r="G74" s="205">
        <f t="shared" si="18"/>
        <v>0.80363831878197556</v>
      </c>
      <c r="H74" s="205">
        <f t="shared" si="19"/>
        <v>0</v>
      </c>
      <c r="I74" s="206">
        <v>11936119.297909524</v>
      </c>
      <c r="J74" s="206">
        <v>12023701.654400002</v>
      </c>
      <c r="K74" s="207">
        <f t="shared" si="20"/>
        <v>1.0073375905773509</v>
      </c>
      <c r="L74" s="207">
        <f t="shared" si="21"/>
        <v>0.9</v>
      </c>
      <c r="M74" s="208">
        <v>10718958.71035238</v>
      </c>
      <c r="N74" s="208">
        <v>8157918.0724999961</v>
      </c>
      <c r="O74" s="209">
        <f t="shared" si="22"/>
        <v>0.7610737472681065</v>
      </c>
      <c r="P74" s="209">
        <f t="shared" si="23"/>
        <v>0</v>
      </c>
      <c r="Q74" s="210">
        <v>10674519.83232381</v>
      </c>
      <c r="R74" s="203">
        <v>7016408.1007000003</v>
      </c>
      <c r="S74" s="209">
        <f t="shared" si="24"/>
        <v>0.65730432946064887</v>
      </c>
      <c r="T74" s="209">
        <f t="shared" si="25"/>
        <v>0</v>
      </c>
      <c r="U74" s="213">
        <v>14987594.123438096</v>
      </c>
      <c r="V74" s="213">
        <f>VLOOKUP(B74,'Dealer Wise'!B73:F193,5,0)</f>
        <v>21168531.309700008</v>
      </c>
      <c r="W74" s="214">
        <f t="shared" si="26"/>
        <v>1.4124035609288323</v>
      </c>
      <c r="X74" s="214">
        <f t="shared" si="27"/>
        <v>0.9</v>
      </c>
      <c r="Y74" s="174">
        <f t="shared" si="28"/>
        <v>62274241.234023809</v>
      </c>
      <c r="Z74" s="174">
        <f t="shared" si="29"/>
        <v>59582978.747800007</v>
      </c>
      <c r="AA74" s="159">
        <f t="shared" si="17"/>
        <v>0.95678369687219222</v>
      </c>
      <c r="AB74" s="175">
        <f t="shared" si="30"/>
        <v>2691262.486223802</v>
      </c>
      <c r="AC74" s="176">
        <f t="shared" si="31"/>
        <v>2691262.486223802</v>
      </c>
    </row>
    <row r="75" spans="1:29" x14ac:dyDescent="0.2">
      <c r="A75" s="107">
        <v>71</v>
      </c>
      <c r="B75" s="173" t="s">
        <v>105</v>
      </c>
      <c r="C75" s="111" t="s">
        <v>94</v>
      </c>
      <c r="D75" s="111" t="s">
        <v>94</v>
      </c>
      <c r="E75" s="204">
        <v>6107230.3124999991</v>
      </c>
      <c r="F75" s="204">
        <v>4921502.0618000012</v>
      </c>
      <c r="G75" s="205">
        <f t="shared" si="18"/>
        <v>0.80584844683635004</v>
      </c>
      <c r="H75" s="205">
        <f t="shared" si="19"/>
        <v>0</v>
      </c>
      <c r="I75" s="206">
        <v>6362756.8283380959</v>
      </c>
      <c r="J75" s="206">
        <v>2356513.5029999996</v>
      </c>
      <c r="K75" s="207">
        <f t="shared" si="20"/>
        <v>0.37036045327155825</v>
      </c>
      <c r="L75" s="207">
        <f t="shared" si="21"/>
        <v>0</v>
      </c>
      <c r="M75" s="208">
        <v>3503102.3302999991</v>
      </c>
      <c r="N75" s="208">
        <v>2403444.7779999995</v>
      </c>
      <c r="O75" s="209">
        <f t="shared" si="22"/>
        <v>0.6860903711580052</v>
      </c>
      <c r="P75" s="209">
        <f t="shared" si="23"/>
        <v>0</v>
      </c>
      <c r="Q75" s="210">
        <v>4016327.1756952382</v>
      </c>
      <c r="R75" s="203">
        <v>4092591.1564000011</v>
      </c>
      <c r="S75" s="209">
        <f t="shared" si="24"/>
        <v>1.0189884880809197</v>
      </c>
      <c r="T75" s="209">
        <f t="shared" si="25"/>
        <v>0.9</v>
      </c>
      <c r="U75" s="213">
        <v>4193902.6685809526</v>
      </c>
      <c r="V75" s="213">
        <f>VLOOKUP(B75,'Dealer Wise'!B74:F194,5,0)</f>
        <v>7122117.4019000027</v>
      </c>
      <c r="W75" s="214">
        <f t="shared" si="26"/>
        <v>1.6982076039236838</v>
      </c>
      <c r="X75" s="214">
        <f t="shared" si="27"/>
        <v>0.9</v>
      </c>
      <c r="Y75" s="174">
        <f t="shared" si="28"/>
        <v>24183319.315414283</v>
      </c>
      <c r="Z75" s="174">
        <f t="shared" si="29"/>
        <v>20896168.901100002</v>
      </c>
      <c r="AA75" s="159">
        <f t="shared" si="17"/>
        <v>0.86407364632451122</v>
      </c>
      <c r="AB75" s="175">
        <f t="shared" si="30"/>
        <v>3287150.4143142812</v>
      </c>
      <c r="AC75" s="176">
        <f t="shared" si="31"/>
        <v>3287150.4143142812</v>
      </c>
    </row>
    <row r="76" spans="1:29" x14ac:dyDescent="0.2">
      <c r="A76" s="107">
        <v>72</v>
      </c>
      <c r="B76" s="173" t="s">
        <v>64</v>
      </c>
      <c r="C76" s="111" t="s">
        <v>65</v>
      </c>
      <c r="D76" s="111" t="s">
        <v>1462</v>
      </c>
      <c r="E76" s="204">
        <v>10693914.0075</v>
      </c>
      <c r="F76" s="204">
        <v>10313177.037099998</v>
      </c>
      <c r="G76" s="205">
        <f t="shared" si="18"/>
        <v>0.96439685505858952</v>
      </c>
      <c r="H76" s="205">
        <f t="shared" si="19"/>
        <v>0.9</v>
      </c>
      <c r="I76" s="206">
        <v>10789065.469304763</v>
      </c>
      <c r="J76" s="206">
        <v>9879764.7548000012</v>
      </c>
      <c r="K76" s="207">
        <f t="shared" si="20"/>
        <v>0.91572015972173393</v>
      </c>
      <c r="L76" s="207">
        <f t="shared" si="21"/>
        <v>0.9</v>
      </c>
      <c r="M76" s="208">
        <v>10151607.898966668</v>
      </c>
      <c r="N76" s="208">
        <v>4914013.3885999992</v>
      </c>
      <c r="O76" s="209">
        <f t="shared" si="22"/>
        <v>0.48406256797016328</v>
      </c>
      <c r="P76" s="209">
        <f t="shared" si="23"/>
        <v>0</v>
      </c>
      <c r="Q76" s="210">
        <v>10084786.08307619</v>
      </c>
      <c r="R76" s="203">
        <v>14063887.090099998</v>
      </c>
      <c r="S76" s="209">
        <f t="shared" si="24"/>
        <v>1.3945647408130299</v>
      </c>
      <c r="T76" s="209">
        <f t="shared" si="25"/>
        <v>0.9</v>
      </c>
      <c r="U76" s="213">
        <v>10863705.538638094</v>
      </c>
      <c r="V76" s="213">
        <f>VLOOKUP(B76,'Dealer Wise'!B75:F195,5,0)</f>
        <v>17434085.057400007</v>
      </c>
      <c r="W76" s="214">
        <f t="shared" si="26"/>
        <v>1.6048009581439369</v>
      </c>
      <c r="X76" s="214">
        <f t="shared" si="27"/>
        <v>0.9</v>
      </c>
      <c r="Y76" s="174">
        <f t="shared" si="28"/>
        <v>52583078.99748572</v>
      </c>
      <c r="Z76" s="174">
        <f t="shared" si="29"/>
        <v>56604927.328000009</v>
      </c>
      <c r="AA76" s="159">
        <f t="shared" si="17"/>
        <v>1.0764855996870513</v>
      </c>
      <c r="AB76" s="175">
        <f t="shared" si="30"/>
        <v>-4021848.3305142894</v>
      </c>
      <c r="AC76" s="176">
        <f t="shared" si="31"/>
        <v>-4021848.3305142894</v>
      </c>
    </row>
    <row r="77" spans="1:29" x14ac:dyDescent="0.2">
      <c r="A77" s="107">
        <v>73</v>
      </c>
      <c r="B77" s="173" t="s">
        <v>136</v>
      </c>
      <c r="C77" s="111" t="s">
        <v>80</v>
      </c>
      <c r="D77" s="111" t="s">
        <v>1400</v>
      </c>
      <c r="E77" s="204">
        <v>6074404.5049999999</v>
      </c>
      <c r="F77" s="204">
        <v>6457130.7347000018</v>
      </c>
      <c r="G77" s="205">
        <f t="shared" si="18"/>
        <v>1.0630063785487072</v>
      </c>
      <c r="H77" s="205">
        <f t="shared" si="19"/>
        <v>0.9</v>
      </c>
      <c r="I77" s="206">
        <v>6246547.5973523809</v>
      </c>
      <c r="J77" s="206">
        <v>3892676.2262999988</v>
      </c>
      <c r="K77" s="207">
        <f t="shared" si="20"/>
        <v>0.62317242694987585</v>
      </c>
      <c r="L77" s="207">
        <f t="shared" si="21"/>
        <v>0</v>
      </c>
      <c r="M77" s="208">
        <v>5842565.2915190468</v>
      </c>
      <c r="N77" s="208">
        <v>3857822.8046999997</v>
      </c>
      <c r="O77" s="209">
        <f t="shared" si="22"/>
        <v>0.66029605356741838</v>
      </c>
      <c r="P77" s="209">
        <f t="shared" si="23"/>
        <v>0</v>
      </c>
      <c r="Q77" s="210">
        <v>6034076.4269285705</v>
      </c>
      <c r="R77" s="203">
        <v>9200844.2558000032</v>
      </c>
      <c r="S77" s="209">
        <f t="shared" si="24"/>
        <v>1.5248140071177987</v>
      </c>
      <c r="T77" s="209">
        <f t="shared" si="25"/>
        <v>0.9</v>
      </c>
      <c r="U77" s="213">
        <v>6090747.8375666663</v>
      </c>
      <c r="V77" s="213">
        <f>VLOOKUP(B77,'Dealer Wise'!B76:F196,5,0)</f>
        <v>9360012.2144000027</v>
      </c>
      <c r="W77" s="214">
        <f t="shared" si="26"/>
        <v>1.5367591080801419</v>
      </c>
      <c r="X77" s="214">
        <f t="shared" si="27"/>
        <v>0.9</v>
      </c>
      <c r="Y77" s="174">
        <f t="shared" si="28"/>
        <v>30288341.658366665</v>
      </c>
      <c r="Z77" s="174">
        <f t="shared" si="29"/>
        <v>32768486.235900007</v>
      </c>
      <c r="AA77" s="159">
        <f t="shared" si="17"/>
        <v>1.0818844625271269</v>
      </c>
      <c r="AB77" s="175">
        <f t="shared" si="30"/>
        <v>-2480144.5775333419</v>
      </c>
      <c r="AC77" s="176">
        <f t="shared" si="31"/>
        <v>-2480144.5775333419</v>
      </c>
    </row>
    <row r="78" spans="1:29" x14ac:dyDescent="0.2">
      <c r="A78" s="107">
        <v>74</v>
      </c>
      <c r="B78" s="173" t="s">
        <v>77</v>
      </c>
      <c r="C78" s="111" t="s">
        <v>80</v>
      </c>
      <c r="D78" s="111" t="s">
        <v>1400</v>
      </c>
      <c r="E78" s="204">
        <v>15930016.247500001</v>
      </c>
      <c r="F78" s="204">
        <v>17898092.740299992</v>
      </c>
      <c r="G78" s="205">
        <f t="shared" si="18"/>
        <v>1.1235451654425559</v>
      </c>
      <c r="H78" s="205">
        <f t="shared" si="19"/>
        <v>0.9</v>
      </c>
      <c r="I78" s="206">
        <v>16432250.652433336</v>
      </c>
      <c r="J78" s="206">
        <v>14976980.183700001</v>
      </c>
      <c r="K78" s="207">
        <f t="shared" si="20"/>
        <v>0.91143815296428465</v>
      </c>
      <c r="L78" s="207">
        <f t="shared" si="21"/>
        <v>0.9</v>
      </c>
      <c r="M78" s="208">
        <v>17576539.756119046</v>
      </c>
      <c r="N78" s="208">
        <v>10685831.645199997</v>
      </c>
      <c r="O78" s="209">
        <f t="shared" si="22"/>
        <v>0.60795991665423577</v>
      </c>
      <c r="P78" s="209">
        <f t="shared" si="23"/>
        <v>0</v>
      </c>
      <c r="Q78" s="210">
        <v>17927749.122928567</v>
      </c>
      <c r="R78" s="203">
        <v>19527485.216799993</v>
      </c>
      <c r="S78" s="209">
        <f t="shared" si="24"/>
        <v>1.0892324007270637</v>
      </c>
      <c r="T78" s="209">
        <f t="shared" si="25"/>
        <v>0.9</v>
      </c>
      <c r="U78" s="213">
        <v>16183971.593714288</v>
      </c>
      <c r="V78" s="213">
        <f>VLOOKUP(B78,'Dealer Wise'!B77:F197,5,0)</f>
        <v>20770628.68720001</v>
      </c>
      <c r="W78" s="214">
        <f t="shared" si="26"/>
        <v>1.2834073865569029</v>
      </c>
      <c r="X78" s="214">
        <f t="shared" si="27"/>
        <v>0.9</v>
      </c>
      <c r="Y78" s="174">
        <f t="shared" si="28"/>
        <v>84050527.372695222</v>
      </c>
      <c r="Z78" s="174">
        <f t="shared" si="29"/>
        <v>83859018.473199993</v>
      </c>
      <c r="AA78" s="159">
        <f t="shared" si="17"/>
        <v>0.99772150270222526</v>
      </c>
      <c r="AB78" s="175">
        <f t="shared" si="30"/>
        <v>191508.89949522913</v>
      </c>
      <c r="AC78" s="176">
        <f t="shared" si="31"/>
        <v>191508.89949522913</v>
      </c>
    </row>
    <row r="79" spans="1:29" x14ac:dyDescent="0.2">
      <c r="A79" s="107">
        <v>75</v>
      </c>
      <c r="B79" s="173" t="s">
        <v>66</v>
      </c>
      <c r="C79" s="111" t="s">
        <v>80</v>
      </c>
      <c r="D79" s="111" t="s">
        <v>1400</v>
      </c>
      <c r="E79" s="204">
        <v>6584661.7050000019</v>
      </c>
      <c r="F79" s="204">
        <v>6838597.7879000027</v>
      </c>
      <c r="G79" s="205">
        <f t="shared" si="18"/>
        <v>1.0385647880296078</v>
      </c>
      <c r="H79" s="205">
        <f t="shared" si="19"/>
        <v>0.9</v>
      </c>
      <c r="I79" s="206">
        <v>6626201.0315523818</v>
      </c>
      <c r="J79" s="206">
        <v>6745077.0992999999</v>
      </c>
      <c r="K79" s="207">
        <f t="shared" si="20"/>
        <v>1.0179403050377673</v>
      </c>
      <c r="L79" s="207">
        <f t="shared" si="21"/>
        <v>0.9</v>
      </c>
      <c r="M79" s="208">
        <v>6336713.3105095252</v>
      </c>
      <c r="N79" s="208">
        <v>5974931.2282000016</v>
      </c>
      <c r="O79" s="209">
        <f t="shared" si="22"/>
        <v>0.942906982755634</v>
      </c>
      <c r="P79" s="209">
        <f t="shared" si="23"/>
        <v>0.9</v>
      </c>
      <c r="Q79" s="210">
        <v>6291234.3176952368</v>
      </c>
      <c r="R79" s="203">
        <v>7754854.5160999997</v>
      </c>
      <c r="S79" s="209">
        <f t="shared" si="24"/>
        <v>1.232644362694943</v>
      </c>
      <c r="T79" s="209">
        <f t="shared" si="25"/>
        <v>0.9</v>
      </c>
      <c r="U79" s="213">
        <v>7482552.9859476201</v>
      </c>
      <c r="V79" s="213">
        <f>VLOOKUP(B79,'Dealer Wise'!B78:F198,5,0)</f>
        <v>11381404.396099998</v>
      </c>
      <c r="W79" s="214">
        <f t="shared" si="26"/>
        <v>1.5210589777946772</v>
      </c>
      <c r="X79" s="214">
        <f t="shared" si="27"/>
        <v>0.9</v>
      </c>
      <c r="Y79" s="174">
        <f t="shared" si="28"/>
        <v>33321363.350704767</v>
      </c>
      <c r="Z79" s="174">
        <f t="shared" si="29"/>
        <v>38694865.027599998</v>
      </c>
      <c r="AA79" s="159">
        <f t="shared" si="17"/>
        <v>1.1612629597516626</v>
      </c>
      <c r="AB79" s="175">
        <f t="shared" si="30"/>
        <v>-5373501.676895231</v>
      </c>
      <c r="AC79" s="176">
        <f t="shared" si="31"/>
        <v>-5373501.676895231</v>
      </c>
    </row>
    <row r="80" spans="1:29" x14ac:dyDescent="0.2">
      <c r="A80" s="107">
        <v>76</v>
      </c>
      <c r="B80" s="173" t="s">
        <v>75</v>
      </c>
      <c r="C80" s="111" t="s">
        <v>65</v>
      </c>
      <c r="D80" s="111" t="s">
        <v>70</v>
      </c>
      <c r="E80" s="204">
        <v>8092977.0800000029</v>
      </c>
      <c r="F80" s="204">
        <v>8619746.9291000031</v>
      </c>
      <c r="G80" s="205">
        <f t="shared" si="18"/>
        <v>1.0650897492842029</v>
      </c>
      <c r="H80" s="205">
        <f t="shared" si="19"/>
        <v>0.9</v>
      </c>
      <c r="I80" s="206">
        <v>8183516.7838047622</v>
      </c>
      <c r="J80" s="206">
        <v>8254691.701100002</v>
      </c>
      <c r="K80" s="207">
        <f t="shared" si="20"/>
        <v>1.0086973509281603</v>
      </c>
      <c r="L80" s="207">
        <f t="shared" si="21"/>
        <v>0.9</v>
      </c>
      <c r="M80" s="208">
        <v>9170732.6126142852</v>
      </c>
      <c r="N80" s="208">
        <v>5041125.3127000006</v>
      </c>
      <c r="O80" s="209">
        <f t="shared" si="22"/>
        <v>0.54969712079119659</v>
      </c>
      <c r="P80" s="209">
        <f t="shared" si="23"/>
        <v>0</v>
      </c>
      <c r="Q80" s="210">
        <v>9358632.2175333351</v>
      </c>
      <c r="R80" s="203">
        <v>11261607.756599996</v>
      </c>
      <c r="S80" s="209">
        <f t="shared" si="24"/>
        <v>1.2033390665252823</v>
      </c>
      <c r="T80" s="209">
        <f t="shared" si="25"/>
        <v>0.9</v>
      </c>
      <c r="U80" s="213">
        <v>10183720.304109523</v>
      </c>
      <c r="V80" s="213">
        <f>VLOOKUP(B80,'Dealer Wise'!B79:F199,5,0)</f>
        <v>11828050.982300002</v>
      </c>
      <c r="W80" s="214">
        <f t="shared" si="26"/>
        <v>1.1614665985599515</v>
      </c>
      <c r="X80" s="214">
        <f t="shared" si="27"/>
        <v>0.9</v>
      </c>
      <c r="Y80" s="174">
        <f t="shared" si="28"/>
        <v>44989578.998061903</v>
      </c>
      <c r="Z80" s="174">
        <f t="shared" si="29"/>
        <v>45005222.681800008</v>
      </c>
      <c r="AA80" s="159">
        <f t="shared" si="17"/>
        <v>1.0003477179401652</v>
      </c>
      <c r="AB80" s="175">
        <f t="shared" si="30"/>
        <v>-15643.683738104999</v>
      </c>
      <c r="AC80" s="176">
        <f t="shared" si="31"/>
        <v>-15643.683738104999</v>
      </c>
    </row>
    <row r="81" spans="1:29" x14ac:dyDescent="0.2">
      <c r="A81" s="107">
        <v>77</v>
      </c>
      <c r="B81" s="173" t="s">
        <v>76</v>
      </c>
      <c r="C81" s="111" t="s">
        <v>65</v>
      </c>
      <c r="D81" s="111" t="s">
        <v>70</v>
      </c>
      <c r="E81" s="204">
        <v>8348130.5875000004</v>
      </c>
      <c r="F81" s="204">
        <v>6886486.5554000009</v>
      </c>
      <c r="G81" s="205">
        <f t="shared" si="18"/>
        <v>0.82491361188233214</v>
      </c>
      <c r="H81" s="205">
        <f t="shared" si="19"/>
        <v>0</v>
      </c>
      <c r="I81" s="206">
        <v>8508428.7998285703</v>
      </c>
      <c r="J81" s="206">
        <v>2994446.8775000004</v>
      </c>
      <c r="K81" s="207">
        <f t="shared" si="20"/>
        <v>0.35193887707685034</v>
      </c>
      <c r="L81" s="207">
        <f t="shared" si="21"/>
        <v>0</v>
      </c>
      <c r="M81" s="208">
        <v>9090290.9123428576</v>
      </c>
      <c r="N81" s="208">
        <v>4726488.3360000001</v>
      </c>
      <c r="O81" s="209">
        <f t="shared" si="22"/>
        <v>0.51994907331099194</v>
      </c>
      <c r="P81" s="209">
        <f t="shared" si="23"/>
        <v>0</v>
      </c>
      <c r="Q81" s="210">
        <v>6020318.0255999994</v>
      </c>
      <c r="R81" s="203">
        <v>7446548.8290000027</v>
      </c>
      <c r="S81" s="209">
        <f t="shared" si="24"/>
        <v>1.2369029006998118</v>
      </c>
      <c r="T81" s="209">
        <f t="shared" si="25"/>
        <v>0.9</v>
      </c>
      <c r="U81" s="213">
        <v>7552279.4070904749</v>
      </c>
      <c r="V81" s="213">
        <f>VLOOKUP(B81,'Dealer Wise'!B80:F200,5,0)</f>
        <v>9260277.4447999932</v>
      </c>
      <c r="W81" s="214">
        <f t="shared" si="26"/>
        <v>1.2261566271112745</v>
      </c>
      <c r="X81" s="214">
        <f t="shared" si="27"/>
        <v>0.9</v>
      </c>
      <c r="Y81" s="174">
        <f t="shared" si="28"/>
        <v>39519447.732361905</v>
      </c>
      <c r="Z81" s="174">
        <f t="shared" si="29"/>
        <v>31314248.042699996</v>
      </c>
      <c r="AA81" s="159">
        <f t="shared" si="17"/>
        <v>0.79237564894048884</v>
      </c>
      <c r="AB81" s="175">
        <f t="shared" si="30"/>
        <v>8205199.6896619089</v>
      </c>
      <c r="AC81" s="176">
        <f t="shared" si="31"/>
        <v>8205199.6896619089</v>
      </c>
    </row>
    <row r="82" spans="1:29" x14ac:dyDescent="0.2">
      <c r="A82" s="107">
        <v>78</v>
      </c>
      <c r="B82" s="173" t="s">
        <v>71</v>
      </c>
      <c r="C82" s="111" t="s">
        <v>65</v>
      </c>
      <c r="D82" s="111" t="s">
        <v>70</v>
      </c>
      <c r="E82" s="204">
        <v>5285806.9799999995</v>
      </c>
      <c r="F82" s="204">
        <v>4342397.1688999999</v>
      </c>
      <c r="G82" s="205">
        <f t="shared" si="18"/>
        <v>0.82152019272183119</v>
      </c>
      <c r="H82" s="205">
        <f t="shared" si="19"/>
        <v>0</v>
      </c>
      <c r="I82" s="206">
        <v>5919599.5668904763</v>
      </c>
      <c r="J82" s="206">
        <v>3443324.6912000007</v>
      </c>
      <c r="K82" s="207">
        <f t="shared" si="20"/>
        <v>0.58168202972025607</v>
      </c>
      <c r="L82" s="207">
        <f t="shared" si="21"/>
        <v>0</v>
      </c>
      <c r="M82" s="208">
        <v>4775562.6851238087</v>
      </c>
      <c r="N82" s="208">
        <v>3423234.3751999992</v>
      </c>
      <c r="O82" s="209">
        <f t="shared" si="22"/>
        <v>0.71682325223446419</v>
      </c>
      <c r="P82" s="209">
        <f t="shared" si="23"/>
        <v>0</v>
      </c>
      <c r="Q82" s="210">
        <v>4823844.3130142866</v>
      </c>
      <c r="R82" s="203">
        <v>8136981.2763999971</v>
      </c>
      <c r="S82" s="209">
        <f t="shared" si="24"/>
        <v>1.6868250192998917</v>
      </c>
      <c r="T82" s="209">
        <f t="shared" si="25"/>
        <v>0.9</v>
      </c>
      <c r="U82" s="213">
        <v>6024165.2456666678</v>
      </c>
      <c r="V82" s="213">
        <f>VLOOKUP(B82,'Dealer Wise'!B81:F201,5,0)</f>
        <v>7145382.6704000002</v>
      </c>
      <c r="W82" s="214">
        <f t="shared" si="26"/>
        <v>1.1861199650092353</v>
      </c>
      <c r="X82" s="214">
        <f t="shared" si="27"/>
        <v>0.9</v>
      </c>
      <c r="Y82" s="174">
        <f t="shared" si="28"/>
        <v>26828978.790695239</v>
      </c>
      <c r="Z82" s="174">
        <f t="shared" si="29"/>
        <v>26491320.182099998</v>
      </c>
      <c r="AA82" s="159">
        <f t="shared" si="17"/>
        <v>0.987414406965339</v>
      </c>
      <c r="AB82" s="175">
        <f t="shared" si="30"/>
        <v>337658.60859524086</v>
      </c>
      <c r="AC82" s="176">
        <f t="shared" si="31"/>
        <v>337658.60859524086</v>
      </c>
    </row>
    <row r="83" spans="1:29" x14ac:dyDescent="0.2">
      <c r="A83" s="107">
        <v>79</v>
      </c>
      <c r="B83" s="173" t="s">
        <v>69</v>
      </c>
      <c r="C83" s="111" t="s">
        <v>65</v>
      </c>
      <c r="D83" s="111" t="s">
        <v>70</v>
      </c>
      <c r="E83" s="204">
        <v>9131932.8024999984</v>
      </c>
      <c r="F83" s="204">
        <v>8325827.6444000006</v>
      </c>
      <c r="G83" s="205">
        <f t="shared" si="18"/>
        <v>0.91172677509417122</v>
      </c>
      <c r="H83" s="205">
        <f t="shared" si="19"/>
        <v>0.9</v>
      </c>
      <c r="I83" s="206">
        <v>9623424.4723285735</v>
      </c>
      <c r="J83" s="206">
        <v>8762651.0233999994</v>
      </c>
      <c r="K83" s="207">
        <f t="shared" si="20"/>
        <v>0.91055435085466063</v>
      </c>
      <c r="L83" s="207">
        <f t="shared" si="21"/>
        <v>0.9</v>
      </c>
      <c r="M83" s="208">
        <v>9303621.5681142863</v>
      </c>
      <c r="N83" s="208">
        <v>2953648.2367000007</v>
      </c>
      <c r="O83" s="209">
        <f t="shared" si="22"/>
        <v>0.31747295556634125</v>
      </c>
      <c r="P83" s="209">
        <f t="shared" si="23"/>
        <v>0</v>
      </c>
      <c r="Q83" s="210">
        <v>7746377.9778666664</v>
      </c>
      <c r="R83" s="203">
        <v>8041428.2483999999</v>
      </c>
      <c r="S83" s="209">
        <f t="shared" si="24"/>
        <v>1.0380888037449716</v>
      </c>
      <c r="T83" s="209">
        <f t="shared" si="25"/>
        <v>0.9</v>
      </c>
      <c r="U83" s="213">
        <v>8324132.6465523802</v>
      </c>
      <c r="V83" s="213">
        <f>VLOOKUP(B83,'Dealer Wise'!B82:F202,5,0)</f>
        <v>11145856.583000001</v>
      </c>
      <c r="W83" s="214">
        <f t="shared" si="26"/>
        <v>1.3389811354839833</v>
      </c>
      <c r="X83" s="214">
        <f t="shared" si="27"/>
        <v>0.9</v>
      </c>
      <c r="Y83" s="174">
        <f t="shared" si="28"/>
        <v>44129489.467361897</v>
      </c>
      <c r="Z83" s="174">
        <f t="shared" si="29"/>
        <v>39229411.7359</v>
      </c>
      <c r="AA83" s="159">
        <f t="shared" si="17"/>
        <v>0.88896137728749414</v>
      </c>
      <c r="AB83" s="175">
        <f t="shared" si="30"/>
        <v>4900077.7314618975</v>
      </c>
      <c r="AC83" s="176">
        <f t="shared" si="31"/>
        <v>4900077.7314618975</v>
      </c>
    </row>
    <row r="84" spans="1:29" x14ac:dyDescent="0.2">
      <c r="A84" s="107">
        <v>80</v>
      </c>
      <c r="B84" s="173" t="s">
        <v>1266</v>
      </c>
      <c r="C84" s="111" t="s">
        <v>65</v>
      </c>
      <c r="D84" s="111" t="s">
        <v>65</v>
      </c>
      <c r="E84" s="204">
        <v>4694125.0424999995</v>
      </c>
      <c r="F84" s="204">
        <v>3836154.0601999993</v>
      </c>
      <c r="G84" s="205">
        <f t="shared" si="18"/>
        <v>0.81722451478560065</v>
      </c>
      <c r="H84" s="205">
        <f t="shared" si="19"/>
        <v>0</v>
      </c>
      <c r="I84" s="206">
        <v>4977954.4474142855</v>
      </c>
      <c r="J84" s="206">
        <v>1713074.0410999998</v>
      </c>
      <c r="K84" s="207">
        <f t="shared" si="20"/>
        <v>0.34413212479070138</v>
      </c>
      <c r="L84" s="207">
        <f t="shared" si="21"/>
        <v>0</v>
      </c>
      <c r="M84" s="208">
        <v>2238755.8098857137</v>
      </c>
      <c r="N84" s="208">
        <v>2322015.1126999999</v>
      </c>
      <c r="O84" s="209">
        <f t="shared" si="22"/>
        <v>1.0371899884956799</v>
      </c>
      <c r="P84" s="209">
        <f t="shared" si="23"/>
        <v>0.9</v>
      </c>
      <c r="Q84" s="210">
        <v>2468755.6826809524</v>
      </c>
      <c r="R84" s="203">
        <v>3488793.2297999999</v>
      </c>
      <c r="S84" s="209">
        <f t="shared" si="24"/>
        <v>1.4131788148478648</v>
      </c>
      <c r="T84" s="209">
        <f t="shared" si="25"/>
        <v>0.9</v>
      </c>
      <c r="U84" s="213">
        <v>3343220.2704666667</v>
      </c>
      <c r="V84" s="213">
        <f>VLOOKUP(B84,'Dealer Wise'!B83:F203,5,0)</f>
        <v>5940975.8799000019</v>
      </c>
      <c r="W84" s="214">
        <f t="shared" si="26"/>
        <v>1.7770219726116716</v>
      </c>
      <c r="X84" s="214">
        <f t="shared" si="27"/>
        <v>0.9</v>
      </c>
      <c r="Y84" s="174">
        <f t="shared" si="28"/>
        <v>17722811.252947617</v>
      </c>
      <c r="Z84" s="174">
        <f t="shared" si="29"/>
        <v>17301012.3237</v>
      </c>
      <c r="AA84" s="159">
        <f t="shared" si="17"/>
        <v>0.97620022448879462</v>
      </c>
      <c r="AB84" s="175">
        <f t="shared" si="30"/>
        <v>421798.92924761772</v>
      </c>
      <c r="AC84" s="176">
        <f t="shared" si="31"/>
        <v>421798.92924761772</v>
      </c>
    </row>
    <row r="85" spans="1:29" x14ac:dyDescent="0.2">
      <c r="A85" s="107">
        <v>81</v>
      </c>
      <c r="B85" s="173" t="s">
        <v>72</v>
      </c>
      <c r="C85" s="111" t="s">
        <v>65</v>
      </c>
      <c r="D85" s="111" t="s">
        <v>1462</v>
      </c>
      <c r="E85" s="204">
        <v>5750959.8024999984</v>
      </c>
      <c r="F85" s="204">
        <v>5798234.9247999992</v>
      </c>
      <c r="G85" s="205">
        <f t="shared" si="18"/>
        <v>1.0082203882349257</v>
      </c>
      <c r="H85" s="205">
        <f t="shared" si="19"/>
        <v>0.9</v>
      </c>
      <c r="I85" s="206">
        <v>5532686.0461142883</v>
      </c>
      <c r="J85" s="206">
        <v>6087427.6953000044</v>
      </c>
      <c r="K85" s="207">
        <f t="shared" si="20"/>
        <v>1.1002662440199948</v>
      </c>
      <c r="L85" s="207">
        <f t="shared" si="21"/>
        <v>0.9</v>
      </c>
      <c r="M85" s="208">
        <v>6812456.3624952389</v>
      </c>
      <c r="N85" s="208">
        <v>2885700.9672000008</v>
      </c>
      <c r="O85" s="209">
        <f t="shared" si="22"/>
        <v>0.42359184611980955</v>
      </c>
      <c r="P85" s="209">
        <f t="shared" si="23"/>
        <v>0</v>
      </c>
      <c r="Q85" s="210">
        <v>5803324.8655952374</v>
      </c>
      <c r="R85" s="203">
        <v>5581731.4746000022</v>
      </c>
      <c r="S85" s="209">
        <f t="shared" si="24"/>
        <v>0.9618161319368933</v>
      </c>
      <c r="T85" s="209">
        <f t="shared" si="25"/>
        <v>0.9</v>
      </c>
      <c r="U85" s="213">
        <v>5756193.3149333326</v>
      </c>
      <c r="V85" s="213">
        <f>VLOOKUP(B85,'Dealer Wise'!B57:F177,5,0)</f>
        <v>8490164.0198000018</v>
      </c>
      <c r="W85" s="214">
        <f t="shared" si="26"/>
        <v>1.4749615857712612</v>
      </c>
      <c r="X85" s="214">
        <f t="shared" si="27"/>
        <v>0.9</v>
      </c>
      <c r="Y85" s="174">
        <f t="shared" si="28"/>
        <v>29655620.391638096</v>
      </c>
      <c r="Z85" s="174">
        <f t="shared" si="29"/>
        <v>28843259.081700005</v>
      </c>
      <c r="AA85" s="159">
        <f t="shared" si="17"/>
        <v>0.97260683475139331</v>
      </c>
      <c r="AB85" s="175">
        <f t="shared" si="30"/>
        <v>812361.30993809178</v>
      </c>
      <c r="AC85" s="176">
        <f t="shared" si="31"/>
        <v>812361.30993809178</v>
      </c>
    </row>
    <row r="86" spans="1:29" x14ac:dyDescent="0.2">
      <c r="A86" s="107">
        <v>82</v>
      </c>
      <c r="B86" s="173" t="s">
        <v>73</v>
      </c>
      <c r="C86" s="111" t="s">
        <v>65</v>
      </c>
      <c r="D86" s="111" t="s">
        <v>65</v>
      </c>
      <c r="E86" s="204">
        <v>6983287.4149999991</v>
      </c>
      <c r="F86" s="204">
        <v>4571340.4926000005</v>
      </c>
      <c r="G86" s="205">
        <f t="shared" si="18"/>
        <v>0.65461153478816125</v>
      </c>
      <c r="H86" s="205">
        <f t="shared" si="19"/>
        <v>0</v>
      </c>
      <c r="I86" s="206">
        <v>7908636.2963047624</v>
      </c>
      <c r="J86" s="206">
        <v>7209763.5429000016</v>
      </c>
      <c r="K86" s="207">
        <f t="shared" si="20"/>
        <v>0.91163169891485563</v>
      </c>
      <c r="L86" s="207">
        <f t="shared" si="21"/>
        <v>0.9</v>
      </c>
      <c r="M86" s="208">
        <v>8961872.6339999996</v>
      </c>
      <c r="N86" s="208">
        <v>3759567.3315999997</v>
      </c>
      <c r="O86" s="209">
        <f t="shared" si="22"/>
        <v>0.41950689159950405</v>
      </c>
      <c r="P86" s="209">
        <f t="shared" si="23"/>
        <v>0</v>
      </c>
      <c r="Q86" s="210">
        <v>8009184.6292809509</v>
      </c>
      <c r="R86" s="203">
        <v>11149940.184199994</v>
      </c>
      <c r="S86" s="209">
        <f t="shared" si="24"/>
        <v>1.3921442319405009</v>
      </c>
      <c r="T86" s="209">
        <f t="shared" si="25"/>
        <v>0.9</v>
      </c>
      <c r="U86" s="213">
        <v>8575549.2930285707</v>
      </c>
      <c r="V86" s="213">
        <f>VLOOKUP(B86,'Dealer Wise'!B58:F178,5,0)</f>
        <v>11146552.797099998</v>
      </c>
      <c r="W86" s="214">
        <f t="shared" si="26"/>
        <v>1.2998062766849823</v>
      </c>
      <c r="X86" s="214">
        <f t="shared" si="27"/>
        <v>0.9</v>
      </c>
      <c r="Y86" s="174">
        <f t="shared" si="28"/>
        <v>40438530.267614283</v>
      </c>
      <c r="Z86" s="174">
        <f t="shared" si="29"/>
        <v>37837164.348399997</v>
      </c>
      <c r="AA86" s="159">
        <f t="shared" si="17"/>
        <v>0.93567110619503346</v>
      </c>
      <c r="AB86" s="175">
        <f t="shared" si="30"/>
        <v>2601365.9192142859</v>
      </c>
      <c r="AC86" s="176">
        <f t="shared" si="31"/>
        <v>2601365.9192142859</v>
      </c>
    </row>
    <row r="87" spans="1:29" x14ac:dyDescent="0.2">
      <c r="A87" s="107">
        <v>83</v>
      </c>
      <c r="B87" s="173" t="s">
        <v>1327</v>
      </c>
      <c r="C87" s="111" t="s">
        <v>65</v>
      </c>
      <c r="D87" s="111" t="s">
        <v>65</v>
      </c>
      <c r="E87" s="204">
        <v>10185624.125</v>
      </c>
      <c r="F87" s="204">
        <v>9410249.7838000022</v>
      </c>
      <c r="G87" s="205">
        <f t="shared" si="18"/>
        <v>0.92387561805889851</v>
      </c>
      <c r="H87" s="205">
        <f t="shared" si="19"/>
        <v>0.9</v>
      </c>
      <c r="I87" s="206">
        <v>10399708.564580951</v>
      </c>
      <c r="J87" s="206">
        <v>9568926.5649999958</v>
      </c>
      <c r="K87" s="207">
        <f t="shared" si="20"/>
        <v>0.92011487683314408</v>
      </c>
      <c r="L87" s="207">
        <f t="shared" si="21"/>
        <v>0.9</v>
      </c>
      <c r="M87" s="208">
        <v>8958945.6244857144</v>
      </c>
      <c r="N87" s="208">
        <v>3897025.2222000002</v>
      </c>
      <c r="O87" s="209">
        <f t="shared" si="22"/>
        <v>0.43498703815648038</v>
      </c>
      <c r="P87" s="209">
        <f t="shared" si="23"/>
        <v>0</v>
      </c>
      <c r="Q87" s="210">
        <v>8461883.981804762</v>
      </c>
      <c r="R87" s="203">
        <v>11678404.033800002</v>
      </c>
      <c r="S87" s="209">
        <f t="shared" si="24"/>
        <v>1.380118666116386</v>
      </c>
      <c r="T87" s="209">
        <f t="shared" si="25"/>
        <v>0.9</v>
      </c>
      <c r="U87" s="213">
        <v>9955017.5823571421</v>
      </c>
      <c r="V87" s="213">
        <f>VLOOKUP(B87,'Dealer Wise'!B59:F179,5,0)</f>
        <v>14151731.241499996</v>
      </c>
      <c r="W87" s="214">
        <f t="shared" si="26"/>
        <v>1.4215676792555858</v>
      </c>
      <c r="X87" s="214">
        <f t="shared" si="27"/>
        <v>0.9</v>
      </c>
      <c r="Y87" s="174">
        <f t="shared" si="28"/>
        <v>47961179.87822856</v>
      </c>
      <c r="Z87" s="174">
        <f t="shared" si="29"/>
        <v>48706336.846299998</v>
      </c>
      <c r="AA87" s="159">
        <f t="shared" si="17"/>
        <v>1.015536668821813</v>
      </c>
      <c r="AB87" s="175">
        <f t="shared" si="30"/>
        <v>-745156.96807143837</v>
      </c>
      <c r="AC87" s="176">
        <f t="shared" si="31"/>
        <v>-745156.96807143837</v>
      </c>
    </row>
    <row r="88" spans="1:29" x14ac:dyDescent="0.2">
      <c r="A88" s="107">
        <v>84</v>
      </c>
      <c r="B88" s="173" t="s">
        <v>74</v>
      </c>
      <c r="C88" s="111" t="s">
        <v>65</v>
      </c>
      <c r="D88" s="111" t="s">
        <v>65</v>
      </c>
      <c r="E88" s="204">
        <v>2543268.0500000003</v>
      </c>
      <c r="F88" s="204">
        <v>2324480.0937000001</v>
      </c>
      <c r="G88" s="205">
        <f t="shared" si="18"/>
        <v>0.91397369368910986</v>
      </c>
      <c r="H88" s="205">
        <f t="shared" si="19"/>
        <v>0.9</v>
      </c>
      <c r="I88" s="206">
        <v>2465946.8366380958</v>
      </c>
      <c r="J88" s="206">
        <v>2257333.0217999993</v>
      </c>
      <c r="K88" s="207">
        <f t="shared" si="20"/>
        <v>0.91540214422363364</v>
      </c>
      <c r="L88" s="207">
        <f t="shared" si="21"/>
        <v>0.9</v>
      </c>
      <c r="M88" s="208">
        <v>2212441.7825619043</v>
      </c>
      <c r="N88" s="208">
        <v>1215468.1865999997</v>
      </c>
      <c r="O88" s="209">
        <f t="shared" si="22"/>
        <v>0.54937860791642812</v>
      </c>
      <c r="P88" s="209">
        <f t="shared" si="23"/>
        <v>0</v>
      </c>
      <c r="Q88" s="210">
        <v>2192916.0830238094</v>
      </c>
      <c r="R88" s="203">
        <v>2688232.4770999998</v>
      </c>
      <c r="S88" s="209">
        <f t="shared" si="24"/>
        <v>1.2258711119456971</v>
      </c>
      <c r="T88" s="209">
        <f t="shared" si="25"/>
        <v>0.9</v>
      </c>
      <c r="U88" s="213">
        <v>2855571.2758809533</v>
      </c>
      <c r="V88" s="213">
        <f>VLOOKUP(B88,'Dealer Wise'!B60:F180,5,0)</f>
        <v>3209744.024900001</v>
      </c>
      <c r="W88" s="214">
        <f t="shared" si="26"/>
        <v>1.1240286845614751</v>
      </c>
      <c r="X88" s="214">
        <f t="shared" si="27"/>
        <v>0.9</v>
      </c>
      <c r="Y88" s="174">
        <f t="shared" si="28"/>
        <v>12270144.028104762</v>
      </c>
      <c r="Z88" s="174">
        <f t="shared" si="29"/>
        <v>11695257.804099999</v>
      </c>
      <c r="AA88" s="159">
        <f t="shared" si="17"/>
        <v>0.95314755697341569</v>
      </c>
      <c r="AB88" s="175">
        <f t="shared" si="30"/>
        <v>574886.22400476225</v>
      </c>
      <c r="AC88" s="176">
        <f t="shared" si="31"/>
        <v>574886.22400476225</v>
      </c>
    </row>
    <row r="89" spans="1:29" x14ac:dyDescent="0.2">
      <c r="A89" s="107">
        <v>85</v>
      </c>
      <c r="B89" s="173" t="s">
        <v>90</v>
      </c>
      <c r="C89" s="111" t="s">
        <v>80</v>
      </c>
      <c r="D89" s="111" t="s">
        <v>91</v>
      </c>
      <c r="E89" s="204">
        <v>6600830.3900000006</v>
      </c>
      <c r="F89" s="204">
        <v>7528246.2640999993</v>
      </c>
      <c r="G89" s="205">
        <f t="shared" si="18"/>
        <v>1.1404998794553178</v>
      </c>
      <c r="H89" s="205">
        <f t="shared" si="19"/>
        <v>0.9</v>
      </c>
      <c r="I89" s="206">
        <v>7071733.5127666667</v>
      </c>
      <c r="J89" s="206">
        <v>6430284.0030000033</v>
      </c>
      <c r="K89" s="207">
        <f t="shared" si="20"/>
        <v>0.90929387983743326</v>
      </c>
      <c r="L89" s="207">
        <f t="shared" si="21"/>
        <v>0.9</v>
      </c>
      <c r="M89" s="208">
        <v>6685540.7172571449</v>
      </c>
      <c r="N89" s="208">
        <v>3300350.1936000008</v>
      </c>
      <c r="O89" s="209">
        <f t="shared" si="22"/>
        <v>0.49365493879663708</v>
      </c>
      <c r="P89" s="209">
        <f t="shared" si="23"/>
        <v>0</v>
      </c>
      <c r="Q89" s="210">
        <v>6627918.662833333</v>
      </c>
      <c r="R89" s="203">
        <v>7796349.3772000028</v>
      </c>
      <c r="S89" s="209">
        <f t="shared" si="24"/>
        <v>1.1762892355512378</v>
      </c>
      <c r="T89" s="209">
        <f t="shared" si="25"/>
        <v>0.9</v>
      </c>
      <c r="U89" s="213">
        <v>7298329.4718904775</v>
      </c>
      <c r="V89" s="213">
        <f>VLOOKUP(B89,'Dealer Wise'!B88:F208,5,0)</f>
        <v>11127925.121199995</v>
      </c>
      <c r="W89" s="214">
        <f t="shared" si="26"/>
        <v>1.5247222208944127</v>
      </c>
      <c r="X89" s="214">
        <f t="shared" si="27"/>
        <v>0.9</v>
      </c>
      <c r="Y89" s="174">
        <f t="shared" si="28"/>
        <v>34284352.754747622</v>
      </c>
      <c r="Z89" s="174">
        <f t="shared" si="29"/>
        <v>36183154.959100008</v>
      </c>
      <c r="AA89" s="159">
        <f t="shared" si="17"/>
        <v>1.0553839303292505</v>
      </c>
      <c r="AB89" s="175">
        <f t="shared" si="30"/>
        <v>-1898802.2043523863</v>
      </c>
      <c r="AC89" s="176">
        <f t="shared" si="31"/>
        <v>-1898802.2043523863</v>
      </c>
    </row>
    <row r="90" spans="1:29" x14ac:dyDescent="0.2">
      <c r="A90" s="107">
        <v>86</v>
      </c>
      <c r="B90" s="173" t="s">
        <v>1350</v>
      </c>
      <c r="C90" s="111" t="s">
        <v>80</v>
      </c>
      <c r="D90" s="111" t="s">
        <v>91</v>
      </c>
      <c r="E90" s="204">
        <v>12611326.777500002</v>
      </c>
      <c r="F90" s="204">
        <v>14739572.210700009</v>
      </c>
      <c r="G90" s="205">
        <f t="shared" si="18"/>
        <v>1.168756663810903</v>
      </c>
      <c r="H90" s="205">
        <f t="shared" si="19"/>
        <v>0.9</v>
      </c>
      <c r="I90" s="206">
        <v>11921285.024609525</v>
      </c>
      <c r="J90" s="206">
        <v>10854117.888800004</v>
      </c>
      <c r="K90" s="207">
        <f t="shared" si="20"/>
        <v>0.91048220610391162</v>
      </c>
      <c r="L90" s="207">
        <f t="shared" si="21"/>
        <v>0.9</v>
      </c>
      <c r="M90" s="208">
        <v>11983741.686519047</v>
      </c>
      <c r="N90" s="208">
        <v>6454215.7166000009</v>
      </c>
      <c r="O90" s="209">
        <f t="shared" si="22"/>
        <v>0.53858101129304092</v>
      </c>
      <c r="P90" s="209">
        <f t="shared" si="23"/>
        <v>0</v>
      </c>
      <c r="Q90" s="210">
        <v>10985575.804995243</v>
      </c>
      <c r="R90" s="203">
        <v>12253120.060899995</v>
      </c>
      <c r="S90" s="209">
        <f t="shared" si="24"/>
        <v>1.1153825960882622</v>
      </c>
      <c r="T90" s="209">
        <f t="shared" si="25"/>
        <v>0.9</v>
      </c>
      <c r="U90" s="213">
        <v>12513000.649185713</v>
      </c>
      <c r="V90" s="213">
        <f>VLOOKUP(B90,'Dealer Wise'!B89:F209,5,0)</f>
        <v>25357558.626400005</v>
      </c>
      <c r="W90" s="214">
        <f t="shared" si="26"/>
        <v>2.0264970279570917</v>
      </c>
      <c r="X90" s="214">
        <f t="shared" si="27"/>
        <v>0.9</v>
      </c>
      <c r="Y90" s="174">
        <f t="shared" si="28"/>
        <v>60014929.942809537</v>
      </c>
      <c r="Z90" s="174">
        <f t="shared" si="29"/>
        <v>69658584.503400013</v>
      </c>
      <c r="AA90" s="159">
        <f t="shared" si="17"/>
        <v>1.1606875917339281</v>
      </c>
      <c r="AB90" s="175">
        <f t="shared" si="30"/>
        <v>-9643654.5605904758</v>
      </c>
      <c r="AC90" s="176">
        <f t="shared" si="31"/>
        <v>-9643654.5605904758</v>
      </c>
    </row>
    <row r="91" spans="1:29" x14ac:dyDescent="0.2">
      <c r="A91" s="107">
        <v>87</v>
      </c>
      <c r="B91" s="173" t="s">
        <v>79</v>
      </c>
      <c r="C91" s="111" t="s">
        <v>80</v>
      </c>
      <c r="D91" s="111" t="s">
        <v>1463</v>
      </c>
      <c r="E91" s="204">
        <v>6779861.1050000014</v>
      </c>
      <c r="F91" s="204">
        <v>7182660.882000003</v>
      </c>
      <c r="G91" s="205">
        <f t="shared" si="18"/>
        <v>1.0594112137050928</v>
      </c>
      <c r="H91" s="205">
        <f t="shared" si="19"/>
        <v>0.9</v>
      </c>
      <c r="I91" s="206">
        <v>9030809.7677380946</v>
      </c>
      <c r="J91" s="206">
        <v>7236792.2700000014</v>
      </c>
      <c r="K91" s="207">
        <f t="shared" si="20"/>
        <v>0.80134478038203294</v>
      </c>
      <c r="L91" s="207">
        <f t="shared" si="21"/>
        <v>0</v>
      </c>
      <c r="M91" s="208">
        <v>7210538.1143095223</v>
      </c>
      <c r="N91" s="208">
        <v>4699635.0386999995</v>
      </c>
      <c r="O91" s="209">
        <f t="shared" si="22"/>
        <v>0.65177313595686248</v>
      </c>
      <c r="P91" s="209">
        <f t="shared" si="23"/>
        <v>0</v>
      </c>
      <c r="Q91" s="210">
        <v>9551512.1519761886</v>
      </c>
      <c r="R91" s="203">
        <v>10097928.9605</v>
      </c>
      <c r="S91" s="209">
        <f t="shared" si="24"/>
        <v>1.057207361497285</v>
      </c>
      <c r="T91" s="209">
        <f t="shared" si="25"/>
        <v>0.9</v>
      </c>
      <c r="U91" s="213">
        <v>9009432.3508761916</v>
      </c>
      <c r="V91" s="213">
        <f>VLOOKUP(B91,'Dealer Wise'!B90:F210,5,0)</f>
        <v>11184281.119899999</v>
      </c>
      <c r="W91" s="214">
        <f t="shared" si="26"/>
        <v>1.2413968698940614</v>
      </c>
      <c r="X91" s="214">
        <f t="shared" si="27"/>
        <v>0.9</v>
      </c>
      <c r="Y91" s="174">
        <f t="shared" si="28"/>
        <v>41582153.4899</v>
      </c>
      <c r="Z91" s="174">
        <f t="shared" si="29"/>
        <v>40401298.2711</v>
      </c>
      <c r="AA91" s="159">
        <f t="shared" si="17"/>
        <v>0.97160187436932954</v>
      </c>
      <c r="AB91" s="175">
        <f t="shared" si="30"/>
        <v>1180855.2188000008</v>
      </c>
      <c r="AC91" s="176">
        <f t="shared" si="31"/>
        <v>1180855.2188000008</v>
      </c>
    </row>
    <row r="92" spans="1:29" x14ac:dyDescent="0.2">
      <c r="A92" s="107">
        <v>88</v>
      </c>
      <c r="B92" s="173" t="s">
        <v>88</v>
      </c>
      <c r="C92" s="111" t="s">
        <v>80</v>
      </c>
      <c r="D92" s="111" t="s">
        <v>1463</v>
      </c>
      <c r="E92" s="204">
        <v>5900595.8925000001</v>
      </c>
      <c r="F92" s="204">
        <v>6188663.9367999993</v>
      </c>
      <c r="G92" s="205">
        <f t="shared" si="18"/>
        <v>1.0488201614799872</v>
      </c>
      <c r="H92" s="205">
        <f t="shared" si="19"/>
        <v>0.9</v>
      </c>
      <c r="I92" s="206">
        <v>7499992.2743904758</v>
      </c>
      <c r="J92" s="206">
        <v>6039616.2391999997</v>
      </c>
      <c r="K92" s="207">
        <f t="shared" si="20"/>
        <v>0.80528299473359644</v>
      </c>
      <c r="L92" s="207">
        <f t="shared" si="21"/>
        <v>0</v>
      </c>
      <c r="M92" s="208">
        <v>6244301.7557095215</v>
      </c>
      <c r="N92" s="208">
        <v>4025862.7754999986</v>
      </c>
      <c r="O92" s="209">
        <f t="shared" si="22"/>
        <v>0.64472585294567519</v>
      </c>
      <c r="P92" s="209">
        <f t="shared" si="23"/>
        <v>0</v>
      </c>
      <c r="Q92" s="210">
        <v>6898554.4251619056</v>
      </c>
      <c r="R92" s="203">
        <v>6973312.0108000021</v>
      </c>
      <c r="S92" s="209">
        <f t="shared" si="24"/>
        <v>1.0108367030294672</v>
      </c>
      <c r="T92" s="209">
        <f t="shared" si="25"/>
        <v>0.9</v>
      </c>
      <c r="U92" s="213">
        <v>7630508.9859476192</v>
      </c>
      <c r="V92" s="213">
        <f>VLOOKUP(B92,'Dealer Wise'!B91:F211,5,0)</f>
        <v>9028737.6353999972</v>
      </c>
      <c r="W92" s="214">
        <f t="shared" si="26"/>
        <v>1.1832418587052793</v>
      </c>
      <c r="X92" s="214">
        <f t="shared" si="27"/>
        <v>0.9</v>
      </c>
      <c r="Y92" s="174">
        <f t="shared" si="28"/>
        <v>34173953.333709523</v>
      </c>
      <c r="Z92" s="174">
        <f t="shared" si="29"/>
        <v>32256192.5977</v>
      </c>
      <c r="AA92" s="159">
        <f t="shared" si="17"/>
        <v>0.9438823855910804</v>
      </c>
      <c r="AB92" s="175">
        <f t="shared" si="30"/>
        <v>1917760.7360095233</v>
      </c>
      <c r="AC92" s="176">
        <f t="shared" si="31"/>
        <v>1917760.7360095233</v>
      </c>
    </row>
    <row r="93" spans="1:29" x14ac:dyDescent="0.2">
      <c r="A93" s="107">
        <v>89</v>
      </c>
      <c r="B93" s="173" t="s">
        <v>86</v>
      </c>
      <c r="C93" s="111" t="s">
        <v>80</v>
      </c>
      <c r="D93" s="111" t="s">
        <v>91</v>
      </c>
      <c r="E93" s="204">
        <v>14323371.180000003</v>
      </c>
      <c r="F93" s="204">
        <v>13394265.746499998</v>
      </c>
      <c r="G93" s="205">
        <f t="shared" si="18"/>
        <v>0.93513360634001219</v>
      </c>
      <c r="H93" s="205">
        <f t="shared" si="19"/>
        <v>0.9</v>
      </c>
      <c r="I93" s="206">
        <v>14684329.754347617</v>
      </c>
      <c r="J93" s="206">
        <v>14693578.818500001</v>
      </c>
      <c r="K93" s="207">
        <f t="shared" si="20"/>
        <v>1.000629859469728</v>
      </c>
      <c r="L93" s="207">
        <f t="shared" si="21"/>
        <v>0.9</v>
      </c>
      <c r="M93" s="208">
        <v>14018132.547242859</v>
      </c>
      <c r="N93" s="208">
        <v>6840333.6625999976</v>
      </c>
      <c r="O93" s="209">
        <f t="shared" si="22"/>
        <v>0.48796326040913207</v>
      </c>
      <c r="P93" s="209">
        <f t="shared" si="23"/>
        <v>0</v>
      </c>
      <c r="Q93" s="210">
        <v>19911961.372280955</v>
      </c>
      <c r="R93" s="203">
        <v>23632300.290100012</v>
      </c>
      <c r="S93" s="209">
        <f t="shared" si="24"/>
        <v>1.1868394001104314</v>
      </c>
      <c r="T93" s="209">
        <f t="shared" si="25"/>
        <v>0.9</v>
      </c>
      <c r="U93" s="213">
        <v>18375530.009252384</v>
      </c>
      <c r="V93" s="213">
        <f>VLOOKUP(B93,'Dealer Wise'!B92:F212,5,0)</f>
        <v>27468905.660100002</v>
      </c>
      <c r="W93" s="214">
        <f t="shared" si="26"/>
        <v>1.4948633125830357</v>
      </c>
      <c r="X93" s="214">
        <f t="shared" si="27"/>
        <v>0.9</v>
      </c>
      <c r="Y93" s="174">
        <f t="shared" si="28"/>
        <v>81313324.863123819</v>
      </c>
      <c r="Z93" s="174">
        <f t="shared" si="29"/>
        <v>86029384.1778</v>
      </c>
      <c r="AA93" s="159">
        <f t="shared" si="17"/>
        <v>1.0579986038280296</v>
      </c>
      <c r="AB93" s="175">
        <f t="shared" si="30"/>
        <v>-4716059.3146761805</v>
      </c>
      <c r="AC93" s="176">
        <f t="shared" si="31"/>
        <v>-4716059.3146761805</v>
      </c>
    </row>
    <row r="94" spans="1:29" x14ac:dyDescent="0.2">
      <c r="A94" s="107">
        <v>90</v>
      </c>
      <c r="B94" s="173" t="s">
        <v>85</v>
      </c>
      <c r="C94" s="111" t="s">
        <v>80</v>
      </c>
      <c r="D94" s="111" t="s">
        <v>80</v>
      </c>
      <c r="E94" s="204">
        <v>2586012.9500000002</v>
      </c>
      <c r="F94" s="204">
        <v>2367474.699</v>
      </c>
      <c r="G94" s="205">
        <f t="shared" si="18"/>
        <v>0.91549220548180155</v>
      </c>
      <c r="H94" s="205">
        <f t="shared" si="19"/>
        <v>0.9</v>
      </c>
      <c r="I94" s="206">
        <v>2906631.4443095233</v>
      </c>
      <c r="J94" s="206">
        <v>2643236.3090999997</v>
      </c>
      <c r="K94" s="207">
        <f t="shared" si="20"/>
        <v>0.90938130951373719</v>
      </c>
      <c r="L94" s="207">
        <f t="shared" si="21"/>
        <v>0.9</v>
      </c>
      <c r="M94" s="208">
        <v>3086030.2059571426</v>
      </c>
      <c r="N94" s="208">
        <v>1522686.1207999999</v>
      </c>
      <c r="O94" s="209">
        <f t="shared" si="22"/>
        <v>0.49341257835411684</v>
      </c>
      <c r="P94" s="209">
        <f t="shared" si="23"/>
        <v>0</v>
      </c>
      <c r="Q94" s="210">
        <v>2312994.1348238094</v>
      </c>
      <c r="R94" s="203">
        <v>2986525.2139000003</v>
      </c>
      <c r="S94" s="209">
        <f t="shared" si="24"/>
        <v>1.2911944604336389</v>
      </c>
      <c r="T94" s="209">
        <f t="shared" si="25"/>
        <v>0.9</v>
      </c>
      <c r="U94" s="213">
        <v>2775518.6958095236</v>
      </c>
      <c r="V94" s="213">
        <f>VLOOKUP(B94,'Dealer Wise'!B93:F213,5,0)</f>
        <v>5301443.8826000011</v>
      </c>
      <c r="W94" s="214">
        <f t="shared" si="26"/>
        <v>1.9100732020303512</v>
      </c>
      <c r="X94" s="214">
        <f t="shared" si="27"/>
        <v>0.9</v>
      </c>
      <c r="Y94" s="174">
        <f t="shared" si="28"/>
        <v>13667187.4309</v>
      </c>
      <c r="Z94" s="174">
        <f t="shared" si="29"/>
        <v>14821366.225400001</v>
      </c>
      <c r="AA94" s="159">
        <f t="shared" si="17"/>
        <v>1.084448889015053</v>
      </c>
      <c r="AB94" s="175">
        <f t="shared" si="30"/>
        <v>-1154178.7945000008</v>
      </c>
      <c r="AC94" s="176">
        <f t="shared" si="31"/>
        <v>-1154178.7945000008</v>
      </c>
    </row>
    <row r="95" spans="1:29" ht="15" x14ac:dyDescent="0.25">
      <c r="A95" s="107">
        <v>91</v>
      </c>
      <c r="B95" s="178" t="s">
        <v>1403</v>
      </c>
      <c r="C95" s="111" t="s">
        <v>80</v>
      </c>
      <c r="D95" s="111" t="s">
        <v>1465</v>
      </c>
      <c r="E95" s="204">
        <v>0</v>
      </c>
      <c r="F95" s="204">
        <v>0</v>
      </c>
      <c r="G95" s="205">
        <f t="shared" si="18"/>
        <v>0</v>
      </c>
      <c r="H95" s="205">
        <f t="shared" si="19"/>
        <v>0</v>
      </c>
      <c r="I95" s="206">
        <v>0</v>
      </c>
      <c r="J95" s="206">
        <v>0</v>
      </c>
      <c r="K95" s="207">
        <f t="shared" si="20"/>
        <v>0</v>
      </c>
      <c r="L95" s="207">
        <f t="shared" si="21"/>
        <v>0</v>
      </c>
      <c r="M95" s="208">
        <v>6420276.1430095229</v>
      </c>
      <c r="N95" s="208">
        <v>3281888.1531999991</v>
      </c>
      <c r="O95" s="209">
        <f t="shared" si="22"/>
        <v>0.51117554449326297</v>
      </c>
      <c r="P95" s="209">
        <f t="shared" si="23"/>
        <v>0</v>
      </c>
      <c r="Q95" s="210">
        <v>6580263.2854380934</v>
      </c>
      <c r="R95" s="203">
        <v>7309541.4338999996</v>
      </c>
      <c r="S95" s="209">
        <f t="shared" si="24"/>
        <v>1.1108281107954714</v>
      </c>
      <c r="T95" s="209">
        <f t="shared" si="25"/>
        <v>0.9</v>
      </c>
      <c r="U95" s="213">
        <v>8424341.6705952398</v>
      </c>
      <c r="V95" s="213">
        <f>VLOOKUP(B95,'Dealer Wise'!B94:F214,5,0)</f>
        <v>12189845.409</v>
      </c>
      <c r="W95" s="214">
        <f t="shared" si="26"/>
        <v>1.4469789908389008</v>
      </c>
      <c r="X95" s="214">
        <f t="shared" si="27"/>
        <v>0.9</v>
      </c>
      <c r="Y95" s="174">
        <f t="shared" si="28"/>
        <v>21424881.099042855</v>
      </c>
      <c r="Z95" s="174">
        <f t="shared" si="29"/>
        <v>22781274.996100001</v>
      </c>
      <c r="AA95" s="159">
        <f t="shared" si="17"/>
        <v>1.0633092846950616</v>
      </c>
      <c r="AB95" s="175">
        <f t="shared" si="30"/>
        <v>-1356393.8970571458</v>
      </c>
      <c r="AC95" s="176">
        <f t="shared" si="31"/>
        <v>-1356393.8970571458</v>
      </c>
    </row>
    <row r="96" spans="1:29" x14ac:dyDescent="0.2">
      <c r="A96" s="107">
        <v>92</v>
      </c>
      <c r="B96" s="173" t="s">
        <v>83</v>
      </c>
      <c r="C96" s="111" t="s">
        <v>80</v>
      </c>
      <c r="D96" s="111" t="s">
        <v>1465</v>
      </c>
      <c r="E96" s="204">
        <v>9343031.8900000006</v>
      </c>
      <c r="F96" s="204">
        <v>8511124.1331999991</v>
      </c>
      <c r="G96" s="205">
        <f t="shared" si="18"/>
        <v>0.91095955075456758</v>
      </c>
      <c r="H96" s="205">
        <f t="shared" si="19"/>
        <v>0.9</v>
      </c>
      <c r="I96" s="206">
        <v>9680405.6491380949</v>
      </c>
      <c r="J96" s="206">
        <v>8796806.7836000007</v>
      </c>
      <c r="K96" s="207">
        <f t="shared" si="20"/>
        <v>0.90872295050809504</v>
      </c>
      <c r="L96" s="207">
        <f t="shared" si="21"/>
        <v>0.9</v>
      </c>
      <c r="M96" s="208">
        <v>8220225.890214284</v>
      </c>
      <c r="N96" s="208">
        <v>5723055.2753999978</v>
      </c>
      <c r="O96" s="209">
        <f t="shared" si="22"/>
        <v>0.69621630254868938</v>
      </c>
      <c r="P96" s="209">
        <f t="shared" si="23"/>
        <v>0</v>
      </c>
      <c r="Q96" s="210">
        <v>11713136.030395238</v>
      </c>
      <c r="R96" s="203">
        <v>15392014.457099998</v>
      </c>
      <c r="S96" s="209">
        <f t="shared" si="24"/>
        <v>1.3140814225292168</v>
      </c>
      <c r="T96" s="209">
        <f t="shared" si="25"/>
        <v>0.9</v>
      </c>
      <c r="U96" s="213">
        <v>11117894.14080476</v>
      </c>
      <c r="V96" s="213">
        <f>VLOOKUP(B96,'Dealer Wise'!B68:F188,5,0)</f>
        <v>15724975.198800009</v>
      </c>
      <c r="W96" s="214">
        <f t="shared" si="26"/>
        <v>1.4143843249133301</v>
      </c>
      <c r="X96" s="214">
        <f t="shared" si="27"/>
        <v>0.9</v>
      </c>
      <c r="Y96" s="174">
        <f t="shared" si="28"/>
        <v>50074693.600552373</v>
      </c>
      <c r="Z96" s="174">
        <f t="shared" si="29"/>
        <v>54147975.848100007</v>
      </c>
      <c r="AA96" s="159">
        <f t="shared" si="17"/>
        <v>1.0813441272360118</v>
      </c>
      <c r="AB96" s="175">
        <f t="shared" si="30"/>
        <v>-4073282.2475476339</v>
      </c>
      <c r="AC96" s="176">
        <f t="shared" si="31"/>
        <v>-4073282.2475476339</v>
      </c>
    </row>
    <row r="97" spans="1:29" x14ac:dyDescent="0.2">
      <c r="A97" s="107">
        <v>93</v>
      </c>
      <c r="B97" s="173" t="s">
        <v>84</v>
      </c>
      <c r="C97" s="111" t="s">
        <v>80</v>
      </c>
      <c r="D97" s="111" t="s">
        <v>80</v>
      </c>
      <c r="E97" s="204">
        <v>10420070.622499999</v>
      </c>
      <c r="F97" s="204">
        <v>9067859.5331000015</v>
      </c>
      <c r="G97" s="205">
        <f t="shared" si="18"/>
        <v>0.87023014158078971</v>
      </c>
      <c r="H97" s="205">
        <f t="shared" si="19"/>
        <v>0</v>
      </c>
      <c r="I97" s="206">
        <v>11590299.17133333</v>
      </c>
      <c r="J97" s="206">
        <v>9303519.8392999992</v>
      </c>
      <c r="K97" s="207">
        <f t="shared" si="20"/>
        <v>0.80269885201157731</v>
      </c>
      <c r="L97" s="207">
        <f t="shared" si="21"/>
        <v>0</v>
      </c>
      <c r="M97" s="208">
        <v>9996681.9114666656</v>
      </c>
      <c r="N97" s="208">
        <v>4581725.2111</v>
      </c>
      <c r="O97" s="209">
        <f t="shared" si="22"/>
        <v>0.45832459726907437</v>
      </c>
      <c r="P97" s="209">
        <f t="shared" si="23"/>
        <v>0</v>
      </c>
      <c r="Q97" s="210">
        <v>7998763.4450904755</v>
      </c>
      <c r="R97" s="203">
        <v>3150097.4705999992</v>
      </c>
      <c r="S97" s="209">
        <f t="shared" si="24"/>
        <v>0.3938230568042968</v>
      </c>
      <c r="T97" s="209">
        <f t="shared" si="25"/>
        <v>0</v>
      </c>
      <c r="U97" s="213">
        <v>10230036.332019048</v>
      </c>
      <c r="V97" s="213">
        <f>VLOOKUP(B97,'Dealer Wise'!B96:F216,5,0)</f>
        <v>14537613.781599998</v>
      </c>
      <c r="W97" s="214">
        <f t="shared" si="26"/>
        <v>1.421071569032325</v>
      </c>
      <c r="X97" s="214">
        <f t="shared" si="27"/>
        <v>0.9</v>
      </c>
      <c r="Y97" s="174">
        <f t="shared" si="28"/>
        <v>50235851.482409514</v>
      </c>
      <c r="Z97" s="174">
        <f t="shared" si="29"/>
        <v>40640815.835699998</v>
      </c>
      <c r="AA97" s="159">
        <f t="shared" si="17"/>
        <v>0.8090002386031161</v>
      </c>
      <c r="AB97" s="175">
        <f t="shared" si="30"/>
        <v>9595035.6467095166</v>
      </c>
      <c r="AC97" s="176">
        <f t="shared" si="31"/>
        <v>9595035.6467095166</v>
      </c>
    </row>
    <row r="98" spans="1:29" x14ac:dyDescent="0.2">
      <c r="A98" s="107">
        <v>94</v>
      </c>
      <c r="B98" s="173" t="s">
        <v>81</v>
      </c>
      <c r="C98" s="111" t="s">
        <v>80</v>
      </c>
      <c r="D98" s="111" t="s">
        <v>80</v>
      </c>
      <c r="E98" s="204">
        <v>10907317.547499999</v>
      </c>
      <c r="F98" s="204">
        <v>11037395.375300003</v>
      </c>
      <c r="G98" s="205">
        <f t="shared" si="18"/>
        <v>1.011925739507769</v>
      </c>
      <c r="H98" s="205">
        <f t="shared" si="19"/>
        <v>0.9</v>
      </c>
      <c r="I98" s="206">
        <v>11058913.017061904</v>
      </c>
      <c r="J98" s="206">
        <v>11230260.560000006</v>
      </c>
      <c r="K98" s="207">
        <f t="shared" si="20"/>
        <v>1.0154940673349853</v>
      </c>
      <c r="L98" s="207">
        <f t="shared" si="21"/>
        <v>0.9</v>
      </c>
      <c r="M98" s="208">
        <v>10455867.54351905</v>
      </c>
      <c r="N98" s="208">
        <v>6505897.0124000022</v>
      </c>
      <c r="O98" s="209">
        <f t="shared" si="22"/>
        <v>0.62222450555359299</v>
      </c>
      <c r="P98" s="209">
        <f t="shared" si="23"/>
        <v>0</v>
      </c>
      <c r="Q98" s="210">
        <v>13472508.449895239</v>
      </c>
      <c r="R98" s="203">
        <v>18190241.219000004</v>
      </c>
      <c r="S98" s="209">
        <f t="shared" si="24"/>
        <v>1.3501747864289853</v>
      </c>
      <c r="T98" s="209">
        <f t="shared" si="25"/>
        <v>0.9</v>
      </c>
      <c r="U98" s="213">
        <v>12215133.046685714</v>
      </c>
      <c r="V98" s="213">
        <f>VLOOKUP(B98,'Dealer Wise'!B97:F217,5,0)</f>
        <v>22469879.949200016</v>
      </c>
      <c r="W98" s="214">
        <f t="shared" si="26"/>
        <v>1.8395116830345686</v>
      </c>
      <c r="X98" s="214">
        <f t="shared" si="27"/>
        <v>0.9</v>
      </c>
      <c r="Y98" s="174">
        <f t="shared" si="28"/>
        <v>58109739.604661912</v>
      </c>
      <c r="Z98" s="174">
        <f t="shared" si="29"/>
        <v>69433674.115900025</v>
      </c>
      <c r="AA98" s="159">
        <f t="shared" si="17"/>
        <v>1.1948715411268103</v>
      </c>
      <c r="AB98" s="175">
        <f t="shared" si="30"/>
        <v>-11323934.511238113</v>
      </c>
      <c r="AC98" s="176">
        <f t="shared" si="31"/>
        <v>-11323934.511238113</v>
      </c>
    </row>
    <row r="99" spans="1:29" x14ac:dyDescent="0.2">
      <c r="A99" s="107">
        <v>95</v>
      </c>
      <c r="B99" s="173" t="s">
        <v>87</v>
      </c>
      <c r="C99" s="111" t="s">
        <v>80</v>
      </c>
      <c r="D99" s="111" t="s">
        <v>1464</v>
      </c>
      <c r="E99" s="204">
        <v>11320277.032500001</v>
      </c>
      <c r="F99" s="204">
        <v>10993982.605599999</v>
      </c>
      <c r="G99" s="205">
        <f t="shared" si="18"/>
        <v>0.97117610938643772</v>
      </c>
      <c r="H99" s="205">
        <f t="shared" si="19"/>
        <v>0.9</v>
      </c>
      <c r="I99" s="206">
        <v>10699209.339999998</v>
      </c>
      <c r="J99" s="206">
        <v>8577749.799999997</v>
      </c>
      <c r="K99" s="207">
        <f t="shared" si="20"/>
        <v>0.80171810153590273</v>
      </c>
      <c r="L99" s="207">
        <f t="shared" si="21"/>
        <v>0</v>
      </c>
      <c r="M99" s="208">
        <v>10109872.283690477</v>
      </c>
      <c r="N99" s="208">
        <v>6377606.3047000011</v>
      </c>
      <c r="O99" s="209">
        <f t="shared" si="22"/>
        <v>0.6308295620102472</v>
      </c>
      <c r="P99" s="209">
        <f t="shared" si="23"/>
        <v>0</v>
      </c>
      <c r="Q99" s="210">
        <v>12266583.202809524</v>
      </c>
      <c r="R99" s="203">
        <v>13655366.180700004</v>
      </c>
      <c r="S99" s="209">
        <f t="shared" si="24"/>
        <v>1.1132167739727552</v>
      </c>
      <c r="T99" s="209">
        <f t="shared" si="25"/>
        <v>0.9</v>
      </c>
      <c r="U99" s="213">
        <v>13900063.326614285</v>
      </c>
      <c r="V99" s="213">
        <f>VLOOKUP(B99,'Dealer Wise'!B98:F218,5,0)</f>
        <v>20530428.086200003</v>
      </c>
      <c r="W99" s="214">
        <f t="shared" si="26"/>
        <v>1.4770024858009558</v>
      </c>
      <c r="X99" s="214">
        <f t="shared" si="27"/>
        <v>0.9</v>
      </c>
      <c r="Y99" s="174">
        <f t="shared" si="28"/>
        <v>58296005.18561428</v>
      </c>
      <c r="Z99" s="174">
        <f t="shared" si="29"/>
        <v>60135132.977200001</v>
      </c>
      <c r="AA99" s="159">
        <f t="shared" si="17"/>
        <v>1.0315480929736085</v>
      </c>
      <c r="AB99" s="175">
        <f t="shared" si="30"/>
        <v>-1839127.7915857211</v>
      </c>
      <c r="AC99" s="176">
        <f t="shared" si="31"/>
        <v>-1839127.7915857211</v>
      </c>
    </row>
    <row r="100" spans="1:29" x14ac:dyDescent="0.2">
      <c r="A100" s="107">
        <v>96</v>
      </c>
      <c r="B100" s="173" t="s">
        <v>89</v>
      </c>
      <c r="C100" s="111" t="s">
        <v>80</v>
      </c>
      <c r="D100" s="111" t="s">
        <v>1464</v>
      </c>
      <c r="E100" s="204">
        <v>9088223.2474999987</v>
      </c>
      <c r="F100" s="204">
        <v>8343516.5812999997</v>
      </c>
      <c r="G100" s="205">
        <f t="shared" si="18"/>
        <v>0.91805805756313763</v>
      </c>
      <c r="H100" s="205">
        <f t="shared" si="19"/>
        <v>0.9</v>
      </c>
      <c r="I100" s="206">
        <v>7373300.8014523806</v>
      </c>
      <c r="J100" s="206">
        <v>4177784.5001000008</v>
      </c>
      <c r="K100" s="207">
        <f t="shared" si="20"/>
        <v>0.56660980103742242</v>
      </c>
      <c r="L100" s="207">
        <f t="shared" si="21"/>
        <v>0</v>
      </c>
      <c r="M100" s="208">
        <v>7954397.0053047631</v>
      </c>
      <c r="N100" s="208">
        <v>5244824.3277000031</v>
      </c>
      <c r="O100" s="209">
        <f t="shared" si="22"/>
        <v>0.65936164918626083</v>
      </c>
      <c r="P100" s="209">
        <f t="shared" si="23"/>
        <v>0</v>
      </c>
      <c r="Q100" s="210">
        <v>9285877.9463</v>
      </c>
      <c r="R100" s="203">
        <v>11181423.938899994</v>
      </c>
      <c r="S100" s="209">
        <f t="shared" si="24"/>
        <v>1.2041321244541323</v>
      </c>
      <c r="T100" s="209">
        <f t="shared" si="25"/>
        <v>0.9</v>
      </c>
      <c r="U100" s="213">
        <v>9296244.8308761902</v>
      </c>
      <c r="V100" s="213">
        <f>VLOOKUP(B100,'Dealer Wise'!B99:F219,5,0)</f>
        <v>14835908.256300008</v>
      </c>
      <c r="W100" s="214">
        <f t="shared" si="26"/>
        <v>1.5959033487397614</v>
      </c>
      <c r="X100" s="214">
        <f t="shared" si="27"/>
        <v>0.9</v>
      </c>
      <c r="Y100" s="174">
        <f t="shared" si="28"/>
        <v>42998043.831433326</v>
      </c>
      <c r="Z100" s="174">
        <f t="shared" si="29"/>
        <v>43783457.604300007</v>
      </c>
      <c r="AA100" s="159">
        <f t="shared" si="17"/>
        <v>1.0182662675526768</v>
      </c>
      <c r="AB100" s="175">
        <f t="shared" si="30"/>
        <v>-785413.77286668122</v>
      </c>
      <c r="AC100" s="176">
        <f t="shared" si="31"/>
        <v>-785413.77286668122</v>
      </c>
    </row>
    <row r="101" spans="1:29" x14ac:dyDescent="0.2">
      <c r="A101" s="107">
        <v>97</v>
      </c>
      <c r="B101" s="173" t="s">
        <v>13</v>
      </c>
      <c r="C101" s="111" t="s">
        <v>2</v>
      </c>
      <c r="D101" s="111" t="s">
        <v>2</v>
      </c>
      <c r="E101" s="204">
        <v>11773878.65</v>
      </c>
      <c r="F101" s="204">
        <v>11794943.954100002</v>
      </c>
      <c r="G101" s="205">
        <f t="shared" si="18"/>
        <v>1.0017891558700582</v>
      </c>
      <c r="H101" s="205">
        <f t="shared" si="19"/>
        <v>0.9</v>
      </c>
      <c r="I101" s="206">
        <v>10061535.154695241</v>
      </c>
      <c r="J101" s="206">
        <v>10076325.233600006</v>
      </c>
      <c r="K101" s="207">
        <f t="shared" si="20"/>
        <v>1.0014699624537775</v>
      </c>
      <c r="L101" s="207">
        <f t="shared" si="21"/>
        <v>0.9</v>
      </c>
      <c r="M101" s="208">
        <v>10594369.114823807</v>
      </c>
      <c r="N101" s="208">
        <v>8497155.0271000043</v>
      </c>
      <c r="O101" s="209">
        <f t="shared" si="22"/>
        <v>0.80204445729672114</v>
      </c>
      <c r="P101" s="209">
        <f t="shared" si="23"/>
        <v>0</v>
      </c>
      <c r="Q101" s="210">
        <v>11027879.519914286</v>
      </c>
      <c r="R101" s="203">
        <v>11761801.3444</v>
      </c>
      <c r="S101" s="209">
        <f t="shared" si="24"/>
        <v>1.0665514909879446</v>
      </c>
      <c r="T101" s="209">
        <f t="shared" si="25"/>
        <v>0.9</v>
      </c>
      <c r="U101" s="213">
        <v>13457268.523509523</v>
      </c>
      <c r="V101" s="213">
        <f>VLOOKUP(B101,'Dealer Wise'!B4:F124,5,0)</f>
        <v>17424054.2163</v>
      </c>
      <c r="W101" s="214">
        <f t="shared" si="26"/>
        <v>1.2947690079796355</v>
      </c>
      <c r="X101" s="214">
        <f t="shared" si="27"/>
        <v>0.9</v>
      </c>
      <c r="Y101" s="174">
        <f t="shared" si="28"/>
        <v>56914930.962942861</v>
      </c>
      <c r="Z101" s="174">
        <f t="shared" si="29"/>
        <v>59554279.775500014</v>
      </c>
      <c r="AA101" s="159">
        <f t="shared" si="17"/>
        <v>1.0463735748757321</v>
      </c>
      <c r="AB101" s="175">
        <f t="shared" si="30"/>
        <v>-2639348.8125571534</v>
      </c>
      <c r="AC101" s="176">
        <f t="shared" si="31"/>
        <v>-2639348.8125571534</v>
      </c>
    </row>
    <row r="102" spans="1:29" x14ac:dyDescent="0.2">
      <c r="A102" s="107">
        <v>98</v>
      </c>
      <c r="B102" s="173" t="s">
        <v>1225</v>
      </c>
      <c r="C102" s="111" t="s">
        <v>2</v>
      </c>
      <c r="D102" s="111" t="s">
        <v>2</v>
      </c>
      <c r="E102" s="204">
        <v>3753157.5424999995</v>
      </c>
      <c r="F102" s="204">
        <v>3773675.3079000013</v>
      </c>
      <c r="G102" s="205">
        <f t="shared" si="18"/>
        <v>1.0054668009982695</v>
      </c>
      <c r="H102" s="205">
        <f t="shared" si="19"/>
        <v>0.9</v>
      </c>
      <c r="I102" s="206">
        <v>3350609.3944333326</v>
      </c>
      <c r="J102" s="206">
        <v>3653248.2976999991</v>
      </c>
      <c r="K102" s="207">
        <f t="shared" si="20"/>
        <v>1.0903235404787761</v>
      </c>
      <c r="L102" s="207">
        <f t="shared" si="21"/>
        <v>0.9</v>
      </c>
      <c r="M102" s="208">
        <v>3922668.6890523816</v>
      </c>
      <c r="N102" s="208">
        <v>2288326.5457000001</v>
      </c>
      <c r="O102" s="209">
        <f t="shared" si="22"/>
        <v>0.5833596276143328</v>
      </c>
      <c r="P102" s="209">
        <f t="shared" si="23"/>
        <v>0</v>
      </c>
      <c r="Q102" s="210">
        <v>3497888.8606523806</v>
      </c>
      <c r="R102" s="203">
        <v>5003494.6440000022</v>
      </c>
      <c r="S102" s="209">
        <f t="shared" si="24"/>
        <v>1.4304327105083652</v>
      </c>
      <c r="T102" s="209">
        <f t="shared" si="25"/>
        <v>0.9</v>
      </c>
      <c r="U102" s="213">
        <v>4965941.2497952366</v>
      </c>
      <c r="V102" s="213">
        <f>VLOOKUP(B102,'Dealer Wise'!B5:F125,5,0)</f>
        <v>7148042.4115000004</v>
      </c>
      <c r="W102" s="214">
        <f t="shared" si="26"/>
        <v>1.4394134066315705</v>
      </c>
      <c r="X102" s="214">
        <f t="shared" si="27"/>
        <v>0.9</v>
      </c>
      <c r="Y102" s="174">
        <f t="shared" si="28"/>
        <v>19490265.736433331</v>
      </c>
      <c r="Z102" s="174">
        <f t="shared" si="29"/>
        <v>21866787.206800003</v>
      </c>
      <c r="AA102" s="159">
        <f t="shared" si="17"/>
        <v>1.1219337643983078</v>
      </c>
      <c r="AB102" s="175">
        <f t="shared" si="30"/>
        <v>-2376521.4703666717</v>
      </c>
      <c r="AC102" s="176">
        <f t="shared" si="31"/>
        <v>-2376521.4703666717</v>
      </c>
    </row>
    <row r="103" spans="1:29" x14ac:dyDescent="0.2">
      <c r="A103" s="107">
        <v>99</v>
      </c>
      <c r="B103" s="173" t="s">
        <v>1267</v>
      </c>
      <c r="C103" s="111" t="s">
        <v>2</v>
      </c>
      <c r="D103" s="111" t="s">
        <v>2</v>
      </c>
      <c r="E103" s="204">
        <v>2523075.4600000004</v>
      </c>
      <c r="F103" s="204">
        <v>2758195.4078000011</v>
      </c>
      <c r="G103" s="205">
        <f t="shared" si="18"/>
        <v>1.0931878382266065</v>
      </c>
      <c r="H103" s="205">
        <f t="shared" si="19"/>
        <v>0.9</v>
      </c>
      <c r="I103" s="206">
        <v>2047675.8737999995</v>
      </c>
      <c r="J103" s="206">
        <v>2068954.9361999994</v>
      </c>
      <c r="K103" s="207">
        <f t="shared" si="20"/>
        <v>1.0103918118449631</v>
      </c>
      <c r="L103" s="207">
        <f t="shared" si="21"/>
        <v>0.9</v>
      </c>
      <c r="M103" s="208">
        <v>2493939.110214286</v>
      </c>
      <c r="N103" s="208">
        <v>1505135.5671000001</v>
      </c>
      <c r="O103" s="209">
        <f t="shared" si="22"/>
        <v>0.6035173677398542</v>
      </c>
      <c r="P103" s="209">
        <f t="shared" si="23"/>
        <v>0</v>
      </c>
      <c r="Q103" s="210">
        <v>2596651.2882380951</v>
      </c>
      <c r="R103" s="203">
        <v>2705075.6224000007</v>
      </c>
      <c r="S103" s="209">
        <f t="shared" si="24"/>
        <v>1.0417554465834629</v>
      </c>
      <c r="T103" s="209">
        <f t="shared" si="25"/>
        <v>0.9</v>
      </c>
      <c r="U103" s="213">
        <v>2961100.4942571428</v>
      </c>
      <c r="V103" s="213">
        <f>VLOOKUP(B103,'Dealer Wise'!B6:F126,5,0)</f>
        <v>4508129.9153999984</v>
      </c>
      <c r="W103" s="214">
        <f t="shared" si="26"/>
        <v>1.5224508334462867</v>
      </c>
      <c r="X103" s="214">
        <f t="shared" si="27"/>
        <v>0.9</v>
      </c>
      <c r="Y103" s="174">
        <f t="shared" si="28"/>
        <v>12622442.226509525</v>
      </c>
      <c r="Z103" s="174">
        <f t="shared" si="29"/>
        <v>13545491.448899999</v>
      </c>
      <c r="AA103" s="159">
        <f t="shared" si="17"/>
        <v>1.0731276250527728</v>
      </c>
      <c r="AB103" s="175">
        <f t="shared" si="30"/>
        <v>-923049.22239047475</v>
      </c>
      <c r="AC103" s="176">
        <f t="shared" si="31"/>
        <v>-923049.22239047475</v>
      </c>
    </row>
    <row r="104" spans="1:29" x14ac:dyDescent="0.2">
      <c r="A104" s="107">
        <v>100</v>
      </c>
      <c r="B104" s="173" t="s">
        <v>1</v>
      </c>
      <c r="C104" s="111" t="s">
        <v>137</v>
      </c>
      <c r="D104" s="111" t="s">
        <v>1448</v>
      </c>
      <c r="E104" s="204">
        <v>9465941.8000000007</v>
      </c>
      <c r="F104" s="204">
        <v>8641557.4849000014</v>
      </c>
      <c r="G104" s="205">
        <f t="shared" si="18"/>
        <v>0.91291048133213759</v>
      </c>
      <c r="H104" s="205">
        <f t="shared" si="19"/>
        <v>0.9</v>
      </c>
      <c r="I104" s="206">
        <v>8184002.5876476187</v>
      </c>
      <c r="J104" s="206">
        <v>9808770.630900003</v>
      </c>
      <c r="K104" s="207">
        <f t="shared" si="20"/>
        <v>1.1985297567848645</v>
      </c>
      <c r="L104" s="207">
        <f t="shared" si="21"/>
        <v>0.9</v>
      </c>
      <c r="M104" s="208">
        <v>9103885.1837380938</v>
      </c>
      <c r="N104" s="208">
        <v>8322400.232400001</v>
      </c>
      <c r="O104" s="209">
        <f t="shared" si="22"/>
        <v>0.91415918197935664</v>
      </c>
      <c r="P104" s="211">
        <f t="shared" si="23"/>
        <v>0.9</v>
      </c>
      <c r="Q104" s="210">
        <v>8618176.5773047619</v>
      </c>
      <c r="R104" s="203">
        <v>13301831.137100002</v>
      </c>
      <c r="S104" s="209">
        <f t="shared" si="24"/>
        <v>1.5434623574700532</v>
      </c>
      <c r="T104" s="209">
        <f t="shared" si="25"/>
        <v>0.9</v>
      </c>
      <c r="U104" s="213">
        <v>11681018.702076193</v>
      </c>
      <c r="V104" s="213">
        <f>VLOOKUP(B104,'Dealer Wise'!B76:F196,5,0)</f>
        <v>13752057.371300006</v>
      </c>
      <c r="W104" s="214">
        <f t="shared" si="26"/>
        <v>1.1772994909130405</v>
      </c>
      <c r="X104" s="214">
        <f t="shared" si="27"/>
        <v>0.9</v>
      </c>
      <c r="Y104" s="174">
        <f t="shared" si="28"/>
        <v>47053024.850766674</v>
      </c>
      <c r="Z104" s="174">
        <f t="shared" si="29"/>
        <v>53826616.856600009</v>
      </c>
      <c r="AA104" s="159">
        <f t="shared" si="17"/>
        <v>1.1439565687289277</v>
      </c>
      <c r="AB104" s="175">
        <f t="shared" si="30"/>
        <v>-6773592.0058333352</v>
      </c>
      <c r="AC104" s="176">
        <f t="shared" si="31"/>
        <v>-6773592.0058333352</v>
      </c>
    </row>
    <row r="105" spans="1:29" x14ac:dyDescent="0.2">
      <c r="A105" s="107">
        <v>101</v>
      </c>
      <c r="B105" s="173" t="s">
        <v>9</v>
      </c>
      <c r="C105" s="111" t="s">
        <v>137</v>
      </c>
      <c r="D105" s="111" t="s">
        <v>1448</v>
      </c>
      <c r="E105" s="204">
        <v>10783538.002499999</v>
      </c>
      <c r="F105" s="204">
        <v>10799970.712000001</v>
      </c>
      <c r="G105" s="205">
        <f t="shared" si="18"/>
        <v>1.0015238699484521</v>
      </c>
      <c r="H105" s="205">
        <f t="shared" si="19"/>
        <v>0.9</v>
      </c>
      <c r="I105" s="206">
        <v>9749010.1702380963</v>
      </c>
      <c r="J105" s="206">
        <v>11130421.565800002</v>
      </c>
      <c r="K105" s="207">
        <f t="shared" si="20"/>
        <v>1.141697605340396</v>
      </c>
      <c r="L105" s="207">
        <f t="shared" si="21"/>
        <v>0.9</v>
      </c>
      <c r="M105" s="208">
        <v>10090305.934914287</v>
      </c>
      <c r="N105" s="208">
        <v>9719970.8569000047</v>
      </c>
      <c r="O105" s="209">
        <f t="shared" si="22"/>
        <v>0.96329793364016292</v>
      </c>
      <c r="P105" s="211">
        <f t="shared" si="23"/>
        <v>0.9</v>
      </c>
      <c r="Q105" s="210">
        <v>8801538.0909095239</v>
      </c>
      <c r="R105" s="203">
        <v>15005796.414900007</v>
      </c>
      <c r="S105" s="209">
        <f t="shared" si="24"/>
        <v>1.7049061493466029</v>
      </c>
      <c r="T105" s="209">
        <f t="shared" si="25"/>
        <v>0.9</v>
      </c>
      <c r="U105" s="213">
        <v>11723959.122976191</v>
      </c>
      <c r="V105" s="213">
        <f>VLOOKUP(B105,'Dealer Wise'!B77:F197,5,0)</f>
        <v>17037192.718700007</v>
      </c>
      <c r="W105" s="214">
        <f t="shared" si="26"/>
        <v>1.4531944831939181</v>
      </c>
      <c r="X105" s="214">
        <f t="shared" si="27"/>
        <v>0.9</v>
      </c>
      <c r="Y105" s="174">
        <f t="shared" si="28"/>
        <v>51148351.321538098</v>
      </c>
      <c r="Z105" s="174">
        <f t="shared" si="29"/>
        <v>63693352.268300019</v>
      </c>
      <c r="AA105" s="159">
        <f t="shared" si="17"/>
        <v>1.245266966043524</v>
      </c>
      <c r="AB105" s="175">
        <f t="shared" si="30"/>
        <v>-12545000.946761921</v>
      </c>
      <c r="AC105" s="176">
        <f t="shared" si="31"/>
        <v>-12545000.946761921</v>
      </c>
    </row>
    <row r="106" spans="1:29" x14ac:dyDescent="0.2">
      <c r="A106" s="107">
        <v>102</v>
      </c>
      <c r="B106" s="202" t="s">
        <v>10</v>
      </c>
      <c r="C106" s="111" t="s">
        <v>137</v>
      </c>
      <c r="D106" s="111" t="s">
        <v>1448</v>
      </c>
      <c r="E106" s="204">
        <v>4885046.5250000004</v>
      </c>
      <c r="F106" s="204">
        <v>4009967.4362000003</v>
      </c>
      <c r="G106" s="205">
        <f t="shared" si="18"/>
        <v>0.82086576160090918</v>
      </c>
      <c r="H106" s="205">
        <f t="shared" si="19"/>
        <v>0</v>
      </c>
      <c r="I106" s="206">
        <v>4215458.5795047609</v>
      </c>
      <c r="J106" s="206">
        <v>2742652.9966000002</v>
      </c>
      <c r="K106" s="207">
        <f t="shared" si="20"/>
        <v>0.65061794461332645</v>
      </c>
      <c r="L106" s="207">
        <f t="shared" si="21"/>
        <v>0</v>
      </c>
      <c r="M106" s="208">
        <v>5102112.7954333341</v>
      </c>
      <c r="N106" s="208">
        <v>2748396.0190000013</v>
      </c>
      <c r="O106" s="209">
        <f t="shared" si="22"/>
        <v>0.53867802010570287</v>
      </c>
      <c r="P106" s="209">
        <f t="shared" si="23"/>
        <v>0</v>
      </c>
      <c r="Q106" s="210">
        <v>0</v>
      </c>
      <c r="R106" s="203">
        <v>0</v>
      </c>
      <c r="S106" s="209">
        <f t="shared" si="24"/>
        <v>0</v>
      </c>
      <c r="T106" s="209">
        <f t="shared" si="25"/>
        <v>0</v>
      </c>
      <c r="U106" s="213">
        <v>0</v>
      </c>
      <c r="V106" s="213">
        <v>0</v>
      </c>
      <c r="W106" s="214">
        <f t="shared" si="26"/>
        <v>0</v>
      </c>
      <c r="X106" s="214">
        <f t="shared" si="27"/>
        <v>0</v>
      </c>
      <c r="Y106" s="174">
        <f t="shared" si="28"/>
        <v>14202617.899938095</v>
      </c>
      <c r="Z106" s="174">
        <f t="shared" si="29"/>
        <v>9501016.4518000018</v>
      </c>
      <c r="AA106" s="159">
        <f t="shared" si="17"/>
        <v>0.66896233629163637</v>
      </c>
      <c r="AB106" s="175">
        <f t="shared" si="30"/>
        <v>4701601.4481380936</v>
      </c>
      <c r="AC106" s="176">
        <f t="shared" si="31"/>
        <v>4701601.4481380936</v>
      </c>
    </row>
    <row r="107" spans="1:29" x14ac:dyDescent="0.2">
      <c r="A107" s="107">
        <v>103</v>
      </c>
      <c r="B107" s="202" t="s">
        <v>1446</v>
      </c>
      <c r="C107" s="111" t="s">
        <v>137</v>
      </c>
      <c r="D107" s="111" t="s">
        <v>1448</v>
      </c>
      <c r="E107" s="204">
        <v>0</v>
      </c>
      <c r="F107" s="204">
        <v>0</v>
      </c>
      <c r="G107" s="205">
        <f t="shared" si="18"/>
        <v>0</v>
      </c>
      <c r="H107" s="205">
        <f t="shared" si="19"/>
        <v>0</v>
      </c>
      <c r="I107" s="206">
        <v>0</v>
      </c>
      <c r="J107" s="206">
        <v>0</v>
      </c>
      <c r="K107" s="207">
        <f t="shared" si="20"/>
        <v>0</v>
      </c>
      <c r="L107" s="207">
        <f t="shared" si="21"/>
        <v>0</v>
      </c>
      <c r="M107" s="208">
        <v>0</v>
      </c>
      <c r="N107" s="208">
        <v>0</v>
      </c>
      <c r="O107" s="209"/>
      <c r="P107" s="209"/>
      <c r="Q107" s="210">
        <v>4989531.3286238099</v>
      </c>
      <c r="R107" s="203">
        <v>5600494.6333999988</v>
      </c>
      <c r="S107" s="209">
        <f t="shared" si="24"/>
        <v>1.1224490367003472</v>
      </c>
      <c r="T107" s="209">
        <f t="shared" si="25"/>
        <v>0.9</v>
      </c>
      <c r="U107" s="213">
        <v>5395051.4129047608</v>
      </c>
      <c r="V107" s="213">
        <f>VLOOKUP(B107,'Dealer Wise'!B62:F182,5,0)</f>
        <v>7325362.7378999991</v>
      </c>
      <c r="W107" s="214">
        <f t="shared" si="26"/>
        <v>1.3577929434329403</v>
      </c>
      <c r="X107" s="214">
        <f t="shared" si="27"/>
        <v>0.9</v>
      </c>
      <c r="Y107" s="174">
        <f t="shared" si="28"/>
        <v>10384582.741528571</v>
      </c>
      <c r="Z107" s="174">
        <f t="shared" si="29"/>
        <v>12925857.371299997</v>
      </c>
      <c r="AA107" s="159">
        <f t="shared" si="17"/>
        <v>1.244716103961377</v>
      </c>
      <c r="AB107" s="175">
        <f t="shared" si="30"/>
        <v>-2541274.6297714263</v>
      </c>
      <c r="AC107" s="176">
        <f t="shared" si="31"/>
        <v>-2541274.6297714263</v>
      </c>
    </row>
    <row r="108" spans="1:29" x14ac:dyDescent="0.2">
      <c r="A108" s="107">
        <v>104</v>
      </c>
      <c r="B108" s="173" t="s">
        <v>3</v>
      </c>
      <c r="C108" s="111" t="s">
        <v>2</v>
      </c>
      <c r="D108" s="111" t="s">
        <v>1447</v>
      </c>
      <c r="E108" s="204">
        <v>10334371.4575</v>
      </c>
      <c r="F108" s="204">
        <v>10338930.922999999</v>
      </c>
      <c r="G108" s="205">
        <f t="shared" si="18"/>
        <v>1.0004411942727964</v>
      </c>
      <c r="H108" s="205">
        <f t="shared" si="19"/>
        <v>0.9</v>
      </c>
      <c r="I108" s="206">
        <v>9036444.9773285706</v>
      </c>
      <c r="J108" s="206">
        <v>9037525.7515999954</v>
      </c>
      <c r="K108" s="207">
        <f t="shared" si="20"/>
        <v>1.0001196017099796</v>
      </c>
      <c r="L108" s="207">
        <f t="shared" si="21"/>
        <v>0.9</v>
      </c>
      <c r="M108" s="208">
        <v>9354701.0952952374</v>
      </c>
      <c r="N108" s="208">
        <v>3941331.283400001</v>
      </c>
      <c r="O108" s="209">
        <f t="shared" si="22"/>
        <v>0.42132092124057452</v>
      </c>
      <c r="P108" s="209">
        <f t="shared" si="23"/>
        <v>0</v>
      </c>
      <c r="Q108" s="210">
        <v>9303644.6145857126</v>
      </c>
      <c r="R108" s="203">
        <v>12705608.043999998</v>
      </c>
      <c r="S108" s="209">
        <f t="shared" si="24"/>
        <v>1.3656592196224784</v>
      </c>
      <c r="T108" s="209">
        <f t="shared" si="25"/>
        <v>0.9</v>
      </c>
      <c r="U108" s="213">
        <v>10987773.137361905</v>
      </c>
      <c r="V108" s="213">
        <f>VLOOKUP(B108,'Dealer Wise'!B3:F123,5,0)</f>
        <v>13459412.560900006</v>
      </c>
      <c r="W108" s="214">
        <f t="shared" si="26"/>
        <v>1.2249445263056757</v>
      </c>
      <c r="X108" s="214">
        <f t="shared" si="27"/>
        <v>0.9</v>
      </c>
      <c r="Y108" s="174">
        <f t="shared" si="28"/>
        <v>49016935.282071427</v>
      </c>
      <c r="Z108" s="174">
        <f t="shared" si="29"/>
        <v>49482808.562900007</v>
      </c>
      <c r="AA108" s="159">
        <f t="shared" si="17"/>
        <v>1.0095043331074798</v>
      </c>
      <c r="AB108" s="175">
        <f t="shared" si="30"/>
        <v>-465873.28082858026</v>
      </c>
      <c r="AC108" s="176">
        <f t="shared" si="31"/>
        <v>-465873.28082858026</v>
      </c>
    </row>
    <row r="109" spans="1:29" x14ac:dyDescent="0.2">
      <c r="A109" s="107">
        <v>105</v>
      </c>
      <c r="B109" s="173" t="s">
        <v>12</v>
      </c>
      <c r="C109" s="111" t="s">
        <v>2</v>
      </c>
      <c r="D109" s="111" t="s">
        <v>1394</v>
      </c>
      <c r="E109" s="204">
        <v>5455375.8750000009</v>
      </c>
      <c r="F109" s="204">
        <v>4367731.6884999983</v>
      </c>
      <c r="G109" s="205">
        <f t="shared" si="18"/>
        <v>0.80062891880937492</v>
      </c>
      <c r="H109" s="205">
        <f t="shared" si="19"/>
        <v>0</v>
      </c>
      <c r="I109" s="206">
        <v>5060804.9412761908</v>
      </c>
      <c r="J109" s="206">
        <v>4353309.2239999995</v>
      </c>
      <c r="K109" s="207">
        <f t="shared" si="20"/>
        <v>0.86020095113608919</v>
      </c>
      <c r="L109" s="207">
        <f t="shared" si="21"/>
        <v>0</v>
      </c>
      <c r="M109" s="208">
        <v>4752932.5463238088</v>
      </c>
      <c r="N109" s="208">
        <v>2613926.5288</v>
      </c>
      <c r="O109" s="209">
        <f t="shared" si="22"/>
        <v>0.54996078806583548</v>
      </c>
      <c r="P109" s="209">
        <f t="shared" si="23"/>
        <v>0</v>
      </c>
      <c r="Q109" s="210">
        <v>4098915.5045095244</v>
      </c>
      <c r="R109" s="203">
        <v>4552636.4454999985</v>
      </c>
      <c r="S109" s="209">
        <f t="shared" si="24"/>
        <v>1.1106929236504879</v>
      </c>
      <c r="T109" s="209">
        <f t="shared" si="25"/>
        <v>0.9</v>
      </c>
      <c r="U109" s="213">
        <v>6192517.8541190475</v>
      </c>
      <c r="V109" s="213">
        <f>VLOOKUP(B109,'Dealer Wise'!B4:F124,5,0)</f>
        <v>6443733.5138000026</v>
      </c>
      <c r="W109" s="214">
        <f t="shared" si="26"/>
        <v>1.0405676116886535</v>
      </c>
      <c r="X109" s="214">
        <f t="shared" si="27"/>
        <v>0.9</v>
      </c>
      <c r="Y109" s="174">
        <f t="shared" si="28"/>
        <v>25560546.721228573</v>
      </c>
      <c r="Z109" s="174">
        <f t="shared" si="29"/>
        <v>22331337.400599997</v>
      </c>
      <c r="AA109" s="159">
        <f t="shared" si="17"/>
        <v>0.87366430945913021</v>
      </c>
      <c r="AB109" s="175">
        <f t="shared" si="30"/>
        <v>3229209.320628576</v>
      </c>
      <c r="AC109" s="176">
        <f t="shared" si="31"/>
        <v>3229209.320628576</v>
      </c>
    </row>
    <row r="110" spans="1:29" x14ac:dyDescent="0.2">
      <c r="A110" s="107">
        <v>106</v>
      </c>
      <c r="B110" s="173" t="s">
        <v>5</v>
      </c>
      <c r="C110" s="111" t="s">
        <v>2</v>
      </c>
      <c r="D110" s="111" t="s">
        <v>1447</v>
      </c>
      <c r="E110" s="204">
        <v>7834492.4325000001</v>
      </c>
      <c r="F110" s="204">
        <v>7138307.5430999994</v>
      </c>
      <c r="G110" s="205">
        <f t="shared" si="18"/>
        <v>0.91113848211633963</v>
      </c>
      <c r="H110" s="205">
        <f t="shared" si="19"/>
        <v>0.9</v>
      </c>
      <c r="I110" s="206">
        <v>7380709.1902809516</v>
      </c>
      <c r="J110" s="206">
        <v>8050466.5469999993</v>
      </c>
      <c r="K110" s="207">
        <f t="shared" si="20"/>
        <v>1.0907443091784454</v>
      </c>
      <c r="L110" s="207">
        <f t="shared" si="21"/>
        <v>0.9</v>
      </c>
      <c r="M110" s="208">
        <v>7107379.6566857137</v>
      </c>
      <c r="N110" s="208">
        <v>4223069.2520999992</v>
      </c>
      <c r="O110" s="209">
        <f t="shared" si="22"/>
        <v>0.59418090155455194</v>
      </c>
      <c r="P110" s="209">
        <f t="shared" si="23"/>
        <v>0</v>
      </c>
      <c r="Q110" s="210">
        <v>6697663.8687476171</v>
      </c>
      <c r="R110" s="203">
        <v>8982647.3544000033</v>
      </c>
      <c r="S110" s="209">
        <f t="shared" si="24"/>
        <v>1.3411612661415406</v>
      </c>
      <c r="T110" s="209">
        <f t="shared" si="25"/>
        <v>0.9</v>
      </c>
      <c r="U110" s="213">
        <v>9078182.2449285723</v>
      </c>
      <c r="V110" s="213">
        <f>VLOOKUP(B110,'Dealer Wise'!B5:F125,5,0)</f>
        <v>11021129.505500006</v>
      </c>
      <c r="W110" s="214">
        <f t="shared" si="26"/>
        <v>1.2140238219668744</v>
      </c>
      <c r="X110" s="214">
        <f t="shared" si="27"/>
        <v>0.9</v>
      </c>
      <c r="Y110" s="174">
        <f t="shared" si="28"/>
        <v>38098427.393142857</v>
      </c>
      <c r="Z110" s="174">
        <f t="shared" si="29"/>
        <v>39415620.202100001</v>
      </c>
      <c r="AA110" s="159">
        <f t="shared" si="17"/>
        <v>1.0345734167808254</v>
      </c>
      <c r="AB110" s="175">
        <f t="shared" si="30"/>
        <v>-1317192.8089571446</v>
      </c>
      <c r="AC110" s="176">
        <f t="shared" si="31"/>
        <v>-1317192.8089571446</v>
      </c>
    </row>
    <row r="111" spans="1:29" x14ac:dyDescent="0.2">
      <c r="A111" s="107">
        <v>107</v>
      </c>
      <c r="B111" s="173" t="s">
        <v>4</v>
      </c>
      <c r="C111" s="111" t="s">
        <v>2</v>
      </c>
      <c r="D111" s="111" t="s">
        <v>1447</v>
      </c>
      <c r="E111" s="204">
        <v>3282403.1424999996</v>
      </c>
      <c r="F111" s="204">
        <v>3321772.1019000001</v>
      </c>
      <c r="G111" s="205">
        <f t="shared" si="18"/>
        <v>1.011993943976673</v>
      </c>
      <c r="H111" s="205">
        <f t="shared" si="19"/>
        <v>0.9</v>
      </c>
      <c r="I111" s="206">
        <v>2881846.7553666667</v>
      </c>
      <c r="J111" s="206">
        <v>2977399.5982000004</v>
      </c>
      <c r="K111" s="207">
        <f t="shared" si="20"/>
        <v>1.0331568091382348</v>
      </c>
      <c r="L111" s="207">
        <f t="shared" si="21"/>
        <v>0.9</v>
      </c>
      <c r="M111" s="208">
        <v>3168519.6582333334</v>
      </c>
      <c r="N111" s="208">
        <v>1733358.5309000004</v>
      </c>
      <c r="O111" s="209">
        <f t="shared" si="22"/>
        <v>0.54705626534331375</v>
      </c>
      <c r="P111" s="209">
        <f t="shared" si="23"/>
        <v>0</v>
      </c>
      <c r="Q111" s="210">
        <v>3502857.653752381</v>
      </c>
      <c r="R111" s="203">
        <v>5017904.8098999998</v>
      </c>
      <c r="S111" s="209">
        <f t="shared" si="24"/>
        <v>1.4325174774158032</v>
      </c>
      <c r="T111" s="209">
        <f t="shared" si="25"/>
        <v>0.9</v>
      </c>
      <c r="U111" s="213">
        <v>3767780.7789190472</v>
      </c>
      <c r="V111" s="213">
        <f>VLOOKUP(B111,'Dealer Wise'!B6:F126,5,0)</f>
        <v>4752464.8690000009</v>
      </c>
      <c r="W111" s="214">
        <f t="shared" si="26"/>
        <v>1.2613432542546845</v>
      </c>
      <c r="X111" s="214">
        <f t="shared" si="27"/>
        <v>0.9</v>
      </c>
      <c r="Y111" s="174">
        <f t="shared" si="28"/>
        <v>16603407.988771427</v>
      </c>
      <c r="Z111" s="174">
        <f t="shared" si="29"/>
        <v>17802899.909900002</v>
      </c>
      <c r="AA111" s="159">
        <f t="shared" si="17"/>
        <v>1.0722437177921404</v>
      </c>
      <c r="AB111" s="175">
        <f t="shared" si="30"/>
        <v>-1199491.9211285748</v>
      </c>
      <c r="AC111" s="176">
        <f t="shared" si="31"/>
        <v>-1199491.9211285748</v>
      </c>
    </row>
    <row r="112" spans="1:29" x14ac:dyDescent="0.2">
      <c r="A112" s="107">
        <v>108</v>
      </c>
      <c r="B112" s="173" t="s">
        <v>11</v>
      </c>
      <c r="C112" s="111" t="s">
        <v>2</v>
      </c>
      <c r="D112" s="111" t="s">
        <v>1447</v>
      </c>
      <c r="E112" s="204">
        <v>5873083.2125000013</v>
      </c>
      <c r="F112" s="204">
        <v>5358204.9604000011</v>
      </c>
      <c r="G112" s="205">
        <f t="shared" si="18"/>
        <v>0.91233254604597513</v>
      </c>
      <c r="H112" s="205">
        <f t="shared" si="19"/>
        <v>0.9</v>
      </c>
      <c r="I112" s="206">
        <v>5358329.6189809516</v>
      </c>
      <c r="J112" s="206">
        <v>5380214.715900002</v>
      </c>
      <c r="K112" s="207">
        <f t="shared" si="20"/>
        <v>1.00408431329822</v>
      </c>
      <c r="L112" s="207">
        <f t="shared" si="21"/>
        <v>0.9</v>
      </c>
      <c r="M112" s="208">
        <v>5750938.6658000015</v>
      </c>
      <c r="N112" s="208">
        <v>3011296.5081999982</v>
      </c>
      <c r="O112" s="209">
        <f t="shared" si="22"/>
        <v>0.52361826185136384</v>
      </c>
      <c r="P112" s="209">
        <f t="shared" si="23"/>
        <v>0</v>
      </c>
      <c r="Q112" s="210">
        <v>5863687.3015857134</v>
      </c>
      <c r="R112" s="203">
        <v>8004247.4224999975</v>
      </c>
      <c r="S112" s="209">
        <f t="shared" si="24"/>
        <v>1.3650535935528849</v>
      </c>
      <c r="T112" s="209">
        <f t="shared" si="25"/>
        <v>0.9</v>
      </c>
      <c r="U112" s="213">
        <v>6758149.2287809523</v>
      </c>
      <c r="V112" s="213">
        <f>VLOOKUP(B112,'Dealer Wise'!B7:F127,5,0)</f>
        <v>8397885.5322999991</v>
      </c>
      <c r="W112" s="214">
        <f t="shared" si="26"/>
        <v>1.2426309701087832</v>
      </c>
      <c r="X112" s="214">
        <f t="shared" si="27"/>
        <v>0.9</v>
      </c>
      <c r="Y112" s="174">
        <f t="shared" si="28"/>
        <v>29604188.027647618</v>
      </c>
      <c r="Z112" s="174">
        <f t="shared" si="29"/>
        <v>30151849.1393</v>
      </c>
      <c r="AA112" s="159">
        <f t="shared" si="17"/>
        <v>1.0184994471437931</v>
      </c>
      <c r="AB112" s="175">
        <f t="shared" si="30"/>
        <v>-547661.11165238172</v>
      </c>
      <c r="AC112" s="176">
        <f t="shared" si="31"/>
        <v>-547661.11165238172</v>
      </c>
    </row>
    <row r="113" spans="1:29" x14ac:dyDescent="0.2">
      <c r="A113" s="107">
        <v>109</v>
      </c>
      <c r="B113" s="173" t="s">
        <v>6</v>
      </c>
      <c r="C113" s="111" t="s">
        <v>2</v>
      </c>
      <c r="D113" s="111" t="s">
        <v>1394</v>
      </c>
      <c r="E113" s="204">
        <v>4973521.87</v>
      </c>
      <c r="F113" s="204">
        <v>2790799.9773999997</v>
      </c>
      <c r="G113" s="205">
        <f t="shared" si="18"/>
        <v>0.56113153824334139</v>
      </c>
      <c r="H113" s="205">
        <f t="shared" si="19"/>
        <v>0</v>
      </c>
      <c r="I113" s="206">
        <v>4067724.1552523803</v>
      </c>
      <c r="J113" s="206">
        <v>3504359.6668000002</v>
      </c>
      <c r="K113" s="207">
        <f t="shared" si="20"/>
        <v>0.86150376305017018</v>
      </c>
      <c r="L113" s="207">
        <f t="shared" si="21"/>
        <v>0</v>
      </c>
      <c r="M113" s="208">
        <v>3872900.1070523807</v>
      </c>
      <c r="N113" s="208">
        <v>1989778.3143000004</v>
      </c>
      <c r="O113" s="209">
        <f t="shared" si="22"/>
        <v>0.51376959366359631</v>
      </c>
      <c r="P113" s="209">
        <f t="shared" si="23"/>
        <v>0</v>
      </c>
      <c r="Q113" s="210">
        <v>3299087.1696476187</v>
      </c>
      <c r="R113" s="203">
        <v>3297103.1126000001</v>
      </c>
      <c r="S113" s="209">
        <f t="shared" si="24"/>
        <v>0.99939860423638627</v>
      </c>
      <c r="T113" s="209">
        <f t="shared" si="25"/>
        <v>0.9</v>
      </c>
      <c r="U113" s="213">
        <v>4063410.5395285715</v>
      </c>
      <c r="V113" s="213">
        <f>VLOOKUP(B113,'Dealer Wise'!B4:F124,5,0)</f>
        <v>5173323.5400999999</v>
      </c>
      <c r="W113" s="214">
        <f t="shared" si="26"/>
        <v>1.2731481325291336</v>
      </c>
      <c r="X113" s="214">
        <f t="shared" si="27"/>
        <v>0.9</v>
      </c>
      <c r="Y113" s="174">
        <f t="shared" si="28"/>
        <v>20276643.841480952</v>
      </c>
      <c r="Z113" s="174">
        <f t="shared" si="29"/>
        <v>16755364.611200001</v>
      </c>
      <c r="AA113" s="159">
        <f t="shared" si="17"/>
        <v>0.82633816237984647</v>
      </c>
      <c r="AB113" s="175">
        <f t="shared" si="30"/>
        <v>3521279.2302809507</v>
      </c>
      <c r="AC113" s="176">
        <f t="shared" si="31"/>
        <v>3521279.2302809507</v>
      </c>
    </row>
    <row r="114" spans="1:29" x14ac:dyDescent="0.2">
      <c r="A114" s="107">
        <v>110</v>
      </c>
      <c r="B114" s="173" t="s">
        <v>7</v>
      </c>
      <c r="C114" s="111" t="s">
        <v>2</v>
      </c>
      <c r="D114" s="111" t="s">
        <v>1394</v>
      </c>
      <c r="E114" s="204">
        <v>5366217.7575000012</v>
      </c>
      <c r="F114" s="204">
        <v>4312192.2294000005</v>
      </c>
      <c r="G114" s="205">
        <f t="shared" si="18"/>
        <v>0.80358129771628062</v>
      </c>
      <c r="H114" s="205">
        <f t="shared" si="19"/>
        <v>0</v>
      </c>
      <c r="I114" s="206">
        <v>4951956.0743714292</v>
      </c>
      <c r="J114" s="206">
        <v>3963854.4142999989</v>
      </c>
      <c r="K114" s="207">
        <f t="shared" si="20"/>
        <v>0.80046235361713025</v>
      </c>
      <c r="L114" s="207">
        <f t="shared" si="21"/>
        <v>0</v>
      </c>
      <c r="M114" s="208">
        <v>4706831.9932238087</v>
      </c>
      <c r="N114" s="208">
        <v>2076581.8313</v>
      </c>
      <c r="O114" s="209">
        <f t="shared" si="22"/>
        <v>0.44118460873248744</v>
      </c>
      <c r="P114" s="209">
        <f t="shared" si="23"/>
        <v>0</v>
      </c>
      <c r="Q114" s="210">
        <v>3897467.7490571425</v>
      </c>
      <c r="R114" s="203">
        <v>6863908.8489000015</v>
      </c>
      <c r="S114" s="209">
        <f t="shared" si="24"/>
        <v>1.7611201146078725</v>
      </c>
      <c r="T114" s="209">
        <f t="shared" si="25"/>
        <v>0.9</v>
      </c>
      <c r="U114" s="213">
        <v>5266744.5113523789</v>
      </c>
      <c r="V114" s="213">
        <f>VLOOKUP(B114,'Dealer Wise'!B9:F129,5,0)</f>
        <v>6113874.2855000002</v>
      </c>
      <c r="W114" s="214">
        <f t="shared" si="26"/>
        <v>1.1608450480788743</v>
      </c>
      <c r="X114" s="214">
        <f t="shared" si="27"/>
        <v>0.9</v>
      </c>
      <c r="Y114" s="174">
        <f t="shared" si="28"/>
        <v>24189218.085504763</v>
      </c>
      <c r="Z114" s="174">
        <f t="shared" si="29"/>
        <v>23330411.6094</v>
      </c>
      <c r="AA114" s="159">
        <f t="shared" si="17"/>
        <v>0.96449631099818822</v>
      </c>
      <c r="AB114" s="175">
        <f t="shared" si="30"/>
        <v>858806.47610476241</v>
      </c>
      <c r="AC114" s="176">
        <f t="shared" si="31"/>
        <v>858806.47610476241</v>
      </c>
    </row>
    <row r="115" spans="1:29" x14ac:dyDescent="0.2">
      <c r="A115" s="107">
        <v>111</v>
      </c>
      <c r="B115" s="173" t="s">
        <v>8</v>
      </c>
      <c r="C115" s="111" t="s">
        <v>2</v>
      </c>
      <c r="D115" s="111" t="s">
        <v>1394</v>
      </c>
      <c r="E115" s="204">
        <v>6290880.8375000004</v>
      </c>
      <c r="F115" s="204">
        <v>5444066.3209000016</v>
      </c>
      <c r="G115" s="205">
        <f t="shared" si="18"/>
        <v>0.86539015147892651</v>
      </c>
      <c r="H115" s="205">
        <f t="shared" si="19"/>
        <v>0</v>
      </c>
      <c r="I115" s="206">
        <v>5635731.9059380954</v>
      </c>
      <c r="J115" s="206">
        <v>4522301.8717</v>
      </c>
      <c r="K115" s="207">
        <f t="shared" si="20"/>
        <v>0.80243381821180515</v>
      </c>
      <c r="L115" s="207">
        <f t="shared" si="21"/>
        <v>0</v>
      </c>
      <c r="M115" s="208">
        <v>5608427.1684476202</v>
      </c>
      <c r="N115" s="208">
        <v>3064994.4749999996</v>
      </c>
      <c r="O115" s="209">
        <f t="shared" si="22"/>
        <v>0.54649804355904152</v>
      </c>
      <c r="P115" s="209">
        <f t="shared" si="23"/>
        <v>0</v>
      </c>
      <c r="Q115" s="210">
        <v>4512046.1592666665</v>
      </c>
      <c r="R115" s="203">
        <v>6865592.3057999983</v>
      </c>
      <c r="S115" s="209">
        <f t="shared" si="24"/>
        <v>1.5216139337802894</v>
      </c>
      <c r="T115" s="209">
        <f t="shared" si="25"/>
        <v>0.9</v>
      </c>
      <c r="U115" s="213">
        <v>6502078.6706761923</v>
      </c>
      <c r="V115" s="213">
        <f>VLOOKUP(B115,'Dealer Wise'!B10:F130,5,0)</f>
        <v>8441342.6559999995</v>
      </c>
      <c r="W115" s="214">
        <f t="shared" si="26"/>
        <v>1.2982529254943835</v>
      </c>
      <c r="X115" s="214">
        <f t="shared" si="27"/>
        <v>0.9</v>
      </c>
      <c r="Y115" s="174">
        <f t="shared" si="28"/>
        <v>28549164.741828576</v>
      </c>
      <c r="Z115" s="174">
        <f t="shared" si="29"/>
        <v>28338297.629399996</v>
      </c>
      <c r="AA115" s="159">
        <f t="shared" si="17"/>
        <v>0.99261389556102742</v>
      </c>
      <c r="AB115" s="175">
        <f t="shared" si="30"/>
        <v>210867.11242857948</v>
      </c>
      <c r="AC115" s="176">
        <f t="shared" si="31"/>
        <v>210867.11242857948</v>
      </c>
    </row>
    <row r="116" spans="1:29" x14ac:dyDescent="0.2">
      <c r="A116" s="107">
        <v>112</v>
      </c>
      <c r="B116" s="173" t="s">
        <v>134</v>
      </c>
      <c r="C116" s="111" t="s">
        <v>137</v>
      </c>
      <c r="D116" s="111" t="s">
        <v>1459</v>
      </c>
      <c r="E116" s="204">
        <v>8145439.7800000021</v>
      </c>
      <c r="F116" s="204">
        <v>8538005.5227000024</v>
      </c>
      <c r="G116" s="205">
        <f t="shared" si="18"/>
        <v>1.0481945423823391</v>
      </c>
      <c r="H116" s="205">
        <f t="shared" si="19"/>
        <v>0.9</v>
      </c>
      <c r="I116" s="206">
        <v>7744476.8931904752</v>
      </c>
      <c r="J116" s="206">
        <v>7775062.9381000008</v>
      </c>
      <c r="K116" s="207">
        <f t="shared" si="20"/>
        <v>1.0039494010158929</v>
      </c>
      <c r="L116" s="207">
        <f t="shared" si="21"/>
        <v>0.9</v>
      </c>
      <c r="M116" s="208">
        <v>7529061.2073476184</v>
      </c>
      <c r="N116" s="208">
        <v>5083086.8152999999</v>
      </c>
      <c r="O116" s="209">
        <f t="shared" si="22"/>
        <v>0.67512890057785824</v>
      </c>
      <c r="P116" s="209">
        <f t="shared" si="23"/>
        <v>0</v>
      </c>
      <c r="Q116" s="210">
        <v>9303644.6145857126</v>
      </c>
      <c r="R116" s="203">
        <v>12161165.324399998</v>
      </c>
      <c r="S116" s="209">
        <f t="shared" si="24"/>
        <v>1.3071399250713458</v>
      </c>
      <c r="T116" s="209">
        <f t="shared" si="25"/>
        <v>0.9</v>
      </c>
      <c r="U116" s="213">
        <v>8951972.501823809</v>
      </c>
      <c r="V116" s="213">
        <f>VLOOKUP(B116,'Dealer Wise'!B71:F191,5,0)</f>
        <v>13100257.938700009</v>
      </c>
      <c r="W116" s="214">
        <f t="shared" si="26"/>
        <v>1.4633934516701272</v>
      </c>
      <c r="X116" s="214">
        <f t="shared" si="27"/>
        <v>0.9</v>
      </c>
      <c r="Y116" s="174">
        <f t="shared" si="28"/>
        <v>41674594.996947616</v>
      </c>
      <c r="Z116" s="174">
        <f t="shared" si="29"/>
        <v>46657578.539200008</v>
      </c>
      <c r="AA116" s="159">
        <f t="shared" si="17"/>
        <v>1.1195688534613801</v>
      </c>
      <c r="AB116" s="175">
        <f t="shared" si="30"/>
        <v>-4982983.5422523916</v>
      </c>
      <c r="AC116" s="176">
        <f t="shared" si="31"/>
        <v>-4982983.5422523916</v>
      </c>
    </row>
    <row r="117" spans="1:29" x14ac:dyDescent="0.2">
      <c r="A117" s="107">
        <v>113</v>
      </c>
      <c r="B117" s="173" t="s">
        <v>135</v>
      </c>
      <c r="C117" s="111" t="s">
        <v>137</v>
      </c>
      <c r="D117" s="111" t="s">
        <v>1459</v>
      </c>
      <c r="E117" s="204">
        <v>7536549.3224999979</v>
      </c>
      <c r="F117" s="204">
        <v>7629874.0958000021</v>
      </c>
      <c r="G117" s="205">
        <f t="shared" si="18"/>
        <v>1.0123829579435495</v>
      </c>
      <c r="H117" s="205">
        <f t="shared" si="19"/>
        <v>0.9</v>
      </c>
      <c r="I117" s="206">
        <v>8925446.7319190502</v>
      </c>
      <c r="J117" s="206">
        <v>8175340.7694000024</v>
      </c>
      <c r="K117" s="207">
        <f t="shared" si="20"/>
        <v>0.91595872060537542</v>
      </c>
      <c r="L117" s="207">
        <f t="shared" si="21"/>
        <v>0.9</v>
      </c>
      <c r="M117" s="208">
        <v>8030989.324409524</v>
      </c>
      <c r="N117" s="208">
        <v>5212553.219899999</v>
      </c>
      <c r="O117" s="209">
        <f t="shared" si="22"/>
        <v>0.64905493076137921</v>
      </c>
      <c r="P117" s="209">
        <f t="shared" si="23"/>
        <v>0</v>
      </c>
      <c r="Q117" s="210">
        <v>7770826.9858142845</v>
      </c>
      <c r="R117" s="203">
        <v>9292056.1645</v>
      </c>
      <c r="S117" s="209">
        <f t="shared" si="24"/>
        <v>1.19576155555422</v>
      </c>
      <c r="T117" s="209">
        <f t="shared" si="25"/>
        <v>0.9</v>
      </c>
      <c r="U117" s="213">
        <v>8906894.6527714282</v>
      </c>
      <c r="V117" s="213">
        <f>VLOOKUP(B117,'Dealer Wise'!B72:F192,5,0)</f>
        <v>11357006.812600005</v>
      </c>
      <c r="W117" s="214">
        <f t="shared" si="26"/>
        <v>1.275080401794829</v>
      </c>
      <c r="X117" s="214">
        <f t="shared" si="27"/>
        <v>0.9</v>
      </c>
      <c r="Y117" s="174">
        <f t="shared" si="28"/>
        <v>41170707.017414287</v>
      </c>
      <c r="Z117" s="174">
        <f t="shared" si="29"/>
        <v>41666831.06220001</v>
      </c>
      <c r="AA117" s="159">
        <f t="shared" si="17"/>
        <v>1.0120504135276538</v>
      </c>
      <c r="AB117" s="175">
        <f t="shared" si="30"/>
        <v>-496124.04478572309</v>
      </c>
      <c r="AC117" s="176">
        <f t="shared" si="31"/>
        <v>-496124.04478572309</v>
      </c>
    </row>
    <row r="118" spans="1:29" x14ac:dyDescent="0.2">
      <c r="A118" s="107">
        <v>114</v>
      </c>
      <c r="B118" s="173" t="s">
        <v>125</v>
      </c>
      <c r="C118" s="111" t="s">
        <v>137</v>
      </c>
      <c r="D118" s="111" t="s">
        <v>1457</v>
      </c>
      <c r="E118" s="204">
        <v>3581574.1349999993</v>
      </c>
      <c r="F118" s="204">
        <v>3593153.2997999997</v>
      </c>
      <c r="G118" s="205">
        <f t="shared" si="18"/>
        <v>1.0032329820250951</v>
      </c>
      <c r="H118" s="205">
        <f t="shared" si="19"/>
        <v>0.9</v>
      </c>
      <c r="I118" s="206">
        <v>4093785.5442999993</v>
      </c>
      <c r="J118" s="206">
        <v>3335106.0002999995</v>
      </c>
      <c r="K118" s="207">
        <f t="shared" si="20"/>
        <v>0.81467530827149692</v>
      </c>
      <c r="L118" s="207">
        <f t="shared" si="21"/>
        <v>0</v>
      </c>
      <c r="M118" s="208">
        <v>4427166.215214286</v>
      </c>
      <c r="N118" s="208">
        <v>2099319.9124000007</v>
      </c>
      <c r="O118" s="209">
        <f t="shared" si="22"/>
        <v>0.47419044380704112</v>
      </c>
      <c r="P118" s="209">
        <f t="shared" si="23"/>
        <v>0</v>
      </c>
      <c r="Q118" s="210">
        <v>3994845.0028095236</v>
      </c>
      <c r="R118" s="203">
        <v>4510603.5834000008</v>
      </c>
      <c r="S118" s="209">
        <f t="shared" si="24"/>
        <v>1.1291060304536849</v>
      </c>
      <c r="T118" s="209">
        <f t="shared" si="25"/>
        <v>0.9</v>
      </c>
      <c r="U118" s="213">
        <v>4759568.9032428572</v>
      </c>
      <c r="V118" s="213">
        <f>VLOOKUP(B118,'Dealer Wise'!B21:F141,5,0)</f>
        <v>6453712.6168</v>
      </c>
      <c r="W118" s="214">
        <f t="shared" si="26"/>
        <v>1.3559447815542423</v>
      </c>
      <c r="X118" s="214">
        <f t="shared" si="27"/>
        <v>0.9</v>
      </c>
      <c r="Y118" s="174">
        <f t="shared" si="28"/>
        <v>20856939.800566666</v>
      </c>
      <c r="Z118" s="174">
        <f t="shared" si="29"/>
        <v>19991895.412699997</v>
      </c>
      <c r="AA118" s="159">
        <f t="shared" si="17"/>
        <v>0.95852486529000935</v>
      </c>
      <c r="AB118" s="175">
        <f t="shared" si="30"/>
        <v>865044.3878666684</v>
      </c>
      <c r="AC118" s="176">
        <f t="shared" si="31"/>
        <v>865044.3878666684</v>
      </c>
    </row>
    <row r="119" spans="1:29" x14ac:dyDescent="0.2">
      <c r="A119" s="107">
        <v>115</v>
      </c>
      <c r="B119" s="173" t="s">
        <v>126</v>
      </c>
      <c r="C119" s="111" t="s">
        <v>137</v>
      </c>
      <c r="D119" s="111" t="s">
        <v>1457</v>
      </c>
      <c r="E119" s="204">
        <v>22263647.154999997</v>
      </c>
      <c r="F119" s="204">
        <v>21394513.981699996</v>
      </c>
      <c r="G119" s="205">
        <f t="shared" si="18"/>
        <v>0.96096177920674553</v>
      </c>
      <c r="H119" s="205">
        <f t="shared" si="19"/>
        <v>0.9</v>
      </c>
      <c r="I119" s="206">
        <v>22935758.405114278</v>
      </c>
      <c r="J119" s="206">
        <v>22980587.434499998</v>
      </c>
      <c r="K119" s="207">
        <f t="shared" si="20"/>
        <v>1.0019545475058598</v>
      </c>
      <c r="L119" s="207">
        <f t="shared" si="21"/>
        <v>0.9</v>
      </c>
      <c r="M119" s="208">
        <v>21085445.52395238</v>
      </c>
      <c r="N119" s="208">
        <v>8306812.7377999993</v>
      </c>
      <c r="O119" s="209">
        <f t="shared" si="22"/>
        <v>0.39395955510466829</v>
      </c>
      <c r="P119" s="209">
        <f t="shared" si="23"/>
        <v>0</v>
      </c>
      <c r="Q119" s="210">
        <v>18995186.172128566</v>
      </c>
      <c r="R119" s="203">
        <v>24895725.385299999</v>
      </c>
      <c r="S119" s="209">
        <f t="shared" si="24"/>
        <v>1.3106333973093263</v>
      </c>
      <c r="T119" s="209">
        <f t="shared" si="25"/>
        <v>0.9</v>
      </c>
      <c r="U119" s="213">
        <v>22788137.538390476</v>
      </c>
      <c r="V119" s="213">
        <f>VLOOKUP(B119,'Dealer Wise'!B22:F142,5,0)</f>
        <v>32520075.712100007</v>
      </c>
      <c r="W119" s="214">
        <f t="shared" si="26"/>
        <v>1.4270615866397345</v>
      </c>
      <c r="X119" s="214">
        <f t="shared" si="27"/>
        <v>0.9</v>
      </c>
      <c r="Y119" s="174">
        <f t="shared" si="28"/>
        <v>108068174.79458569</v>
      </c>
      <c r="Z119" s="174">
        <f t="shared" si="29"/>
        <v>110097715.25139999</v>
      </c>
      <c r="AA119" s="159">
        <f t="shared" si="17"/>
        <v>1.0187801863099106</v>
      </c>
      <c r="AB119" s="175">
        <f t="shared" si="30"/>
        <v>-2029540.456814304</v>
      </c>
      <c r="AC119" s="176">
        <f t="shared" si="31"/>
        <v>-2029540.456814304</v>
      </c>
    </row>
    <row r="120" spans="1:29" x14ac:dyDescent="0.2">
      <c r="A120" s="107">
        <v>116</v>
      </c>
      <c r="B120" s="173" t="s">
        <v>127</v>
      </c>
      <c r="C120" s="111" t="s">
        <v>137</v>
      </c>
      <c r="D120" s="111" t="s">
        <v>1458</v>
      </c>
      <c r="E120" s="204">
        <v>15641751.012499996</v>
      </c>
      <c r="F120" s="204">
        <v>15286987.283700004</v>
      </c>
      <c r="G120" s="205">
        <f t="shared" si="18"/>
        <v>0.9773194363906903</v>
      </c>
      <c r="H120" s="205">
        <f t="shared" si="19"/>
        <v>0.9</v>
      </c>
      <c r="I120" s="206">
        <v>15437218.95042857</v>
      </c>
      <c r="J120" s="206">
        <v>16100630.844700001</v>
      </c>
      <c r="K120" s="207">
        <f t="shared" si="20"/>
        <v>1.0429748322156831</v>
      </c>
      <c r="L120" s="207">
        <f t="shared" si="21"/>
        <v>0.9</v>
      </c>
      <c r="M120" s="208">
        <v>15646631.921609523</v>
      </c>
      <c r="N120" s="208">
        <v>7665883.1221999982</v>
      </c>
      <c r="O120" s="209">
        <f t="shared" si="22"/>
        <v>0.48993822827855155</v>
      </c>
      <c r="P120" s="209">
        <f t="shared" si="23"/>
        <v>0</v>
      </c>
      <c r="Q120" s="210">
        <v>15909389.700085722</v>
      </c>
      <c r="R120" s="203">
        <v>19603924.339600004</v>
      </c>
      <c r="S120" s="209">
        <f t="shared" si="24"/>
        <v>1.2322235302020652</v>
      </c>
      <c r="T120" s="209">
        <f t="shared" si="25"/>
        <v>0.9</v>
      </c>
      <c r="U120" s="213">
        <v>18239013.480552383</v>
      </c>
      <c r="V120" s="213">
        <f>VLOOKUP(B120,'Dealer Wise'!B23:F143,5,0)</f>
        <v>25483936.971499994</v>
      </c>
      <c r="W120" s="214">
        <f t="shared" si="26"/>
        <v>1.3972212367008017</v>
      </c>
      <c r="X120" s="214">
        <f t="shared" si="27"/>
        <v>0.9</v>
      </c>
      <c r="Y120" s="174">
        <f t="shared" si="28"/>
        <v>80874005.065176189</v>
      </c>
      <c r="Z120" s="174">
        <f t="shared" si="29"/>
        <v>84141362.561700001</v>
      </c>
      <c r="AA120" s="159">
        <f t="shared" si="17"/>
        <v>1.0404005897060578</v>
      </c>
      <c r="AB120" s="175">
        <f t="shared" si="30"/>
        <v>-3267357.4965238124</v>
      </c>
      <c r="AC120" s="176">
        <f t="shared" si="31"/>
        <v>-3267357.4965238124</v>
      </c>
    </row>
    <row r="121" spans="1:29" x14ac:dyDescent="0.2">
      <c r="A121" s="107">
        <v>117</v>
      </c>
      <c r="B121" s="173" t="s">
        <v>128</v>
      </c>
      <c r="C121" s="111" t="s">
        <v>137</v>
      </c>
      <c r="D121" s="111" t="s">
        <v>1458</v>
      </c>
      <c r="E121" s="204">
        <v>6857648.3550000014</v>
      </c>
      <c r="F121" s="204">
        <v>6334733.4866000013</v>
      </c>
      <c r="G121" s="205">
        <f t="shared" si="18"/>
        <v>0.92374720292872181</v>
      </c>
      <c r="H121" s="205">
        <f t="shared" si="19"/>
        <v>0.9</v>
      </c>
      <c r="I121" s="206">
        <v>7588155.2329857126</v>
      </c>
      <c r="J121" s="206">
        <v>6917685.3888999997</v>
      </c>
      <c r="K121" s="207">
        <f t="shared" si="20"/>
        <v>0.911642576686995</v>
      </c>
      <c r="L121" s="207">
        <f t="shared" si="21"/>
        <v>0.9</v>
      </c>
      <c r="M121" s="208">
        <v>7665826.9322000006</v>
      </c>
      <c r="N121" s="208">
        <v>3443785.3907000003</v>
      </c>
      <c r="O121" s="209">
        <f t="shared" si="22"/>
        <v>0.44923860415299971</v>
      </c>
      <c r="P121" s="209">
        <f t="shared" si="23"/>
        <v>0</v>
      </c>
      <c r="Q121" s="210">
        <v>6995974.3754523788</v>
      </c>
      <c r="R121" s="203">
        <v>11857186.011700002</v>
      </c>
      <c r="S121" s="209">
        <f t="shared" si="24"/>
        <v>1.6948584107604432</v>
      </c>
      <c r="T121" s="209">
        <f t="shared" si="25"/>
        <v>0.9</v>
      </c>
      <c r="U121" s="213">
        <v>8348948.9875142854</v>
      </c>
      <c r="V121" s="213">
        <f>VLOOKUP(B121,'Dealer Wise'!B76:F196,5,0)</f>
        <v>11324196.188200001</v>
      </c>
      <c r="W121" s="214">
        <f t="shared" si="26"/>
        <v>1.3563618852067665</v>
      </c>
      <c r="X121" s="214">
        <f t="shared" si="27"/>
        <v>0.9</v>
      </c>
      <c r="Y121" s="174">
        <f t="shared" si="28"/>
        <v>37456553.883152381</v>
      </c>
      <c r="Z121" s="174">
        <f t="shared" si="29"/>
        <v>39877586.466100007</v>
      </c>
      <c r="AA121" s="159">
        <f t="shared" si="17"/>
        <v>1.0646357534785544</v>
      </c>
      <c r="AB121" s="175">
        <f t="shared" si="30"/>
        <v>-2421032.5829476267</v>
      </c>
      <c r="AC121" s="176">
        <f t="shared" si="31"/>
        <v>-2421032.5829476267</v>
      </c>
    </row>
    <row r="122" spans="1:29" x14ac:dyDescent="0.2">
      <c r="A122" s="107">
        <v>118</v>
      </c>
      <c r="B122" s="173" t="s">
        <v>129</v>
      </c>
      <c r="C122" s="111" t="s">
        <v>137</v>
      </c>
      <c r="D122" s="111" t="s">
        <v>137</v>
      </c>
      <c r="E122" s="204">
        <v>19313688.817500003</v>
      </c>
      <c r="F122" s="204">
        <v>17633302.304000001</v>
      </c>
      <c r="G122" s="205">
        <f t="shared" si="18"/>
        <v>0.9129950508482142</v>
      </c>
      <c r="H122" s="205">
        <f t="shared" si="19"/>
        <v>0.9</v>
      </c>
      <c r="I122" s="206">
        <v>19984123.291090477</v>
      </c>
      <c r="J122" s="206">
        <v>18241062.913600001</v>
      </c>
      <c r="K122" s="207">
        <f t="shared" si="20"/>
        <v>0.91277774100465126</v>
      </c>
      <c r="L122" s="207">
        <f t="shared" si="21"/>
        <v>0.9</v>
      </c>
      <c r="M122" s="208">
        <v>18927364.903447617</v>
      </c>
      <c r="N122" s="208">
        <v>5139344.5562000005</v>
      </c>
      <c r="O122" s="209">
        <f t="shared" si="22"/>
        <v>0.27152985016228381</v>
      </c>
      <c r="P122" s="209">
        <f t="shared" si="23"/>
        <v>0</v>
      </c>
      <c r="Q122" s="210">
        <v>16496184.817642858</v>
      </c>
      <c r="R122" s="203">
        <v>21340961.289399996</v>
      </c>
      <c r="S122" s="209">
        <f t="shared" si="24"/>
        <v>1.2936907245713927</v>
      </c>
      <c r="T122" s="209">
        <f t="shared" si="25"/>
        <v>0.9</v>
      </c>
      <c r="U122" s="213">
        <v>21302024.138161905</v>
      </c>
      <c r="V122" s="213">
        <f>VLOOKUP(B122,'Dealer Wise'!B25:F145,5,0)</f>
        <v>30156619.052900013</v>
      </c>
      <c r="W122" s="214">
        <f t="shared" si="26"/>
        <v>1.4156691804172441</v>
      </c>
      <c r="X122" s="214">
        <f t="shared" si="27"/>
        <v>0.9</v>
      </c>
      <c r="Y122" s="174">
        <f t="shared" si="28"/>
        <v>96023385.967842847</v>
      </c>
      <c r="Z122" s="174">
        <f t="shared" si="29"/>
        <v>92511290.116100013</v>
      </c>
      <c r="AA122" s="159">
        <f t="shared" si="17"/>
        <v>0.96342457812392712</v>
      </c>
      <c r="AB122" s="175">
        <f t="shared" si="30"/>
        <v>3512095.8517428339</v>
      </c>
      <c r="AC122" s="176">
        <f t="shared" si="31"/>
        <v>3512095.8517428339</v>
      </c>
    </row>
    <row r="123" spans="1:29" x14ac:dyDescent="0.2">
      <c r="A123" s="107">
        <v>119</v>
      </c>
      <c r="B123" s="173" t="s">
        <v>131</v>
      </c>
      <c r="C123" s="111" t="s">
        <v>137</v>
      </c>
      <c r="D123" s="111" t="s">
        <v>1395</v>
      </c>
      <c r="E123" s="204">
        <v>3370040.5299999993</v>
      </c>
      <c r="F123" s="204">
        <v>3480396.6144999983</v>
      </c>
      <c r="G123" s="205">
        <f t="shared" si="18"/>
        <v>1.0327462187821221</v>
      </c>
      <c r="H123" s="205">
        <f t="shared" si="19"/>
        <v>0.9</v>
      </c>
      <c r="I123" s="206">
        <v>3383302.8144333339</v>
      </c>
      <c r="J123" s="206">
        <v>3115339.1265000007</v>
      </c>
      <c r="K123" s="207">
        <f t="shared" si="20"/>
        <v>0.92079819554129561</v>
      </c>
      <c r="L123" s="207">
        <f t="shared" si="21"/>
        <v>0.9</v>
      </c>
      <c r="M123" s="208">
        <v>3637241.1452952381</v>
      </c>
      <c r="N123" s="208">
        <v>2025063.0649000003</v>
      </c>
      <c r="O123" s="209">
        <f t="shared" si="22"/>
        <v>0.55675798881781979</v>
      </c>
      <c r="P123" s="209">
        <f t="shared" si="23"/>
        <v>0</v>
      </c>
      <c r="Q123" s="210">
        <v>3398885.4608999998</v>
      </c>
      <c r="R123" s="203">
        <v>5486323.3412000006</v>
      </c>
      <c r="S123" s="209">
        <f t="shared" si="24"/>
        <v>1.6141536407488302</v>
      </c>
      <c r="T123" s="209">
        <f t="shared" si="25"/>
        <v>0.9</v>
      </c>
      <c r="U123" s="213">
        <v>4296699.5051333327</v>
      </c>
      <c r="V123" s="213">
        <f>VLOOKUP(B123,'Dealer Wise'!B26:F146,5,0)</f>
        <v>6386603.7825000016</v>
      </c>
      <c r="W123" s="214">
        <f t="shared" si="26"/>
        <v>1.4863975883977523</v>
      </c>
      <c r="X123" s="214">
        <f t="shared" si="27"/>
        <v>0.9</v>
      </c>
      <c r="Y123" s="174">
        <f t="shared" si="28"/>
        <v>18086169.455761902</v>
      </c>
      <c r="Z123" s="174">
        <f t="shared" si="29"/>
        <v>20493725.9296</v>
      </c>
      <c r="AA123" s="159">
        <f t="shared" si="17"/>
        <v>1.1331158861320465</v>
      </c>
      <c r="AB123" s="175">
        <f t="shared" si="30"/>
        <v>-2407556.4738380983</v>
      </c>
      <c r="AC123" s="176">
        <f t="shared" si="31"/>
        <v>-2407556.4738380983</v>
      </c>
    </row>
    <row r="124" spans="1:29" x14ac:dyDescent="0.2">
      <c r="A124" s="107">
        <v>120</v>
      </c>
      <c r="B124" s="173" t="s">
        <v>132</v>
      </c>
      <c r="C124" s="111" t="s">
        <v>137</v>
      </c>
      <c r="D124" s="111" t="s">
        <v>1395</v>
      </c>
      <c r="E124" s="204">
        <v>9822908.5750000011</v>
      </c>
      <c r="F124" s="204">
        <v>9930823.9378999993</v>
      </c>
      <c r="G124" s="205">
        <f t="shared" si="18"/>
        <v>1.0109860905327623</v>
      </c>
      <c r="H124" s="205">
        <f t="shared" si="19"/>
        <v>0.9</v>
      </c>
      <c r="I124" s="206">
        <v>9169049.6530761905</v>
      </c>
      <c r="J124" s="206">
        <v>9296283.9541000016</v>
      </c>
      <c r="K124" s="207">
        <f t="shared" si="20"/>
        <v>1.0138764982018746</v>
      </c>
      <c r="L124" s="207">
        <f t="shared" si="21"/>
        <v>0.9</v>
      </c>
      <c r="M124" s="208">
        <v>9938926.2891095243</v>
      </c>
      <c r="N124" s="208">
        <v>5488238.8960999995</v>
      </c>
      <c r="O124" s="209">
        <f t="shared" si="22"/>
        <v>0.55219635768037445</v>
      </c>
      <c r="P124" s="209">
        <f t="shared" si="23"/>
        <v>0</v>
      </c>
      <c r="Q124" s="210">
        <v>8803483.7279285714</v>
      </c>
      <c r="R124" s="203">
        <v>11199557.388299998</v>
      </c>
      <c r="S124" s="209">
        <f t="shared" si="24"/>
        <v>1.2721733502806409</v>
      </c>
      <c r="T124" s="209">
        <f t="shared" si="25"/>
        <v>0.9</v>
      </c>
      <c r="U124" s="213">
        <v>10687654.616757141</v>
      </c>
      <c r="V124" s="213">
        <f>VLOOKUP(B124,'Dealer Wise'!B27:F147,5,0)</f>
        <v>15080772.3824</v>
      </c>
      <c r="W124" s="214">
        <f t="shared" si="26"/>
        <v>1.411046008050719</v>
      </c>
      <c r="X124" s="214">
        <f t="shared" si="27"/>
        <v>0.9</v>
      </c>
      <c r="Y124" s="174">
        <f t="shared" si="28"/>
        <v>48422022.861871421</v>
      </c>
      <c r="Z124" s="174">
        <f t="shared" si="29"/>
        <v>50995676.558799997</v>
      </c>
      <c r="AA124" s="159">
        <f t="shared" si="17"/>
        <v>1.0531504787453878</v>
      </c>
      <c r="AB124" s="175">
        <f t="shared" si="30"/>
        <v>-2573653.6969285756</v>
      </c>
      <c r="AC124" s="176">
        <f t="shared" si="31"/>
        <v>-2573653.6969285756</v>
      </c>
    </row>
    <row r="125" spans="1:29" x14ac:dyDescent="0.2">
      <c r="A125" s="107">
        <v>121</v>
      </c>
      <c r="B125" s="173" t="s">
        <v>133</v>
      </c>
      <c r="C125" s="111" t="s">
        <v>137</v>
      </c>
      <c r="D125" s="111" t="s">
        <v>1395</v>
      </c>
      <c r="E125" s="204">
        <v>8997473.4500000011</v>
      </c>
      <c r="F125" s="204">
        <v>8207599.480200001</v>
      </c>
      <c r="G125" s="205">
        <f t="shared" si="18"/>
        <v>0.91221158092997767</v>
      </c>
      <c r="H125" s="205">
        <f t="shared" si="19"/>
        <v>0.9</v>
      </c>
      <c r="I125" s="206">
        <v>10033501.958147619</v>
      </c>
      <c r="J125" s="206">
        <v>8641341.8147000019</v>
      </c>
      <c r="K125" s="207">
        <f t="shared" si="20"/>
        <v>0.86124882924678903</v>
      </c>
      <c r="L125" s="207">
        <f t="shared" si="21"/>
        <v>0</v>
      </c>
      <c r="M125" s="208">
        <v>10212730.151466668</v>
      </c>
      <c r="N125" s="208">
        <v>4223033.4822000014</v>
      </c>
      <c r="O125" s="209">
        <f t="shared" si="22"/>
        <v>0.41350681155455032</v>
      </c>
      <c r="P125" s="209">
        <f t="shared" si="23"/>
        <v>0</v>
      </c>
      <c r="Q125" s="210">
        <v>9591014.2330904771</v>
      </c>
      <c r="R125" s="203">
        <v>10067384.171199994</v>
      </c>
      <c r="S125" s="209">
        <f t="shared" si="24"/>
        <v>1.0496683590006537</v>
      </c>
      <c r="T125" s="209">
        <f t="shared" si="25"/>
        <v>0.9</v>
      </c>
      <c r="U125" s="213">
        <v>10113875.602095239</v>
      </c>
      <c r="V125" s="213">
        <f>VLOOKUP(B125,'Dealer Wise'!B28:F148,5,0)</f>
        <v>12654713.0997</v>
      </c>
      <c r="W125" s="214">
        <f t="shared" si="26"/>
        <v>1.2512229334794656</v>
      </c>
      <c r="X125" s="214">
        <f t="shared" si="27"/>
        <v>0.9</v>
      </c>
      <c r="Y125" s="174">
        <f t="shared" si="28"/>
        <v>48948595.3948</v>
      </c>
      <c r="Z125" s="174">
        <f t="shared" si="29"/>
        <v>43794072.047999993</v>
      </c>
      <c r="AA125" s="159">
        <f t="shared" si="17"/>
        <v>0.89469517347278993</v>
      </c>
      <c r="AB125" s="175">
        <f t="shared" si="30"/>
        <v>5154523.3468000069</v>
      </c>
      <c r="AC125" s="176">
        <f t="shared" si="31"/>
        <v>5154523.3468000069</v>
      </c>
    </row>
    <row r="126" spans="1:29" x14ac:dyDescent="0.2">
      <c r="A126" s="107">
        <v>122</v>
      </c>
      <c r="B126" s="173" t="s">
        <v>130</v>
      </c>
      <c r="C126" s="111" t="s">
        <v>137</v>
      </c>
      <c r="D126" s="111" t="s">
        <v>1460</v>
      </c>
      <c r="E126" s="204">
        <v>15072570.107499996</v>
      </c>
      <c r="F126" s="204">
        <v>13851417.314700004</v>
      </c>
      <c r="G126" s="205">
        <f t="shared" si="18"/>
        <v>0.91898178053971324</v>
      </c>
      <c r="H126" s="205">
        <f t="shared" si="19"/>
        <v>0.9</v>
      </c>
      <c r="I126" s="206">
        <v>16447514.377404761</v>
      </c>
      <c r="J126" s="206">
        <v>13224104.389100013</v>
      </c>
      <c r="K126" s="207">
        <f t="shared" si="20"/>
        <v>0.80401841188033873</v>
      </c>
      <c r="L126" s="207">
        <f t="shared" si="21"/>
        <v>0</v>
      </c>
      <c r="M126" s="208">
        <v>15564212.941757139</v>
      </c>
      <c r="N126" s="208">
        <v>5298877.4246999985</v>
      </c>
      <c r="O126" s="209">
        <f t="shared" si="22"/>
        <v>0.34045264251581075</v>
      </c>
      <c r="P126" s="209">
        <f t="shared" si="23"/>
        <v>0</v>
      </c>
      <c r="Q126" s="210">
        <v>14496732.747061908</v>
      </c>
      <c r="R126" s="203">
        <v>16127525.3553</v>
      </c>
      <c r="S126" s="209">
        <f t="shared" si="24"/>
        <v>1.112493803720608</v>
      </c>
      <c r="T126" s="209">
        <f t="shared" si="25"/>
        <v>0.9</v>
      </c>
      <c r="U126" s="213">
        <v>17541145.766138099</v>
      </c>
      <c r="V126" s="213">
        <f>VLOOKUP(B126,'Dealer Wise'!B29:F149,5,0)</f>
        <v>22258541.629100002</v>
      </c>
      <c r="W126" s="214">
        <f t="shared" si="26"/>
        <v>1.2689331658179646</v>
      </c>
      <c r="X126" s="214">
        <f t="shared" si="27"/>
        <v>0.9</v>
      </c>
      <c r="Y126" s="174">
        <f t="shared" si="28"/>
        <v>79122175.939861894</v>
      </c>
      <c r="Z126" s="174">
        <f t="shared" si="29"/>
        <v>70760466.112900019</v>
      </c>
      <c r="AA126" s="159">
        <f t="shared" si="17"/>
        <v>0.89431901072441022</v>
      </c>
      <c r="AB126" s="175">
        <f t="shared" si="30"/>
        <v>8361709.826961875</v>
      </c>
      <c r="AC126" s="176">
        <f t="shared" si="31"/>
        <v>8361709.826961875</v>
      </c>
    </row>
    <row r="127" spans="1:29" ht="15" x14ac:dyDescent="0.25">
      <c r="A127" s="107">
        <v>123</v>
      </c>
      <c r="B127" s="179" t="s">
        <v>144</v>
      </c>
      <c r="C127" s="111" t="s">
        <v>1402</v>
      </c>
      <c r="D127" s="111" t="s">
        <v>1402</v>
      </c>
      <c r="E127" s="204">
        <v>20887988.6675</v>
      </c>
      <c r="F127" s="204">
        <v>19360566</v>
      </c>
      <c r="G127" s="205">
        <f t="shared" si="18"/>
        <v>0.92687555073808781</v>
      </c>
      <c r="H127" s="205">
        <f t="shared" si="19"/>
        <v>0.9</v>
      </c>
      <c r="I127" s="206">
        <v>20449572.09765714</v>
      </c>
      <c r="J127" s="206">
        <v>21215355</v>
      </c>
      <c r="K127" s="207">
        <f t="shared" si="20"/>
        <v>1.0374473802525479</v>
      </c>
      <c r="L127" s="207">
        <f t="shared" si="21"/>
        <v>0.9</v>
      </c>
      <c r="M127" s="208">
        <v>25054167.669880949</v>
      </c>
      <c r="N127" s="208">
        <v>16656491</v>
      </c>
      <c r="O127" s="209">
        <f t="shared" si="22"/>
        <v>0.66481917178289351</v>
      </c>
      <c r="P127" s="209">
        <f t="shared" si="23"/>
        <v>0</v>
      </c>
      <c r="Q127" s="210">
        <v>17190957.233590476</v>
      </c>
      <c r="R127" s="203">
        <v>15650916</v>
      </c>
      <c r="S127" s="209">
        <f t="shared" si="24"/>
        <v>0.91041562068566528</v>
      </c>
      <c r="T127" s="209">
        <f t="shared" si="25"/>
        <v>0.9</v>
      </c>
      <c r="U127" s="213">
        <v>21879562.213176187</v>
      </c>
      <c r="V127" s="213">
        <f>VLOOKUP(B127,'Dealer Wise'!B99:F219,5,0)</f>
        <v>28788610</v>
      </c>
      <c r="W127" s="214">
        <f t="shared" si="26"/>
        <v>1.3157763267613776</v>
      </c>
      <c r="X127" s="214">
        <f t="shared" si="27"/>
        <v>0.9</v>
      </c>
      <c r="Y127" s="174">
        <f t="shared" si="28"/>
        <v>105462247.88180476</v>
      </c>
      <c r="Z127" s="174">
        <f t="shared" si="29"/>
        <v>101671938</v>
      </c>
      <c r="AA127" s="159">
        <f t="shared" si="17"/>
        <v>0.96406003135783058</v>
      </c>
      <c r="AB127" s="175">
        <f t="shared" si="30"/>
        <v>3790309.8818047643</v>
      </c>
      <c r="AC127" s="176">
        <f t="shared" si="31"/>
        <v>3790309.8818047643</v>
      </c>
    </row>
    <row r="128" spans="1:29" x14ac:dyDescent="0.2">
      <c r="A128" s="180"/>
      <c r="B128" s="181"/>
      <c r="C128" s="182"/>
      <c r="D128" s="181"/>
      <c r="E128" s="183">
        <f>SUM(E5:E127)</f>
        <v>1092776415.6175001</v>
      </c>
      <c r="F128" s="183">
        <f>SUM(F5:F127)</f>
        <v>1002479216.9008996</v>
      </c>
      <c r="G128" s="181"/>
      <c r="H128" s="181"/>
      <c r="I128" s="183">
        <f>SUM(I5:I127)</f>
        <v>1119302290.4723766</v>
      </c>
      <c r="J128" s="183">
        <f>SUM(J5:J127)</f>
        <v>976653071.42850006</v>
      </c>
      <c r="K128" s="181"/>
      <c r="L128" s="181"/>
      <c r="M128" s="183">
        <f>SUM(M5:M127)</f>
        <v>1075559630.3695421</v>
      </c>
      <c r="N128" s="183">
        <f>SUM(N5:N127)</f>
        <v>564479494.6651001</v>
      </c>
      <c r="O128" s="181"/>
      <c r="P128" s="181"/>
      <c r="Q128" s="181">
        <f>SUM(Q5:Q127)</f>
        <v>989625905.69652379</v>
      </c>
      <c r="R128" s="181">
        <f>SUM(R5:R127)</f>
        <v>1103456320.7112</v>
      </c>
      <c r="S128" s="181"/>
      <c r="T128" s="181"/>
      <c r="U128" s="181">
        <f>SUM(U5:U127)</f>
        <v>1200467115.4829524</v>
      </c>
      <c r="V128" s="181">
        <f>SUM(V5:V127)</f>
        <v>1556818178.9126999</v>
      </c>
      <c r="W128" s="181"/>
      <c r="X128" s="181"/>
      <c r="Y128" s="181"/>
      <c r="Z128" s="181"/>
      <c r="AA128" s="181"/>
      <c r="AB128" s="181"/>
      <c r="AC128" s="184"/>
    </row>
  </sheetData>
  <autoFilter ref="A4:AD4"/>
  <mergeCells count="12">
    <mergeCell ref="I3:L3"/>
    <mergeCell ref="M3:P3"/>
    <mergeCell ref="Y3:AA3"/>
    <mergeCell ref="AC3:AC4"/>
    <mergeCell ref="Q3:T3"/>
    <mergeCell ref="U3:X3"/>
    <mergeCell ref="E3:H3"/>
    <mergeCell ref="B1:B2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Z128"/>
  <sheetViews>
    <sheetView showGridLines="0" zoomScale="90" zoomScaleNormal="90" workbookViewId="0">
      <pane xSplit="2" ySplit="4" topLeftCell="N5" activePane="bottomRight" state="frozen"/>
      <selection pane="topRight" activeCell="E1" sqref="E1"/>
      <selection pane="bottomLeft" activeCell="A4" sqref="A4"/>
      <selection pane="bottomRight" activeCell="A85" sqref="A85:XFD85"/>
    </sheetView>
  </sheetViews>
  <sheetFormatPr defaultRowHeight="14.25" x14ac:dyDescent="0.2"/>
  <cols>
    <col min="1" max="1" width="7.5703125" style="130" bestFit="1" customWidth="1"/>
    <col min="2" max="2" width="37.85546875" style="91" bestFit="1" customWidth="1"/>
    <col min="3" max="3" width="13.42578125" style="166" bestFit="1" customWidth="1"/>
    <col min="4" max="4" width="13.42578125" style="91" bestFit="1" customWidth="1"/>
    <col min="5" max="5" width="14.85546875" style="91" bestFit="1" customWidth="1"/>
    <col min="6" max="6" width="15" style="91" bestFit="1" customWidth="1"/>
    <col min="7" max="7" width="8.85546875" style="91" bestFit="1" customWidth="1"/>
    <col min="8" max="8" width="8" style="91" bestFit="1" customWidth="1"/>
    <col min="9" max="9" width="14.42578125" style="91" bestFit="1" customWidth="1"/>
    <col min="10" max="10" width="13.85546875" style="91" bestFit="1" customWidth="1"/>
    <col min="11" max="11" width="8.85546875" style="91" bestFit="1" customWidth="1"/>
    <col min="12" max="12" width="8" style="91" bestFit="1" customWidth="1"/>
    <col min="13" max="13" width="15.140625" style="91" bestFit="1" customWidth="1"/>
    <col min="14" max="14" width="16" style="91" bestFit="1" customWidth="1"/>
    <col min="15" max="15" width="8.85546875" style="91" bestFit="1" customWidth="1"/>
    <col min="16" max="16" width="8" style="91" customWidth="1"/>
    <col min="17" max="17" width="15.7109375" style="91" bestFit="1" customWidth="1"/>
    <col min="18" max="18" width="16" style="91" bestFit="1" customWidth="1"/>
    <col min="19" max="19" width="8.85546875" style="91" bestFit="1" customWidth="1"/>
    <col min="20" max="20" width="8" style="91" customWidth="1"/>
    <col min="21" max="21" width="15" style="91" bestFit="1" customWidth="1"/>
    <col min="22" max="22" width="15.85546875" style="91" bestFit="1" customWidth="1"/>
    <col min="23" max="23" width="8.85546875" style="91" bestFit="1" customWidth="1"/>
    <col min="24" max="24" width="13.140625" style="91" bestFit="1" customWidth="1"/>
    <col min="25" max="25" width="10.5703125" style="91" bestFit="1" customWidth="1"/>
    <col min="26" max="26" width="10.140625" style="91" bestFit="1" customWidth="1"/>
    <col min="27" max="16384" width="9.140625" style="91"/>
  </cols>
  <sheetData>
    <row r="1" spans="1:26" x14ac:dyDescent="0.2">
      <c r="B1" s="282" t="s">
        <v>1445</v>
      </c>
    </row>
    <row r="2" spans="1:26" x14ac:dyDescent="0.2">
      <c r="B2" s="282"/>
      <c r="L2" s="167"/>
      <c r="X2" s="168" t="s">
        <v>1430</v>
      </c>
      <c r="Y2" s="168">
        <f>'Dealer Wise'!Q2</f>
        <v>1</v>
      </c>
    </row>
    <row r="3" spans="1:26" s="98" customFormat="1" x14ac:dyDescent="0.25">
      <c r="A3" s="283" t="s">
        <v>1431</v>
      </c>
      <c r="B3" s="273" t="s">
        <v>150</v>
      </c>
      <c r="C3" s="266" t="s">
        <v>1393</v>
      </c>
      <c r="D3" s="266" t="s">
        <v>1432</v>
      </c>
      <c r="E3" s="281" t="s">
        <v>1433</v>
      </c>
      <c r="F3" s="281"/>
      <c r="G3" s="281"/>
      <c r="H3" s="281"/>
      <c r="I3" s="281" t="s">
        <v>1434</v>
      </c>
      <c r="J3" s="281"/>
      <c r="K3" s="281"/>
      <c r="L3" s="281"/>
      <c r="M3" s="281" t="s">
        <v>1495</v>
      </c>
      <c r="N3" s="281"/>
      <c r="O3" s="281"/>
      <c r="P3" s="281"/>
      <c r="Q3" s="281" t="s">
        <v>1496</v>
      </c>
      <c r="R3" s="281"/>
      <c r="S3" s="281"/>
      <c r="T3" s="281"/>
      <c r="U3" s="266" t="s">
        <v>1436</v>
      </c>
      <c r="V3" s="273"/>
      <c r="W3" s="273"/>
      <c r="X3" s="169"/>
      <c r="Y3" s="268" t="s">
        <v>1437</v>
      </c>
    </row>
    <row r="4" spans="1:26" s="98" customFormat="1" ht="30.75" customHeight="1" x14ac:dyDescent="0.25">
      <c r="A4" s="276"/>
      <c r="B4" s="277"/>
      <c r="C4" s="277"/>
      <c r="D4" s="277"/>
      <c r="E4" s="201" t="s">
        <v>1438</v>
      </c>
      <c r="F4" s="201" t="s">
        <v>155</v>
      </c>
      <c r="G4" s="201" t="s">
        <v>1439</v>
      </c>
      <c r="H4" s="170" t="s">
        <v>1440</v>
      </c>
      <c r="I4" s="201" t="s">
        <v>1438</v>
      </c>
      <c r="J4" s="201" t="s">
        <v>155</v>
      </c>
      <c r="K4" s="201" t="s">
        <v>1439</v>
      </c>
      <c r="L4" s="170" t="s">
        <v>1440</v>
      </c>
      <c r="M4" s="201" t="s">
        <v>1438</v>
      </c>
      <c r="N4" s="212" t="s">
        <v>155</v>
      </c>
      <c r="O4" s="201" t="s">
        <v>1439</v>
      </c>
      <c r="P4" s="170" t="s">
        <v>1440</v>
      </c>
      <c r="Q4" s="201" t="s">
        <v>1438</v>
      </c>
      <c r="R4" s="201" t="s">
        <v>155</v>
      </c>
      <c r="S4" s="201" t="s">
        <v>1439</v>
      </c>
      <c r="T4" s="170" t="s">
        <v>1440</v>
      </c>
      <c r="U4" s="171" t="s">
        <v>1441</v>
      </c>
      <c r="V4" s="171" t="s">
        <v>1442</v>
      </c>
      <c r="W4" s="201" t="s">
        <v>1443</v>
      </c>
      <c r="X4" s="172" t="s">
        <v>1444</v>
      </c>
      <c r="Y4" s="270"/>
    </row>
    <row r="5" spans="1:26" x14ac:dyDescent="0.2">
      <c r="A5" s="107">
        <v>1</v>
      </c>
      <c r="B5" s="173" t="s">
        <v>15</v>
      </c>
      <c r="C5" s="111" t="s">
        <v>16</v>
      </c>
      <c r="D5" s="111" t="s">
        <v>1451</v>
      </c>
      <c r="E5" s="204">
        <v>13946603.457500003</v>
      </c>
      <c r="F5" s="204">
        <v>15266102.771499999</v>
      </c>
      <c r="G5" s="205">
        <f t="shared" ref="G5:G69" si="0">IFERROR(F5/E5,0)</f>
        <v>1.0946108002583534</v>
      </c>
      <c r="H5" s="205">
        <f>IF(G5&gt;=89.5%,90%,0%)</f>
        <v>0.9</v>
      </c>
      <c r="I5" s="206">
        <v>13445482.235880954</v>
      </c>
      <c r="J5" s="206">
        <v>12266706.107100004</v>
      </c>
      <c r="K5" s="207">
        <f>IFERROR(J5/I5,0)</f>
        <v>0.91232920410729201</v>
      </c>
      <c r="L5" s="207">
        <f>IF(K5&gt;=89.5%,90%,0%)</f>
        <v>0.9</v>
      </c>
      <c r="M5" s="210">
        <v>10231115.103461908</v>
      </c>
      <c r="N5" s="203">
        <v>11595518.336500002</v>
      </c>
      <c r="O5" s="209">
        <f>IFERROR(N5/M5,0)</f>
        <v>1.1333582135711111</v>
      </c>
      <c r="P5" s="209">
        <f>IF(O5&gt;=89.5%,90%,0%)</f>
        <v>0.9</v>
      </c>
      <c r="Q5" s="213">
        <v>15167336.155942859</v>
      </c>
      <c r="R5" s="213">
        <f>VLOOKUP(B5,'Dealer Wise'!B4:F124,5,0)</f>
        <v>17010990.527199998</v>
      </c>
      <c r="S5" s="214">
        <f>IFERROR(R5/Q5,0)</f>
        <v>1.1215542632075679</v>
      </c>
      <c r="T5" s="214">
        <f>IF(S5&gt;=89.5%,90%,0%)</f>
        <v>0.9</v>
      </c>
      <c r="U5" s="174">
        <f>E5+I5+M5+Q5</f>
        <v>52790536.952785723</v>
      </c>
      <c r="V5" s="174">
        <f>F5+J5+N5+R5</f>
        <v>56139317.742300004</v>
      </c>
      <c r="W5" s="159">
        <f t="shared" ref="W5:W68" si="1">IFERROR(V5/U5,0)</f>
        <v>1.0634352477321709</v>
      </c>
      <c r="X5" s="175">
        <f t="shared" ref="X5:X68" si="2">U5-V5</f>
        <v>-3348780.7895142809</v>
      </c>
      <c r="Y5" s="176">
        <f>X5/Y$2</f>
        <v>-3348780.7895142809</v>
      </c>
      <c r="Z5" s="131"/>
    </row>
    <row r="6" spans="1:26" x14ac:dyDescent="0.2">
      <c r="A6" s="107">
        <v>2</v>
      </c>
      <c r="B6" s="173" t="s">
        <v>25</v>
      </c>
      <c r="C6" s="111" t="s">
        <v>16</v>
      </c>
      <c r="D6" s="111" t="s">
        <v>22</v>
      </c>
      <c r="E6" s="204">
        <v>12566632.595000001</v>
      </c>
      <c r="F6" s="204">
        <v>12798336.324999999</v>
      </c>
      <c r="G6" s="205">
        <f t="shared" si="0"/>
        <v>1.018438012589959</v>
      </c>
      <c r="H6" s="205">
        <f t="shared" ref="H6:H69" si="3">IF(G6&gt;=89.5%,90%,0%)</f>
        <v>0.9</v>
      </c>
      <c r="I6" s="206">
        <v>11946061.381742861</v>
      </c>
      <c r="J6" s="206">
        <v>10892991.908700004</v>
      </c>
      <c r="K6" s="207">
        <f t="shared" ref="K6:K69" si="4">IFERROR(J6/I6,0)</f>
        <v>0.9118479773884085</v>
      </c>
      <c r="L6" s="207">
        <f t="shared" ref="L6:L69" si="5">IF(K6&gt;=89.5%,90%,0%)</f>
        <v>0.9</v>
      </c>
      <c r="M6" s="210">
        <v>8468919.1476476192</v>
      </c>
      <c r="N6" s="203">
        <v>11694244.424500002</v>
      </c>
      <c r="O6" s="209">
        <f t="shared" ref="O6:O69" si="6">IFERROR(N6/M6,0)</f>
        <v>1.3808426105648051</v>
      </c>
      <c r="P6" s="209">
        <f t="shared" ref="P6:P69" si="7">IF(O6&gt;=89.5%,90%,0%)</f>
        <v>0.9</v>
      </c>
      <c r="Q6" s="213">
        <v>14973802.175938094</v>
      </c>
      <c r="R6" s="213">
        <f>VLOOKUP(B6,'Dealer Wise'!B5:F125,5,0)</f>
        <v>13628906.219799997</v>
      </c>
      <c r="S6" s="214">
        <f t="shared" ref="S6:S69" si="8">IFERROR(R6/Q6,0)</f>
        <v>0.9101834029636604</v>
      </c>
      <c r="T6" s="214">
        <f t="shared" ref="T6:T69" si="9">IF(S6&gt;=89.5%,90%,0%)</f>
        <v>0.9</v>
      </c>
      <c r="U6" s="174">
        <f t="shared" ref="U6:U69" si="10">E6+I6+M6+Q6</f>
        <v>47955415.300328575</v>
      </c>
      <c r="V6" s="174">
        <f t="shared" ref="V6:V69" si="11">F6+J6+N6+R6</f>
        <v>49014478.877999999</v>
      </c>
      <c r="W6" s="159">
        <f t="shared" si="1"/>
        <v>1.0220843375255717</v>
      </c>
      <c r="X6" s="175">
        <f t="shared" si="2"/>
        <v>-1059063.5776714236</v>
      </c>
      <c r="Y6" s="176">
        <f>X6/Y$2</f>
        <v>-1059063.5776714236</v>
      </c>
    </row>
    <row r="7" spans="1:26" x14ac:dyDescent="0.2">
      <c r="A7" s="107">
        <v>3</v>
      </c>
      <c r="B7" s="173" t="s">
        <v>17</v>
      </c>
      <c r="C7" s="111" t="s">
        <v>27</v>
      </c>
      <c r="D7" s="111" t="s">
        <v>29</v>
      </c>
      <c r="E7" s="204">
        <v>13251518.692499999</v>
      </c>
      <c r="F7" s="204">
        <v>13461502.973300004</v>
      </c>
      <c r="G7" s="205">
        <f t="shared" si="0"/>
        <v>1.0158460540012557</v>
      </c>
      <c r="H7" s="205">
        <f t="shared" si="3"/>
        <v>0.9</v>
      </c>
      <c r="I7" s="206">
        <v>13373095.797428574</v>
      </c>
      <c r="J7" s="206">
        <v>10896642.329500005</v>
      </c>
      <c r="K7" s="207">
        <f t="shared" si="4"/>
        <v>0.81481823614807647</v>
      </c>
      <c r="L7" s="207">
        <f t="shared" si="5"/>
        <v>0</v>
      </c>
      <c r="M7" s="210">
        <v>10636826.734223809</v>
      </c>
      <c r="N7" s="203">
        <v>372471.29000000004</v>
      </c>
      <c r="O7" s="209">
        <f t="shared" si="6"/>
        <v>3.5017143675150783E-2</v>
      </c>
      <c r="P7" s="209">
        <f t="shared" si="7"/>
        <v>0</v>
      </c>
      <c r="Q7" s="213">
        <v>10971048.008666668</v>
      </c>
      <c r="R7" s="213">
        <f>VLOOKUP(B7,'Dealer Wise'!B6:F126,5,0)</f>
        <v>16853738.904100005</v>
      </c>
      <c r="S7" s="214">
        <f t="shared" si="8"/>
        <v>1.5362013629679003</v>
      </c>
      <c r="T7" s="214">
        <f t="shared" si="9"/>
        <v>0.9</v>
      </c>
      <c r="U7" s="174">
        <f t="shared" si="10"/>
        <v>48232489.232819051</v>
      </c>
      <c r="V7" s="174">
        <f t="shared" si="11"/>
        <v>41584355.496900007</v>
      </c>
      <c r="W7" s="159">
        <f t="shared" si="1"/>
        <v>0.86216482205949629</v>
      </c>
      <c r="X7" s="175">
        <f t="shared" si="2"/>
        <v>6648133.7359190434</v>
      </c>
      <c r="Y7" s="176">
        <f t="shared" ref="Y7:Y70" si="12">X7/Y$2</f>
        <v>6648133.7359190434</v>
      </c>
    </row>
    <row r="8" spans="1:26" x14ac:dyDescent="0.2">
      <c r="A8" s="107">
        <v>4</v>
      </c>
      <c r="B8" s="173" t="s">
        <v>19</v>
      </c>
      <c r="C8" s="111" t="s">
        <v>16</v>
      </c>
      <c r="D8" s="111" t="s">
        <v>1452</v>
      </c>
      <c r="E8" s="204">
        <v>24518113.522500008</v>
      </c>
      <c r="F8" s="204">
        <v>24552382.902300008</v>
      </c>
      <c r="G8" s="205">
        <f t="shared" si="0"/>
        <v>1.0013977168255033</v>
      </c>
      <c r="H8" s="205">
        <f t="shared" si="3"/>
        <v>0.9</v>
      </c>
      <c r="I8" s="206">
        <v>25762885.098033324</v>
      </c>
      <c r="J8" s="206">
        <v>25768229.766000003</v>
      </c>
      <c r="K8" s="207">
        <f t="shared" si="4"/>
        <v>1.000207456111625</v>
      </c>
      <c r="L8" s="207">
        <f t="shared" si="5"/>
        <v>0.9</v>
      </c>
      <c r="M8" s="210">
        <v>15571528.336495241</v>
      </c>
      <c r="N8" s="203">
        <v>23363649.201699995</v>
      </c>
      <c r="O8" s="209">
        <f t="shared" si="6"/>
        <v>1.5004082256294802</v>
      </c>
      <c r="P8" s="209">
        <f t="shared" si="7"/>
        <v>0.9</v>
      </c>
      <c r="Q8" s="213">
        <v>31611265.778271433</v>
      </c>
      <c r="R8" s="213">
        <f>VLOOKUP(B8,'Dealer Wise'!B7:F127,5,0)</f>
        <v>21125123.643400002</v>
      </c>
      <c r="S8" s="214">
        <f t="shared" si="8"/>
        <v>0.66827832177225666</v>
      </c>
      <c r="T8" s="214">
        <f t="shared" si="9"/>
        <v>0</v>
      </c>
      <c r="U8" s="174">
        <f t="shared" si="10"/>
        <v>97463792.735300004</v>
      </c>
      <c r="V8" s="174">
        <f t="shared" si="11"/>
        <v>94809385.513400003</v>
      </c>
      <c r="W8" s="159">
        <f t="shared" si="1"/>
        <v>0.97276519672172979</v>
      </c>
      <c r="X8" s="175">
        <f t="shared" si="2"/>
        <v>2654407.2219000012</v>
      </c>
      <c r="Y8" s="176">
        <f t="shared" si="12"/>
        <v>2654407.2219000012</v>
      </c>
    </row>
    <row r="9" spans="1:26" x14ac:dyDescent="0.2">
      <c r="A9" s="107">
        <v>5</v>
      </c>
      <c r="B9" s="173" t="s">
        <v>23</v>
      </c>
      <c r="C9" s="111" t="s">
        <v>16</v>
      </c>
      <c r="D9" s="111" t="s">
        <v>1451</v>
      </c>
      <c r="E9" s="204">
        <v>14165696.534999998</v>
      </c>
      <c r="F9" s="204">
        <v>14204736.4914</v>
      </c>
      <c r="G9" s="205">
        <f t="shared" si="0"/>
        <v>1.0027559503553916</v>
      </c>
      <c r="H9" s="205">
        <f t="shared" si="3"/>
        <v>0.9</v>
      </c>
      <c r="I9" s="206">
        <v>15542887.802180951</v>
      </c>
      <c r="J9" s="206">
        <v>12513226.297899995</v>
      </c>
      <c r="K9" s="207">
        <f t="shared" si="4"/>
        <v>0.80507730977406655</v>
      </c>
      <c r="L9" s="207">
        <f t="shared" si="5"/>
        <v>0</v>
      </c>
      <c r="M9" s="210">
        <v>12896058.288380956</v>
      </c>
      <c r="N9" s="203">
        <v>12473873.189099995</v>
      </c>
      <c r="O9" s="209">
        <f t="shared" si="6"/>
        <v>0.96726246967561091</v>
      </c>
      <c r="P9" s="209">
        <f t="shared" si="7"/>
        <v>0.9</v>
      </c>
      <c r="Q9" s="213">
        <v>15628878.02405238</v>
      </c>
      <c r="R9" s="213">
        <f>VLOOKUP(B9,'Dealer Wise'!B8:F128,5,0)</f>
        <v>18134039.830200002</v>
      </c>
      <c r="S9" s="214">
        <f t="shared" si="8"/>
        <v>1.1602905725089321</v>
      </c>
      <c r="T9" s="214">
        <f t="shared" si="9"/>
        <v>0.9</v>
      </c>
      <c r="U9" s="174">
        <f t="shared" si="10"/>
        <v>58233520.649614289</v>
      </c>
      <c r="V9" s="174">
        <f t="shared" si="11"/>
        <v>57325875.808599994</v>
      </c>
      <c r="W9" s="159">
        <f t="shared" si="1"/>
        <v>0.98441370484062762</v>
      </c>
      <c r="X9" s="175">
        <f t="shared" si="2"/>
        <v>907644.84101429582</v>
      </c>
      <c r="Y9" s="176">
        <f t="shared" si="12"/>
        <v>907644.84101429582</v>
      </c>
    </row>
    <row r="10" spans="1:26" x14ac:dyDescent="0.2">
      <c r="A10" s="107">
        <v>6</v>
      </c>
      <c r="B10" s="173" t="s">
        <v>20</v>
      </c>
      <c r="C10" s="111" t="s">
        <v>16</v>
      </c>
      <c r="D10" s="111" t="s">
        <v>1450</v>
      </c>
      <c r="E10" s="204">
        <v>24534221.565000005</v>
      </c>
      <c r="F10" s="204">
        <v>22435447.986800004</v>
      </c>
      <c r="G10" s="205">
        <f t="shared" si="0"/>
        <v>0.91445526108747355</v>
      </c>
      <c r="H10" s="205">
        <f t="shared" si="3"/>
        <v>0.9</v>
      </c>
      <c r="I10" s="206">
        <v>25134353.601466656</v>
      </c>
      <c r="J10" s="206">
        <v>23636530.581900008</v>
      </c>
      <c r="K10" s="207">
        <f t="shared" si="4"/>
        <v>0.94040733876365745</v>
      </c>
      <c r="L10" s="207">
        <f t="shared" si="5"/>
        <v>0.9</v>
      </c>
      <c r="M10" s="210">
        <v>17361287.506509528</v>
      </c>
      <c r="N10" s="203">
        <v>16442527.669000002</v>
      </c>
      <c r="O10" s="209">
        <f t="shared" si="6"/>
        <v>0.94707997104678776</v>
      </c>
      <c r="P10" s="209">
        <f t="shared" si="7"/>
        <v>0.9</v>
      </c>
      <c r="Q10" s="213">
        <v>27982608.102290478</v>
      </c>
      <c r="R10" s="213">
        <f>VLOOKUP(B10,'Dealer Wise'!B9:F129,5,0)</f>
        <v>30642958.398900002</v>
      </c>
      <c r="S10" s="214">
        <f t="shared" si="8"/>
        <v>1.0950715632683203</v>
      </c>
      <c r="T10" s="214">
        <f t="shared" si="9"/>
        <v>0.9</v>
      </c>
      <c r="U10" s="174">
        <f t="shared" si="10"/>
        <v>95012470.775266662</v>
      </c>
      <c r="V10" s="174">
        <f t="shared" si="11"/>
        <v>93157464.636600018</v>
      </c>
      <c r="W10" s="159">
        <f t="shared" si="1"/>
        <v>0.9804761825102486</v>
      </c>
      <c r="X10" s="175">
        <f t="shared" si="2"/>
        <v>1855006.1386666447</v>
      </c>
      <c r="Y10" s="176">
        <f t="shared" si="12"/>
        <v>1855006.1386666447</v>
      </c>
    </row>
    <row r="11" spans="1:26" x14ac:dyDescent="0.2">
      <c r="A11" s="107">
        <v>7</v>
      </c>
      <c r="B11" s="173" t="s">
        <v>18</v>
      </c>
      <c r="C11" s="111" t="s">
        <v>16</v>
      </c>
      <c r="D11" s="111" t="s">
        <v>1450</v>
      </c>
      <c r="E11" s="204">
        <v>6896011.5424999995</v>
      </c>
      <c r="F11" s="204">
        <v>6949645.5500999978</v>
      </c>
      <c r="G11" s="205">
        <f t="shared" si="0"/>
        <v>1.0077775402882452</v>
      </c>
      <c r="H11" s="205">
        <f t="shared" si="3"/>
        <v>0.9</v>
      </c>
      <c r="I11" s="206">
        <v>6572328.0519619044</v>
      </c>
      <c r="J11" s="206">
        <v>6621142.5077000009</v>
      </c>
      <c r="K11" s="207">
        <f t="shared" si="4"/>
        <v>1.007427270116793</v>
      </c>
      <c r="L11" s="207">
        <f t="shared" si="5"/>
        <v>0.9</v>
      </c>
      <c r="M11" s="210">
        <v>6322222.2637238074</v>
      </c>
      <c r="N11" s="203">
        <v>1888384.2130999998</v>
      </c>
      <c r="O11" s="209">
        <f t="shared" si="6"/>
        <v>0.29868994387232062</v>
      </c>
      <c r="P11" s="209">
        <f t="shared" si="7"/>
        <v>0</v>
      </c>
      <c r="Q11" s="213">
        <v>8265601.4537095251</v>
      </c>
      <c r="R11" s="213">
        <f>VLOOKUP(B11,'Dealer Wise'!B10:F130,5,0)</f>
        <v>8466022.9173000008</v>
      </c>
      <c r="S11" s="214">
        <f t="shared" si="8"/>
        <v>1.0242476563517986</v>
      </c>
      <c r="T11" s="214">
        <f t="shared" si="9"/>
        <v>0.9</v>
      </c>
      <c r="U11" s="174">
        <f t="shared" si="10"/>
        <v>28056163.311895233</v>
      </c>
      <c r="V11" s="174">
        <f t="shared" si="11"/>
        <v>23925195.188199997</v>
      </c>
      <c r="W11" s="159">
        <f t="shared" si="1"/>
        <v>0.85276076141373935</v>
      </c>
      <c r="X11" s="175">
        <f t="shared" si="2"/>
        <v>4130968.1236952357</v>
      </c>
      <c r="Y11" s="176">
        <f t="shared" si="12"/>
        <v>4130968.1236952357</v>
      </c>
    </row>
    <row r="12" spans="1:26" x14ac:dyDescent="0.2">
      <c r="A12" s="107">
        <v>8</v>
      </c>
      <c r="B12" s="173" t="s">
        <v>24</v>
      </c>
      <c r="C12" s="111" t="s">
        <v>16</v>
      </c>
      <c r="D12" s="111" t="s">
        <v>22</v>
      </c>
      <c r="E12" s="204">
        <v>7016253.3049999997</v>
      </c>
      <c r="F12" s="204">
        <v>7023259.3658999978</v>
      </c>
      <c r="G12" s="205">
        <f t="shared" si="0"/>
        <v>1.0009985473151326</v>
      </c>
      <c r="H12" s="205">
        <f t="shared" si="3"/>
        <v>0.9</v>
      </c>
      <c r="I12" s="206">
        <v>6965260.1548714293</v>
      </c>
      <c r="J12" s="206">
        <v>6694113.1144000012</v>
      </c>
      <c r="K12" s="207">
        <f t="shared" si="4"/>
        <v>0.96107151284481585</v>
      </c>
      <c r="L12" s="207">
        <f t="shared" si="5"/>
        <v>0.9</v>
      </c>
      <c r="M12" s="210">
        <v>6033147.297857143</v>
      </c>
      <c r="N12" s="203">
        <v>6787207.0346999997</v>
      </c>
      <c r="O12" s="209">
        <f t="shared" si="6"/>
        <v>1.1249861307232933</v>
      </c>
      <c r="P12" s="209">
        <f t="shared" si="7"/>
        <v>0.9</v>
      </c>
      <c r="Q12" s="213">
        <v>8672771.7852666676</v>
      </c>
      <c r="R12" s="213">
        <f>VLOOKUP(B12,'Dealer Wise'!B11:F131,5,0)</f>
        <v>9250627.3529000003</v>
      </c>
      <c r="S12" s="214">
        <f t="shared" si="8"/>
        <v>1.0666287067088511</v>
      </c>
      <c r="T12" s="214">
        <f t="shared" si="9"/>
        <v>0.9</v>
      </c>
      <c r="U12" s="174">
        <f t="shared" si="10"/>
        <v>28687432.542995241</v>
      </c>
      <c r="V12" s="174">
        <f t="shared" si="11"/>
        <v>29755206.867899999</v>
      </c>
      <c r="W12" s="159">
        <f t="shared" si="1"/>
        <v>1.0372209790229374</v>
      </c>
      <c r="X12" s="175">
        <f t="shared" si="2"/>
        <v>-1067774.3249047585</v>
      </c>
      <c r="Y12" s="176">
        <f t="shared" si="12"/>
        <v>-1067774.3249047585</v>
      </c>
    </row>
    <row r="13" spans="1:26" x14ac:dyDescent="0.2">
      <c r="A13" s="107">
        <v>9</v>
      </c>
      <c r="B13" s="173" t="s">
        <v>21</v>
      </c>
      <c r="C13" s="111" t="s">
        <v>16</v>
      </c>
      <c r="D13" s="111" t="s">
        <v>22</v>
      </c>
      <c r="E13" s="204">
        <v>15861346.319999998</v>
      </c>
      <c r="F13" s="204">
        <v>14438925.4573</v>
      </c>
      <c r="G13" s="205">
        <f t="shared" si="0"/>
        <v>0.9103215556862011</v>
      </c>
      <c r="H13" s="205">
        <f t="shared" si="3"/>
        <v>0.9</v>
      </c>
      <c r="I13" s="206">
        <v>15806536.603338094</v>
      </c>
      <c r="J13" s="206">
        <v>15830032.048000002</v>
      </c>
      <c r="K13" s="207">
        <f t="shared" si="4"/>
        <v>1.0014864385065192</v>
      </c>
      <c r="L13" s="207">
        <f t="shared" si="5"/>
        <v>0.9</v>
      </c>
      <c r="M13" s="210">
        <v>19424581.174823809</v>
      </c>
      <c r="N13" s="203">
        <v>16282265.122299999</v>
      </c>
      <c r="O13" s="209">
        <f t="shared" si="6"/>
        <v>0.83822991990187334</v>
      </c>
      <c r="P13" s="209">
        <f t="shared" si="7"/>
        <v>0</v>
      </c>
      <c r="Q13" s="213">
        <v>19367585.031671423</v>
      </c>
      <c r="R13" s="213">
        <f>VLOOKUP(B13,'Dealer Wise'!B12:F132,5,0)</f>
        <v>21975071.040600009</v>
      </c>
      <c r="S13" s="214">
        <f t="shared" si="8"/>
        <v>1.1346314475792731</v>
      </c>
      <c r="T13" s="214">
        <f t="shared" si="9"/>
        <v>0.9</v>
      </c>
      <c r="U13" s="174">
        <f t="shared" si="10"/>
        <v>70460049.129833326</v>
      </c>
      <c r="V13" s="174">
        <f t="shared" si="11"/>
        <v>68526293.668200016</v>
      </c>
      <c r="W13" s="159">
        <f t="shared" si="1"/>
        <v>0.97255529217599501</v>
      </c>
      <c r="X13" s="175">
        <f t="shared" si="2"/>
        <v>1933755.4616333097</v>
      </c>
      <c r="Y13" s="176">
        <f t="shared" si="12"/>
        <v>1933755.4616333097</v>
      </c>
    </row>
    <row r="14" spans="1:26" x14ac:dyDescent="0.2">
      <c r="A14" s="107">
        <v>10</v>
      </c>
      <c r="B14" s="173" t="s">
        <v>26</v>
      </c>
      <c r="C14" s="111" t="s">
        <v>27</v>
      </c>
      <c r="D14" s="111" t="s">
        <v>37</v>
      </c>
      <c r="E14" s="204">
        <v>13685259.6625</v>
      </c>
      <c r="F14" s="204">
        <v>12513321.811000003</v>
      </c>
      <c r="G14" s="205">
        <f t="shared" si="0"/>
        <v>0.91436495321230105</v>
      </c>
      <c r="H14" s="205">
        <f t="shared" si="3"/>
        <v>0.9</v>
      </c>
      <c r="I14" s="206">
        <v>14002214.806633331</v>
      </c>
      <c r="J14" s="206">
        <v>9679959.8078000005</v>
      </c>
      <c r="K14" s="207">
        <f t="shared" si="4"/>
        <v>0.69131633398555425</v>
      </c>
      <c r="L14" s="207">
        <f t="shared" si="5"/>
        <v>0</v>
      </c>
      <c r="M14" s="210">
        <v>9066793.2123619057</v>
      </c>
      <c r="N14" s="203">
        <v>4263316.7291000001</v>
      </c>
      <c r="O14" s="209">
        <f t="shared" si="6"/>
        <v>0.47021219401886011</v>
      </c>
      <c r="P14" s="209">
        <f t="shared" si="7"/>
        <v>0</v>
      </c>
      <c r="Q14" s="213">
        <v>16047731.449571427</v>
      </c>
      <c r="R14" s="213">
        <f>VLOOKUP(B14,'Dealer Wise'!B13:F133,5,0)</f>
        <v>20714176.707599998</v>
      </c>
      <c r="S14" s="214">
        <f t="shared" si="8"/>
        <v>1.2907853532253117</v>
      </c>
      <c r="T14" s="214">
        <f t="shared" si="9"/>
        <v>0.9</v>
      </c>
      <c r="U14" s="174">
        <f t="shared" si="10"/>
        <v>52801999.131066665</v>
      </c>
      <c r="V14" s="174">
        <f t="shared" si="11"/>
        <v>47170775.055500001</v>
      </c>
      <c r="W14" s="159">
        <f t="shared" si="1"/>
        <v>0.89335206681116985</v>
      </c>
      <c r="X14" s="175">
        <f t="shared" si="2"/>
        <v>5631224.0755666643</v>
      </c>
      <c r="Y14" s="176">
        <f t="shared" si="12"/>
        <v>5631224.0755666643</v>
      </c>
    </row>
    <row r="15" spans="1:26" x14ac:dyDescent="0.2">
      <c r="A15" s="107">
        <v>11</v>
      </c>
      <c r="B15" s="173" t="s">
        <v>41</v>
      </c>
      <c r="C15" s="111" t="s">
        <v>27</v>
      </c>
      <c r="D15" s="111" t="s">
        <v>1455</v>
      </c>
      <c r="E15" s="204">
        <v>8701407.0325000025</v>
      </c>
      <c r="F15" s="204">
        <v>7929466.0653999951</v>
      </c>
      <c r="G15" s="205">
        <f t="shared" si="0"/>
        <v>0.91128550081420323</v>
      </c>
      <c r="H15" s="205">
        <f t="shared" si="3"/>
        <v>0.9</v>
      </c>
      <c r="I15" s="206">
        <v>9077948.8671238124</v>
      </c>
      <c r="J15" s="206">
        <v>4184153.6615999993</v>
      </c>
      <c r="K15" s="207">
        <f t="shared" si="4"/>
        <v>0.46091399311061271</v>
      </c>
      <c r="L15" s="207">
        <f t="shared" si="5"/>
        <v>0</v>
      </c>
      <c r="M15" s="210">
        <v>6403039.1590238074</v>
      </c>
      <c r="N15" s="203">
        <v>5549698.2403999986</v>
      </c>
      <c r="O15" s="209">
        <f t="shared" si="6"/>
        <v>0.86672876778815344</v>
      </c>
      <c r="P15" s="209">
        <f t="shared" si="7"/>
        <v>0</v>
      </c>
      <c r="Q15" s="213">
        <v>7324268.2187761916</v>
      </c>
      <c r="R15" s="213">
        <f>VLOOKUP(B15,'Dealer Wise'!B14:F134,5,0)</f>
        <v>9421253.6405000035</v>
      </c>
      <c r="S15" s="214">
        <f t="shared" si="8"/>
        <v>1.2863064758262219</v>
      </c>
      <c r="T15" s="214">
        <f t="shared" si="9"/>
        <v>0.9</v>
      </c>
      <c r="U15" s="174">
        <f t="shared" si="10"/>
        <v>31506663.277423814</v>
      </c>
      <c r="V15" s="174">
        <f t="shared" si="11"/>
        <v>27084571.607899994</v>
      </c>
      <c r="W15" s="159">
        <f t="shared" si="1"/>
        <v>0.85964582696091207</v>
      </c>
      <c r="X15" s="175">
        <f t="shared" si="2"/>
        <v>4422091.6695238203</v>
      </c>
      <c r="Y15" s="176">
        <f t="shared" si="12"/>
        <v>4422091.6695238203</v>
      </c>
    </row>
    <row r="16" spans="1:26" x14ac:dyDescent="0.2">
      <c r="A16" s="107">
        <v>12</v>
      </c>
      <c r="B16" s="173" t="s">
        <v>39</v>
      </c>
      <c r="C16" s="111" t="s">
        <v>27</v>
      </c>
      <c r="D16" s="111" t="s">
        <v>1454</v>
      </c>
      <c r="E16" s="204">
        <v>5476783.3249999993</v>
      </c>
      <c r="F16" s="204">
        <v>4446004.0591000002</v>
      </c>
      <c r="G16" s="205">
        <f t="shared" si="0"/>
        <v>0.81179111811950322</v>
      </c>
      <c r="H16" s="205">
        <f t="shared" si="3"/>
        <v>0</v>
      </c>
      <c r="I16" s="206">
        <v>6469583.7127095237</v>
      </c>
      <c r="J16" s="206">
        <v>3993599.6734999996</v>
      </c>
      <c r="K16" s="207">
        <f t="shared" si="4"/>
        <v>0.61728850739724672</v>
      </c>
      <c r="L16" s="207">
        <f t="shared" si="5"/>
        <v>0</v>
      </c>
      <c r="M16" s="210">
        <v>4000974.1472666673</v>
      </c>
      <c r="N16" s="203">
        <v>4316090.5100000007</v>
      </c>
      <c r="O16" s="209">
        <f t="shared" si="6"/>
        <v>1.0787599097456329</v>
      </c>
      <c r="P16" s="209">
        <f t="shared" si="7"/>
        <v>0.9</v>
      </c>
      <c r="Q16" s="213">
        <v>6358681.1997190481</v>
      </c>
      <c r="R16" s="213">
        <f>VLOOKUP(B16,'Dealer Wise'!B15:F135,5,0)</f>
        <v>8976005.147300005</v>
      </c>
      <c r="S16" s="214">
        <f t="shared" si="8"/>
        <v>1.4116142743084212</v>
      </c>
      <c r="T16" s="214">
        <f t="shared" si="9"/>
        <v>0.9</v>
      </c>
      <c r="U16" s="174">
        <f t="shared" si="10"/>
        <v>22306022.384695239</v>
      </c>
      <c r="V16" s="174">
        <f t="shared" si="11"/>
        <v>21731699.389900006</v>
      </c>
      <c r="W16" s="159">
        <f t="shared" si="1"/>
        <v>0.97425255902238794</v>
      </c>
      <c r="X16" s="175">
        <f t="shared" si="2"/>
        <v>574322.99479523301</v>
      </c>
      <c r="Y16" s="176">
        <f t="shared" si="12"/>
        <v>574322.99479523301</v>
      </c>
    </row>
    <row r="17" spans="1:25" x14ac:dyDescent="0.2">
      <c r="A17" s="107">
        <v>13</v>
      </c>
      <c r="B17" s="173" t="s">
        <v>28</v>
      </c>
      <c r="C17" s="111" t="s">
        <v>27</v>
      </c>
      <c r="D17" s="111" t="s">
        <v>29</v>
      </c>
      <c r="E17" s="204">
        <v>8730470.0625000019</v>
      </c>
      <c r="F17" s="204">
        <v>2747935.2234999998</v>
      </c>
      <c r="G17" s="205">
        <f t="shared" si="0"/>
        <v>0.31475226463500622</v>
      </c>
      <c r="H17" s="205">
        <f t="shared" si="3"/>
        <v>0</v>
      </c>
      <c r="I17" s="206">
        <v>6700617.7662142869</v>
      </c>
      <c r="J17" s="206">
        <v>3534105.8090999997</v>
      </c>
      <c r="K17" s="207">
        <f t="shared" si="4"/>
        <v>0.5274298478745636</v>
      </c>
      <c r="L17" s="207">
        <f t="shared" si="5"/>
        <v>0</v>
      </c>
      <c r="M17" s="210">
        <v>2839901.8996809525</v>
      </c>
      <c r="N17" s="203">
        <v>3370138.6285999999</v>
      </c>
      <c r="O17" s="209">
        <f t="shared" si="6"/>
        <v>1.1867095229516966</v>
      </c>
      <c r="P17" s="209">
        <f t="shared" si="7"/>
        <v>0.9</v>
      </c>
      <c r="Q17" s="213">
        <v>6925170.0187761914</v>
      </c>
      <c r="R17" s="213">
        <f>VLOOKUP(B17,'Dealer Wise'!B16:F136,5,0)</f>
        <v>2134036.0391000002</v>
      </c>
      <c r="S17" s="214">
        <f t="shared" si="8"/>
        <v>0.30815648327968775</v>
      </c>
      <c r="T17" s="214">
        <f t="shared" si="9"/>
        <v>0</v>
      </c>
      <c r="U17" s="174">
        <f t="shared" si="10"/>
        <v>25196159.747171432</v>
      </c>
      <c r="V17" s="174">
        <f t="shared" si="11"/>
        <v>11786215.700300001</v>
      </c>
      <c r="W17" s="159">
        <f t="shared" si="1"/>
        <v>0.4677782574236593</v>
      </c>
      <c r="X17" s="175">
        <f t="shared" si="2"/>
        <v>13409944.046871431</v>
      </c>
      <c r="Y17" s="176">
        <f t="shared" si="12"/>
        <v>13409944.046871431</v>
      </c>
    </row>
    <row r="18" spans="1:25" x14ac:dyDescent="0.2">
      <c r="A18" s="107">
        <v>14</v>
      </c>
      <c r="B18" s="173" t="s">
        <v>33</v>
      </c>
      <c r="C18" s="111" t="s">
        <v>27</v>
      </c>
      <c r="D18" s="111" t="s">
        <v>1453</v>
      </c>
      <c r="E18" s="204">
        <v>3301990.7650000001</v>
      </c>
      <c r="F18" s="204">
        <v>2660140.0401999997</v>
      </c>
      <c r="G18" s="205">
        <f t="shared" si="0"/>
        <v>0.80561704423785674</v>
      </c>
      <c r="H18" s="205">
        <f t="shared" si="3"/>
        <v>0</v>
      </c>
      <c r="I18" s="206">
        <v>3878217.8033619053</v>
      </c>
      <c r="J18" s="206">
        <v>2238861.8296999997</v>
      </c>
      <c r="K18" s="207">
        <f t="shared" si="4"/>
        <v>0.57729141147235219</v>
      </c>
      <c r="L18" s="207">
        <f t="shared" si="5"/>
        <v>0</v>
      </c>
      <c r="M18" s="210">
        <v>2094480.9135238095</v>
      </c>
      <c r="N18" s="203">
        <v>4023990.8070000005</v>
      </c>
      <c r="O18" s="209">
        <f t="shared" si="6"/>
        <v>1.9212353672060603</v>
      </c>
      <c r="P18" s="209">
        <f t="shared" si="7"/>
        <v>0.9</v>
      </c>
      <c r="Q18" s="213">
        <v>3648316.2661476182</v>
      </c>
      <c r="R18" s="213">
        <f>VLOOKUP(B18,'Dealer Wise'!B17:F137,5,0)</f>
        <v>5834170.7824000027</v>
      </c>
      <c r="S18" s="214">
        <f t="shared" si="8"/>
        <v>1.5991406327720878</v>
      </c>
      <c r="T18" s="214">
        <f t="shared" si="9"/>
        <v>0.9</v>
      </c>
      <c r="U18" s="174">
        <f t="shared" si="10"/>
        <v>12923005.748033334</v>
      </c>
      <c r="V18" s="174">
        <f t="shared" si="11"/>
        <v>14757163.459300002</v>
      </c>
      <c r="W18" s="159">
        <f t="shared" si="1"/>
        <v>1.1419296522053932</v>
      </c>
      <c r="X18" s="175">
        <f t="shared" si="2"/>
        <v>-1834157.7112666685</v>
      </c>
      <c r="Y18" s="176">
        <f t="shared" si="12"/>
        <v>-1834157.7112666685</v>
      </c>
    </row>
    <row r="19" spans="1:25" x14ac:dyDescent="0.2">
      <c r="A19" s="107">
        <v>15</v>
      </c>
      <c r="B19" s="173" t="s">
        <v>35</v>
      </c>
      <c r="C19" s="111" t="s">
        <v>27</v>
      </c>
      <c r="D19" s="111" t="s">
        <v>1453</v>
      </c>
      <c r="E19" s="204">
        <v>8706647.3650000002</v>
      </c>
      <c r="F19" s="204">
        <v>6975957.4188999981</v>
      </c>
      <c r="G19" s="205">
        <f t="shared" si="0"/>
        <v>0.80122200043874159</v>
      </c>
      <c r="H19" s="205">
        <f t="shared" si="3"/>
        <v>0</v>
      </c>
      <c r="I19" s="206">
        <v>8458142.5605571419</v>
      </c>
      <c r="J19" s="206">
        <v>3600041.8204999994</v>
      </c>
      <c r="K19" s="207">
        <f t="shared" si="4"/>
        <v>0.42563030768576487</v>
      </c>
      <c r="L19" s="207">
        <f t="shared" si="5"/>
        <v>0</v>
      </c>
      <c r="M19" s="210">
        <v>6887145.9773904765</v>
      </c>
      <c r="N19" s="203">
        <v>10892388.720199998</v>
      </c>
      <c r="O19" s="209">
        <f t="shared" si="6"/>
        <v>1.581553339504951</v>
      </c>
      <c r="P19" s="209">
        <f t="shared" si="7"/>
        <v>0.9</v>
      </c>
      <c r="Q19" s="213">
        <v>10482264.466138093</v>
      </c>
      <c r="R19" s="213">
        <f>VLOOKUP(B19,'Dealer Wise'!B18:F138,5,0)</f>
        <v>13712499.958500007</v>
      </c>
      <c r="S19" s="214">
        <f t="shared" si="8"/>
        <v>1.3081619914090956</v>
      </c>
      <c r="T19" s="214">
        <f t="shared" si="9"/>
        <v>0.9</v>
      </c>
      <c r="U19" s="174">
        <f t="shared" si="10"/>
        <v>34534200.369085714</v>
      </c>
      <c r="V19" s="174">
        <f t="shared" si="11"/>
        <v>35180887.918099999</v>
      </c>
      <c r="W19" s="159">
        <f t="shared" si="1"/>
        <v>1.0187260032693035</v>
      </c>
      <c r="X19" s="175">
        <f t="shared" si="2"/>
        <v>-646687.54901428521</v>
      </c>
      <c r="Y19" s="176">
        <f t="shared" si="12"/>
        <v>-646687.54901428521</v>
      </c>
    </row>
    <row r="20" spans="1:25" x14ac:dyDescent="0.2">
      <c r="A20" s="107">
        <v>16</v>
      </c>
      <c r="B20" s="173" t="s">
        <v>36</v>
      </c>
      <c r="C20" s="111" t="s">
        <v>27</v>
      </c>
      <c r="D20" s="111" t="s">
        <v>37</v>
      </c>
      <c r="E20" s="204">
        <v>12287766.645</v>
      </c>
      <c r="F20" s="204">
        <v>11228952.854900002</v>
      </c>
      <c r="G20" s="205">
        <f t="shared" si="0"/>
        <v>0.91383187680156364</v>
      </c>
      <c r="H20" s="205">
        <f t="shared" si="3"/>
        <v>0.9</v>
      </c>
      <c r="I20" s="206">
        <v>11631809.677290477</v>
      </c>
      <c r="J20" s="206">
        <v>9319153.2541999985</v>
      </c>
      <c r="K20" s="207">
        <f t="shared" si="4"/>
        <v>0.80117827859532253</v>
      </c>
      <c r="L20" s="207">
        <f t="shared" si="5"/>
        <v>0</v>
      </c>
      <c r="M20" s="210">
        <v>7025617.9225857146</v>
      </c>
      <c r="N20" s="203">
        <v>5978094.2399000013</v>
      </c>
      <c r="O20" s="209">
        <f t="shared" si="6"/>
        <v>0.85089942347730441</v>
      </c>
      <c r="P20" s="209">
        <f t="shared" si="7"/>
        <v>0</v>
      </c>
      <c r="Q20" s="213">
        <v>12518443.960595239</v>
      </c>
      <c r="R20" s="213">
        <f>VLOOKUP(B20,'Dealer Wise'!B19:F139,5,0)</f>
        <v>14968281.281899998</v>
      </c>
      <c r="S20" s="214">
        <f t="shared" si="8"/>
        <v>1.1956982296694543</v>
      </c>
      <c r="T20" s="214">
        <f t="shared" si="9"/>
        <v>0.9</v>
      </c>
      <c r="U20" s="174">
        <f t="shared" si="10"/>
        <v>43463638.205471426</v>
      </c>
      <c r="V20" s="174">
        <f t="shared" si="11"/>
        <v>41494481.630899996</v>
      </c>
      <c r="W20" s="159">
        <f t="shared" si="1"/>
        <v>0.95469416146751507</v>
      </c>
      <c r="X20" s="175">
        <f t="shared" si="2"/>
        <v>1969156.5745714307</v>
      </c>
      <c r="Y20" s="176">
        <f t="shared" si="12"/>
        <v>1969156.5745714307</v>
      </c>
    </row>
    <row r="21" spans="1:25" x14ac:dyDescent="0.2">
      <c r="A21" s="107">
        <v>17</v>
      </c>
      <c r="B21" s="173" t="s">
        <v>143</v>
      </c>
      <c r="C21" s="111" t="s">
        <v>27</v>
      </c>
      <c r="D21" s="111" t="s">
        <v>37</v>
      </c>
      <c r="E21" s="204">
        <v>8345031.4650000017</v>
      </c>
      <c r="F21" s="204">
        <v>8381093.6563999979</v>
      </c>
      <c r="G21" s="205">
        <f t="shared" si="0"/>
        <v>1.0043213966958957</v>
      </c>
      <c r="H21" s="205">
        <f t="shared" si="3"/>
        <v>0.9</v>
      </c>
      <c r="I21" s="206">
        <v>8772977.7650142871</v>
      </c>
      <c r="J21" s="206">
        <v>5906749.963299999</v>
      </c>
      <c r="K21" s="207">
        <f t="shared" si="4"/>
        <v>0.67328906119601684</v>
      </c>
      <c r="L21" s="207">
        <f t="shared" si="5"/>
        <v>0</v>
      </c>
      <c r="M21" s="210">
        <v>6100130.3576809522</v>
      </c>
      <c r="N21" s="203">
        <v>6783091.4135999987</v>
      </c>
      <c r="O21" s="209">
        <f t="shared" si="6"/>
        <v>1.1119584362749066</v>
      </c>
      <c r="P21" s="209">
        <f t="shared" si="7"/>
        <v>0.9</v>
      </c>
      <c r="Q21" s="213">
        <v>8136031.5746571431</v>
      </c>
      <c r="R21" s="213">
        <f>VLOOKUP(B21,'Dealer Wise'!B20:F140,5,0)</f>
        <v>10039193.558300007</v>
      </c>
      <c r="S21" s="214">
        <f t="shared" si="8"/>
        <v>1.2339177234231744</v>
      </c>
      <c r="T21" s="214">
        <f t="shared" si="9"/>
        <v>0.9</v>
      </c>
      <c r="U21" s="174">
        <f t="shared" si="10"/>
        <v>31354171.162352383</v>
      </c>
      <c r="V21" s="174">
        <f t="shared" si="11"/>
        <v>31110128.591600001</v>
      </c>
      <c r="W21" s="159">
        <f t="shared" si="1"/>
        <v>0.99221658357707099</v>
      </c>
      <c r="X21" s="175">
        <f t="shared" si="2"/>
        <v>244042.57075238228</v>
      </c>
      <c r="Y21" s="176">
        <f t="shared" si="12"/>
        <v>244042.57075238228</v>
      </c>
    </row>
    <row r="22" spans="1:25" x14ac:dyDescent="0.2">
      <c r="A22" s="107">
        <v>18</v>
      </c>
      <c r="B22" s="173" t="s">
        <v>1321</v>
      </c>
      <c r="C22" s="111" t="s">
        <v>27</v>
      </c>
      <c r="D22" s="111" t="s">
        <v>31</v>
      </c>
      <c r="E22" s="204">
        <v>7267570.8875000011</v>
      </c>
      <c r="F22" s="204">
        <v>5922143.7917000009</v>
      </c>
      <c r="G22" s="205">
        <f t="shared" si="0"/>
        <v>0.81487251839344377</v>
      </c>
      <c r="H22" s="205">
        <f t="shared" si="3"/>
        <v>0</v>
      </c>
      <c r="I22" s="206">
        <v>7013095.5592428595</v>
      </c>
      <c r="J22" s="206">
        <v>5614677.6417000005</v>
      </c>
      <c r="K22" s="207">
        <f t="shared" si="4"/>
        <v>0.80059904991600694</v>
      </c>
      <c r="L22" s="207">
        <f t="shared" si="5"/>
        <v>0</v>
      </c>
      <c r="M22" s="210">
        <v>5005247.0838619052</v>
      </c>
      <c r="N22" s="203">
        <v>2436957.8075999999</v>
      </c>
      <c r="O22" s="209">
        <f t="shared" si="6"/>
        <v>0.48688062083035333</v>
      </c>
      <c r="P22" s="209">
        <f t="shared" si="7"/>
        <v>0</v>
      </c>
      <c r="Q22" s="213">
        <v>7613817.9571571425</v>
      </c>
      <c r="R22" s="213">
        <f>VLOOKUP(B22,'Dealer Wise'!B21:F141,5,0)</f>
        <v>6568038.5876000011</v>
      </c>
      <c r="S22" s="214">
        <f t="shared" si="8"/>
        <v>0.86264717971433924</v>
      </c>
      <c r="T22" s="214">
        <f t="shared" si="9"/>
        <v>0</v>
      </c>
      <c r="U22" s="174">
        <f t="shared" si="10"/>
        <v>26899731.487761907</v>
      </c>
      <c r="V22" s="174">
        <f t="shared" si="11"/>
        <v>20541817.828600001</v>
      </c>
      <c r="W22" s="159">
        <f t="shared" si="1"/>
        <v>0.76364397309859933</v>
      </c>
      <c r="X22" s="175">
        <f t="shared" si="2"/>
        <v>6357913.6591619067</v>
      </c>
      <c r="Y22" s="176">
        <f t="shared" si="12"/>
        <v>6357913.6591619067</v>
      </c>
    </row>
    <row r="23" spans="1:25" x14ac:dyDescent="0.2">
      <c r="A23" s="107">
        <v>19</v>
      </c>
      <c r="B23" s="173" t="s">
        <v>34</v>
      </c>
      <c r="C23" s="111" t="s">
        <v>27</v>
      </c>
      <c r="D23" s="111" t="s">
        <v>1453</v>
      </c>
      <c r="E23" s="204">
        <v>11256993.005000001</v>
      </c>
      <c r="F23" s="204">
        <v>9206764.3725000005</v>
      </c>
      <c r="G23" s="205">
        <f t="shared" si="0"/>
        <v>0.81787066656349938</v>
      </c>
      <c r="H23" s="205">
        <f t="shared" si="3"/>
        <v>0</v>
      </c>
      <c r="I23" s="206">
        <v>11059255.570685714</v>
      </c>
      <c r="J23" s="206">
        <v>5388835.8202000018</v>
      </c>
      <c r="K23" s="207">
        <f t="shared" si="4"/>
        <v>0.48726930901967341</v>
      </c>
      <c r="L23" s="207">
        <f t="shared" si="5"/>
        <v>0</v>
      </c>
      <c r="M23" s="210">
        <v>7819923.0389904762</v>
      </c>
      <c r="N23" s="203">
        <v>6348798.4617999978</v>
      </c>
      <c r="O23" s="209">
        <f t="shared" si="6"/>
        <v>0.81187480108750598</v>
      </c>
      <c r="P23" s="209">
        <f t="shared" si="7"/>
        <v>0</v>
      </c>
      <c r="Q23" s="213">
        <v>11322607.190119047</v>
      </c>
      <c r="R23" s="213">
        <f>VLOOKUP(B23,'Dealer Wise'!B22:F142,5,0)</f>
        <v>13666722.746800004</v>
      </c>
      <c r="S23" s="214">
        <f t="shared" si="8"/>
        <v>1.2070296635148314</v>
      </c>
      <c r="T23" s="214">
        <f t="shared" si="9"/>
        <v>0.9</v>
      </c>
      <c r="U23" s="174">
        <f t="shared" si="10"/>
        <v>41458778.804795235</v>
      </c>
      <c r="V23" s="174">
        <f t="shared" si="11"/>
        <v>34611121.401300006</v>
      </c>
      <c r="W23" s="159">
        <f t="shared" si="1"/>
        <v>0.83483214892226365</v>
      </c>
      <c r="X23" s="175">
        <f t="shared" si="2"/>
        <v>6847657.4034952298</v>
      </c>
      <c r="Y23" s="176">
        <f t="shared" si="12"/>
        <v>6847657.4034952298</v>
      </c>
    </row>
    <row r="24" spans="1:25" x14ac:dyDescent="0.2">
      <c r="A24" s="107">
        <v>20</v>
      </c>
      <c r="B24" s="173" t="s">
        <v>40</v>
      </c>
      <c r="C24" s="111" t="s">
        <v>27</v>
      </c>
      <c r="D24" s="111" t="s">
        <v>1454</v>
      </c>
      <c r="E24" s="204">
        <v>10010925.502499999</v>
      </c>
      <c r="F24" s="204">
        <v>8658426.8501999993</v>
      </c>
      <c r="G24" s="205">
        <f t="shared" si="0"/>
        <v>0.86489774077708947</v>
      </c>
      <c r="H24" s="205">
        <f t="shared" si="3"/>
        <v>0</v>
      </c>
      <c r="I24" s="206">
        <v>10514524.339509523</v>
      </c>
      <c r="J24" s="206">
        <v>10566830.452500001</v>
      </c>
      <c r="K24" s="207">
        <f t="shared" si="4"/>
        <v>1.004974653279743</v>
      </c>
      <c r="L24" s="207">
        <f t="shared" si="5"/>
        <v>0.9</v>
      </c>
      <c r="M24" s="210">
        <v>9746918.2723333351</v>
      </c>
      <c r="N24" s="203">
        <v>9963733.7350000031</v>
      </c>
      <c r="O24" s="209">
        <f t="shared" si="6"/>
        <v>1.0222445142771024</v>
      </c>
      <c r="P24" s="209">
        <f t="shared" si="7"/>
        <v>0.9</v>
      </c>
      <c r="Q24" s="213">
        <v>11237412.243566666</v>
      </c>
      <c r="R24" s="213">
        <f>VLOOKUP(B24,'Dealer Wise'!B23:F143,5,0)</f>
        <v>14618145.113600008</v>
      </c>
      <c r="S24" s="214">
        <f t="shared" si="8"/>
        <v>1.3008462087851931</v>
      </c>
      <c r="T24" s="214">
        <f t="shared" si="9"/>
        <v>0.9</v>
      </c>
      <c r="U24" s="174">
        <f t="shared" si="10"/>
        <v>41509780.357909523</v>
      </c>
      <c r="V24" s="174">
        <f t="shared" si="11"/>
        <v>43807136.151300013</v>
      </c>
      <c r="W24" s="159">
        <f t="shared" si="1"/>
        <v>1.0553449277153966</v>
      </c>
      <c r="X24" s="175">
        <f t="shared" si="2"/>
        <v>-2297355.7933904901</v>
      </c>
      <c r="Y24" s="176">
        <f t="shared" si="12"/>
        <v>-2297355.7933904901</v>
      </c>
    </row>
    <row r="25" spans="1:25" x14ac:dyDescent="0.2">
      <c r="A25" s="107">
        <v>21</v>
      </c>
      <c r="B25" s="173" t="s">
        <v>38</v>
      </c>
      <c r="C25" s="111" t="s">
        <v>27</v>
      </c>
      <c r="D25" s="111" t="s">
        <v>1456</v>
      </c>
      <c r="E25" s="204">
        <v>14840546.882499998</v>
      </c>
      <c r="F25" s="204">
        <v>16510228.7334</v>
      </c>
      <c r="G25" s="205">
        <f t="shared" si="0"/>
        <v>1.1125081079639252</v>
      </c>
      <c r="H25" s="205">
        <f t="shared" si="3"/>
        <v>0.9</v>
      </c>
      <c r="I25" s="206">
        <v>15433096.511466665</v>
      </c>
      <c r="J25" s="206">
        <v>12789230.442800006</v>
      </c>
      <c r="K25" s="207">
        <f t="shared" si="4"/>
        <v>0.82868855471082625</v>
      </c>
      <c r="L25" s="207">
        <f t="shared" si="5"/>
        <v>0</v>
      </c>
      <c r="M25" s="210">
        <v>11258297.069004763</v>
      </c>
      <c r="N25" s="203">
        <v>6792777.9915000023</v>
      </c>
      <c r="O25" s="209">
        <f t="shared" si="6"/>
        <v>0.60335750157110446</v>
      </c>
      <c r="P25" s="209">
        <f t="shared" si="7"/>
        <v>0</v>
      </c>
      <c r="Q25" s="213">
        <v>15204681.236876192</v>
      </c>
      <c r="R25" s="213">
        <f>VLOOKUP(B25,'Dealer Wise'!B24:F144,5,0)</f>
        <v>24365614.055899996</v>
      </c>
      <c r="S25" s="214">
        <f t="shared" si="8"/>
        <v>1.6025073907373755</v>
      </c>
      <c r="T25" s="214">
        <f t="shared" si="9"/>
        <v>0.9</v>
      </c>
      <c r="U25" s="174">
        <f t="shared" si="10"/>
        <v>56736621.699847616</v>
      </c>
      <c r="V25" s="174">
        <f t="shared" si="11"/>
        <v>60457851.2236</v>
      </c>
      <c r="W25" s="159">
        <f t="shared" si="1"/>
        <v>1.0655877881386508</v>
      </c>
      <c r="X25" s="175">
        <f t="shared" si="2"/>
        <v>-3721229.5237523839</v>
      </c>
      <c r="Y25" s="176">
        <f t="shared" si="12"/>
        <v>-3721229.5237523839</v>
      </c>
    </row>
    <row r="26" spans="1:25" x14ac:dyDescent="0.2">
      <c r="A26" s="107">
        <v>22</v>
      </c>
      <c r="B26" s="173" t="s">
        <v>32</v>
      </c>
      <c r="C26" s="111" t="s">
        <v>27</v>
      </c>
      <c r="D26" s="111" t="s">
        <v>31</v>
      </c>
      <c r="E26" s="204">
        <v>8466647.432500001</v>
      </c>
      <c r="F26" s="204">
        <v>7690130.7296000002</v>
      </c>
      <c r="G26" s="205">
        <f t="shared" si="0"/>
        <v>0.90828522043810744</v>
      </c>
      <c r="H26" s="205">
        <f t="shared" si="3"/>
        <v>0.9</v>
      </c>
      <c r="I26" s="206">
        <v>9035879.4367666673</v>
      </c>
      <c r="J26" s="206">
        <v>7874551.0080000013</v>
      </c>
      <c r="K26" s="207">
        <f t="shared" si="4"/>
        <v>0.87147588268594389</v>
      </c>
      <c r="L26" s="207">
        <f t="shared" si="5"/>
        <v>0</v>
      </c>
      <c r="M26" s="210">
        <v>7834208.2217809539</v>
      </c>
      <c r="N26" s="203">
        <v>4001812.5673999996</v>
      </c>
      <c r="O26" s="209">
        <f t="shared" si="6"/>
        <v>0.51081263787117803</v>
      </c>
      <c r="P26" s="209">
        <f t="shared" si="7"/>
        <v>0</v>
      </c>
      <c r="Q26" s="213">
        <v>9949681.5185619034</v>
      </c>
      <c r="R26" s="213">
        <f>VLOOKUP(B26,'Dealer Wise'!B25:F145,5,0)</f>
        <v>13224639.720999999</v>
      </c>
      <c r="S26" s="214">
        <f t="shared" si="8"/>
        <v>1.3291520634432776</v>
      </c>
      <c r="T26" s="214">
        <f t="shared" si="9"/>
        <v>0.9</v>
      </c>
      <c r="U26" s="174">
        <f t="shared" si="10"/>
        <v>35286416.609609529</v>
      </c>
      <c r="V26" s="174">
        <f t="shared" si="11"/>
        <v>32791134.026000001</v>
      </c>
      <c r="W26" s="159">
        <f t="shared" si="1"/>
        <v>0.92928489704080663</v>
      </c>
      <c r="X26" s="175">
        <f t="shared" si="2"/>
        <v>2495282.5836095288</v>
      </c>
      <c r="Y26" s="176">
        <f t="shared" si="12"/>
        <v>2495282.5836095288</v>
      </c>
    </row>
    <row r="27" spans="1:25" x14ac:dyDescent="0.2">
      <c r="A27" s="107">
        <v>23</v>
      </c>
      <c r="B27" s="173" t="s">
        <v>42</v>
      </c>
      <c r="C27" s="111" t="s">
        <v>16</v>
      </c>
      <c r="D27" s="111" t="s">
        <v>47</v>
      </c>
      <c r="E27" s="204">
        <v>5658323.1500000013</v>
      </c>
      <c r="F27" s="204">
        <v>3566355.0305999992</v>
      </c>
      <c r="G27" s="205">
        <f t="shared" si="0"/>
        <v>0.6302847921649718</v>
      </c>
      <c r="H27" s="205">
        <f t="shared" si="3"/>
        <v>0</v>
      </c>
      <c r="I27" s="206">
        <v>5453825.5532333339</v>
      </c>
      <c r="J27" s="206">
        <v>2972089.4920999995</v>
      </c>
      <c r="K27" s="207">
        <f t="shared" si="4"/>
        <v>0.54495499775162004</v>
      </c>
      <c r="L27" s="207">
        <f t="shared" si="5"/>
        <v>0</v>
      </c>
      <c r="M27" s="210">
        <v>7976320.5596428579</v>
      </c>
      <c r="N27" s="203">
        <v>9664592.2402999979</v>
      </c>
      <c r="O27" s="209">
        <f t="shared" si="6"/>
        <v>1.2116604602376628</v>
      </c>
      <c r="P27" s="209">
        <f t="shared" si="7"/>
        <v>0.9</v>
      </c>
      <c r="Q27" s="213">
        <v>4983838.0316857146</v>
      </c>
      <c r="R27" s="213">
        <f>VLOOKUP(B27,'Dealer Wise'!B26:F146,5,0)</f>
        <v>8442394.1138000004</v>
      </c>
      <c r="S27" s="214">
        <f t="shared" si="8"/>
        <v>1.6939543500663237</v>
      </c>
      <c r="T27" s="214">
        <f t="shared" si="9"/>
        <v>0.9</v>
      </c>
      <c r="U27" s="174">
        <f t="shared" si="10"/>
        <v>24072307.294561908</v>
      </c>
      <c r="V27" s="174">
        <f t="shared" si="11"/>
        <v>24645430.876799997</v>
      </c>
      <c r="W27" s="159">
        <f t="shared" si="1"/>
        <v>1.0238084191608654</v>
      </c>
      <c r="X27" s="175">
        <f t="shared" si="2"/>
        <v>-573123.58223808929</v>
      </c>
      <c r="Y27" s="176">
        <f t="shared" si="12"/>
        <v>-573123.58223808929</v>
      </c>
    </row>
    <row r="28" spans="1:25" x14ac:dyDescent="0.2">
      <c r="A28" s="107">
        <v>24</v>
      </c>
      <c r="B28" s="173" t="s">
        <v>49</v>
      </c>
      <c r="C28" s="111" t="s">
        <v>16</v>
      </c>
      <c r="D28" s="111" t="s">
        <v>47</v>
      </c>
      <c r="E28" s="204">
        <v>6044659.8075000001</v>
      </c>
      <c r="F28" s="204">
        <v>6298731.9590999996</v>
      </c>
      <c r="G28" s="205">
        <f t="shared" si="0"/>
        <v>1.0420324980546889</v>
      </c>
      <c r="H28" s="205">
        <f t="shared" si="3"/>
        <v>0.9</v>
      </c>
      <c r="I28" s="206">
        <v>9169049.6530761905</v>
      </c>
      <c r="J28" s="206">
        <v>9359171.3769000042</v>
      </c>
      <c r="K28" s="207">
        <f t="shared" si="4"/>
        <v>1.0207351613326718</v>
      </c>
      <c r="L28" s="207">
        <f t="shared" si="5"/>
        <v>0.9</v>
      </c>
      <c r="M28" s="210">
        <v>7688847.6028380953</v>
      </c>
      <c r="N28" s="203">
        <v>7845077.9594000001</v>
      </c>
      <c r="O28" s="209">
        <f t="shared" si="6"/>
        <v>1.0203190861143141</v>
      </c>
      <c r="P28" s="209">
        <f t="shared" si="7"/>
        <v>0.9</v>
      </c>
      <c r="Q28" s="213">
        <v>10777372.872357141</v>
      </c>
      <c r="R28" s="213">
        <f>VLOOKUP(B28,'Dealer Wise'!B27:F147,5,0)</f>
        <v>14884903.4682</v>
      </c>
      <c r="S28" s="214">
        <f t="shared" si="8"/>
        <v>1.3811254045388237</v>
      </c>
      <c r="T28" s="214">
        <f t="shared" si="9"/>
        <v>0.9</v>
      </c>
      <c r="U28" s="174">
        <f t="shared" si="10"/>
        <v>33679929.935771428</v>
      </c>
      <c r="V28" s="174">
        <f t="shared" si="11"/>
        <v>38387884.763599999</v>
      </c>
      <c r="W28" s="159">
        <f t="shared" si="1"/>
        <v>1.1397851728553703</v>
      </c>
      <c r="X28" s="175">
        <f t="shared" si="2"/>
        <v>-4707954.8278285712</v>
      </c>
      <c r="Y28" s="176">
        <f t="shared" si="12"/>
        <v>-4707954.8278285712</v>
      </c>
    </row>
    <row r="29" spans="1:25" x14ac:dyDescent="0.2">
      <c r="A29" s="107">
        <v>25</v>
      </c>
      <c r="B29" s="173" t="s">
        <v>44</v>
      </c>
      <c r="C29" s="111" t="s">
        <v>16</v>
      </c>
      <c r="D29" s="111" t="s">
        <v>43</v>
      </c>
      <c r="E29" s="204">
        <v>2326781.3575000004</v>
      </c>
      <c r="F29" s="204">
        <v>207401.81080000006</v>
      </c>
      <c r="G29" s="205">
        <f t="shared" si="0"/>
        <v>8.9136785513376296E-2</v>
      </c>
      <c r="H29" s="205">
        <f t="shared" si="3"/>
        <v>0</v>
      </c>
      <c r="I29" s="206">
        <v>2178753.2422523811</v>
      </c>
      <c r="J29" s="206">
        <v>1885969.7065999997</v>
      </c>
      <c r="K29" s="207">
        <f t="shared" si="4"/>
        <v>0.86561877225265604</v>
      </c>
      <c r="L29" s="207">
        <f t="shared" si="5"/>
        <v>0</v>
      </c>
      <c r="M29" s="210">
        <v>3246047.8679380948</v>
      </c>
      <c r="N29" s="203">
        <v>1500897.3429</v>
      </c>
      <c r="O29" s="209">
        <f t="shared" si="6"/>
        <v>0.4623768360672319</v>
      </c>
      <c r="P29" s="209">
        <f t="shared" si="7"/>
        <v>0</v>
      </c>
      <c r="Q29" s="213">
        <v>1837611.0789857144</v>
      </c>
      <c r="R29" s="213">
        <f>VLOOKUP(B29,'Dealer Wise'!B28:F148,5,0)</f>
        <v>1872030.9523</v>
      </c>
      <c r="S29" s="214">
        <f t="shared" si="8"/>
        <v>1.0187307715478533</v>
      </c>
      <c r="T29" s="214">
        <f t="shared" si="9"/>
        <v>0.9</v>
      </c>
      <c r="U29" s="174">
        <f t="shared" si="10"/>
        <v>9589193.5466761906</v>
      </c>
      <c r="V29" s="174">
        <f t="shared" si="11"/>
        <v>5466299.8125999998</v>
      </c>
      <c r="W29" s="159">
        <f t="shared" si="1"/>
        <v>0.57004791758476192</v>
      </c>
      <c r="X29" s="175">
        <f t="shared" si="2"/>
        <v>4122893.7340761907</v>
      </c>
      <c r="Y29" s="176">
        <f t="shared" si="12"/>
        <v>4122893.7340761907</v>
      </c>
    </row>
    <row r="30" spans="1:25" x14ac:dyDescent="0.2">
      <c r="A30" s="107">
        <v>26</v>
      </c>
      <c r="B30" s="173" t="s">
        <v>46</v>
      </c>
      <c r="C30" s="111" t="s">
        <v>16</v>
      </c>
      <c r="D30" s="111" t="s">
        <v>47</v>
      </c>
      <c r="E30" s="204">
        <v>5467555.8725000005</v>
      </c>
      <c r="F30" s="204">
        <v>5259150.513799998</v>
      </c>
      <c r="G30" s="205">
        <f t="shared" si="0"/>
        <v>0.9618832685829124</v>
      </c>
      <c r="H30" s="205">
        <f t="shared" si="3"/>
        <v>0.9</v>
      </c>
      <c r="I30" s="206">
        <v>4693554.8833666658</v>
      </c>
      <c r="J30" s="206">
        <v>4737512.7764999988</v>
      </c>
      <c r="K30" s="207">
        <f t="shared" si="4"/>
        <v>1.0093655862615165</v>
      </c>
      <c r="L30" s="207">
        <f t="shared" si="5"/>
        <v>0.9</v>
      </c>
      <c r="M30" s="210">
        <v>4555794.8742523808</v>
      </c>
      <c r="N30" s="203">
        <v>4988156.9291999992</v>
      </c>
      <c r="O30" s="209">
        <f t="shared" si="6"/>
        <v>1.0949037581545131</v>
      </c>
      <c r="P30" s="209">
        <f t="shared" si="7"/>
        <v>0.9</v>
      </c>
      <c r="Q30" s="213">
        <v>5468353.3310047621</v>
      </c>
      <c r="R30" s="213">
        <f>VLOOKUP(B30,'Dealer Wise'!B29:F149,5,0)</f>
        <v>7614226.5439000018</v>
      </c>
      <c r="S30" s="214">
        <f t="shared" si="8"/>
        <v>1.3924167081026848</v>
      </c>
      <c r="T30" s="214">
        <f t="shared" si="9"/>
        <v>0.9</v>
      </c>
      <c r="U30" s="174">
        <f t="shared" si="10"/>
        <v>20185258.961123809</v>
      </c>
      <c r="V30" s="174">
        <f t="shared" si="11"/>
        <v>22599046.763399996</v>
      </c>
      <c r="W30" s="159">
        <f t="shared" si="1"/>
        <v>1.1195817109369302</v>
      </c>
      <c r="X30" s="175">
        <f t="shared" si="2"/>
        <v>-2413787.8022761866</v>
      </c>
      <c r="Y30" s="176">
        <f t="shared" si="12"/>
        <v>-2413787.8022761866</v>
      </c>
    </row>
    <row r="31" spans="1:25" x14ac:dyDescent="0.2">
      <c r="A31" s="107">
        <v>27</v>
      </c>
      <c r="B31" s="173" t="s">
        <v>48</v>
      </c>
      <c r="C31" s="111" t="s">
        <v>16</v>
      </c>
      <c r="D31" s="111" t="s">
        <v>47</v>
      </c>
      <c r="E31" s="204">
        <v>36189056.337499999</v>
      </c>
      <c r="F31" s="204">
        <v>36581898.256300002</v>
      </c>
      <c r="G31" s="205">
        <f t="shared" si="0"/>
        <v>1.0108552683755097</v>
      </c>
      <c r="H31" s="205">
        <f t="shared" si="3"/>
        <v>0.9</v>
      </c>
      <c r="I31" s="206">
        <v>36204566.01329048</v>
      </c>
      <c r="J31" s="206">
        <v>36404333.940800004</v>
      </c>
      <c r="K31" s="207">
        <f t="shared" si="4"/>
        <v>1.0055177550653747</v>
      </c>
      <c r="L31" s="207">
        <f t="shared" si="5"/>
        <v>0.9</v>
      </c>
      <c r="M31" s="210">
        <v>29503982.267642859</v>
      </c>
      <c r="N31" s="203">
        <v>29666880.133300006</v>
      </c>
      <c r="O31" s="209">
        <f t="shared" si="6"/>
        <v>1.0055212162269971</v>
      </c>
      <c r="P31" s="209">
        <f t="shared" si="7"/>
        <v>0.9</v>
      </c>
      <c r="Q31" s="213">
        <v>37666846.472238094</v>
      </c>
      <c r="R31" s="213">
        <f>VLOOKUP(B31,'Dealer Wise'!B30:F150,5,0)</f>
        <v>52729026.410200022</v>
      </c>
      <c r="S31" s="214">
        <f t="shared" si="8"/>
        <v>1.3998789744467546</v>
      </c>
      <c r="T31" s="214">
        <f t="shared" si="9"/>
        <v>0.9</v>
      </c>
      <c r="U31" s="174">
        <f t="shared" si="10"/>
        <v>139564451.09067142</v>
      </c>
      <c r="V31" s="174">
        <f t="shared" si="11"/>
        <v>155382138.74060005</v>
      </c>
      <c r="W31" s="159">
        <f t="shared" si="1"/>
        <v>1.1133360789679334</v>
      </c>
      <c r="X31" s="175">
        <f t="shared" si="2"/>
        <v>-15817687.649928629</v>
      </c>
      <c r="Y31" s="176">
        <f t="shared" si="12"/>
        <v>-15817687.649928629</v>
      </c>
    </row>
    <row r="32" spans="1:25" x14ac:dyDescent="0.2">
      <c r="A32" s="107">
        <v>28</v>
      </c>
      <c r="B32" s="173" t="s">
        <v>50</v>
      </c>
      <c r="C32" s="111" t="s">
        <v>16</v>
      </c>
      <c r="D32" s="111" t="s">
        <v>51</v>
      </c>
      <c r="E32" s="204">
        <v>18057911.127499998</v>
      </c>
      <c r="F32" s="204">
        <v>17576175.886300009</v>
      </c>
      <c r="G32" s="205">
        <f t="shared" si="0"/>
        <v>0.97332275932699852</v>
      </c>
      <c r="H32" s="205">
        <f t="shared" si="3"/>
        <v>0.9</v>
      </c>
      <c r="I32" s="206">
        <v>18128277.925795242</v>
      </c>
      <c r="J32" s="206">
        <v>16510216.988500008</v>
      </c>
      <c r="K32" s="207">
        <f t="shared" si="4"/>
        <v>0.91074381450248787</v>
      </c>
      <c r="L32" s="207">
        <f t="shared" si="5"/>
        <v>0.9</v>
      </c>
      <c r="M32" s="210">
        <v>16564828.241042856</v>
      </c>
      <c r="N32" s="203">
        <v>20110720.389300004</v>
      </c>
      <c r="O32" s="209">
        <f t="shared" si="6"/>
        <v>1.2140615101261027</v>
      </c>
      <c r="P32" s="209">
        <f t="shared" si="7"/>
        <v>0.9</v>
      </c>
      <c r="Q32" s="213">
        <v>20532371.567895241</v>
      </c>
      <c r="R32" s="213">
        <f>VLOOKUP(B32,'Dealer Wise'!B4:F124,5,0)</f>
        <v>18441931.389700007</v>
      </c>
      <c r="S32" s="214">
        <f t="shared" si="8"/>
        <v>0.8981880796729842</v>
      </c>
      <c r="T32" s="214">
        <f t="shared" si="9"/>
        <v>0.9</v>
      </c>
      <c r="U32" s="174">
        <f t="shared" si="10"/>
        <v>73283388.862233341</v>
      </c>
      <c r="V32" s="174">
        <f t="shared" si="11"/>
        <v>72639044.653800026</v>
      </c>
      <c r="W32" s="159">
        <f t="shared" si="1"/>
        <v>0.9912074998381335</v>
      </c>
      <c r="X32" s="175">
        <f t="shared" si="2"/>
        <v>644344.20843331516</v>
      </c>
      <c r="Y32" s="176">
        <f t="shared" si="12"/>
        <v>644344.20843331516</v>
      </c>
    </row>
    <row r="33" spans="1:26" x14ac:dyDescent="0.2">
      <c r="A33" s="107">
        <v>29</v>
      </c>
      <c r="B33" s="173" t="s">
        <v>62</v>
      </c>
      <c r="C33" s="111" t="s">
        <v>16</v>
      </c>
      <c r="D33" s="111" t="s">
        <v>1461</v>
      </c>
      <c r="E33" s="204">
        <v>4092843.4925000006</v>
      </c>
      <c r="F33" s="204">
        <v>4759278.3855999997</v>
      </c>
      <c r="G33" s="205">
        <f t="shared" si="0"/>
        <v>1.1628293127555986</v>
      </c>
      <c r="H33" s="205">
        <f t="shared" si="3"/>
        <v>0.9</v>
      </c>
      <c r="I33" s="206">
        <v>4769847.4366666675</v>
      </c>
      <c r="J33" s="206">
        <v>4854607.5771999983</v>
      </c>
      <c r="K33" s="207">
        <f t="shared" si="4"/>
        <v>1.0177699898495212</v>
      </c>
      <c r="L33" s="207">
        <f t="shared" si="5"/>
        <v>0.9</v>
      </c>
      <c r="M33" s="210">
        <v>5908296.3130571423</v>
      </c>
      <c r="N33" s="203">
        <v>6473011.4127000012</v>
      </c>
      <c r="O33" s="209">
        <f t="shared" si="6"/>
        <v>1.0955800233639021</v>
      </c>
      <c r="P33" s="209">
        <f t="shared" si="7"/>
        <v>0.9</v>
      </c>
      <c r="Q33" s="213">
        <v>5290495.4563523792</v>
      </c>
      <c r="R33" s="213">
        <f>VLOOKUP(B33,'Dealer Wise'!B32:F152,5,0)</f>
        <v>6167709.9113999978</v>
      </c>
      <c r="S33" s="214">
        <f t="shared" si="8"/>
        <v>1.1658095092009453</v>
      </c>
      <c r="T33" s="214">
        <f t="shared" si="9"/>
        <v>0.9</v>
      </c>
      <c r="U33" s="174">
        <f t="shared" si="10"/>
        <v>20061482.69857619</v>
      </c>
      <c r="V33" s="174">
        <f t="shared" si="11"/>
        <v>22254607.286899999</v>
      </c>
      <c r="W33" s="159">
        <f t="shared" si="1"/>
        <v>1.1093201644801389</v>
      </c>
      <c r="X33" s="175">
        <f t="shared" si="2"/>
        <v>-2193124.5883238092</v>
      </c>
      <c r="Y33" s="176">
        <f t="shared" si="12"/>
        <v>-2193124.5883238092</v>
      </c>
    </row>
    <row r="34" spans="1:26" x14ac:dyDescent="0.2">
      <c r="A34" s="107">
        <v>30</v>
      </c>
      <c r="B34" s="173" t="s">
        <v>54</v>
      </c>
      <c r="C34" s="111" t="s">
        <v>16</v>
      </c>
      <c r="D34" s="111" t="s">
        <v>58</v>
      </c>
      <c r="E34" s="204">
        <v>11359254.382499998</v>
      </c>
      <c r="F34" s="204">
        <v>11958385.919500001</v>
      </c>
      <c r="G34" s="205">
        <f t="shared" si="0"/>
        <v>1.0527439140656116</v>
      </c>
      <c r="H34" s="205">
        <f t="shared" si="3"/>
        <v>0.9</v>
      </c>
      <c r="I34" s="206">
        <v>12229299.815400003</v>
      </c>
      <c r="J34" s="206">
        <v>11144409.6461</v>
      </c>
      <c r="K34" s="207">
        <f t="shared" si="4"/>
        <v>0.91128763006252966</v>
      </c>
      <c r="L34" s="207">
        <f t="shared" si="5"/>
        <v>0.9</v>
      </c>
      <c r="M34" s="210">
        <v>11580125.530252384</v>
      </c>
      <c r="N34" s="203">
        <v>13451292.606999999</v>
      </c>
      <c r="O34" s="209">
        <f t="shared" si="6"/>
        <v>1.1615843517291158</v>
      </c>
      <c r="P34" s="209">
        <f t="shared" si="7"/>
        <v>0.9</v>
      </c>
      <c r="Q34" s="213">
        <v>15211472.689042859</v>
      </c>
      <c r="R34" s="213">
        <f>VLOOKUP(B34,'Dealer Wise'!B33:F153,5,0)</f>
        <v>16584226.604799999</v>
      </c>
      <c r="S34" s="214">
        <f t="shared" si="8"/>
        <v>1.0902446425681034</v>
      </c>
      <c r="T34" s="214">
        <f t="shared" si="9"/>
        <v>0.9</v>
      </c>
      <c r="U34" s="174">
        <f t="shared" si="10"/>
        <v>50380152.417195246</v>
      </c>
      <c r="V34" s="174">
        <f t="shared" si="11"/>
        <v>53138314.777400002</v>
      </c>
      <c r="W34" s="159">
        <f t="shared" si="1"/>
        <v>1.0547470030928958</v>
      </c>
      <c r="X34" s="175">
        <f t="shared" si="2"/>
        <v>-2758162.3602047563</v>
      </c>
      <c r="Y34" s="176">
        <f t="shared" si="12"/>
        <v>-2758162.3602047563</v>
      </c>
    </row>
    <row r="35" spans="1:26" s="120" customFormat="1" x14ac:dyDescent="0.2">
      <c r="A35" s="107">
        <v>31</v>
      </c>
      <c r="B35" s="173" t="s">
        <v>61</v>
      </c>
      <c r="C35" s="111" t="s">
        <v>16</v>
      </c>
      <c r="D35" s="111" t="s">
        <v>43</v>
      </c>
      <c r="E35" s="204">
        <v>8751896.0425000004</v>
      </c>
      <c r="F35" s="204">
        <v>8755764.6346000005</v>
      </c>
      <c r="G35" s="205">
        <f t="shared" si="0"/>
        <v>1.0004420290279059</v>
      </c>
      <c r="H35" s="205">
        <f t="shared" si="3"/>
        <v>0.9</v>
      </c>
      <c r="I35" s="206">
        <v>8868115.9819190502</v>
      </c>
      <c r="J35" s="206">
        <v>9483601.4353000056</v>
      </c>
      <c r="K35" s="207">
        <f t="shared" si="4"/>
        <v>1.0694043080442173</v>
      </c>
      <c r="L35" s="207">
        <f t="shared" si="5"/>
        <v>0.9</v>
      </c>
      <c r="M35" s="210">
        <v>12023736.269457145</v>
      </c>
      <c r="N35" s="203">
        <v>15207928.312899992</v>
      </c>
      <c r="O35" s="209">
        <f t="shared" si="6"/>
        <v>1.2648255061558007</v>
      </c>
      <c r="P35" s="209">
        <f t="shared" si="7"/>
        <v>0.9</v>
      </c>
      <c r="Q35" s="213">
        <v>10399017.4902</v>
      </c>
      <c r="R35" s="213">
        <f>VLOOKUP(B35,'Dealer Wise'!B7:F127,5,0)</f>
        <v>15115605.266200008</v>
      </c>
      <c r="S35" s="214">
        <f t="shared" si="8"/>
        <v>1.4535609042339726</v>
      </c>
      <c r="T35" s="214">
        <f t="shared" si="9"/>
        <v>0.9</v>
      </c>
      <c r="U35" s="174">
        <f t="shared" si="10"/>
        <v>40042765.784076191</v>
      </c>
      <c r="V35" s="174">
        <f t="shared" si="11"/>
        <v>48562899.649000004</v>
      </c>
      <c r="W35" s="159">
        <f t="shared" si="1"/>
        <v>1.2127758584626043</v>
      </c>
      <c r="X35" s="175">
        <f t="shared" si="2"/>
        <v>-8520133.8649238124</v>
      </c>
      <c r="Y35" s="176">
        <f t="shared" si="12"/>
        <v>-8520133.8649238124</v>
      </c>
      <c r="Z35" s="91"/>
    </row>
    <row r="36" spans="1:26" x14ac:dyDescent="0.2">
      <c r="A36" s="107">
        <v>32</v>
      </c>
      <c r="B36" s="173" t="s">
        <v>60</v>
      </c>
      <c r="C36" s="111" t="s">
        <v>16</v>
      </c>
      <c r="D36" s="111" t="s">
        <v>43</v>
      </c>
      <c r="E36" s="204">
        <v>14114289.104999997</v>
      </c>
      <c r="F36" s="204">
        <v>4397166.1897</v>
      </c>
      <c r="G36" s="205">
        <f t="shared" si="0"/>
        <v>0.31154003981272432</v>
      </c>
      <c r="H36" s="205">
        <f t="shared" si="3"/>
        <v>0</v>
      </c>
      <c r="I36" s="206">
        <v>13171231.046423815</v>
      </c>
      <c r="J36" s="206">
        <v>13236078.274200007</v>
      </c>
      <c r="K36" s="207">
        <f t="shared" si="4"/>
        <v>1.0049233991528681</v>
      </c>
      <c r="L36" s="207">
        <f t="shared" si="5"/>
        <v>0.9</v>
      </c>
      <c r="M36" s="210">
        <v>15045237.751309521</v>
      </c>
      <c r="N36" s="203">
        <v>15106262.672700007</v>
      </c>
      <c r="O36" s="209">
        <f t="shared" si="6"/>
        <v>1.0040560955166808</v>
      </c>
      <c r="P36" s="209">
        <f t="shared" si="7"/>
        <v>0.9</v>
      </c>
      <c r="Q36" s="213">
        <v>15205134.121895241</v>
      </c>
      <c r="R36" s="213">
        <f>VLOOKUP(B36,'Dealer Wise'!B8:F128,5,0)</f>
        <v>21084970.483200006</v>
      </c>
      <c r="S36" s="214">
        <f t="shared" si="8"/>
        <v>1.3867007232009785</v>
      </c>
      <c r="T36" s="214">
        <f t="shared" si="9"/>
        <v>0.9</v>
      </c>
      <c r="U36" s="174">
        <f t="shared" si="10"/>
        <v>57535892.024628572</v>
      </c>
      <c r="V36" s="174">
        <f t="shared" si="11"/>
        <v>53824477.619800016</v>
      </c>
      <c r="W36" s="159">
        <f t="shared" si="1"/>
        <v>0.93549392780353757</v>
      </c>
      <c r="X36" s="175">
        <f t="shared" si="2"/>
        <v>3711414.4048285559</v>
      </c>
      <c r="Y36" s="176">
        <f t="shared" si="12"/>
        <v>3711414.4048285559</v>
      </c>
    </row>
    <row r="37" spans="1:26" x14ac:dyDescent="0.2">
      <c r="A37" s="107">
        <v>33</v>
      </c>
      <c r="B37" s="173" t="s">
        <v>56</v>
      </c>
      <c r="C37" s="111" t="s">
        <v>16</v>
      </c>
      <c r="D37" s="111" t="s">
        <v>43</v>
      </c>
      <c r="E37" s="204">
        <v>4985965.2949999999</v>
      </c>
      <c r="F37" s="204">
        <v>5267295.6294999998</v>
      </c>
      <c r="G37" s="205">
        <f t="shared" si="0"/>
        <v>1.0564244469936688</v>
      </c>
      <c r="H37" s="205">
        <f t="shared" si="3"/>
        <v>0.9</v>
      </c>
      <c r="I37" s="206">
        <v>5138726.6670761909</v>
      </c>
      <c r="J37" s="206">
        <v>6039191.191800002</v>
      </c>
      <c r="K37" s="207">
        <f t="shared" si="4"/>
        <v>1.1752310607398297</v>
      </c>
      <c r="L37" s="207">
        <f t="shared" si="5"/>
        <v>0.9</v>
      </c>
      <c r="M37" s="210">
        <v>6716798.7949142857</v>
      </c>
      <c r="N37" s="203">
        <v>7327164.9986999994</v>
      </c>
      <c r="O37" s="209">
        <f t="shared" si="6"/>
        <v>1.0908715926175816</v>
      </c>
      <c r="P37" s="209">
        <f t="shared" si="7"/>
        <v>0.9</v>
      </c>
      <c r="Q37" s="213">
        <v>6507768.5231761923</v>
      </c>
      <c r="R37" s="213">
        <f>VLOOKUP(B37,'Dealer Wise'!B36:F156,5,0)</f>
        <v>6942003.734000002</v>
      </c>
      <c r="S37" s="214">
        <f t="shared" si="8"/>
        <v>1.0667256693715155</v>
      </c>
      <c r="T37" s="214">
        <f t="shared" si="9"/>
        <v>0.9</v>
      </c>
      <c r="U37" s="174">
        <f t="shared" si="10"/>
        <v>23349259.280166671</v>
      </c>
      <c r="V37" s="174">
        <f t="shared" si="11"/>
        <v>25575655.554000001</v>
      </c>
      <c r="W37" s="159">
        <f t="shared" si="1"/>
        <v>1.0953519016221844</v>
      </c>
      <c r="X37" s="175">
        <f t="shared" si="2"/>
        <v>-2226396.2738333307</v>
      </c>
      <c r="Y37" s="176">
        <f t="shared" si="12"/>
        <v>-2226396.2738333307</v>
      </c>
    </row>
    <row r="38" spans="1:26" x14ac:dyDescent="0.2">
      <c r="A38" s="107">
        <v>34</v>
      </c>
      <c r="B38" s="173" t="s">
        <v>57</v>
      </c>
      <c r="C38" s="111" t="s">
        <v>16</v>
      </c>
      <c r="D38" s="111" t="s">
        <v>58</v>
      </c>
      <c r="E38" s="204">
        <v>4561648.0999999996</v>
      </c>
      <c r="F38" s="204">
        <v>4611830.1499000005</v>
      </c>
      <c r="G38" s="205">
        <f t="shared" si="0"/>
        <v>1.0110008595139115</v>
      </c>
      <c r="H38" s="205">
        <f t="shared" si="3"/>
        <v>0.9</v>
      </c>
      <c r="I38" s="206">
        <v>4301975.2220047619</v>
      </c>
      <c r="J38" s="206">
        <v>5121955.9501000009</v>
      </c>
      <c r="K38" s="207">
        <f t="shared" si="4"/>
        <v>1.1906056371271057</v>
      </c>
      <c r="L38" s="207">
        <f t="shared" si="5"/>
        <v>0.9</v>
      </c>
      <c r="M38" s="210">
        <v>5593376.4879904753</v>
      </c>
      <c r="N38" s="203">
        <v>5929536.1121000005</v>
      </c>
      <c r="O38" s="209">
        <f t="shared" si="6"/>
        <v>1.0600995882954227</v>
      </c>
      <c r="P38" s="209">
        <f t="shared" si="7"/>
        <v>0.9</v>
      </c>
      <c r="Q38" s="213">
        <v>4692348.6616904754</v>
      </c>
      <c r="R38" s="213">
        <f>VLOOKUP(B38,'Dealer Wise'!B10:F130,5,0)</f>
        <v>7831770.348600002</v>
      </c>
      <c r="S38" s="214">
        <f t="shared" si="8"/>
        <v>1.6690512392100274</v>
      </c>
      <c r="T38" s="214">
        <f t="shared" si="9"/>
        <v>0.9</v>
      </c>
      <c r="U38" s="174">
        <f t="shared" si="10"/>
        <v>19149348.471685715</v>
      </c>
      <c r="V38" s="174">
        <f t="shared" si="11"/>
        <v>23495092.560700007</v>
      </c>
      <c r="W38" s="159">
        <f t="shared" si="1"/>
        <v>1.2269395272345647</v>
      </c>
      <c r="X38" s="175">
        <f t="shared" si="2"/>
        <v>-4345744.0890142918</v>
      </c>
      <c r="Y38" s="176">
        <f t="shared" si="12"/>
        <v>-4345744.0890142918</v>
      </c>
    </row>
    <row r="39" spans="1:26" x14ac:dyDescent="0.2">
      <c r="A39" s="107">
        <v>35</v>
      </c>
      <c r="B39" s="173" t="s">
        <v>59</v>
      </c>
      <c r="C39" s="111" t="s">
        <v>16</v>
      </c>
      <c r="D39" s="111" t="s">
        <v>58</v>
      </c>
      <c r="E39" s="204">
        <v>11467512.102500001</v>
      </c>
      <c r="F39" s="204">
        <v>11775998.501799999</v>
      </c>
      <c r="G39" s="205">
        <f t="shared" si="0"/>
        <v>1.0269009002600265</v>
      </c>
      <c r="H39" s="205">
        <f t="shared" si="3"/>
        <v>0.9</v>
      </c>
      <c r="I39" s="206">
        <v>11194543.319376189</v>
      </c>
      <c r="J39" s="206">
        <v>10780501.148199998</v>
      </c>
      <c r="K39" s="207">
        <f t="shared" si="4"/>
        <v>0.96301392925430529</v>
      </c>
      <c r="L39" s="207">
        <f t="shared" si="5"/>
        <v>0.9</v>
      </c>
      <c r="M39" s="210">
        <v>11370516.362938095</v>
      </c>
      <c r="N39" s="203">
        <v>20634083.826500002</v>
      </c>
      <c r="O39" s="209">
        <f t="shared" si="6"/>
        <v>1.8147006844611091</v>
      </c>
      <c r="P39" s="209">
        <f t="shared" si="7"/>
        <v>0.9</v>
      </c>
      <c r="Q39" s="213">
        <v>13836316.470666664</v>
      </c>
      <c r="R39" s="213">
        <f>VLOOKUP(B39,'Dealer Wise'!B38:F158,5,0)</f>
        <v>18801128.409000013</v>
      </c>
      <c r="S39" s="214">
        <f t="shared" si="8"/>
        <v>1.3588246878321173</v>
      </c>
      <c r="T39" s="214">
        <f t="shared" si="9"/>
        <v>0.9</v>
      </c>
      <c r="U39" s="174">
        <f t="shared" si="10"/>
        <v>47868888.255480945</v>
      </c>
      <c r="V39" s="174">
        <f t="shared" si="11"/>
        <v>61991711.885500014</v>
      </c>
      <c r="W39" s="159">
        <f t="shared" si="1"/>
        <v>1.2950313689059201</v>
      </c>
      <c r="X39" s="175">
        <f t="shared" si="2"/>
        <v>-14122823.630019069</v>
      </c>
      <c r="Y39" s="176">
        <f t="shared" si="12"/>
        <v>-14122823.630019069</v>
      </c>
    </row>
    <row r="40" spans="1:26" x14ac:dyDescent="0.2">
      <c r="A40" s="107">
        <v>36</v>
      </c>
      <c r="B40" s="173" t="s">
        <v>52</v>
      </c>
      <c r="C40" s="111" t="s">
        <v>16</v>
      </c>
      <c r="D40" s="111" t="s">
        <v>51</v>
      </c>
      <c r="E40" s="204">
        <v>7142539.807500001</v>
      </c>
      <c r="F40" s="204">
        <v>7465139.6386999963</v>
      </c>
      <c r="G40" s="205">
        <f t="shared" si="0"/>
        <v>1.0451659829548658</v>
      </c>
      <c r="H40" s="205">
        <f t="shared" si="3"/>
        <v>0.9</v>
      </c>
      <c r="I40" s="206">
        <v>8262920.892852379</v>
      </c>
      <c r="J40" s="206">
        <v>7537088.7444000002</v>
      </c>
      <c r="K40" s="207">
        <f t="shared" si="4"/>
        <v>0.91215792116801686</v>
      </c>
      <c r="L40" s="207">
        <f t="shared" si="5"/>
        <v>0.9</v>
      </c>
      <c r="M40" s="210">
        <v>7798119.8679523794</v>
      </c>
      <c r="N40" s="203">
        <v>10454227.720699998</v>
      </c>
      <c r="O40" s="209">
        <f t="shared" si="6"/>
        <v>1.3406087489964496</v>
      </c>
      <c r="P40" s="209">
        <f t="shared" si="7"/>
        <v>0.9</v>
      </c>
      <c r="Q40" s="213">
        <v>8658976.4402666688</v>
      </c>
      <c r="R40" s="213">
        <f>VLOOKUP(B40,'Dealer Wise'!B12:F132,5,0)</f>
        <v>12252773.970900003</v>
      </c>
      <c r="S40" s="214">
        <f t="shared" si="8"/>
        <v>1.4150372224043903</v>
      </c>
      <c r="T40" s="214">
        <f t="shared" si="9"/>
        <v>0.9</v>
      </c>
      <c r="U40" s="174">
        <f t="shared" si="10"/>
        <v>31862557.008571427</v>
      </c>
      <c r="V40" s="174">
        <f t="shared" si="11"/>
        <v>37709230.074699998</v>
      </c>
      <c r="W40" s="159">
        <f t="shared" si="1"/>
        <v>1.1834966686620834</v>
      </c>
      <c r="X40" s="175">
        <f t="shared" si="2"/>
        <v>-5846673.0661285706</v>
      </c>
      <c r="Y40" s="176">
        <f t="shared" si="12"/>
        <v>-5846673.0661285706</v>
      </c>
    </row>
    <row r="41" spans="1:26" x14ac:dyDescent="0.2">
      <c r="A41" s="107">
        <v>37</v>
      </c>
      <c r="B41" s="173" t="s">
        <v>55</v>
      </c>
      <c r="C41" s="111" t="s">
        <v>16</v>
      </c>
      <c r="D41" s="111" t="s">
        <v>51</v>
      </c>
      <c r="E41" s="204">
        <v>5947608.0274999999</v>
      </c>
      <c r="F41" s="204">
        <v>5415446.3205999983</v>
      </c>
      <c r="G41" s="205">
        <f t="shared" si="0"/>
        <v>0.91052508765886364</v>
      </c>
      <c r="H41" s="205">
        <f t="shared" si="3"/>
        <v>0.9</v>
      </c>
      <c r="I41" s="206">
        <v>5448695.7607333334</v>
      </c>
      <c r="J41" s="206">
        <v>5892103.6415000027</v>
      </c>
      <c r="K41" s="207">
        <f t="shared" si="4"/>
        <v>1.0813787189151101</v>
      </c>
      <c r="L41" s="207">
        <f t="shared" si="5"/>
        <v>0.9</v>
      </c>
      <c r="M41" s="210">
        <v>6567947.3954904778</v>
      </c>
      <c r="N41" s="203">
        <v>8374632.4236000031</v>
      </c>
      <c r="O41" s="209">
        <f t="shared" si="6"/>
        <v>1.2750760502969294</v>
      </c>
      <c r="P41" s="209">
        <f t="shared" si="7"/>
        <v>0.9</v>
      </c>
      <c r="Q41" s="213">
        <v>6787407.0162809528</v>
      </c>
      <c r="R41" s="213">
        <f>VLOOKUP(B41,'Dealer Wise'!B13:F133,5,0)</f>
        <v>9717752.9169000033</v>
      </c>
      <c r="S41" s="214">
        <f t="shared" si="8"/>
        <v>1.4317327506056481</v>
      </c>
      <c r="T41" s="214">
        <f t="shared" si="9"/>
        <v>0.9</v>
      </c>
      <c r="U41" s="174">
        <f t="shared" si="10"/>
        <v>24751658.200004764</v>
      </c>
      <c r="V41" s="174">
        <f t="shared" si="11"/>
        <v>29399935.302600004</v>
      </c>
      <c r="W41" s="159">
        <f t="shared" si="1"/>
        <v>1.1877965938699955</v>
      </c>
      <c r="X41" s="175">
        <f t="shared" si="2"/>
        <v>-4648277.1025952399</v>
      </c>
      <c r="Y41" s="176">
        <f t="shared" si="12"/>
        <v>-4648277.1025952399</v>
      </c>
    </row>
    <row r="42" spans="1:26" x14ac:dyDescent="0.2">
      <c r="A42" s="107">
        <v>38</v>
      </c>
      <c r="B42" s="173" t="s">
        <v>63</v>
      </c>
      <c r="C42" s="111" t="s">
        <v>16</v>
      </c>
      <c r="D42" s="111" t="s">
        <v>1461</v>
      </c>
      <c r="E42" s="204">
        <v>16177258.529999997</v>
      </c>
      <c r="F42" s="204">
        <v>14742379.152099999</v>
      </c>
      <c r="G42" s="205">
        <f t="shared" si="0"/>
        <v>0.91130268609856979</v>
      </c>
      <c r="H42" s="205">
        <f t="shared" si="3"/>
        <v>0.9</v>
      </c>
      <c r="I42" s="206">
        <v>16729959.0510619</v>
      </c>
      <c r="J42" s="206">
        <v>16762728.447799999</v>
      </c>
      <c r="K42" s="207">
        <f t="shared" si="4"/>
        <v>1.0019587254600015</v>
      </c>
      <c r="L42" s="207">
        <f t="shared" si="5"/>
        <v>0.9</v>
      </c>
      <c r="M42" s="210">
        <v>12078626.651285715</v>
      </c>
      <c r="N42" s="203">
        <v>20315634.056300007</v>
      </c>
      <c r="O42" s="209">
        <f t="shared" si="6"/>
        <v>1.6819490032120084</v>
      </c>
      <c r="P42" s="209">
        <f t="shared" si="7"/>
        <v>0.9</v>
      </c>
      <c r="Q42" s="213">
        <v>18214703.76507619</v>
      </c>
      <c r="R42" s="213">
        <f>VLOOKUP(B42,'Dealer Wise'!B41:F161,5,0)</f>
        <v>22168705.641800012</v>
      </c>
      <c r="S42" s="214">
        <f t="shared" si="8"/>
        <v>1.2170774736564749</v>
      </c>
      <c r="T42" s="214">
        <f t="shared" si="9"/>
        <v>0.9</v>
      </c>
      <c r="U42" s="174">
        <f t="shared" si="10"/>
        <v>63200547.997423805</v>
      </c>
      <c r="V42" s="174">
        <f t="shared" si="11"/>
        <v>73989447.298000023</v>
      </c>
      <c r="W42" s="159">
        <f t="shared" si="1"/>
        <v>1.1707089517802283</v>
      </c>
      <c r="X42" s="175">
        <f t="shared" si="2"/>
        <v>-10788899.300576217</v>
      </c>
      <c r="Y42" s="176">
        <f t="shared" si="12"/>
        <v>-10788899.300576217</v>
      </c>
    </row>
    <row r="43" spans="1:26" x14ac:dyDescent="0.2">
      <c r="A43" s="107">
        <v>39</v>
      </c>
      <c r="B43" s="173" t="s">
        <v>53</v>
      </c>
      <c r="C43" s="111" t="s">
        <v>27</v>
      </c>
      <c r="D43" s="111" t="s">
        <v>1455</v>
      </c>
      <c r="E43" s="204">
        <v>3375933.8274999997</v>
      </c>
      <c r="F43" s="204">
        <v>3412159.6527000004</v>
      </c>
      <c r="G43" s="205">
        <f t="shared" si="0"/>
        <v>1.0107306087888657</v>
      </c>
      <c r="H43" s="205">
        <f t="shared" si="3"/>
        <v>0.9</v>
      </c>
      <c r="I43" s="206">
        <v>3541409.380876191</v>
      </c>
      <c r="J43" s="206">
        <v>3226998.6419000006</v>
      </c>
      <c r="K43" s="207">
        <f t="shared" si="4"/>
        <v>0.91121875356347504</v>
      </c>
      <c r="L43" s="207">
        <f t="shared" si="5"/>
        <v>0.9</v>
      </c>
      <c r="M43" s="210">
        <v>4164353.0543095232</v>
      </c>
      <c r="N43" s="203">
        <v>5780353.1228999961</v>
      </c>
      <c r="O43" s="209">
        <f t="shared" si="6"/>
        <v>1.3880554908566503</v>
      </c>
      <c r="P43" s="209">
        <f t="shared" si="7"/>
        <v>0.9</v>
      </c>
      <c r="Q43" s="213">
        <v>5675444.328842856</v>
      </c>
      <c r="R43" s="213">
        <f>VLOOKUP(B43,'Dealer Wise'!B42:F162,5,0)</f>
        <v>5302772.1223000009</v>
      </c>
      <c r="S43" s="214">
        <f t="shared" si="8"/>
        <v>0.93433602993004117</v>
      </c>
      <c r="T43" s="214">
        <f t="shared" si="9"/>
        <v>0.9</v>
      </c>
      <c r="U43" s="174">
        <f t="shared" si="10"/>
        <v>16757140.59152857</v>
      </c>
      <c r="V43" s="174">
        <f t="shared" si="11"/>
        <v>17722283.539799996</v>
      </c>
      <c r="W43" s="159">
        <f t="shared" si="1"/>
        <v>1.0575959211537167</v>
      </c>
      <c r="X43" s="175">
        <f t="shared" si="2"/>
        <v>-965142.94827142544</v>
      </c>
      <c r="Y43" s="176">
        <f t="shared" si="12"/>
        <v>-965142.94827142544</v>
      </c>
    </row>
    <row r="44" spans="1:26" x14ac:dyDescent="0.2">
      <c r="A44" s="107">
        <v>40</v>
      </c>
      <c r="B44" s="173" t="s">
        <v>104</v>
      </c>
      <c r="C44" s="111" t="s">
        <v>27</v>
      </c>
      <c r="D44" s="111" t="s">
        <v>1455</v>
      </c>
      <c r="E44" s="204">
        <v>11233719.667499997</v>
      </c>
      <c r="F44" s="204">
        <v>9706859.9215999991</v>
      </c>
      <c r="G44" s="205">
        <f t="shared" si="0"/>
        <v>0.86408244187209704</v>
      </c>
      <c r="H44" s="205">
        <f t="shared" si="3"/>
        <v>0</v>
      </c>
      <c r="I44" s="206">
        <v>12754674.660895243</v>
      </c>
      <c r="J44" s="206">
        <v>5382491.6504999995</v>
      </c>
      <c r="K44" s="207">
        <f t="shared" si="4"/>
        <v>0.42200148522817793</v>
      </c>
      <c r="L44" s="207">
        <f t="shared" si="5"/>
        <v>0</v>
      </c>
      <c r="M44" s="210">
        <v>8865309.9247095231</v>
      </c>
      <c r="N44" s="203">
        <v>7144654.6873999992</v>
      </c>
      <c r="O44" s="209">
        <f t="shared" si="6"/>
        <v>0.80591143999222314</v>
      </c>
      <c r="P44" s="209">
        <f t="shared" si="7"/>
        <v>0</v>
      </c>
      <c r="Q44" s="213">
        <v>12134240.129785717</v>
      </c>
      <c r="R44" s="213">
        <f>VLOOKUP(B44,'Dealer Wise'!B43:F163,5,0)</f>
        <v>15919332.250199994</v>
      </c>
      <c r="S44" s="214">
        <f t="shared" si="8"/>
        <v>1.3119348290399393</v>
      </c>
      <c r="T44" s="214">
        <f t="shared" si="9"/>
        <v>0.9</v>
      </c>
      <c r="U44" s="174">
        <f t="shared" si="10"/>
        <v>44987944.382890478</v>
      </c>
      <c r="V44" s="174">
        <f t="shared" si="11"/>
        <v>38153338.509699993</v>
      </c>
      <c r="W44" s="159">
        <f t="shared" si="1"/>
        <v>0.84807916949880069</v>
      </c>
      <c r="X44" s="175">
        <f t="shared" si="2"/>
        <v>6834605.8731904849</v>
      </c>
      <c r="Y44" s="176">
        <f t="shared" si="12"/>
        <v>6834605.8731904849</v>
      </c>
    </row>
    <row r="45" spans="1:26" x14ac:dyDescent="0.2">
      <c r="A45" s="107">
        <v>41</v>
      </c>
      <c r="B45" s="173" t="s">
        <v>97</v>
      </c>
      <c r="C45" s="111" t="s">
        <v>27</v>
      </c>
      <c r="D45" s="111" t="s">
        <v>1455</v>
      </c>
      <c r="E45" s="204">
        <v>5739362.0899999999</v>
      </c>
      <c r="F45" s="204">
        <v>5246066.6566000003</v>
      </c>
      <c r="G45" s="205">
        <f t="shared" si="0"/>
        <v>0.91405047709753406</v>
      </c>
      <c r="H45" s="205">
        <f t="shared" si="3"/>
        <v>0.9</v>
      </c>
      <c r="I45" s="206">
        <v>6208696.38172381</v>
      </c>
      <c r="J45" s="206">
        <v>4997612.9802000001</v>
      </c>
      <c r="K45" s="207">
        <f t="shared" si="4"/>
        <v>0.80493757029433621</v>
      </c>
      <c r="L45" s="207">
        <f t="shared" si="5"/>
        <v>0</v>
      </c>
      <c r="M45" s="210">
        <v>4006529.5921047614</v>
      </c>
      <c r="N45" s="203">
        <v>4871907.112999999</v>
      </c>
      <c r="O45" s="209">
        <f t="shared" si="6"/>
        <v>1.2159917956429285</v>
      </c>
      <c r="P45" s="209">
        <f t="shared" si="7"/>
        <v>0.9</v>
      </c>
      <c r="Q45" s="213">
        <v>5675444.328842856</v>
      </c>
      <c r="R45" s="213">
        <f>VLOOKUP(B45,'Dealer Wise'!B44:F164,5,0)</f>
        <v>7892293.6694999998</v>
      </c>
      <c r="S45" s="214">
        <f t="shared" si="8"/>
        <v>1.3906036624112439</v>
      </c>
      <c r="T45" s="214">
        <f t="shared" si="9"/>
        <v>0.9</v>
      </c>
      <c r="U45" s="174">
        <f t="shared" si="10"/>
        <v>21630032.392671429</v>
      </c>
      <c r="V45" s="174">
        <f t="shared" si="11"/>
        <v>23007880.419300001</v>
      </c>
      <c r="W45" s="159">
        <f t="shared" si="1"/>
        <v>1.0637006917796115</v>
      </c>
      <c r="X45" s="175">
        <f t="shared" si="2"/>
        <v>-1377848.0266285725</v>
      </c>
      <c r="Y45" s="176">
        <f t="shared" si="12"/>
        <v>-1377848.0266285725</v>
      </c>
    </row>
    <row r="46" spans="1:26" x14ac:dyDescent="0.2">
      <c r="A46" s="107">
        <v>42</v>
      </c>
      <c r="B46" s="173" t="s">
        <v>98</v>
      </c>
      <c r="C46" s="111" t="s">
        <v>94</v>
      </c>
      <c r="D46" s="111" t="s">
        <v>1466</v>
      </c>
      <c r="E46" s="204">
        <v>7489675.3925000019</v>
      </c>
      <c r="F46" s="204">
        <v>6482049.4771999987</v>
      </c>
      <c r="G46" s="205">
        <f t="shared" si="0"/>
        <v>0.86546467470285593</v>
      </c>
      <c r="H46" s="205">
        <f t="shared" si="3"/>
        <v>0</v>
      </c>
      <c r="I46" s="206">
        <v>8237351.8294904772</v>
      </c>
      <c r="J46" s="206">
        <v>5744980.9970000014</v>
      </c>
      <c r="K46" s="207">
        <f t="shared" si="4"/>
        <v>0.69743057185349799</v>
      </c>
      <c r="L46" s="207">
        <f t="shared" si="5"/>
        <v>0</v>
      </c>
      <c r="M46" s="210">
        <v>5612749.2035142863</v>
      </c>
      <c r="N46" s="203">
        <v>3445348.6072</v>
      </c>
      <c r="O46" s="209">
        <f t="shared" si="6"/>
        <v>0.61384332031845978</v>
      </c>
      <c r="P46" s="209">
        <f t="shared" si="7"/>
        <v>0</v>
      </c>
      <c r="Q46" s="213">
        <v>6916063.3934428571</v>
      </c>
      <c r="R46" s="213">
        <f>VLOOKUP(B46,'Dealer Wise'!B45:F165,5,0)</f>
        <v>10459880.097500004</v>
      </c>
      <c r="S46" s="214">
        <f t="shared" si="8"/>
        <v>1.5124037335194254</v>
      </c>
      <c r="T46" s="214">
        <f t="shared" si="9"/>
        <v>0.9</v>
      </c>
      <c r="U46" s="174">
        <f t="shared" si="10"/>
        <v>28255839.818947624</v>
      </c>
      <c r="V46" s="174">
        <f t="shared" si="11"/>
        <v>26132259.178900003</v>
      </c>
      <c r="W46" s="159">
        <f t="shared" si="1"/>
        <v>0.92484453997280935</v>
      </c>
      <c r="X46" s="175">
        <f t="shared" si="2"/>
        <v>2123580.640047621</v>
      </c>
      <c r="Y46" s="176">
        <f t="shared" si="12"/>
        <v>2123580.640047621</v>
      </c>
    </row>
    <row r="47" spans="1:26" x14ac:dyDescent="0.2">
      <c r="A47" s="107">
        <v>43</v>
      </c>
      <c r="B47" s="108" t="s">
        <v>121</v>
      </c>
      <c r="C47" s="111" t="s">
        <v>94</v>
      </c>
      <c r="D47" s="111" t="s">
        <v>1396</v>
      </c>
      <c r="E47" s="204">
        <v>9260004.2524999995</v>
      </c>
      <c r="F47" s="204">
        <v>7419726.3269000016</v>
      </c>
      <c r="G47" s="205">
        <f t="shared" si="0"/>
        <v>0.80126597402985389</v>
      </c>
      <c r="H47" s="205">
        <f t="shared" si="3"/>
        <v>0</v>
      </c>
      <c r="I47" s="206">
        <v>9854274.5551380944</v>
      </c>
      <c r="J47" s="206">
        <v>4092492.0460000001</v>
      </c>
      <c r="K47" s="207">
        <f t="shared" si="4"/>
        <v>0.41530119980939068</v>
      </c>
      <c r="L47" s="207">
        <f t="shared" si="5"/>
        <v>0</v>
      </c>
      <c r="M47" s="210">
        <v>7419740.7231666669</v>
      </c>
      <c r="N47" s="203">
        <v>9557441.8836000022</v>
      </c>
      <c r="O47" s="209">
        <f t="shared" si="6"/>
        <v>1.2881099542681846</v>
      </c>
      <c r="P47" s="209">
        <f t="shared" si="7"/>
        <v>0.9</v>
      </c>
      <c r="Q47" s="213">
        <v>8497477.3262142856</v>
      </c>
      <c r="R47" s="213">
        <f>VLOOKUP(B47,'Dealer Wise'!B46:F166,5,0)</f>
        <v>11268939.457400005</v>
      </c>
      <c r="S47" s="214">
        <f t="shared" si="8"/>
        <v>1.3261511651976876</v>
      </c>
      <c r="T47" s="214">
        <f t="shared" si="9"/>
        <v>0.9</v>
      </c>
      <c r="U47" s="174">
        <f t="shared" si="10"/>
        <v>35031496.857019044</v>
      </c>
      <c r="V47" s="174">
        <f t="shared" si="11"/>
        <v>32338599.713900011</v>
      </c>
      <c r="W47" s="159">
        <f t="shared" si="1"/>
        <v>0.92312925838966897</v>
      </c>
      <c r="X47" s="175">
        <f t="shared" si="2"/>
        <v>2692897.1431190334</v>
      </c>
      <c r="Y47" s="176">
        <f t="shared" si="12"/>
        <v>2692897.1431190334</v>
      </c>
    </row>
    <row r="48" spans="1:26" x14ac:dyDescent="0.2">
      <c r="A48" s="107">
        <v>44</v>
      </c>
      <c r="B48" s="173" t="s">
        <v>1126</v>
      </c>
      <c r="C48" s="111" t="s">
        <v>94</v>
      </c>
      <c r="D48" s="111" t="s">
        <v>1396</v>
      </c>
      <c r="E48" s="204">
        <v>4747651.3325000005</v>
      </c>
      <c r="F48" s="204">
        <v>3818130.6775000002</v>
      </c>
      <c r="G48" s="205">
        <f t="shared" si="0"/>
        <v>0.80421463374174595</v>
      </c>
      <c r="H48" s="205">
        <f t="shared" si="3"/>
        <v>0</v>
      </c>
      <c r="I48" s="206">
        <v>5293521.8939809529</v>
      </c>
      <c r="J48" s="206">
        <v>1125386.1873999999</v>
      </c>
      <c r="K48" s="207">
        <f t="shared" si="4"/>
        <v>0.21259687027640908</v>
      </c>
      <c r="L48" s="207">
        <f t="shared" si="5"/>
        <v>0</v>
      </c>
      <c r="M48" s="210">
        <v>4007785.535509523</v>
      </c>
      <c r="N48" s="203">
        <v>5851825.0389999971</v>
      </c>
      <c r="O48" s="209">
        <f t="shared" si="6"/>
        <v>1.4601143167846768</v>
      </c>
      <c r="P48" s="209">
        <f t="shared" si="7"/>
        <v>0.9</v>
      </c>
      <c r="Q48" s="213">
        <v>4797836.7207428562</v>
      </c>
      <c r="R48" s="213">
        <f>VLOOKUP(B48,'Dealer Wise'!B47:F167,5,0)</f>
        <v>6918009.067400001</v>
      </c>
      <c r="S48" s="214">
        <f t="shared" si="8"/>
        <v>1.4419017298964845</v>
      </c>
      <c r="T48" s="214">
        <f t="shared" si="9"/>
        <v>0.9</v>
      </c>
      <c r="U48" s="174">
        <f t="shared" si="10"/>
        <v>18846795.482733332</v>
      </c>
      <c r="V48" s="174">
        <f t="shared" si="11"/>
        <v>17713350.971299998</v>
      </c>
      <c r="W48" s="159">
        <f t="shared" si="1"/>
        <v>0.93986009385671165</v>
      </c>
      <c r="X48" s="175">
        <f t="shared" si="2"/>
        <v>1133444.5114333332</v>
      </c>
      <c r="Y48" s="176">
        <f t="shared" si="12"/>
        <v>1133444.5114333332</v>
      </c>
    </row>
    <row r="49" spans="1:25" x14ac:dyDescent="0.2">
      <c r="A49" s="107">
        <v>45</v>
      </c>
      <c r="B49" s="173" t="s">
        <v>123</v>
      </c>
      <c r="C49" s="111" t="s">
        <v>138</v>
      </c>
      <c r="D49" s="111" t="s">
        <v>1399</v>
      </c>
      <c r="E49" s="204">
        <v>19282697.295000006</v>
      </c>
      <c r="F49" s="204">
        <v>19664322.4417</v>
      </c>
      <c r="G49" s="205">
        <f t="shared" si="0"/>
        <v>1.0197910666159216</v>
      </c>
      <c r="H49" s="205">
        <f t="shared" si="3"/>
        <v>0.9</v>
      </c>
      <c r="I49" s="206">
        <v>20819460.362861905</v>
      </c>
      <c r="J49" s="206">
        <v>29391575.384400014</v>
      </c>
      <c r="K49" s="207">
        <f t="shared" si="4"/>
        <v>1.4117356968977537</v>
      </c>
      <c r="L49" s="207">
        <f t="shared" si="5"/>
        <v>0.9</v>
      </c>
      <c r="M49" s="210">
        <v>16784326.614495236</v>
      </c>
      <c r="N49" s="203">
        <v>19497874.516100008</v>
      </c>
      <c r="O49" s="209">
        <f t="shared" si="6"/>
        <v>1.1616715382112086</v>
      </c>
      <c r="P49" s="209">
        <f t="shared" si="7"/>
        <v>0.9</v>
      </c>
      <c r="Q49" s="213">
        <v>25367561.171190478</v>
      </c>
      <c r="R49" s="213">
        <f>VLOOKUP(B49,'Dealer Wise'!B4:F124,5,0)</f>
        <v>35960255.670400023</v>
      </c>
      <c r="S49" s="214">
        <f t="shared" si="8"/>
        <v>1.4175685012731729</v>
      </c>
      <c r="T49" s="214">
        <f t="shared" si="9"/>
        <v>0.9</v>
      </c>
      <c r="U49" s="174">
        <f t="shared" si="10"/>
        <v>82254045.443547636</v>
      </c>
      <c r="V49" s="174">
        <f t="shared" si="11"/>
        <v>104514028.01260005</v>
      </c>
      <c r="W49" s="159">
        <f t="shared" si="1"/>
        <v>1.2706247753410478</v>
      </c>
      <c r="X49" s="175">
        <f t="shared" si="2"/>
        <v>-22259982.569052413</v>
      </c>
      <c r="Y49" s="176">
        <f t="shared" si="12"/>
        <v>-22259982.569052413</v>
      </c>
    </row>
    <row r="50" spans="1:25" x14ac:dyDescent="0.2">
      <c r="A50" s="107">
        <v>46</v>
      </c>
      <c r="B50" s="173" t="s">
        <v>124</v>
      </c>
      <c r="C50" s="111" t="s">
        <v>138</v>
      </c>
      <c r="D50" s="111" t="s">
        <v>1399</v>
      </c>
      <c r="E50" s="204">
        <v>14509482.7325</v>
      </c>
      <c r="F50" s="204">
        <v>13999030.607800005</v>
      </c>
      <c r="G50" s="205">
        <f t="shared" si="0"/>
        <v>0.96481941264821069</v>
      </c>
      <c r="H50" s="205">
        <f t="shared" si="3"/>
        <v>0.9</v>
      </c>
      <c r="I50" s="206">
        <v>15501013.03818571</v>
      </c>
      <c r="J50" s="206">
        <v>15950486.235600006</v>
      </c>
      <c r="K50" s="207">
        <f t="shared" si="4"/>
        <v>1.0289963756760316</v>
      </c>
      <c r="L50" s="207">
        <f t="shared" si="5"/>
        <v>0.9</v>
      </c>
      <c r="M50" s="210">
        <v>14203884.874342859</v>
      </c>
      <c r="N50" s="203">
        <v>12933107.111999998</v>
      </c>
      <c r="O50" s="209">
        <f t="shared" si="6"/>
        <v>0.91053308488592966</v>
      </c>
      <c r="P50" s="209">
        <f t="shared" si="7"/>
        <v>0.9</v>
      </c>
      <c r="Q50" s="213">
        <v>12980974.704190478</v>
      </c>
      <c r="R50" s="213">
        <f>VLOOKUP(B50,'Dealer Wise'!B22:F142,5,0)</f>
        <v>19308762.159799997</v>
      </c>
      <c r="S50" s="214">
        <f t="shared" si="8"/>
        <v>1.487466280445551</v>
      </c>
      <c r="T50" s="214">
        <f t="shared" si="9"/>
        <v>0.9</v>
      </c>
      <c r="U50" s="174">
        <f t="shared" si="10"/>
        <v>57195355.349219047</v>
      </c>
      <c r="V50" s="174">
        <f t="shared" si="11"/>
        <v>62191386.115199998</v>
      </c>
      <c r="W50" s="159">
        <f t="shared" si="1"/>
        <v>1.087350288069312</v>
      </c>
      <c r="X50" s="175">
        <f t="shared" si="2"/>
        <v>-4996030.7659809515</v>
      </c>
      <c r="Y50" s="176">
        <f t="shared" si="12"/>
        <v>-4996030.7659809515</v>
      </c>
    </row>
    <row r="51" spans="1:25" x14ac:dyDescent="0.2">
      <c r="A51" s="107">
        <v>47</v>
      </c>
      <c r="B51" s="173" t="s">
        <v>122</v>
      </c>
      <c r="C51" s="111" t="s">
        <v>138</v>
      </c>
      <c r="D51" s="111" t="s">
        <v>1399</v>
      </c>
      <c r="E51" s="204">
        <v>9611385.0350000001</v>
      </c>
      <c r="F51" s="204">
        <v>5289008.3500999976</v>
      </c>
      <c r="G51" s="205">
        <f t="shared" si="0"/>
        <v>0.5502857632734508</v>
      </c>
      <c r="H51" s="205">
        <f t="shared" si="3"/>
        <v>0</v>
      </c>
      <c r="I51" s="206">
        <v>9808266.8844380975</v>
      </c>
      <c r="J51" s="206">
        <v>4891587.4751999974</v>
      </c>
      <c r="K51" s="207">
        <f t="shared" si="4"/>
        <v>0.4987208782992073</v>
      </c>
      <c r="L51" s="207">
        <f t="shared" si="5"/>
        <v>0</v>
      </c>
      <c r="M51" s="210">
        <v>7175261.069980952</v>
      </c>
      <c r="N51" s="203">
        <v>873043.17299999995</v>
      </c>
      <c r="O51" s="209">
        <f t="shared" si="6"/>
        <v>0.12167406377066049</v>
      </c>
      <c r="P51" s="209">
        <f t="shared" si="7"/>
        <v>0</v>
      </c>
      <c r="Q51" s="213">
        <v>0</v>
      </c>
      <c r="R51" s="213">
        <v>0</v>
      </c>
      <c r="S51" s="214">
        <f t="shared" si="8"/>
        <v>0</v>
      </c>
      <c r="T51" s="214">
        <f t="shared" si="9"/>
        <v>0</v>
      </c>
      <c r="U51" s="174">
        <f t="shared" si="10"/>
        <v>26594912.989419051</v>
      </c>
      <c r="V51" s="174">
        <f t="shared" si="11"/>
        <v>11053638.998299995</v>
      </c>
      <c r="W51" s="159">
        <f t="shared" si="1"/>
        <v>0.4156298237447798</v>
      </c>
      <c r="X51" s="175">
        <f t="shared" si="2"/>
        <v>15541273.991119055</v>
      </c>
      <c r="Y51" s="176">
        <f t="shared" si="12"/>
        <v>15541273.991119055</v>
      </c>
    </row>
    <row r="52" spans="1:25" x14ac:dyDescent="0.2">
      <c r="A52" s="107">
        <v>48</v>
      </c>
      <c r="B52" s="173" t="s">
        <v>109</v>
      </c>
      <c r="C52" s="111" t="s">
        <v>138</v>
      </c>
      <c r="D52" s="111" t="s">
        <v>1449</v>
      </c>
      <c r="E52" s="204">
        <v>5344484.5074999966</v>
      </c>
      <c r="F52" s="204">
        <v>2970563.4692000006</v>
      </c>
      <c r="G52" s="205">
        <f t="shared" si="0"/>
        <v>0.5558185200146738</v>
      </c>
      <c r="H52" s="205">
        <f t="shared" si="3"/>
        <v>0</v>
      </c>
      <c r="I52" s="206">
        <v>5256501.3097809535</v>
      </c>
      <c r="J52" s="206">
        <v>2965065.6096000001</v>
      </c>
      <c r="K52" s="207">
        <f t="shared" si="4"/>
        <v>0.56407588143900966</v>
      </c>
      <c r="L52" s="207">
        <f t="shared" si="5"/>
        <v>0</v>
      </c>
      <c r="M52" s="210">
        <v>3575898.1894904757</v>
      </c>
      <c r="N52" s="203">
        <v>3586383.7161000017</v>
      </c>
      <c r="O52" s="209">
        <f t="shared" si="6"/>
        <v>1.0029322777254517</v>
      </c>
      <c r="P52" s="209">
        <f t="shared" si="7"/>
        <v>0.9</v>
      </c>
      <c r="Q52" s="213">
        <v>4967354.8607476195</v>
      </c>
      <c r="R52" s="213">
        <f>VLOOKUP(B52,'Dealer Wise'!B7:F127,5,0)</f>
        <v>4487040.9965000013</v>
      </c>
      <c r="S52" s="214">
        <f t="shared" si="8"/>
        <v>0.90330590873563488</v>
      </c>
      <c r="T52" s="214">
        <f t="shared" si="9"/>
        <v>0.9</v>
      </c>
      <c r="U52" s="174">
        <f t="shared" si="10"/>
        <v>19144238.867519047</v>
      </c>
      <c r="V52" s="174">
        <f t="shared" si="11"/>
        <v>14009053.791400004</v>
      </c>
      <c r="W52" s="159">
        <f t="shared" si="1"/>
        <v>0.73176342440902042</v>
      </c>
      <c r="X52" s="175">
        <f t="shared" si="2"/>
        <v>5135185.0761190429</v>
      </c>
      <c r="Y52" s="176">
        <f t="shared" si="12"/>
        <v>5135185.0761190429</v>
      </c>
    </row>
    <row r="53" spans="1:25" x14ac:dyDescent="0.2">
      <c r="A53" s="107">
        <v>49</v>
      </c>
      <c r="B53" s="173" t="s">
        <v>117</v>
      </c>
      <c r="C53" s="111" t="s">
        <v>138</v>
      </c>
      <c r="D53" s="111" t="s">
        <v>1449</v>
      </c>
      <c r="E53" s="204">
        <v>3987981.0075000008</v>
      </c>
      <c r="F53" s="204">
        <v>3660593.7566999993</v>
      </c>
      <c r="G53" s="205">
        <f t="shared" si="0"/>
        <v>0.91790651706106419</v>
      </c>
      <c r="H53" s="205">
        <f t="shared" si="3"/>
        <v>0.9</v>
      </c>
      <c r="I53" s="206">
        <v>4197837.4077523816</v>
      </c>
      <c r="J53" s="206">
        <v>3660816.3947000005</v>
      </c>
      <c r="K53" s="207">
        <f t="shared" si="4"/>
        <v>0.87207198352641424</v>
      </c>
      <c r="L53" s="207">
        <f t="shared" si="5"/>
        <v>0</v>
      </c>
      <c r="M53" s="210">
        <v>3460917.0404380942</v>
      </c>
      <c r="N53" s="203">
        <v>2301710.1639</v>
      </c>
      <c r="O53" s="209">
        <f t="shared" si="6"/>
        <v>0.66505788408283895</v>
      </c>
      <c r="P53" s="209">
        <f t="shared" si="7"/>
        <v>0</v>
      </c>
      <c r="Q53" s="213">
        <v>4291940.5926333331</v>
      </c>
      <c r="R53" s="213">
        <f>VLOOKUP(B53,'Dealer Wise'!B8:F128,5,0)</f>
        <v>4723536.5485000024</v>
      </c>
      <c r="S53" s="214">
        <f t="shared" si="8"/>
        <v>1.1005596295082598</v>
      </c>
      <c r="T53" s="214">
        <f t="shared" si="9"/>
        <v>0.9</v>
      </c>
      <c r="U53" s="174">
        <f t="shared" si="10"/>
        <v>15938676.04832381</v>
      </c>
      <c r="V53" s="174">
        <f t="shared" si="11"/>
        <v>14346656.8638</v>
      </c>
      <c r="W53" s="159">
        <f t="shared" si="1"/>
        <v>0.90011597075584993</v>
      </c>
      <c r="X53" s="175">
        <f t="shared" si="2"/>
        <v>1592019.1845238097</v>
      </c>
      <c r="Y53" s="176">
        <f t="shared" si="12"/>
        <v>1592019.1845238097</v>
      </c>
    </row>
    <row r="54" spans="1:25" x14ac:dyDescent="0.2">
      <c r="A54" s="107">
        <v>50</v>
      </c>
      <c r="B54" s="173" t="s">
        <v>118</v>
      </c>
      <c r="C54" s="111" t="s">
        <v>138</v>
      </c>
      <c r="D54" s="111" t="s">
        <v>1449</v>
      </c>
      <c r="E54" s="204">
        <v>7356265.4775</v>
      </c>
      <c r="F54" s="204">
        <v>7469595.4065000024</v>
      </c>
      <c r="G54" s="205">
        <f t="shared" si="0"/>
        <v>1.0154059052581279</v>
      </c>
      <c r="H54" s="205">
        <f t="shared" si="3"/>
        <v>0.9</v>
      </c>
      <c r="I54" s="206">
        <v>7405369.4510809537</v>
      </c>
      <c r="J54" s="206">
        <v>6390323.1598000014</v>
      </c>
      <c r="K54" s="207">
        <f t="shared" si="4"/>
        <v>0.86293103970217355</v>
      </c>
      <c r="L54" s="207">
        <f t="shared" si="5"/>
        <v>0</v>
      </c>
      <c r="M54" s="210">
        <v>7423688.4856428541</v>
      </c>
      <c r="N54" s="203">
        <v>13097754.361</v>
      </c>
      <c r="O54" s="209">
        <f t="shared" si="6"/>
        <v>1.76431896170355</v>
      </c>
      <c r="P54" s="209">
        <f t="shared" si="7"/>
        <v>0.9</v>
      </c>
      <c r="Q54" s="213">
        <v>8964140.0512238108</v>
      </c>
      <c r="R54" s="213">
        <f>VLOOKUP(B54,'Dealer Wise'!B9:F129,5,0)</f>
        <v>10411691.546400001</v>
      </c>
      <c r="S54" s="214">
        <f t="shared" si="8"/>
        <v>1.1614824720390848</v>
      </c>
      <c r="T54" s="214">
        <f t="shared" si="9"/>
        <v>0.9</v>
      </c>
      <c r="U54" s="174">
        <f t="shared" si="10"/>
        <v>31149463.46544762</v>
      </c>
      <c r="V54" s="174">
        <f t="shared" si="11"/>
        <v>37369364.473700009</v>
      </c>
      <c r="W54" s="159">
        <f t="shared" si="1"/>
        <v>1.1996792341271554</v>
      </c>
      <c r="X54" s="175">
        <f t="shared" si="2"/>
        <v>-6219901.0082523897</v>
      </c>
      <c r="Y54" s="176">
        <f t="shared" si="12"/>
        <v>-6219901.0082523897</v>
      </c>
    </row>
    <row r="55" spans="1:25" x14ac:dyDescent="0.2">
      <c r="A55" s="107">
        <v>51</v>
      </c>
      <c r="B55" s="173" t="s">
        <v>119</v>
      </c>
      <c r="C55" s="111" t="s">
        <v>138</v>
      </c>
      <c r="D55" s="111" t="s">
        <v>1449</v>
      </c>
      <c r="E55" s="204">
        <v>5077710.9924999997</v>
      </c>
      <c r="F55" s="204">
        <v>4118334.6554999994</v>
      </c>
      <c r="G55" s="205">
        <f t="shared" si="0"/>
        <v>0.81106125606261548</v>
      </c>
      <c r="H55" s="205">
        <f t="shared" si="3"/>
        <v>0</v>
      </c>
      <c r="I55" s="206">
        <v>5636594.6728428574</v>
      </c>
      <c r="J55" s="206">
        <v>3174056.8188000005</v>
      </c>
      <c r="K55" s="207">
        <f t="shared" si="4"/>
        <v>0.56311603069360705</v>
      </c>
      <c r="L55" s="207">
        <f t="shared" si="5"/>
        <v>0</v>
      </c>
      <c r="M55" s="210">
        <v>4781904.904504762</v>
      </c>
      <c r="N55" s="203">
        <v>5705656.2000999982</v>
      </c>
      <c r="O55" s="209">
        <f t="shared" si="6"/>
        <v>1.1931764253038621</v>
      </c>
      <c r="P55" s="209">
        <f t="shared" si="7"/>
        <v>0.9</v>
      </c>
      <c r="Q55" s="213">
        <v>5160069.937561905</v>
      </c>
      <c r="R55" s="213">
        <f>VLOOKUP(B55,'Dealer Wise'!B10:F130,5,0)</f>
        <v>5741804.7116999999</v>
      </c>
      <c r="S55" s="214">
        <f t="shared" si="8"/>
        <v>1.112737769289414</v>
      </c>
      <c r="T55" s="214">
        <f t="shared" si="9"/>
        <v>0.9</v>
      </c>
      <c r="U55" s="174">
        <f t="shared" si="10"/>
        <v>20656280.50740952</v>
      </c>
      <c r="V55" s="174">
        <f t="shared" si="11"/>
        <v>18739852.386099998</v>
      </c>
      <c r="W55" s="159">
        <f t="shared" si="1"/>
        <v>0.90722298137740287</v>
      </c>
      <c r="X55" s="175">
        <f t="shared" si="2"/>
        <v>1916428.1213095225</v>
      </c>
      <c r="Y55" s="176">
        <f t="shared" si="12"/>
        <v>1916428.1213095225</v>
      </c>
    </row>
    <row r="56" spans="1:25" x14ac:dyDescent="0.2">
      <c r="A56" s="107">
        <v>52</v>
      </c>
      <c r="B56" s="173" t="s">
        <v>107</v>
      </c>
      <c r="C56" s="111" t="s">
        <v>138</v>
      </c>
      <c r="D56" s="111" t="s">
        <v>1398</v>
      </c>
      <c r="E56" s="204">
        <v>4806555.1124999998</v>
      </c>
      <c r="F56" s="204">
        <v>3852619.4976999997</v>
      </c>
      <c r="G56" s="205">
        <f t="shared" si="0"/>
        <v>0.80153444775465477</v>
      </c>
      <c r="H56" s="205">
        <f t="shared" si="3"/>
        <v>0</v>
      </c>
      <c r="I56" s="206">
        <v>5312456.8847285714</v>
      </c>
      <c r="J56" s="206">
        <v>4262360.2879999988</v>
      </c>
      <c r="K56" s="207">
        <f t="shared" si="4"/>
        <v>0.8023331540351456</v>
      </c>
      <c r="L56" s="207">
        <f t="shared" si="5"/>
        <v>0</v>
      </c>
      <c r="M56" s="210">
        <v>3752374.5269428575</v>
      </c>
      <c r="N56" s="203">
        <v>3629238.9076999999</v>
      </c>
      <c r="O56" s="209">
        <f t="shared" si="6"/>
        <v>0.96718461380687948</v>
      </c>
      <c r="P56" s="209">
        <f t="shared" si="7"/>
        <v>0.9</v>
      </c>
      <c r="Q56" s="213">
        <v>4620797.1297904756</v>
      </c>
      <c r="R56" s="213">
        <f>VLOOKUP(B56,'Dealer Wise'!B11:F131,5,0)</f>
        <v>3832774.4065</v>
      </c>
      <c r="S56" s="214">
        <f t="shared" si="8"/>
        <v>0.8294617354633339</v>
      </c>
      <c r="T56" s="214">
        <f t="shared" si="9"/>
        <v>0</v>
      </c>
      <c r="U56" s="174">
        <f t="shared" si="10"/>
        <v>18492183.653961904</v>
      </c>
      <c r="V56" s="174">
        <f t="shared" si="11"/>
        <v>15576993.0999</v>
      </c>
      <c r="W56" s="159">
        <f t="shared" si="1"/>
        <v>0.84235552660448876</v>
      </c>
      <c r="X56" s="175">
        <f t="shared" si="2"/>
        <v>2915190.5540619045</v>
      </c>
      <c r="Y56" s="176">
        <f t="shared" si="12"/>
        <v>2915190.5540619045</v>
      </c>
    </row>
    <row r="57" spans="1:25" x14ac:dyDescent="0.2">
      <c r="A57" s="107">
        <v>53</v>
      </c>
      <c r="B57" s="173" t="s">
        <v>120</v>
      </c>
      <c r="C57" s="111" t="s">
        <v>138</v>
      </c>
      <c r="D57" s="111" t="s">
        <v>1398</v>
      </c>
      <c r="E57" s="204">
        <v>3124089.8000000003</v>
      </c>
      <c r="F57" s="204">
        <v>2518630.4870999996</v>
      </c>
      <c r="G57" s="205">
        <f t="shared" si="0"/>
        <v>0.80619657191032068</v>
      </c>
      <c r="H57" s="205">
        <f t="shared" si="3"/>
        <v>0</v>
      </c>
      <c r="I57" s="206">
        <v>3512839.9232428581</v>
      </c>
      <c r="J57" s="206">
        <v>2824038.8882000009</v>
      </c>
      <c r="K57" s="207">
        <f t="shared" si="4"/>
        <v>0.80391903699187217</v>
      </c>
      <c r="L57" s="207">
        <f t="shared" si="5"/>
        <v>0</v>
      </c>
      <c r="M57" s="210">
        <v>3340524.9166333331</v>
      </c>
      <c r="N57" s="203">
        <v>3769854.0012999997</v>
      </c>
      <c r="O57" s="209">
        <f t="shared" si="6"/>
        <v>1.1285214435997548</v>
      </c>
      <c r="P57" s="209">
        <f t="shared" si="7"/>
        <v>0.9</v>
      </c>
      <c r="Q57" s="213">
        <v>3762607.7558238101</v>
      </c>
      <c r="R57" s="213">
        <f>VLOOKUP(B57,'Dealer Wise'!B12:F132,5,0)</f>
        <v>2898481.4031000012</v>
      </c>
      <c r="S57" s="214">
        <f t="shared" si="8"/>
        <v>0.77033844375983551</v>
      </c>
      <c r="T57" s="214">
        <f t="shared" si="9"/>
        <v>0</v>
      </c>
      <c r="U57" s="174">
        <f t="shared" si="10"/>
        <v>13740062.3957</v>
      </c>
      <c r="V57" s="174">
        <f t="shared" si="11"/>
        <v>12011004.779700002</v>
      </c>
      <c r="W57" s="159">
        <f t="shared" si="1"/>
        <v>0.87415940581600904</v>
      </c>
      <c r="X57" s="175">
        <f t="shared" si="2"/>
        <v>1729057.6159999985</v>
      </c>
      <c r="Y57" s="176">
        <f t="shared" si="12"/>
        <v>1729057.6159999985</v>
      </c>
    </row>
    <row r="58" spans="1:25" x14ac:dyDescent="0.2">
      <c r="A58" s="107">
        <v>54</v>
      </c>
      <c r="B58" s="173" t="s">
        <v>111</v>
      </c>
      <c r="C58" s="111" t="s">
        <v>138</v>
      </c>
      <c r="D58" s="111" t="s">
        <v>1398</v>
      </c>
      <c r="E58" s="204">
        <v>1721934.7849999997</v>
      </c>
      <c r="F58" s="204">
        <v>1828311.5106000004</v>
      </c>
      <c r="G58" s="205">
        <f t="shared" si="0"/>
        <v>1.0617774415887653</v>
      </c>
      <c r="H58" s="205">
        <f t="shared" si="3"/>
        <v>0.9</v>
      </c>
      <c r="I58" s="206">
        <v>1953766.196095238</v>
      </c>
      <c r="J58" s="206">
        <v>2453127.3789999997</v>
      </c>
      <c r="K58" s="207">
        <f t="shared" si="4"/>
        <v>1.255589017715004</v>
      </c>
      <c r="L58" s="207">
        <f t="shared" si="5"/>
        <v>0.9</v>
      </c>
      <c r="M58" s="210">
        <v>1600779.849571429</v>
      </c>
      <c r="N58" s="203">
        <v>1922377.6038999995</v>
      </c>
      <c r="O58" s="209">
        <f t="shared" si="6"/>
        <v>1.2009006762639289</v>
      </c>
      <c r="P58" s="209">
        <f t="shared" si="7"/>
        <v>0.9</v>
      </c>
      <c r="Q58" s="213">
        <v>1982227.1237380949</v>
      </c>
      <c r="R58" s="213">
        <f>VLOOKUP(B58,'Dealer Wise'!B13:F133,5,0)</f>
        <v>3127122.7927000001</v>
      </c>
      <c r="S58" s="214">
        <f t="shared" si="8"/>
        <v>1.5775804675716749</v>
      </c>
      <c r="T58" s="214">
        <f t="shared" si="9"/>
        <v>0.9</v>
      </c>
      <c r="U58" s="174">
        <f t="shared" si="10"/>
        <v>7258707.954404762</v>
      </c>
      <c r="V58" s="174">
        <f t="shared" si="11"/>
        <v>9330939.2862</v>
      </c>
      <c r="W58" s="159">
        <f t="shared" si="1"/>
        <v>1.2854821195193227</v>
      </c>
      <c r="X58" s="175">
        <f t="shared" si="2"/>
        <v>-2072231.331795238</v>
      </c>
      <c r="Y58" s="176">
        <f t="shared" si="12"/>
        <v>-2072231.331795238</v>
      </c>
    </row>
    <row r="59" spans="1:25" x14ac:dyDescent="0.2">
      <c r="A59" s="107">
        <v>55</v>
      </c>
      <c r="B59" s="173" t="s">
        <v>112</v>
      </c>
      <c r="C59" s="111" t="s">
        <v>138</v>
      </c>
      <c r="D59" s="111" t="s">
        <v>1399</v>
      </c>
      <c r="E59" s="204">
        <v>3466322.7524999995</v>
      </c>
      <c r="F59" s="204">
        <v>2788205.2362999995</v>
      </c>
      <c r="G59" s="205">
        <f t="shared" si="0"/>
        <v>0.80436977032478452</v>
      </c>
      <c r="H59" s="205">
        <f t="shared" si="3"/>
        <v>0</v>
      </c>
      <c r="I59" s="206">
        <v>3656949.3621904766</v>
      </c>
      <c r="J59" s="206">
        <v>3172784.2498999992</v>
      </c>
      <c r="K59" s="207">
        <f t="shared" si="4"/>
        <v>0.86760409720290266</v>
      </c>
      <c r="L59" s="207">
        <f t="shared" si="5"/>
        <v>0</v>
      </c>
      <c r="M59" s="210">
        <v>3216380.0188952382</v>
      </c>
      <c r="N59" s="203">
        <v>2732315.4071999998</v>
      </c>
      <c r="O59" s="209">
        <f t="shared" si="6"/>
        <v>0.84950018068402722</v>
      </c>
      <c r="P59" s="209">
        <f t="shared" si="7"/>
        <v>0</v>
      </c>
      <c r="Q59" s="213">
        <v>3633430.8470190475</v>
      </c>
      <c r="R59" s="213">
        <f>VLOOKUP(B59,'Dealer Wise'!B14:F134,5,0)</f>
        <v>4589265.0929999994</v>
      </c>
      <c r="S59" s="214">
        <f t="shared" si="8"/>
        <v>1.2630665853363194</v>
      </c>
      <c r="T59" s="214">
        <f t="shared" si="9"/>
        <v>0.9</v>
      </c>
      <c r="U59" s="174">
        <f t="shared" si="10"/>
        <v>13973082.98060476</v>
      </c>
      <c r="V59" s="174">
        <f t="shared" si="11"/>
        <v>13282569.986399997</v>
      </c>
      <c r="W59" s="159">
        <f t="shared" si="1"/>
        <v>0.95058263125158382</v>
      </c>
      <c r="X59" s="175">
        <f t="shared" si="2"/>
        <v>690512.99420476332</v>
      </c>
      <c r="Y59" s="176">
        <f t="shared" si="12"/>
        <v>690512.99420476332</v>
      </c>
    </row>
    <row r="60" spans="1:25" x14ac:dyDescent="0.2">
      <c r="A60" s="107">
        <v>56</v>
      </c>
      <c r="B60" s="173" t="s">
        <v>113</v>
      </c>
      <c r="C60" s="111" t="s">
        <v>138</v>
      </c>
      <c r="D60" s="111" t="s">
        <v>1398</v>
      </c>
      <c r="E60" s="204">
        <v>4030988.9399999985</v>
      </c>
      <c r="F60" s="204">
        <v>3229029.6129999985</v>
      </c>
      <c r="G60" s="205">
        <f t="shared" si="0"/>
        <v>0.80105146927046633</v>
      </c>
      <c r="H60" s="205">
        <f t="shared" si="3"/>
        <v>0</v>
      </c>
      <c r="I60" s="206">
        <v>4804646.3783666659</v>
      </c>
      <c r="J60" s="206">
        <v>2331531.2202999997</v>
      </c>
      <c r="K60" s="207">
        <f t="shared" si="4"/>
        <v>0.48526593565718379</v>
      </c>
      <c r="L60" s="207">
        <f t="shared" si="5"/>
        <v>0</v>
      </c>
      <c r="M60" s="210">
        <v>3213800.5651333337</v>
      </c>
      <c r="N60" s="203">
        <v>3876470.2664000001</v>
      </c>
      <c r="O60" s="209">
        <f t="shared" si="6"/>
        <v>1.2061950291676464</v>
      </c>
      <c r="P60" s="209">
        <f t="shared" si="7"/>
        <v>0.9</v>
      </c>
      <c r="Q60" s="213">
        <v>3893913.3520238097</v>
      </c>
      <c r="R60" s="213">
        <f>VLOOKUP(B60,'Dealer Wise'!B15:F135,5,0)</f>
        <v>4719938.9353000009</v>
      </c>
      <c r="S60" s="214">
        <f t="shared" si="8"/>
        <v>1.2121325023441714</v>
      </c>
      <c r="T60" s="214">
        <f t="shared" si="9"/>
        <v>0.9</v>
      </c>
      <c r="U60" s="174">
        <f t="shared" si="10"/>
        <v>15943349.235523809</v>
      </c>
      <c r="V60" s="174">
        <f t="shared" si="11"/>
        <v>14156970.035</v>
      </c>
      <c r="W60" s="159">
        <f t="shared" si="1"/>
        <v>0.88795458381206827</v>
      </c>
      <c r="X60" s="175">
        <f t="shared" si="2"/>
        <v>1786379.2005238086</v>
      </c>
      <c r="Y60" s="176">
        <f t="shared" si="12"/>
        <v>1786379.2005238086</v>
      </c>
    </row>
    <row r="61" spans="1:25" x14ac:dyDescent="0.2">
      <c r="A61" s="107">
        <v>57</v>
      </c>
      <c r="B61" s="173" t="s">
        <v>1290</v>
      </c>
      <c r="C61" s="111" t="s">
        <v>138</v>
      </c>
      <c r="D61" s="111" t="s">
        <v>1398</v>
      </c>
      <c r="E61" s="204">
        <v>9500656.7999999989</v>
      </c>
      <c r="F61" s="204">
        <v>7611444.9033000022</v>
      </c>
      <c r="G61" s="205">
        <f t="shared" si="0"/>
        <v>0.80114933772789299</v>
      </c>
      <c r="H61" s="205">
        <f t="shared" si="3"/>
        <v>0</v>
      </c>
      <c r="I61" s="206">
        <v>7500816.0712333322</v>
      </c>
      <c r="J61" s="206">
        <v>8070263.3199999975</v>
      </c>
      <c r="K61" s="207">
        <f t="shared" si="4"/>
        <v>1.0759180392318344</v>
      </c>
      <c r="L61" s="207">
        <f t="shared" si="5"/>
        <v>0.9</v>
      </c>
      <c r="M61" s="210">
        <v>7112461.9994333321</v>
      </c>
      <c r="N61" s="203">
        <v>9128349.6375999972</v>
      </c>
      <c r="O61" s="209">
        <f t="shared" si="6"/>
        <v>1.2834303562292884</v>
      </c>
      <c r="P61" s="209">
        <f t="shared" si="7"/>
        <v>0.9</v>
      </c>
      <c r="Q61" s="213">
        <v>8020077.8428238099</v>
      </c>
      <c r="R61" s="213">
        <f>VLOOKUP(B61,'Dealer Wise'!B16:F136,5,0)</f>
        <v>8956111.3229000047</v>
      </c>
      <c r="S61" s="214">
        <f t="shared" si="8"/>
        <v>1.1167112711896852</v>
      </c>
      <c r="T61" s="214">
        <f t="shared" si="9"/>
        <v>0.9</v>
      </c>
      <c r="U61" s="174">
        <f t="shared" si="10"/>
        <v>32134012.713490471</v>
      </c>
      <c r="V61" s="174">
        <f t="shared" si="11"/>
        <v>33766169.183799997</v>
      </c>
      <c r="W61" s="159">
        <f t="shared" si="1"/>
        <v>1.0507921772752742</v>
      </c>
      <c r="X61" s="175">
        <f t="shared" si="2"/>
        <v>-1632156.4703095257</v>
      </c>
      <c r="Y61" s="176">
        <f t="shared" si="12"/>
        <v>-1632156.4703095257</v>
      </c>
    </row>
    <row r="62" spans="1:25" x14ac:dyDescent="0.2">
      <c r="A62" s="107">
        <v>58</v>
      </c>
      <c r="B62" s="173" t="s">
        <v>116</v>
      </c>
      <c r="C62" s="111" t="s">
        <v>94</v>
      </c>
      <c r="D62" s="111" t="s">
        <v>1397</v>
      </c>
      <c r="E62" s="204">
        <v>10569254.172499999</v>
      </c>
      <c r="F62" s="204">
        <v>8477035.1606000047</v>
      </c>
      <c r="G62" s="205">
        <f t="shared" si="0"/>
        <v>0.80204667446226141</v>
      </c>
      <c r="H62" s="205">
        <f t="shared" si="3"/>
        <v>0</v>
      </c>
      <c r="I62" s="206">
        <v>10278158.780238098</v>
      </c>
      <c r="J62" s="206">
        <v>5171217.1670000022</v>
      </c>
      <c r="K62" s="207">
        <f t="shared" si="4"/>
        <v>0.50312680291948253</v>
      </c>
      <c r="L62" s="207">
        <f t="shared" si="5"/>
        <v>0</v>
      </c>
      <c r="M62" s="210">
        <v>8840592.1004857142</v>
      </c>
      <c r="N62" s="203">
        <v>8948505.3019000012</v>
      </c>
      <c r="O62" s="209">
        <f t="shared" si="6"/>
        <v>1.0122065581340822</v>
      </c>
      <c r="P62" s="209">
        <f t="shared" si="7"/>
        <v>0.9</v>
      </c>
      <c r="Q62" s="213">
        <v>8842407.6945904754</v>
      </c>
      <c r="R62" s="213">
        <f>VLOOKUP(B62,'Dealer Wise'!B61:F181,5,0)</f>
        <v>12055303.916500008</v>
      </c>
      <c r="S62" s="214">
        <f t="shared" si="8"/>
        <v>1.3633508353019153</v>
      </c>
      <c r="T62" s="214">
        <f t="shared" si="9"/>
        <v>0.9</v>
      </c>
      <c r="U62" s="174">
        <f t="shared" si="10"/>
        <v>38530412.747814283</v>
      </c>
      <c r="V62" s="174">
        <f t="shared" si="11"/>
        <v>34652061.546000019</v>
      </c>
      <c r="W62" s="159">
        <f t="shared" si="1"/>
        <v>0.89934311819604706</v>
      </c>
      <c r="X62" s="175">
        <f t="shared" si="2"/>
        <v>3878351.2018142641</v>
      </c>
      <c r="Y62" s="176">
        <f t="shared" si="12"/>
        <v>3878351.2018142641</v>
      </c>
    </row>
    <row r="63" spans="1:25" x14ac:dyDescent="0.2">
      <c r="A63" s="107">
        <v>59</v>
      </c>
      <c r="B63" s="173" t="s">
        <v>110</v>
      </c>
      <c r="C63" s="111" t="s">
        <v>94</v>
      </c>
      <c r="D63" s="111" t="s">
        <v>1397</v>
      </c>
      <c r="E63" s="204">
        <v>10216375.184999997</v>
      </c>
      <c r="F63" s="204">
        <v>8181505.9734000014</v>
      </c>
      <c r="G63" s="205">
        <f t="shared" si="0"/>
        <v>0.80082277963052351</v>
      </c>
      <c r="H63" s="205">
        <f t="shared" si="3"/>
        <v>0</v>
      </c>
      <c r="I63" s="206">
        <v>10994420.828219047</v>
      </c>
      <c r="J63" s="206">
        <v>10999729.600900004</v>
      </c>
      <c r="K63" s="207">
        <f t="shared" si="4"/>
        <v>1.0004828606039284</v>
      </c>
      <c r="L63" s="207">
        <f t="shared" si="5"/>
        <v>0.9</v>
      </c>
      <c r="M63" s="210">
        <v>8911727.8953523822</v>
      </c>
      <c r="N63" s="203">
        <v>2699819.8394000009</v>
      </c>
      <c r="O63" s="209">
        <f t="shared" si="6"/>
        <v>0.30295133234577359</v>
      </c>
      <c r="P63" s="209">
        <f t="shared" si="7"/>
        <v>0</v>
      </c>
      <c r="Q63" s="213">
        <v>10528318.474252379</v>
      </c>
      <c r="R63" s="213">
        <f>VLOOKUP(B63,'Dealer Wise'!B62:F182,5,0)</f>
        <v>12519044.394999992</v>
      </c>
      <c r="S63" s="214">
        <f t="shared" si="8"/>
        <v>1.1890829884768448</v>
      </c>
      <c r="T63" s="214">
        <f t="shared" si="9"/>
        <v>0.9</v>
      </c>
      <c r="U63" s="174">
        <f t="shared" si="10"/>
        <v>40650842.382823803</v>
      </c>
      <c r="V63" s="174">
        <f t="shared" si="11"/>
        <v>34400099.808699995</v>
      </c>
      <c r="W63" s="159">
        <f t="shared" si="1"/>
        <v>0.84623338145718396</v>
      </c>
      <c r="X63" s="175">
        <f t="shared" si="2"/>
        <v>6250742.5741238073</v>
      </c>
      <c r="Y63" s="176">
        <f t="shared" si="12"/>
        <v>6250742.5741238073</v>
      </c>
    </row>
    <row r="64" spans="1:25" x14ac:dyDescent="0.2">
      <c r="A64" s="107">
        <v>60</v>
      </c>
      <c r="B64" s="173" t="s">
        <v>114</v>
      </c>
      <c r="C64" s="111" t="s">
        <v>94</v>
      </c>
      <c r="D64" s="111" t="s">
        <v>1397</v>
      </c>
      <c r="E64" s="204">
        <v>7480443.2499999981</v>
      </c>
      <c r="F64" s="204">
        <v>6009764.3600000003</v>
      </c>
      <c r="G64" s="205">
        <f t="shared" si="0"/>
        <v>0.80339682544881308</v>
      </c>
      <c r="H64" s="205">
        <f t="shared" si="3"/>
        <v>0</v>
      </c>
      <c r="I64" s="206">
        <v>8403601.8780571427</v>
      </c>
      <c r="J64" s="206">
        <v>4064551.7234000014</v>
      </c>
      <c r="K64" s="207">
        <f t="shared" si="4"/>
        <v>0.48366781082443411</v>
      </c>
      <c r="L64" s="207">
        <f t="shared" si="5"/>
        <v>0</v>
      </c>
      <c r="M64" s="210">
        <v>4460684.8814523807</v>
      </c>
      <c r="N64" s="203">
        <v>4095422.5773000005</v>
      </c>
      <c r="O64" s="209">
        <f t="shared" si="6"/>
        <v>0.91811519668848418</v>
      </c>
      <c r="P64" s="209">
        <f t="shared" si="7"/>
        <v>0.9</v>
      </c>
      <c r="Q64" s="213">
        <v>7381535.6809428567</v>
      </c>
      <c r="R64" s="213">
        <f>VLOOKUP(B64,'Dealer Wise'!B63:F183,5,0)</f>
        <v>9351943.1071000025</v>
      </c>
      <c r="S64" s="214">
        <f t="shared" si="8"/>
        <v>1.2669373300252695</v>
      </c>
      <c r="T64" s="214">
        <f t="shared" si="9"/>
        <v>0.9</v>
      </c>
      <c r="U64" s="174">
        <f t="shared" si="10"/>
        <v>27726265.690452378</v>
      </c>
      <c r="V64" s="174">
        <f t="shared" si="11"/>
        <v>23521681.767800003</v>
      </c>
      <c r="W64" s="159">
        <f t="shared" si="1"/>
        <v>0.84835376066888679</v>
      </c>
      <c r="X64" s="175">
        <f t="shared" si="2"/>
        <v>4204583.922652375</v>
      </c>
      <c r="Y64" s="176">
        <f t="shared" si="12"/>
        <v>4204583.922652375</v>
      </c>
    </row>
    <row r="65" spans="1:25" x14ac:dyDescent="0.2">
      <c r="A65" s="107">
        <v>61</v>
      </c>
      <c r="B65" s="173" t="s">
        <v>1046</v>
      </c>
      <c r="C65" s="111" t="s">
        <v>94</v>
      </c>
      <c r="D65" s="111" t="s">
        <v>1397</v>
      </c>
      <c r="E65" s="204">
        <v>3082520.1999999997</v>
      </c>
      <c r="F65" s="204">
        <v>2492987.6842999994</v>
      </c>
      <c r="G65" s="205">
        <f t="shared" si="0"/>
        <v>0.80874982889001001</v>
      </c>
      <c r="H65" s="205">
        <f t="shared" si="3"/>
        <v>0</v>
      </c>
      <c r="I65" s="206">
        <v>3435073.1052333345</v>
      </c>
      <c r="J65" s="206">
        <v>951165.68889999983</v>
      </c>
      <c r="K65" s="207">
        <f t="shared" si="4"/>
        <v>0.27689823760981935</v>
      </c>
      <c r="L65" s="207">
        <f t="shared" si="5"/>
        <v>0</v>
      </c>
      <c r="M65" s="210">
        <v>2182594.3042761902</v>
      </c>
      <c r="N65" s="203">
        <v>2393703.2072000001</v>
      </c>
      <c r="O65" s="209">
        <f t="shared" si="6"/>
        <v>1.0967238402987676</v>
      </c>
      <c r="P65" s="209">
        <f t="shared" si="7"/>
        <v>0.9</v>
      </c>
      <c r="Q65" s="213">
        <v>3097629.6783095235</v>
      </c>
      <c r="R65" s="213">
        <f>VLOOKUP(B65,'Dealer Wise'!B64:F184,5,0)</f>
        <v>3839155.8073</v>
      </c>
      <c r="S65" s="214">
        <f t="shared" si="8"/>
        <v>1.2393850156404593</v>
      </c>
      <c r="T65" s="214">
        <f t="shared" si="9"/>
        <v>0.9</v>
      </c>
      <c r="U65" s="174">
        <f t="shared" si="10"/>
        <v>11797817.287819047</v>
      </c>
      <c r="V65" s="174">
        <f t="shared" si="11"/>
        <v>9677012.3876999989</v>
      </c>
      <c r="W65" s="159">
        <f t="shared" si="1"/>
        <v>0.82023751950212642</v>
      </c>
      <c r="X65" s="175">
        <f t="shared" si="2"/>
        <v>2120804.9001190476</v>
      </c>
      <c r="Y65" s="176">
        <f t="shared" si="12"/>
        <v>2120804.9001190476</v>
      </c>
    </row>
    <row r="66" spans="1:25" x14ac:dyDescent="0.2">
      <c r="A66" s="107">
        <v>62</v>
      </c>
      <c r="B66" s="177" t="s">
        <v>1392</v>
      </c>
      <c r="C66" s="111" t="s">
        <v>94</v>
      </c>
      <c r="D66" s="111" t="s">
        <v>1397</v>
      </c>
      <c r="E66" s="204">
        <v>0</v>
      </c>
      <c r="F66" s="204">
        <v>0</v>
      </c>
      <c r="G66" s="205">
        <f t="shared" si="0"/>
        <v>0</v>
      </c>
      <c r="H66" s="205">
        <f t="shared" si="3"/>
        <v>0</v>
      </c>
      <c r="I66" s="206">
        <v>10231702.012399999</v>
      </c>
      <c r="J66" s="206">
        <v>10243128.7618</v>
      </c>
      <c r="K66" s="207">
        <f t="shared" si="4"/>
        <v>1.0011167984941463</v>
      </c>
      <c r="L66" s="207">
        <f t="shared" si="5"/>
        <v>0.9</v>
      </c>
      <c r="M66" s="210">
        <v>7334723.8730047606</v>
      </c>
      <c r="N66" s="203">
        <v>9326930.3252000026</v>
      </c>
      <c r="O66" s="209">
        <f t="shared" si="6"/>
        <v>1.2716130132079682</v>
      </c>
      <c r="P66" s="209">
        <f t="shared" si="7"/>
        <v>0.9</v>
      </c>
      <c r="Q66" s="213">
        <v>9511434.4580333326</v>
      </c>
      <c r="R66" s="213">
        <f>VLOOKUP(B66,'Dealer Wise'!B65:F185,5,0)</f>
        <v>16605874.964099988</v>
      </c>
      <c r="S66" s="214">
        <f t="shared" si="8"/>
        <v>1.7458854431861968</v>
      </c>
      <c r="T66" s="214">
        <f t="shared" si="9"/>
        <v>0.9</v>
      </c>
      <c r="U66" s="174">
        <f t="shared" si="10"/>
        <v>27077860.343438089</v>
      </c>
      <c r="V66" s="174">
        <f t="shared" si="11"/>
        <v>36175934.051099993</v>
      </c>
      <c r="W66" s="159">
        <f t="shared" si="1"/>
        <v>1.3359967734624456</v>
      </c>
      <c r="X66" s="175">
        <f t="shared" si="2"/>
        <v>-9098073.7076619044</v>
      </c>
      <c r="Y66" s="176">
        <f t="shared" si="12"/>
        <v>-9098073.7076619044</v>
      </c>
    </row>
    <row r="67" spans="1:25" x14ac:dyDescent="0.2">
      <c r="A67" s="107">
        <v>63</v>
      </c>
      <c r="B67" s="173" t="s">
        <v>106</v>
      </c>
      <c r="C67" s="111" t="s">
        <v>94</v>
      </c>
      <c r="D67" s="111" t="s">
        <v>1401</v>
      </c>
      <c r="E67" s="204">
        <v>5533360.2975000003</v>
      </c>
      <c r="F67" s="204">
        <v>5588680.1484999983</v>
      </c>
      <c r="G67" s="205">
        <f t="shared" si="0"/>
        <v>1.0099975147154239</v>
      </c>
      <c r="H67" s="205">
        <f t="shared" si="3"/>
        <v>0.9</v>
      </c>
      <c r="I67" s="206">
        <v>6066997.3605523808</v>
      </c>
      <c r="J67" s="206">
        <v>5247657.5950999996</v>
      </c>
      <c r="K67" s="207">
        <f t="shared" si="4"/>
        <v>0.86495135620468067</v>
      </c>
      <c r="L67" s="207">
        <f t="shared" si="5"/>
        <v>0</v>
      </c>
      <c r="M67" s="210">
        <v>6180744.131190476</v>
      </c>
      <c r="N67" s="203">
        <v>6560085.2556999996</v>
      </c>
      <c r="O67" s="209">
        <f t="shared" si="6"/>
        <v>1.0613746688841588</v>
      </c>
      <c r="P67" s="209">
        <f t="shared" si="7"/>
        <v>0.9</v>
      </c>
      <c r="Q67" s="213">
        <v>6338805.75317143</v>
      </c>
      <c r="R67" s="213">
        <f>VLOOKUP(B67,'Dealer Wise'!B66:F186,5,0)</f>
        <v>8553492.3688000012</v>
      </c>
      <c r="S67" s="214">
        <f t="shared" si="8"/>
        <v>1.3493854681570767</v>
      </c>
      <c r="T67" s="214">
        <f t="shared" si="9"/>
        <v>0.9</v>
      </c>
      <c r="U67" s="174">
        <f t="shared" si="10"/>
        <v>24119907.542414285</v>
      </c>
      <c r="V67" s="174">
        <f t="shared" si="11"/>
        <v>25949915.368099995</v>
      </c>
      <c r="W67" s="159">
        <f t="shared" si="1"/>
        <v>1.0758712620464106</v>
      </c>
      <c r="X67" s="175">
        <f t="shared" si="2"/>
        <v>-1830007.8256857097</v>
      </c>
      <c r="Y67" s="176">
        <f t="shared" si="12"/>
        <v>-1830007.8256857097</v>
      </c>
    </row>
    <row r="68" spans="1:25" x14ac:dyDescent="0.2">
      <c r="A68" s="107">
        <v>64</v>
      </c>
      <c r="B68" s="173" t="s">
        <v>95</v>
      </c>
      <c r="C68" s="111" t="s">
        <v>94</v>
      </c>
      <c r="D68" s="111" t="s">
        <v>1466</v>
      </c>
      <c r="E68" s="204">
        <v>4000247.9274999998</v>
      </c>
      <c r="F68" s="204">
        <v>3302039.4799000006</v>
      </c>
      <c r="G68" s="205">
        <f t="shared" si="0"/>
        <v>0.82545870649663644</v>
      </c>
      <c r="H68" s="205">
        <f t="shared" si="3"/>
        <v>0</v>
      </c>
      <c r="I68" s="206">
        <v>4176367.522719047</v>
      </c>
      <c r="J68" s="206">
        <v>3371066.7084000008</v>
      </c>
      <c r="K68" s="207">
        <f t="shared" si="4"/>
        <v>0.80717673673634194</v>
      </c>
      <c r="L68" s="207">
        <f t="shared" si="5"/>
        <v>0</v>
      </c>
      <c r="M68" s="210">
        <v>2769322.1114809532</v>
      </c>
      <c r="N68" s="203">
        <v>3262270.1366000003</v>
      </c>
      <c r="O68" s="209">
        <f t="shared" si="6"/>
        <v>1.1780031376904121</v>
      </c>
      <c r="P68" s="209">
        <f t="shared" si="7"/>
        <v>0.9</v>
      </c>
      <c r="Q68" s="213">
        <v>3958334.9260761901</v>
      </c>
      <c r="R68" s="213">
        <f>VLOOKUP(B68,'Dealer Wise'!B67:F187,5,0)</f>
        <v>5093097.8929000031</v>
      </c>
      <c r="S68" s="214">
        <f t="shared" si="8"/>
        <v>1.2866768446874906</v>
      </c>
      <c r="T68" s="214">
        <f t="shared" si="9"/>
        <v>0.9</v>
      </c>
      <c r="U68" s="174">
        <f t="shared" si="10"/>
        <v>14904272.48777619</v>
      </c>
      <c r="V68" s="174">
        <f t="shared" si="11"/>
        <v>15028474.217800004</v>
      </c>
      <c r="W68" s="159">
        <f t="shared" si="1"/>
        <v>1.0083332970546317</v>
      </c>
      <c r="X68" s="175">
        <f t="shared" si="2"/>
        <v>-124201.73002381437</v>
      </c>
      <c r="Y68" s="176">
        <f t="shared" si="12"/>
        <v>-124201.73002381437</v>
      </c>
    </row>
    <row r="69" spans="1:25" x14ac:dyDescent="0.2">
      <c r="A69" s="107">
        <v>65</v>
      </c>
      <c r="B69" s="173" t="s">
        <v>96</v>
      </c>
      <c r="C69" s="111" t="s">
        <v>94</v>
      </c>
      <c r="D69" s="111" t="s">
        <v>1401</v>
      </c>
      <c r="E69" s="204">
        <v>12450788.465000002</v>
      </c>
      <c r="F69" s="204">
        <v>11001955.002600005</v>
      </c>
      <c r="G69" s="205">
        <f t="shared" si="0"/>
        <v>0.88363520378867855</v>
      </c>
      <c r="H69" s="205">
        <f t="shared" si="3"/>
        <v>0</v>
      </c>
      <c r="I69" s="206">
        <v>13556079.639038095</v>
      </c>
      <c r="J69" s="206">
        <v>10889566.064000001</v>
      </c>
      <c r="K69" s="207">
        <f t="shared" si="4"/>
        <v>0.80329758705760279</v>
      </c>
      <c r="L69" s="207">
        <f t="shared" si="5"/>
        <v>0</v>
      </c>
      <c r="M69" s="210">
        <v>10738143.504761904</v>
      </c>
      <c r="N69" s="203">
        <v>8797404.3739999998</v>
      </c>
      <c r="O69" s="209">
        <f t="shared" si="6"/>
        <v>0.81926679133117652</v>
      </c>
      <c r="P69" s="209">
        <f t="shared" si="7"/>
        <v>0</v>
      </c>
      <c r="Q69" s="213">
        <v>13205733.071004761</v>
      </c>
      <c r="R69" s="213">
        <f>VLOOKUP(B69,'Dealer Wise'!B68:F188,5,0)</f>
        <v>16583790.672400003</v>
      </c>
      <c r="S69" s="214">
        <f t="shared" si="8"/>
        <v>1.2558023536620084</v>
      </c>
      <c r="T69" s="214">
        <f t="shared" si="9"/>
        <v>0.9</v>
      </c>
      <c r="U69" s="174">
        <f t="shared" si="10"/>
        <v>49950744.679804765</v>
      </c>
      <c r="V69" s="174">
        <f t="shared" si="11"/>
        <v>47272716.113000013</v>
      </c>
      <c r="W69" s="159">
        <f t="shared" ref="W69:W127" si="13">IFERROR(V69/U69,0)</f>
        <v>0.94638661377379851</v>
      </c>
      <c r="X69" s="175">
        <f t="shared" ref="X69:X127" si="14">U69-V69</f>
        <v>2678028.5668047518</v>
      </c>
      <c r="Y69" s="176">
        <f t="shared" si="12"/>
        <v>2678028.5668047518</v>
      </c>
    </row>
    <row r="70" spans="1:25" x14ac:dyDescent="0.2">
      <c r="A70" s="107">
        <v>66</v>
      </c>
      <c r="B70" s="173" t="s">
        <v>93</v>
      </c>
      <c r="C70" s="111" t="s">
        <v>94</v>
      </c>
      <c r="D70" s="111" t="s">
        <v>1466</v>
      </c>
      <c r="E70" s="204">
        <v>9356189.0799999982</v>
      </c>
      <c r="F70" s="204">
        <v>3583248.1879000007</v>
      </c>
      <c r="G70" s="205">
        <f t="shared" ref="G70:G127" si="15">IFERROR(F70/E70,0)</f>
        <v>0.38298159189189895</v>
      </c>
      <c r="H70" s="205">
        <f t="shared" ref="H70:H127" si="16">IF(G70&gt;=89.5%,90%,0%)</f>
        <v>0</v>
      </c>
      <c r="I70" s="206">
        <v>9088221.7458619047</v>
      </c>
      <c r="J70" s="206">
        <v>7365942.3604000006</v>
      </c>
      <c r="K70" s="207">
        <f t="shared" ref="K70:K127" si="17">IFERROR(J70/I70,0)</f>
        <v>0.8104932478957062</v>
      </c>
      <c r="L70" s="207">
        <f t="shared" ref="L70:L127" si="18">IF(K70&gt;=89.5%,90%,0%)</f>
        <v>0</v>
      </c>
      <c r="M70" s="210">
        <v>6468355.8767761923</v>
      </c>
      <c r="N70" s="203">
        <v>7589697.2265999997</v>
      </c>
      <c r="O70" s="209">
        <f t="shared" ref="O70:O127" si="19">IFERROR(N70/M70,0)</f>
        <v>1.1733580172745042</v>
      </c>
      <c r="P70" s="209">
        <f t="shared" ref="P70:P127" si="20">IF(O70&gt;=89.5%,90%,0%)</f>
        <v>0.9</v>
      </c>
      <c r="Q70" s="213">
        <v>7689568.5865476197</v>
      </c>
      <c r="R70" s="213">
        <f>VLOOKUP(B70,'Dealer Wise'!B69:F189,5,0)</f>
        <v>9332016.1336000059</v>
      </c>
      <c r="S70" s="214">
        <f t="shared" ref="S70:S127" si="21">IFERROR(R70/Q70,0)</f>
        <v>1.2135942385539986</v>
      </c>
      <c r="T70" s="214">
        <f t="shared" ref="T70:T127" si="22">IF(S70&gt;=89.5%,90%,0%)</f>
        <v>0.9</v>
      </c>
      <c r="U70" s="174">
        <f t="shared" ref="U70:U127" si="23">E70+I70+M70+Q70</f>
        <v>32602335.289185714</v>
      </c>
      <c r="V70" s="174">
        <f t="shared" ref="V70:V127" si="24">F70+J70+N70+R70</f>
        <v>27870903.908500008</v>
      </c>
      <c r="W70" s="159">
        <f t="shared" si="13"/>
        <v>0.85487446409229662</v>
      </c>
      <c r="X70" s="175">
        <f t="shared" si="14"/>
        <v>4731431.3806857057</v>
      </c>
      <c r="Y70" s="176">
        <f t="shared" si="12"/>
        <v>4731431.3806857057</v>
      </c>
    </row>
    <row r="71" spans="1:25" x14ac:dyDescent="0.2">
      <c r="A71" s="107">
        <v>67</v>
      </c>
      <c r="B71" s="173" t="s">
        <v>100</v>
      </c>
      <c r="C71" s="111" t="s">
        <v>94</v>
      </c>
      <c r="D71" s="111" t="s">
        <v>94</v>
      </c>
      <c r="E71" s="204">
        <v>7292173.5625</v>
      </c>
      <c r="F71" s="204">
        <v>5878021.0466999989</v>
      </c>
      <c r="G71" s="205">
        <f t="shared" si="15"/>
        <v>0.8060725648286432</v>
      </c>
      <c r="H71" s="205">
        <f t="shared" si="16"/>
        <v>0</v>
      </c>
      <c r="I71" s="206">
        <v>7975294.158180953</v>
      </c>
      <c r="J71" s="206">
        <v>5371843.7766000004</v>
      </c>
      <c r="K71" s="207">
        <f t="shared" si="17"/>
        <v>0.67356058222499959</v>
      </c>
      <c r="L71" s="207">
        <f t="shared" si="18"/>
        <v>0</v>
      </c>
      <c r="M71" s="210">
        <v>6095446.041171426</v>
      </c>
      <c r="N71" s="203">
        <v>2883954.3618000005</v>
      </c>
      <c r="O71" s="209">
        <f t="shared" si="19"/>
        <v>0.47313262102895437</v>
      </c>
      <c r="P71" s="209">
        <f t="shared" si="20"/>
        <v>0</v>
      </c>
      <c r="Q71" s="213">
        <v>7507684.6424952373</v>
      </c>
      <c r="R71" s="213">
        <f>VLOOKUP(B71,'Dealer Wise'!B70:F190,5,0)</f>
        <v>8513565.801400004</v>
      </c>
      <c r="S71" s="214">
        <f t="shared" si="21"/>
        <v>1.133980209186098</v>
      </c>
      <c r="T71" s="214">
        <f t="shared" si="22"/>
        <v>0.9</v>
      </c>
      <c r="U71" s="174">
        <f t="shared" si="23"/>
        <v>28870598.404347613</v>
      </c>
      <c r="V71" s="174">
        <f t="shared" si="24"/>
        <v>22647384.986500002</v>
      </c>
      <c r="W71" s="159">
        <f t="shared" si="13"/>
        <v>0.78444459894151486</v>
      </c>
      <c r="X71" s="175">
        <f t="shared" si="14"/>
        <v>6223213.417847611</v>
      </c>
      <c r="Y71" s="176">
        <f t="shared" ref="Y71:Y127" si="25">X71/Y$2</f>
        <v>6223213.417847611</v>
      </c>
    </row>
    <row r="72" spans="1:25" x14ac:dyDescent="0.2">
      <c r="A72" s="107">
        <v>68</v>
      </c>
      <c r="B72" s="173" t="s">
        <v>99</v>
      </c>
      <c r="C72" s="111" t="s">
        <v>94</v>
      </c>
      <c r="D72" s="111" t="s">
        <v>94</v>
      </c>
      <c r="E72" s="204">
        <v>9070535.4125000015</v>
      </c>
      <c r="F72" s="204">
        <v>8309830.2173999958</v>
      </c>
      <c r="G72" s="205">
        <f t="shared" si="15"/>
        <v>0.91613447712781249</v>
      </c>
      <c r="H72" s="205">
        <f t="shared" si="16"/>
        <v>0.9</v>
      </c>
      <c r="I72" s="206">
        <v>8219952.7176904771</v>
      </c>
      <c r="J72" s="206">
        <v>8294755.7597000012</v>
      </c>
      <c r="K72" s="207">
        <f t="shared" si="17"/>
        <v>1.0091001791103418</v>
      </c>
      <c r="L72" s="207">
        <f t="shared" si="18"/>
        <v>0.9</v>
      </c>
      <c r="M72" s="210">
        <v>6902841.8657285701</v>
      </c>
      <c r="N72" s="203">
        <v>6941724.5643999996</v>
      </c>
      <c r="O72" s="209">
        <f t="shared" si="19"/>
        <v>1.0056328537474508</v>
      </c>
      <c r="P72" s="209">
        <f t="shared" si="20"/>
        <v>0.9</v>
      </c>
      <c r="Q72" s="213">
        <v>8497477.3262142856</v>
      </c>
      <c r="R72" s="213">
        <f>VLOOKUP(B72,'Dealer Wise'!B71:F191,5,0)</f>
        <v>11673015.028400002</v>
      </c>
      <c r="S72" s="214">
        <f t="shared" si="21"/>
        <v>1.3737035805190494</v>
      </c>
      <c r="T72" s="214">
        <f t="shared" si="22"/>
        <v>0.9</v>
      </c>
      <c r="U72" s="174">
        <f t="shared" si="23"/>
        <v>32690807.322133332</v>
      </c>
      <c r="V72" s="174">
        <f t="shared" si="24"/>
        <v>35219325.569899999</v>
      </c>
      <c r="W72" s="159">
        <f t="shared" si="13"/>
        <v>1.0773464608215635</v>
      </c>
      <c r="X72" s="175">
        <f t="shared" si="14"/>
        <v>-2528518.2477666661</v>
      </c>
      <c r="Y72" s="176">
        <f t="shared" si="25"/>
        <v>-2528518.2477666661</v>
      </c>
    </row>
    <row r="73" spans="1:25" x14ac:dyDescent="0.2">
      <c r="A73" s="107">
        <v>69</v>
      </c>
      <c r="B73" s="173" t="s">
        <v>101</v>
      </c>
      <c r="C73" s="111" t="s">
        <v>94</v>
      </c>
      <c r="D73" s="111" t="s">
        <v>94</v>
      </c>
      <c r="E73" s="204">
        <v>9547515.1199999992</v>
      </c>
      <c r="F73" s="204">
        <v>8723874.6203999985</v>
      </c>
      <c r="G73" s="205">
        <f t="shared" si="15"/>
        <v>0.91373247496883769</v>
      </c>
      <c r="H73" s="205">
        <f t="shared" si="16"/>
        <v>0.9</v>
      </c>
      <c r="I73" s="206">
        <v>9476878.7344666645</v>
      </c>
      <c r="J73" s="206">
        <v>7604735.4951000009</v>
      </c>
      <c r="K73" s="207">
        <f t="shared" si="17"/>
        <v>0.8024514935959004</v>
      </c>
      <c r="L73" s="207">
        <f t="shared" si="18"/>
        <v>0</v>
      </c>
      <c r="M73" s="210">
        <v>6601351.6504761893</v>
      </c>
      <c r="N73" s="203">
        <v>11970579.597599998</v>
      </c>
      <c r="O73" s="209">
        <f t="shared" si="19"/>
        <v>1.8133528149097313</v>
      </c>
      <c r="P73" s="209">
        <f t="shared" si="20"/>
        <v>0.9</v>
      </c>
      <c r="Q73" s="213">
        <v>11311713.813919049</v>
      </c>
      <c r="R73" s="213">
        <f>VLOOKUP(B73,'Dealer Wise'!B72:F192,5,0)</f>
        <v>14322380.776499994</v>
      </c>
      <c r="S73" s="214">
        <f t="shared" si="21"/>
        <v>1.2661548030746963</v>
      </c>
      <c r="T73" s="214">
        <f t="shared" si="22"/>
        <v>0.9</v>
      </c>
      <c r="U73" s="174">
        <f t="shared" si="23"/>
        <v>36937459.318861902</v>
      </c>
      <c r="V73" s="174">
        <f t="shared" si="24"/>
        <v>42621570.489599988</v>
      </c>
      <c r="W73" s="159">
        <f t="shared" si="13"/>
        <v>1.1538847358631277</v>
      </c>
      <c r="X73" s="175">
        <f t="shared" si="14"/>
        <v>-5684111.1707380861</v>
      </c>
      <c r="Y73" s="176">
        <f t="shared" si="25"/>
        <v>-5684111.1707380861</v>
      </c>
    </row>
    <row r="74" spans="1:25" x14ac:dyDescent="0.2">
      <c r="A74" s="107">
        <v>70</v>
      </c>
      <c r="B74" s="173" t="s">
        <v>102</v>
      </c>
      <c r="C74" s="111" t="s">
        <v>94</v>
      </c>
      <c r="D74" s="111" t="s">
        <v>94</v>
      </c>
      <c r="E74" s="204">
        <v>13957049.27</v>
      </c>
      <c r="F74" s="204">
        <v>11216419.610499999</v>
      </c>
      <c r="G74" s="205">
        <f t="shared" si="15"/>
        <v>0.80363831878197556</v>
      </c>
      <c r="H74" s="205">
        <f t="shared" si="16"/>
        <v>0</v>
      </c>
      <c r="I74" s="206">
        <v>11936119.297909524</v>
      </c>
      <c r="J74" s="206">
        <v>12023701.654400002</v>
      </c>
      <c r="K74" s="207">
        <f t="shared" si="17"/>
        <v>1.0073375905773509</v>
      </c>
      <c r="L74" s="207">
        <f t="shared" si="18"/>
        <v>0.9</v>
      </c>
      <c r="M74" s="210">
        <v>10674519.83232381</v>
      </c>
      <c r="N74" s="203">
        <v>7016408.1007000003</v>
      </c>
      <c r="O74" s="209">
        <f t="shared" si="19"/>
        <v>0.65730432946064887</v>
      </c>
      <c r="P74" s="209">
        <f t="shared" si="20"/>
        <v>0</v>
      </c>
      <c r="Q74" s="213">
        <v>14987594.123438096</v>
      </c>
      <c r="R74" s="213">
        <f>VLOOKUP(B74,'Dealer Wise'!B73:F193,5,0)</f>
        <v>21168531.309700008</v>
      </c>
      <c r="S74" s="214">
        <f t="shared" si="21"/>
        <v>1.4124035609288323</v>
      </c>
      <c r="T74" s="214">
        <f t="shared" si="22"/>
        <v>0.9</v>
      </c>
      <c r="U74" s="174">
        <f t="shared" si="23"/>
        <v>51555282.523671433</v>
      </c>
      <c r="V74" s="174">
        <f t="shared" si="24"/>
        <v>51425060.675300002</v>
      </c>
      <c r="W74" s="159">
        <f t="shared" si="13"/>
        <v>0.99747413180576328</v>
      </c>
      <c r="X74" s="175">
        <f t="shared" si="14"/>
        <v>130221.84837143123</v>
      </c>
      <c r="Y74" s="176">
        <f t="shared" si="25"/>
        <v>130221.84837143123</v>
      </c>
    </row>
    <row r="75" spans="1:25" x14ac:dyDescent="0.2">
      <c r="A75" s="107">
        <v>71</v>
      </c>
      <c r="B75" s="173" t="s">
        <v>105</v>
      </c>
      <c r="C75" s="111" t="s">
        <v>94</v>
      </c>
      <c r="D75" s="111" t="s">
        <v>94</v>
      </c>
      <c r="E75" s="204">
        <v>6107230.3124999991</v>
      </c>
      <c r="F75" s="204">
        <v>4921502.0618000012</v>
      </c>
      <c r="G75" s="205">
        <f t="shared" si="15"/>
        <v>0.80584844683635004</v>
      </c>
      <c r="H75" s="205">
        <f t="shared" si="16"/>
        <v>0</v>
      </c>
      <c r="I75" s="206">
        <v>6362756.8283380959</v>
      </c>
      <c r="J75" s="206">
        <v>2356513.5029999996</v>
      </c>
      <c r="K75" s="207">
        <f t="shared" si="17"/>
        <v>0.37036045327155825</v>
      </c>
      <c r="L75" s="207">
        <f t="shared" si="18"/>
        <v>0</v>
      </c>
      <c r="M75" s="210">
        <v>4016327.1756952382</v>
      </c>
      <c r="N75" s="203">
        <v>4092591.1564000011</v>
      </c>
      <c r="O75" s="209">
        <f t="shared" si="19"/>
        <v>1.0189884880809197</v>
      </c>
      <c r="P75" s="209">
        <f t="shared" si="20"/>
        <v>0.9</v>
      </c>
      <c r="Q75" s="213">
        <v>4193902.6685809526</v>
      </c>
      <c r="R75" s="213">
        <f>VLOOKUP(B75,'Dealer Wise'!B74:F194,5,0)</f>
        <v>7122117.4019000027</v>
      </c>
      <c r="S75" s="214">
        <f t="shared" si="21"/>
        <v>1.6982076039236838</v>
      </c>
      <c r="T75" s="214">
        <f t="shared" si="22"/>
        <v>0.9</v>
      </c>
      <c r="U75" s="174">
        <f t="shared" si="23"/>
        <v>20680216.985114284</v>
      </c>
      <c r="V75" s="174">
        <f t="shared" si="24"/>
        <v>18492724.123100005</v>
      </c>
      <c r="W75" s="159">
        <f t="shared" si="13"/>
        <v>0.89422292505011691</v>
      </c>
      <c r="X75" s="175">
        <f t="shared" si="14"/>
        <v>2187492.8620142788</v>
      </c>
      <c r="Y75" s="176">
        <f t="shared" si="25"/>
        <v>2187492.8620142788</v>
      </c>
    </row>
    <row r="76" spans="1:25" x14ac:dyDescent="0.2">
      <c r="A76" s="107">
        <v>72</v>
      </c>
      <c r="B76" s="173" t="s">
        <v>64</v>
      </c>
      <c r="C76" s="111" t="s">
        <v>65</v>
      </c>
      <c r="D76" s="111" t="s">
        <v>1462</v>
      </c>
      <c r="E76" s="204">
        <v>10693914.0075</v>
      </c>
      <c r="F76" s="204">
        <v>10313177.037099998</v>
      </c>
      <c r="G76" s="205">
        <f t="shared" si="15"/>
        <v>0.96439685505858952</v>
      </c>
      <c r="H76" s="205">
        <f t="shared" si="16"/>
        <v>0.9</v>
      </c>
      <c r="I76" s="206">
        <v>10789065.469304763</v>
      </c>
      <c r="J76" s="206">
        <v>9879764.7548000012</v>
      </c>
      <c r="K76" s="207">
        <f t="shared" si="17"/>
        <v>0.91572015972173393</v>
      </c>
      <c r="L76" s="207">
        <f t="shared" si="18"/>
        <v>0.9</v>
      </c>
      <c r="M76" s="210">
        <v>10084786.08307619</v>
      </c>
      <c r="N76" s="203">
        <v>14063887.090099998</v>
      </c>
      <c r="O76" s="209">
        <f t="shared" si="19"/>
        <v>1.3945647408130299</v>
      </c>
      <c r="P76" s="209">
        <f t="shared" si="20"/>
        <v>0.9</v>
      </c>
      <c r="Q76" s="213">
        <v>10863705.538638094</v>
      </c>
      <c r="R76" s="213">
        <f>VLOOKUP(B76,'Dealer Wise'!B75:F195,5,0)</f>
        <v>17434085.057400007</v>
      </c>
      <c r="S76" s="214">
        <f t="shared" si="21"/>
        <v>1.6048009581439369</v>
      </c>
      <c r="T76" s="214">
        <f t="shared" si="22"/>
        <v>0.9</v>
      </c>
      <c r="U76" s="174">
        <f t="shared" si="23"/>
        <v>42431471.09851905</v>
      </c>
      <c r="V76" s="174">
        <f t="shared" si="24"/>
        <v>51690913.939400002</v>
      </c>
      <c r="W76" s="159">
        <f t="shared" si="13"/>
        <v>1.2182211128004969</v>
      </c>
      <c r="X76" s="175">
        <f t="shared" si="14"/>
        <v>-9259442.8408809528</v>
      </c>
      <c r="Y76" s="176">
        <f t="shared" si="25"/>
        <v>-9259442.8408809528</v>
      </c>
    </row>
    <row r="77" spans="1:25" x14ac:dyDescent="0.2">
      <c r="A77" s="107">
        <v>73</v>
      </c>
      <c r="B77" s="173" t="s">
        <v>136</v>
      </c>
      <c r="C77" s="111" t="s">
        <v>80</v>
      </c>
      <c r="D77" s="111" t="s">
        <v>1400</v>
      </c>
      <c r="E77" s="204">
        <v>6074404.5049999999</v>
      </c>
      <c r="F77" s="204">
        <v>6457130.7347000018</v>
      </c>
      <c r="G77" s="205">
        <f t="shared" si="15"/>
        <v>1.0630063785487072</v>
      </c>
      <c r="H77" s="205">
        <f t="shared" si="16"/>
        <v>0.9</v>
      </c>
      <c r="I77" s="206">
        <v>6246547.5973523809</v>
      </c>
      <c r="J77" s="206">
        <v>3892676.2262999988</v>
      </c>
      <c r="K77" s="207">
        <f t="shared" si="17"/>
        <v>0.62317242694987585</v>
      </c>
      <c r="L77" s="207">
        <f t="shared" si="18"/>
        <v>0</v>
      </c>
      <c r="M77" s="210">
        <v>6034076.4269285705</v>
      </c>
      <c r="N77" s="203">
        <v>9200844.2558000032</v>
      </c>
      <c r="O77" s="209">
        <f t="shared" si="19"/>
        <v>1.5248140071177987</v>
      </c>
      <c r="P77" s="209">
        <f t="shared" si="20"/>
        <v>0.9</v>
      </c>
      <c r="Q77" s="213">
        <v>6090747.8375666663</v>
      </c>
      <c r="R77" s="213">
        <f>VLOOKUP(B77,'Dealer Wise'!B76:F196,5,0)</f>
        <v>9360012.2144000027</v>
      </c>
      <c r="S77" s="214">
        <f t="shared" si="21"/>
        <v>1.5367591080801419</v>
      </c>
      <c r="T77" s="214">
        <f t="shared" si="22"/>
        <v>0.9</v>
      </c>
      <c r="U77" s="174">
        <f t="shared" si="23"/>
        <v>24445776.366847619</v>
      </c>
      <c r="V77" s="174">
        <f t="shared" si="24"/>
        <v>28910663.431200005</v>
      </c>
      <c r="W77" s="159">
        <f t="shared" si="13"/>
        <v>1.1826445189283286</v>
      </c>
      <c r="X77" s="175">
        <f t="shared" si="14"/>
        <v>-4464887.0643523857</v>
      </c>
      <c r="Y77" s="176">
        <f t="shared" si="25"/>
        <v>-4464887.0643523857</v>
      </c>
    </row>
    <row r="78" spans="1:25" x14ac:dyDescent="0.2">
      <c r="A78" s="107">
        <v>74</v>
      </c>
      <c r="B78" s="173" t="s">
        <v>77</v>
      </c>
      <c r="C78" s="111" t="s">
        <v>80</v>
      </c>
      <c r="D78" s="111" t="s">
        <v>1400</v>
      </c>
      <c r="E78" s="204">
        <v>15930016.247500001</v>
      </c>
      <c r="F78" s="204">
        <v>17898092.740299992</v>
      </c>
      <c r="G78" s="205">
        <f t="shared" si="15"/>
        <v>1.1235451654425559</v>
      </c>
      <c r="H78" s="205">
        <f t="shared" si="16"/>
        <v>0.9</v>
      </c>
      <c r="I78" s="206">
        <v>16432250.652433336</v>
      </c>
      <c r="J78" s="206">
        <v>14976980.183700001</v>
      </c>
      <c r="K78" s="207">
        <f t="shared" si="17"/>
        <v>0.91143815296428465</v>
      </c>
      <c r="L78" s="207">
        <f t="shared" si="18"/>
        <v>0.9</v>
      </c>
      <c r="M78" s="210">
        <v>17927749.122928567</v>
      </c>
      <c r="N78" s="203">
        <v>19527485.216799993</v>
      </c>
      <c r="O78" s="209">
        <f t="shared" si="19"/>
        <v>1.0892324007270637</v>
      </c>
      <c r="P78" s="209">
        <f t="shared" si="20"/>
        <v>0.9</v>
      </c>
      <c r="Q78" s="213">
        <v>16183971.593714288</v>
      </c>
      <c r="R78" s="213">
        <f>VLOOKUP(B78,'Dealer Wise'!B77:F197,5,0)</f>
        <v>20770628.68720001</v>
      </c>
      <c r="S78" s="214">
        <f t="shared" si="21"/>
        <v>1.2834073865569029</v>
      </c>
      <c r="T78" s="214">
        <f t="shared" si="22"/>
        <v>0.9</v>
      </c>
      <c r="U78" s="174">
        <f t="shared" si="23"/>
        <v>66473987.616576195</v>
      </c>
      <c r="V78" s="174">
        <f t="shared" si="24"/>
        <v>73173186.827999994</v>
      </c>
      <c r="W78" s="159">
        <f t="shared" si="13"/>
        <v>1.1007792589496055</v>
      </c>
      <c r="X78" s="175">
        <f t="shared" si="14"/>
        <v>-6699199.2114237994</v>
      </c>
      <c r="Y78" s="176">
        <f t="shared" si="25"/>
        <v>-6699199.2114237994</v>
      </c>
    </row>
    <row r="79" spans="1:25" x14ac:dyDescent="0.2">
      <c r="A79" s="107">
        <v>75</v>
      </c>
      <c r="B79" s="173" t="s">
        <v>66</v>
      </c>
      <c r="C79" s="111" t="s">
        <v>80</v>
      </c>
      <c r="D79" s="111" t="s">
        <v>1400</v>
      </c>
      <c r="E79" s="204">
        <v>6584661.7050000019</v>
      </c>
      <c r="F79" s="204">
        <v>6838597.7879000027</v>
      </c>
      <c r="G79" s="205">
        <f t="shared" si="15"/>
        <v>1.0385647880296078</v>
      </c>
      <c r="H79" s="205">
        <f t="shared" si="16"/>
        <v>0.9</v>
      </c>
      <c r="I79" s="206">
        <v>6626201.0315523818</v>
      </c>
      <c r="J79" s="206">
        <v>6745077.0992999999</v>
      </c>
      <c r="K79" s="207">
        <f t="shared" si="17"/>
        <v>1.0179403050377673</v>
      </c>
      <c r="L79" s="207">
        <f t="shared" si="18"/>
        <v>0.9</v>
      </c>
      <c r="M79" s="210">
        <v>6291234.3176952368</v>
      </c>
      <c r="N79" s="203">
        <v>7754854.5160999997</v>
      </c>
      <c r="O79" s="209">
        <f t="shared" si="19"/>
        <v>1.232644362694943</v>
      </c>
      <c r="P79" s="209">
        <f t="shared" si="20"/>
        <v>0.9</v>
      </c>
      <c r="Q79" s="213">
        <v>7482552.9859476201</v>
      </c>
      <c r="R79" s="213">
        <f>VLOOKUP(B79,'Dealer Wise'!B78:F198,5,0)</f>
        <v>11381404.396099998</v>
      </c>
      <c r="S79" s="214">
        <f t="shared" si="21"/>
        <v>1.5210589777946772</v>
      </c>
      <c r="T79" s="214">
        <f t="shared" si="22"/>
        <v>0.9</v>
      </c>
      <c r="U79" s="174">
        <f t="shared" si="23"/>
        <v>26984650.040195242</v>
      </c>
      <c r="V79" s="174">
        <f t="shared" si="24"/>
        <v>32719933.799400002</v>
      </c>
      <c r="W79" s="159">
        <f t="shared" si="13"/>
        <v>1.2125387489058304</v>
      </c>
      <c r="X79" s="175">
        <f t="shared" si="14"/>
        <v>-5735283.7592047602</v>
      </c>
      <c r="Y79" s="176">
        <f t="shared" si="25"/>
        <v>-5735283.7592047602</v>
      </c>
    </row>
    <row r="80" spans="1:25" x14ac:dyDescent="0.2">
      <c r="A80" s="107">
        <v>76</v>
      </c>
      <c r="B80" s="173" t="s">
        <v>75</v>
      </c>
      <c r="C80" s="111" t="s">
        <v>65</v>
      </c>
      <c r="D80" s="111" t="s">
        <v>70</v>
      </c>
      <c r="E80" s="204">
        <v>8092977.0800000029</v>
      </c>
      <c r="F80" s="204">
        <v>8619746.9291000031</v>
      </c>
      <c r="G80" s="205">
        <f t="shared" si="15"/>
        <v>1.0650897492842029</v>
      </c>
      <c r="H80" s="205">
        <f t="shared" si="16"/>
        <v>0.9</v>
      </c>
      <c r="I80" s="206">
        <v>8183516.7838047622</v>
      </c>
      <c r="J80" s="206">
        <v>8254691.701100002</v>
      </c>
      <c r="K80" s="207">
        <f t="shared" si="17"/>
        <v>1.0086973509281603</v>
      </c>
      <c r="L80" s="207">
        <f t="shared" si="18"/>
        <v>0.9</v>
      </c>
      <c r="M80" s="210">
        <v>9358632.2175333351</v>
      </c>
      <c r="N80" s="203">
        <v>11261607.756599996</v>
      </c>
      <c r="O80" s="209">
        <f t="shared" si="19"/>
        <v>1.2033390665252823</v>
      </c>
      <c r="P80" s="209">
        <f t="shared" si="20"/>
        <v>0.9</v>
      </c>
      <c r="Q80" s="213">
        <v>10183720.304109523</v>
      </c>
      <c r="R80" s="213">
        <f>VLOOKUP(B80,'Dealer Wise'!B79:F199,5,0)</f>
        <v>11828050.982300002</v>
      </c>
      <c r="S80" s="214">
        <f t="shared" si="21"/>
        <v>1.1614665985599515</v>
      </c>
      <c r="T80" s="214">
        <f t="shared" si="22"/>
        <v>0.9</v>
      </c>
      <c r="U80" s="174">
        <f t="shared" si="23"/>
        <v>35818846.385447621</v>
      </c>
      <c r="V80" s="174">
        <f t="shared" si="24"/>
        <v>39964097.369100004</v>
      </c>
      <c r="W80" s="159">
        <f t="shared" si="13"/>
        <v>1.1157282102009991</v>
      </c>
      <c r="X80" s="175">
        <f t="shared" si="14"/>
        <v>-4145250.9836523831</v>
      </c>
      <c r="Y80" s="176">
        <f t="shared" si="25"/>
        <v>-4145250.9836523831</v>
      </c>
    </row>
    <row r="81" spans="1:25" x14ac:dyDescent="0.2">
      <c r="A81" s="107">
        <v>77</v>
      </c>
      <c r="B81" s="173" t="s">
        <v>76</v>
      </c>
      <c r="C81" s="111" t="s">
        <v>65</v>
      </c>
      <c r="D81" s="111" t="s">
        <v>70</v>
      </c>
      <c r="E81" s="204">
        <v>8348130.5875000004</v>
      </c>
      <c r="F81" s="204">
        <v>6886486.5554000009</v>
      </c>
      <c r="G81" s="205">
        <f t="shared" si="15"/>
        <v>0.82491361188233214</v>
      </c>
      <c r="H81" s="205">
        <f t="shared" si="16"/>
        <v>0</v>
      </c>
      <c r="I81" s="206">
        <v>8508428.7998285703</v>
      </c>
      <c r="J81" s="206">
        <v>2994446.8775000004</v>
      </c>
      <c r="K81" s="207">
        <f t="shared" si="17"/>
        <v>0.35193887707685034</v>
      </c>
      <c r="L81" s="207">
        <f t="shared" si="18"/>
        <v>0</v>
      </c>
      <c r="M81" s="210">
        <v>6020318.0255999994</v>
      </c>
      <c r="N81" s="203">
        <v>7446548.8290000027</v>
      </c>
      <c r="O81" s="209">
        <f t="shared" si="19"/>
        <v>1.2369029006998118</v>
      </c>
      <c r="P81" s="209">
        <f t="shared" si="20"/>
        <v>0.9</v>
      </c>
      <c r="Q81" s="213">
        <v>7552279.4070904749</v>
      </c>
      <c r="R81" s="213">
        <f>VLOOKUP(B81,'Dealer Wise'!B80:F200,5,0)</f>
        <v>9260277.4447999932</v>
      </c>
      <c r="S81" s="214">
        <f t="shared" si="21"/>
        <v>1.2261566271112745</v>
      </c>
      <c r="T81" s="214">
        <f t="shared" si="22"/>
        <v>0.9</v>
      </c>
      <c r="U81" s="174">
        <f t="shared" si="23"/>
        <v>30429156.820019048</v>
      </c>
      <c r="V81" s="174">
        <f t="shared" si="24"/>
        <v>26587759.706699997</v>
      </c>
      <c r="W81" s="159">
        <f t="shared" si="13"/>
        <v>0.87375933102451819</v>
      </c>
      <c r="X81" s="175">
        <f t="shared" si="14"/>
        <v>3841397.1133190505</v>
      </c>
      <c r="Y81" s="176">
        <f t="shared" si="25"/>
        <v>3841397.1133190505</v>
      </c>
    </row>
    <row r="82" spans="1:25" x14ac:dyDescent="0.2">
      <c r="A82" s="107">
        <v>78</v>
      </c>
      <c r="B82" s="173" t="s">
        <v>71</v>
      </c>
      <c r="C82" s="111" t="s">
        <v>65</v>
      </c>
      <c r="D82" s="111" t="s">
        <v>70</v>
      </c>
      <c r="E82" s="204">
        <v>5285806.9799999995</v>
      </c>
      <c r="F82" s="204">
        <v>4342397.1688999999</v>
      </c>
      <c r="G82" s="205">
        <f t="shared" si="15"/>
        <v>0.82152019272183119</v>
      </c>
      <c r="H82" s="205">
        <f t="shared" si="16"/>
        <v>0</v>
      </c>
      <c r="I82" s="206">
        <v>5919599.5668904763</v>
      </c>
      <c r="J82" s="206">
        <v>3443324.6912000007</v>
      </c>
      <c r="K82" s="207">
        <f t="shared" si="17"/>
        <v>0.58168202972025607</v>
      </c>
      <c r="L82" s="207">
        <f t="shared" si="18"/>
        <v>0</v>
      </c>
      <c r="M82" s="210">
        <v>4823844.3130142866</v>
      </c>
      <c r="N82" s="203">
        <v>8136981.2763999971</v>
      </c>
      <c r="O82" s="209">
        <f t="shared" si="19"/>
        <v>1.6868250192998917</v>
      </c>
      <c r="P82" s="209">
        <f t="shared" si="20"/>
        <v>0.9</v>
      </c>
      <c r="Q82" s="213">
        <v>6024165.2456666678</v>
      </c>
      <c r="R82" s="213">
        <f>VLOOKUP(B82,'Dealer Wise'!B81:F201,5,0)</f>
        <v>7145382.6704000002</v>
      </c>
      <c r="S82" s="214">
        <f t="shared" si="21"/>
        <v>1.1861199650092353</v>
      </c>
      <c r="T82" s="214">
        <f t="shared" si="22"/>
        <v>0.9</v>
      </c>
      <c r="U82" s="174">
        <f t="shared" si="23"/>
        <v>22053416.10557143</v>
      </c>
      <c r="V82" s="174">
        <f t="shared" si="24"/>
        <v>23068085.806899998</v>
      </c>
      <c r="W82" s="159">
        <f t="shared" si="13"/>
        <v>1.0460096384374769</v>
      </c>
      <c r="X82" s="175">
        <f t="shared" si="14"/>
        <v>-1014669.7013285682</v>
      </c>
      <c r="Y82" s="176">
        <f t="shared" si="25"/>
        <v>-1014669.7013285682</v>
      </c>
    </row>
    <row r="83" spans="1:25" x14ac:dyDescent="0.2">
      <c r="A83" s="107">
        <v>79</v>
      </c>
      <c r="B83" s="173" t="s">
        <v>69</v>
      </c>
      <c r="C83" s="111" t="s">
        <v>65</v>
      </c>
      <c r="D83" s="111" t="s">
        <v>70</v>
      </c>
      <c r="E83" s="204">
        <v>9131932.8024999984</v>
      </c>
      <c r="F83" s="204">
        <v>8325827.6444000006</v>
      </c>
      <c r="G83" s="205">
        <f t="shared" si="15"/>
        <v>0.91172677509417122</v>
      </c>
      <c r="H83" s="205">
        <f t="shared" si="16"/>
        <v>0.9</v>
      </c>
      <c r="I83" s="206">
        <v>9623424.4723285735</v>
      </c>
      <c r="J83" s="206">
        <v>8762651.0233999994</v>
      </c>
      <c r="K83" s="207">
        <f t="shared" si="17"/>
        <v>0.91055435085466063</v>
      </c>
      <c r="L83" s="207">
        <f t="shared" si="18"/>
        <v>0.9</v>
      </c>
      <c r="M83" s="210">
        <v>7746377.9778666664</v>
      </c>
      <c r="N83" s="203">
        <v>8041428.2483999999</v>
      </c>
      <c r="O83" s="209">
        <f t="shared" si="19"/>
        <v>1.0380888037449716</v>
      </c>
      <c r="P83" s="209">
        <f t="shared" si="20"/>
        <v>0.9</v>
      </c>
      <c r="Q83" s="213">
        <v>8324132.6465523802</v>
      </c>
      <c r="R83" s="213">
        <f>VLOOKUP(B83,'Dealer Wise'!B82:F202,5,0)</f>
        <v>11145856.583000001</v>
      </c>
      <c r="S83" s="214">
        <f t="shared" si="21"/>
        <v>1.3389811354839833</v>
      </c>
      <c r="T83" s="214">
        <f t="shared" si="22"/>
        <v>0.9</v>
      </c>
      <c r="U83" s="174">
        <f t="shared" si="23"/>
        <v>34825867.899247617</v>
      </c>
      <c r="V83" s="174">
        <f t="shared" si="24"/>
        <v>36275763.499200001</v>
      </c>
      <c r="W83" s="159">
        <f t="shared" si="13"/>
        <v>1.04163271979745</v>
      </c>
      <c r="X83" s="175">
        <f t="shared" si="14"/>
        <v>-1449895.5999523848</v>
      </c>
      <c r="Y83" s="176">
        <f t="shared" si="25"/>
        <v>-1449895.5999523848</v>
      </c>
    </row>
    <row r="84" spans="1:25" x14ac:dyDescent="0.2">
      <c r="A84" s="107">
        <v>80</v>
      </c>
      <c r="B84" s="173" t="s">
        <v>1266</v>
      </c>
      <c r="C84" s="111" t="s">
        <v>65</v>
      </c>
      <c r="D84" s="111" t="s">
        <v>65</v>
      </c>
      <c r="E84" s="204">
        <v>4694125.0424999995</v>
      </c>
      <c r="F84" s="204">
        <v>3836154.0601999993</v>
      </c>
      <c r="G84" s="205">
        <f t="shared" si="15"/>
        <v>0.81722451478560065</v>
      </c>
      <c r="H84" s="205">
        <f t="shared" si="16"/>
        <v>0</v>
      </c>
      <c r="I84" s="206">
        <v>4977954.4474142855</v>
      </c>
      <c r="J84" s="206">
        <v>1713074.0410999998</v>
      </c>
      <c r="K84" s="207">
        <f t="shared" si="17"/>
        <v>0.34413212479070138</v>
      </c>
      <c r="L84" s="207">
        <f t="shared" si="18"/>
        <v>0</v>
      </c>
      <c r="M84" s="210">
        <v>2468755.6826809524</v>
      </c>
      <c r="N84" s="203">
        <v>3488793.2297999999</v>
      </c>
      <c r="O84" s="209">
        <f t="shared" si="19"/>
        <v>1.4131788148478648</v>
      </c>
      <c r="P84" s="209">
        <f t="shared" si="20"/>
        <v>0.9</v>
      </c>
      <c r="Q84" s="213">
        <v>3343220.2704666667</v>
      </c>
      <c r="R84" s="213">
        <f>VLOOKUP(B84,'Dealer Wise'!B83:F203,5,0)</f>
        <v>5940975.8799000019</v>
      </c>
      <c r="S84" s="214">
        <f t="shared" si="21"/>
        <v>1.7770219726116716</v>
      </c>
      <c r="T84" s="214">
        <f t="shared" si="22"/>
        <v>0.9</v>
      </c>
      <c r="U84" s="174">
        <f t="shared" si="23"/>
        <v>15484055.443061903</v>
      </c>
      <c r="V84" s="174">
        <f t="shared" si="24"/>
        <v>14978997.210999999</v>
      </c>
      <c r="W84" s="159">
        <f t="shared" si="13"/>
        <v>0.96738204445733822</v>
      </c>
      <c r="X84" s="175">
        <f t="shared" si="14"/>
        <v>505058.23206190392</v>
      </c>
      <c r="Y84" s="176">
        <f t="shared" si="25"/>
        <v>505058.23206190392</v>
      </c>
    </row>
    <row r="85" spans="1:25" x14ac:dyDescent="0.2">
      <c r="A85" s="107">
        <v>81</v>
      </c>
      <c r="B85" s="173" t="s">
        <v>72</v>
      </c>
      <c r="C85" s="111" t="s">
        <v>65</v>
      </c>
      <c r="D85" s="111" t="s">
        <v>1462</v>
      </c>
      <c r="E85" s="204">
        <v>5750959.8024999984</v>
      </c>
      <c r="F85" s="204">
        <v>5798234.9247999992</v>
      </c>
      <c r="G85" s="205">
        <f t="shared" si="15"/>
        <v>1.0082203882349257</v>
      </c>
      <c r="H85" s="205">
        <f t="shared" si="16"/>
        <v>0.9</v>
      </c>
      <c r="I85" s="206">
        <v>5532686.0461142883</v>
      </c>
      <c r="J85" s="206">
        <v>6087427.6953000044</v>
      </c>
      <c r="K85" s="207">
        <f t="shared" si="17"/>
        <v>1.1002662440199948</v>
      </c>
      <c r="L85" s="207">
        <f t="shared" si="18"/>
        <v>0.9</v>
      </c>
      <c r="M85" s="210">
        <v>5803324.8655952374</v>
      </c>
      <c r="N85" s="203">
        <v>5581731.4746000022</v>
      </c>
      <c r="O85" s="209">
        <f t="shared" si="19"/>
        <v>0.9618161319368933</v>
      </c>
      <c r="P85" s="209">
        <f t="shared" si="20"/>
        <v>0.9</v>
      </c>
      <c r="Q85" s="213">
        <v>5756193.3149333326</v>
      </c>
      <c r="R85" s="213">
        <f>VLOOKUP(B85,'Dealer Wise'!B57:F177,5,0)</f>
        <v>8490164.0198000018</v>
      </c>
      <c r="S85" s="214">
        <f t="shared" si="21"/>
        <v>1.4749615857712612</v>
      </c>
      <c r="T85" s="214">
        <f t="shared" si="22"/>
        <v>0.9</v>
      </c>
      <c r="U85" s="174">
        <f t="shared" si="23"/>
        <v>22843164.029142857</v>
      </c>
      <c r="V85" s="174">
        <f t="shared" si="24"/>
        <v>25957558.114500009</v>
      </c>
      <c r="W85" s="159">
        <f t="shared" si="13"/>
        <v>1.1363381220475355</v>
      </c>
      <c r="X85" s="175">
        <f t="shared" si="14"/>
        <v>-3114394.0853571519</v>
      </c>
      <c r="Y85" s="176">
        <f t="shared" si="25"/>
        <v>-3114394.0853571519</v>
      </c>
    </row>
    <row r="86" spans="1:25" x14ac:dyDescent="0.2">
      <c r="A86" s="107">
        <v>82</v>
      </c>
      <c r="B86" s="173" t="s">
        <v>73</v>
      </c>
      <c r="C86" s="111" t="s">
        <v>65</v>
      </c>
      <c r="D86" s="111" t="s">
        <v>65</v>
      </c>
      <c r="E86" s="204">
        <v>6983287.4149999991</v>
      </c>
      <c r="F86" s="204">
        <v>4571340.4926000005</v>
      </c>
      <c r="G86" s="205">
        <f t="shared" si="15"/>
        <v>0.65461153478816125</v>
      </c>
      <c r="H86" s="205">
        <f t="shared" si="16"/>
        <v>0</v>
      </c>
      <c r="I86" s="206">
        <v>7908636.2963047624</v>
      </c>
      <c r="J86" s="206">
        <v>7209763.5429000016</v>
      </c>
      <c r="K86" s="207">
        <f t="shared" si="17"/>
        <v>0.91163169891485563</v>
      </c>
      <c r="L86" s="207">
        <f t="shared" si="18"/>
        <v>0.9</v>
      </c>
      <c r="M86" s="210">
        <v>8009184.6292809509</v>
      </c>
      <c r="N86" s="203">
        <v>11149940.184199994</v>
      </c>
      <c r="O86" s="209">
        <f t="shared" si="19"/>
        <v>1.3921442319405009</v>
      </c>
      <c r="P86" s="209">
        <f t="shared" si="20"/>
        <v>0.9</v>
      </c>
      <c r="Q86" s="213">
        <v>8575549.2930285707</v>
      </c>
      <c r="R86" s="213">
        <f>VLOOKUP(B86,'Dealer Wise'!B58:F178,5,0)</f>
        <v>11146552.797099998</v>
      </c>
      <c r="S86" s="214">
        <f t="shared" si="21"/>
        <v>1.2998062766849823</v>
      </c>
      <c r="T86" s="214">
        <f t="shared" si="22"/>
        <v>0.9</v>
      </c>
      <c r="U86" s="174">
        <f t="shared" si="23"/>
        <v>31476657.633614283</v>
      </c>
      <c r="V86" s="174">
        <f t="shared" si="24"/>
        <v>34077597.016799994</v>
      </c>
      <c r="W86" s="159">
        <f t="shared" si="13"/>
        <v>1.0826307358761031</v>
      </c>
      <c r="X86" s="175">
        <f t="shared" si="14"/>
        <v>-2600939.3831857108</v>
      </c>
      <c r="Y86" s="176">
        <f t="shared" si="25"/>
        <v>-2600939.3831857108</v>
      </c>
    </row>
    <row r="87" spans="1:25" x14ac:dyDescent="0.2">
      <c r="A87" s="107">
        <v>83</v>
      </c>
      <c r="B87" s="173" t="s">
        <v>1327</v>
      </c>
      <c r="C87" s="111" t="s">
        <v>65</v>
      </c>
      <c r="D87" s="111" t="s">
        <v>65</v>
      </c>
      <c r="E87" s="204">
        <v>10185624.125</v>
      </c>
      <c r="F87" s="204">
        <v>9410249.7838000022</v>
      </c>
      <c r="G87" s="205">
        <f t="shared" si="15"/>
        <v>0.92387561805889851</v>
      </c>
      <c r="H87" s="205">
        <f t="shared" si="16"/>
        <v>0.9</v>
      </c>
      <c r="I87" s="206">
        <v>10399708.564580951</v>
      </c>
      <c r="J87" s="206">
        <v>9568926.5649999958</v>
      </c>
      <c r="K87" s="207">
        <f t="shared" si="17"/>
        <v>0.92011487683314408</v>
      </c>
      <c r="L87" s="207">
        <f t="shared" si="18"/>
        <v>0.9</v>
      </c>
      <c r="M87" s="210">
        <v>8461883.981804762</v>
      </c>
      <c r="N87" s="203">
        <v>11678404.033800002</v>
      </c>
      <c r="O87" s="209">
        <f t="shared" si="19"/>
        <v>1.380118666116386</v>
      </c>
      <c r="P87" s="209">
        <f t="shared" si="20"/>
        <v>0.9</v>
      </c>
      <c r="Q87" s="213">
        <v>9955017.5823571421</v>
      </c>
      <c r="R87" s="213">
        <f>VLOOKUP(B87,'Dealer Wise'!B59:F179,5,0)</f>
        <v>14151731.241499996</v>
      </c>
      <c r="S87" s="214">
        <f t="shared" si="21"/>
        <v>1.4215676792555858</v>
      </c>
      <c r="T87" s="214">
        <f t="shared" si="22"/>
        <v>0.9</v>
      </c>
      <c r="U87" s="174">
        <f t="shared" si="23"/>
        <v>39002234.253742859</v>
      </c>
      <c r="V87" s="174">
        <f t="shared" si="24"/>
        <v>44809311.624099992</v>
      </c>
      <c r="W87" s="159">
        <f t="shared" si="13"/>
        <v>1.1488908900084323</v>
      </c>
      <c r="X87" s="175">
        <f t="shared" si="14"/>
        <v>-5807077.3703571334</v>
      </c>
      <c r="Y87" s="176">
        <f t="shared" si="25"/>
        <v>-5807077.3703571334</v>
      </c>
    </row>
    <row r="88" spans="1:25" x14ac:dyDescent="0.2">
      <c r="A88" s="107">
        <v>84</v>
      </c>
      <c r="B88" s="173" t="s">
        <v>74</v>
      </c>
      <c r="C88" s="111" t="s">
        <v>65</v>
      </c>
      <c r="D88" s="111" t="s">
        <v>65</v>
      </c>
      <c r="E88" s="204">
        <v>2543268.0500000003</v>
      </c>
      <c r="F88" s="204">
        <v>2324480.0937000001</v>
      </c>
      <c r="G88" s="205">
        <f t="shared" si="15"/>
        <v>0.91397369368910986</v>
      </c>
      <c r="H88" s="205">
        <f t="shared" si="16"/>
        <v>0.9</v>
      </c>
      <c r="I88" s="206">
        <v>2465946.8366380958</v>
      </c>
      <c r="J88" s="206">
        <v>2257333.0217999993</v>
      </c>
      <c r="K88" s="207">
        <f t="shared" si="17"/>
        <v>0.91540214422363364</v>
      </c>
      <c r="L88" s="207">
        <f t="shared" si="18"/>
        <v>0.9</v>
      </c>
      <c r="M88" s="210">
        <v>2192916.0830238094</v>
      </c>
      <c r="N88" s="203">
        <v>2688232.4770999998</v>
      </c>
      <c r="O88" s="209">
        <f t="shared" si="19"/>
        <v>1.2258711119456971</v>
      </c>
      <c r="P88" s="209">
        <f t="shared" si="20"/>
        <v>0.9</v>
      </c>
      <c r="Q88" s="213">
        <v>2855571.2758809533</v>
      </c>
      <c r="R88" s="213">
        <f>VLOOKUP(B88,'Dealer Wise'!B60:F180,5,0)</f>
        <v>3209744.024900001</v>
      </c>
      <c r="S88" s="214">
        <f t="shared" si="21"/>
        <v>1.1240286845614751</v>
      </c>
      <c r="T88" s="214">
        <f t="shared" si="22"/>
        <v>0.9</v>
      </c>
      <c r="U88" s="174">
        <f t="shared" si="23"/>
        <v>10057702.245542858</v>
      </c>
      <c r="V88" s="174">
        <f t="shared" si="24"/>
        <v>10479789.6175</v>
      </c>
      <c r="W88" s="159">
        <f t="shared" si="13"/>
        <v>1.0419665806018659</v>
      </c>
      <c r="X88" s="175">
        <f t="shared" si="14"/>
        <v>-422087.37195714191</v>
      </c>
      <c r="Y88" s="176">
        <f t="shared" si="25"/>
        <v>-422087.37195714191</v>
      </c>
    </row>
    <row r="89" spans="1:25" x14ac:dyDescent="0.2">
      <c r="A89" s="107">
        <v>85</v>
      </c>
      <c r="B89" s="173" t="s">
        <v>90</v>
      </c>
      <c r="C89" s="111" t="s">
        <v>80</v>
      </c>
      <c r="D89" s="111" t="s">
        <v>91</v>
      </c>
      <c r="E89" s="204">
        <v>6600830.3900000006</v>
      </c>
      <c r="F89" s="204">
        <v>7528246.2640999993</v>
      </c>
      <c r="G89" s="205">
        <f t="shared" si="15"/>
        <v>1.1404998794553178</v>
      </c>
      <c r="H89" s="205">
        <f t="shared" si="16"/>
        <v>0.9</v>
      </c>
      <c r="I89" s="206">
        <v>7071733.5127666667</v>
      </c>
      <c r="J89" s="206">
        <v>6430284.0030000033</v>
      </c>
      <c r="K89" s="207">
        <f t="shared" si="17"/>
        <v>0.90929387983743326</v>
      </c>
      <c r="L89" s="207">
        <f t="shared" si="18"/>
        <v>0.9</v>
      </c>
      <c r="M89" s="210">
        <v>6627918.662833333</v>
      </c>
      <c r="N89" s="203">
        <v>7796349.3772000028</v>
      </c>
      <c r="O89" s="209">
        <f t="shared" si="19"/>
        <v>1.1762892355512378</v>
      </c>
      <c r="P89" s="209">
        <f t="shared" si="20"/>
        <v>0.9</v>
      </c>
      <c r="Q89" s="213">
        <v>7298329.4718904775</v>
      </c>
      <c r="R89" s="213">
        <f>VLOOKUP(B89,'Dealer Wise'!B88:F208,5,0)</f>
        <v>11127925.121199995</v>
      </c>
      <c r="S89" s="214">
        <f t="shared" si="21"/>
        <v>1.5247222208944127</v>
      </c>
      <c r="T89" s="214">
        <f t="shared" si="22"/>
        <v>0.9</v>
      </c>
      <c r="U89" s="174">
        <f t="shared" si="23"/>
        <v>27598812.03749048</v>
      </c>
      <c r="V89" s="174">
        <f t="shared" si="24"/>
        <v>32882804.765500002</v>
      </c>
      <c r="W89" s="159">
        <f t="shared" si="13"/>
        <v>1.1914572526104275</v>
      </c>
      <c r="X89" s="175">
        <f t="shared" si="14"/>
        <v>-5283992.728009522</v>
      </c>
      <c r="Y89" s="176">
        <f t="shared" si="25"/>
        <v>-5283992.728009522</v>
      </c>
    </row>
    <row r="90" spans="1:25" x14ac:dyDescent="0.2">
      <c r="A90" s="107">
        <v>86</v>
      </c>
      <c r="B90" s="173" t="s">
        <v>1350</v>
      </c>
      <c r="C90" s="111" t="s">
        <v>80</v>
      </c>
      <c r="D90" s="111" t="s">
        <v>91</v>
      </c>
      <c r="E90" s="204">
        <v>12611326.777500002</v>
      </c>
      <c r="F90" s="204">
        <v>14739572.210700009</v>
      </c>
      <c r="G90" s="205">
        <f t="shared" si="15"/>
        <v>1.168756663810903</v>
      </c>
      <c r="H90" s="205">
        <f t="shared" si="16"/>
        <v>0.9</v>
      </c>
      <c r="I90" s="206">
        <v>11921285.024609525</v>
      </c>
      <c r="J90" s="206">
        <v>10854117.888800004</v>
      </c>
      <c r="K90" s="207">
        <f t="shared" si="17"/>
        <v>0.91048220610391162</v>
      </c>
      <c r="L90" s="207">
        <f t="shared" si="18"/>
        <v>0.9</v>
      </c>
      <c r="M90" s="210">
        <v>10985575.804995243</v>
      </c>
      <c r="N90" s="203">
        <v>12253120.060899995</v>
      </c>
      <c r="O90" s="209">
        <f t="shared" si="19"/>
        <v>1.1153825960882622</v>
      </c>
      <c r="P90" s="209">
        <f t="shared" si="20"/>
        <v>0.9</v>
      </c>
      <c r="Q90" s="213">
        <v>12513000.649185713</v>
      </c>
      <c r="R90" s="213">
        <f>VLOOKUP(B90,'Dealer Wise'!B89:F209,5,0)</f>
        <v>25357558.626400005</v>
      </c>
      <c r="S90" s="214">
        <f t="shared" si="21"/>
        <v>2.0264970279570917</v>
      </c>
      <c r="T90" s="214">
        <f t="shared" si="22"/>
        <v>0.9</v>
      </c>
      <c r="U90" s="174">
        <f t="shared" si="23"/>
        <v>48031188.25629048</v>
      </c>
      <c r="V90" s="174">
        <f t="shared" si="24"/>
        <v>63204368.786800012</v>
      </c>
      <c r="W90" s="159">
        <f t="shared" si="13"/>
        <v>1.315902668273512</v>
      </c>
      <c r="X90" s="175">
        <f t="shared" si="14"/>
        <v>-15173180.530509531</v>
      </c>
      <c r="Y90" s="176">
        <f t="shared" si="25"/>
        <v>-15173180.530509531</v>
      </c>
    </row>
    <row r="91" spans="1:25" x14ac:dyDescent="0.2">
      <c r="A91" s="107">
        <v>87</v>
      </c>
      <c r="B91" s="173" t="s">
        <v>79</v>
      </c>
      <c r="C91" s="111" t="s">
        <v>80</v>
      </c>
      <c r="D91" s="111" t="s">
        <v>1463</v>
      </c>
      <c r="E91" s="204">
        <v>6779861.1050000014</v>
      </c>
      <c r="F91" s="204">
        <v>7182660.882000003</v>
      </c>
      <c r="G91" s="205">
        <f t="shared" si="15"/>
        <v>1.0594112137050928</v>
      </c>
      <c r="H91" s="205">
        <f t="shared" si="16"/>
        <v>0.9</v>
      </c>
      <c r="I91" s="206">
        <v>9030809.7677380946</v>
      </c>
      <c r="J91" s="206">
        <v>7236792.2700000014</v>
      </c>
      <c r="K91" s="207">
        <f t="shared" si="17"/>
        <v>0.80134478038203294</v>
      </c>
      <c r="L91" s="207">
        <f t="shared" si="18"/>
        <v>0</v>
      </c>
      <c r="M91" s="210">
        <v>9551512.1519761886</v>
      </c>
      <c r="N91" s="203">
        <v>10097928.9605</v>
      </c>
      <c r="O91" s="209">
        <f t="shared" si="19"/>
        <v>1.057207361497285</v>
      </c>
      <c r="P91" s="209">
        <f t="shared" si="20"/>
        <v>0.9</v>
      </c>
      <c r="Q91" s="213">
        <v>9009432.3508761916</v>
      </c>
      <c r="R91" s="213">
        <f>VLOOKUP(B91,'Dealer Wise'!B90:F210,5,0)</f>
        <v>11184281.119899999</v>
      </c>
      <c r="S91" s="214">
        <f t="shared" si="21"/>
        <v>1.2413968698940614</v>
      </c>
      <c r="T91" s="214">
        <f t="shared" si="22"/>
        <v>0.9</v>
      </c>
      <c r="U91" s="174">
        <f t="shared" si="23"/>
        <v>34371615.375590473</v>
      </c>
      <c r="V91" s="174">
        <f t="shared" si="24"/>
        <v>35701663.2324</v>
      </c>
      <c r="W91" s="159">
        <f t="shared" si="13"/>
        <v>1.0386961113778226</v>
      </c>
      <c r="X91" s="175">
        <f t="shared" si="14"/>
        <v>-1330047.8568095267</v>
      </c>
      <c r="Y91" s="176">
        <f t="shared" si="25"/>
        <v>-1330047.8568095267</v>
      </c>
    </row>
    <row r="92" spans="1:25" x14ac:dyDescent="0.2">
      <c r="A92" s="107">
        <v>88</v>
      </c>
      <c r="B92" s="173" t="s">
        <v>88</v>
      </c>
      <c r="C92" s="111" t="s">
        <v>80</v>
      </c>
      <c r="D92" s="111" t="s">
        <v>1463</v>
      </c>
      <c r="E92" s="204">
        <v>5900595.8925000001</v>
      </c>
      <c r="F92" s="204">
        <v>6188663.9367999993</v>
      </c>
      <c r="G92" s="205">
        <f t="shared" si="15"/>
        <v>1.0488201614799872</v>
      </c>
      <c r="H92" s="205">
        <f t="shared" si="16"/>
        <v>0.9</v>
      </c>
      <c r="I92" s="206">
        <v>7499992.2743904758</v>
      </c>
      <c r="J92" s="206">
        <v>6039616.2391999997</v>
      </c>
      <c r="K92" s="207">
        <f t="shared" si="17"/>
        <v>0.80528299473359644</v>
      </c>
      <c r="L92" s="207">
        <f t="shared" si="18"/>
        <v>0</v>
      </c>
      <c r="M92" s="210">
        <v>6898554.4251619056</v>
      </c>
      <c r="N92" s="203">
        <v>6973312.0108000021</v>
      </c>
      <c r="O92" s="209">
        <f t="shared" si="19"/>
        <v>1.0108367030294672</v>
      </c>
      <c r="P92" s="209">
        <f t="shared" si="20"/>
        <v>0.9</v>
      </c>
      <c r="Q92" s="213">
        <v>7630508.9859476192</v>
      </c>
      <c r="R92" s="213">
        <f>VLOOKUP(B92,'Dealer Wise'!B91:F211,5,0)</f>
        <v>9028737.6353999972</v>
      </c>
      <c r="S92" s="214">
        <f t="shared" si="21"/>
        <v>1.1832418587052793</v>
      </c>
      <c r="T92" s="214">
        <f t="shared" si="22"/>
        <v>0.9</v>
      </c>
      <c r="U92" s="174">
        <f t="shared" si="23"/>
        <v>27929651.578000002</v>
      </c>
      <c r="V92" s="174">
        <f t="shared" si="24"/>
        <v>28230329.8222</v>
      </c>
      <c r="W92" s="159">
        <f t="shared" si="13"/>
        <v>1.0107655565756086</v>
      </c>
      <c r="X92" s="175">
        <f t="shared" si="14"/>
        <v>-300678.24419999868</v>
      </c>
      <c r="Y92" s="176">
        <f t="shared" si="25"/>
        <v>-300678.24419999868</v>
      </c>
    </row>
    <row r="93" spans="1:25" x14ac:dyDescent="0.2">
      <c r="A93" s="107">
        <v>89</v>
      </c>
      <c r="B93" s="173" t="s">
        <v>86</v>
      </c>
      <c r="C93" s="111" t="s">
        <v>80</v>
      </c>
      <c r="D93" s="111" t="s">
        <v>91</v>
      </c>
      <c r="E93" s="204">
        <v>14323371.180000003</v>
      </c>
      <c r="F93" s="204">
        <v>13394265.746499998</v>
      </c>
      <c r="G93" s="205">
        <f t="shared" si="15"/>
        <v>0.93513360634001219</v>
      </c>
      <c r="H93" s="205">
        <f t="shared" si="16"/>
        <v>0.9</v>
      </c>
      <c r="I93" s="206">
        <v>14684329.754347617</v>
      </c>
      <c r="J93" s="206">
        <v>14693578.818500001</v>
      </c>
      <c r="K93" s="207">
        <f t="shared" si="17"/>
        <v>1.000629859469728</v>
      </c>
      <c r="L93" s="207">
        <f t="shared" si="18"/>
        <v>0.9</v>
      </c>
      <c r="M93" s="210">
        <v>19911961.372280955</v>
      </c>
      <c r="N93" s="203">
        <v>23632300.290100012</v>
      </c>
      <c r="O93" s="209">
        <f t="shared" si="19"/>
        <v>1.1868394001104314</v>
      </c>
      <c r="P93" s="209">
        <f t="shared" si="20"/>
        <v>0.9</v>
      </c>
      <c r="Q93" s="213">
        <v>18375530.009252384</v>
      </c>
      <c r="R93" s="213">
        <f>VLOOKUP(B93,'Dealer Wise'!B92:F212,5,0)</f>
        <v>27468905.660100002</v>
      </c>
      <c r="S93" s="214">
        <f t="shared" si="21"/>
        <v>1.4948633125830357</v>
      </c>
      <c r="T93" s="214">
        <f t="shared" si="22"/>
        <v>0.9</v>
      </c>
      <c r="U93" s="174">
        <f t="shared" si="23"/>
        <v>67295192.315880954</v>
      </c>
      <c r="V93" s="174">
        <f t="shared" si="24"/>
        <v>79189050.515200004</v>
      </c>
      <c r="W93" s="159">
        <f t="shared" si="13"/>
        <v>1.1767415738035156</v>
      </c>
      <c r="X93" s="175">
        <f t="shared" si="14"/>
        <v>-11893858.19931905</v>
      </c>
      <c r="Y93" s="176">
        <f t="shared" si="25"/>
        <v>-11893858.19931905</v>
      </c>
    </row>
    <row r="94" spans="1:25" x14ac:dyDescent="0.2">
      <c r="A94" s="107">
        <v>90</v>
      </c>
      <c r="B94" s="173" t="s">
        <v>85</v>
      </c>
      <c r="C94" s="111" t="s">
        <v>80</v>
      </c>
      <c r="D94" s="111" t="s">
        <v>80</v>
      </c>
      <c r="E94" s="204">
        <v>2586012.9500000002</v>
      </c>
      <c r="F94" s="204">
        <v>2367474.699</v>
      </c>
      <c r="G94" s="205">
        <f t="shared" si="15"/>
        <v>0.91549220548180155</v>
      </c>
      <c r="H94" s="205">
        <f t="shared" si="16"/>
        <v>0.9</v>
      </c>
      <c r="I94" s="206">
        <v>2906631.4443095233</v>
      </c>
      <c r="J94" s="206">
        <v>2643236.3090999997</v>
      </c>
      <c r="K94" s="207">
        <f t="shared" si="17"/>
        <v>0.90938130951373719</v>
      </c>
      <c r="L94" s="207">
        <f t="shared" si="18"/>
        <v>0.9</v>
      </c>
      <c r="M94" s="210">
        <v>2312994.1348238094</v>
      </c>
      <c r="N94" s="203">
        <v>2986525.2139000003</v>
      </c>
      <c r="O94" s="209">
        <f t="shared" si="19"/>
        <v>1.2911944604336389</v>
      </c>
      <c r="P94" s="209">
        <f t="shared" si="20"/>
        <v>0.9</v>
      </c>
      <c r="Q94" s="213">
        <v>2775518.6958095236</v>
      </c>
      <c r="R94" s="213">
        <f>VLOOKUP(B94,'Dealer Wise'!B93:F213,5,0)</f>
        <v>5301443.8826000011</v>
      </c>
      <c r="S94" s="214">
        <f t="shared" si="21"/>
        <v>1.9100732020303512</v>
      </c>
      <c r="T94" s="214">
        <f t="shared" si="22"/>
        <v>0.9</v>
      </c>
      <c r="U94" s="174">
        <f t="shared" si="23"/>
        <v>10581157.224942856</v>
      </c>
      <c r="V94" s="174">
        <f t="shared" si="24"/>
        <v>13298680.104600001</v>
      </c>
      <c r="W94" s="159">
        <f t="shared" si="13"/>
        <v>1.2568266232025318</v>
      </c>
      <c r="X94" s="175">
        <f t="shared" si="14"/>
        <v>-2717522.8796571456</v>
      </c>
      <c r="Y94" s="176">
        <f t="shared" si="25"/>
        <v>-2717522.8796571456</v>
      </c>
    </row>
    <row r="95" spans="1:25" ht="15" x14ac:dyDescent="0.25">
      <c r="A95" s="107">
        <v>91</v>
      </c>
      <c r="B95" s="178" t="s">
        <v>1403</v>
      </c>
      <c r="C95" s="111" t="s">
        <v>80</v>
      </c>
      <c r="D95" s="111" t="s">
        <v>1465</v>
      </c>
      <c r="E95" s="204">
        <v>0</v>
      </c>
      <c r="F95" s="204">
        <v>0</v>
      </c>
      <c r="G95" s="205">
        <f t="shared" si="15"/>
        <v>0</v>
      </c>
      <c r="H95" s="205">
        <f t="shared" si="16"/>
        <v>0</v>
      </c>
      <c r="I95" s="206">
        <v>0</v>
      </c>
      <c r="J95" s="206">
        <v>0</v>
      </c>
      <c r="K95" s="207">
        <f t="shared" si="17"/>
        <v>0</v>
      </c>
      <c r="L95" s="207">
        <f t="shared" si="18"/>
        <v>0</v>
      </c>
      <c r="M95" s="210">
        <v>6580263.2854380934</v>
      </c>
      <c r="N95" s="203">
        <v>7309541.4338999996</v>
      </c>
      <c r="O95" s="209">
        <f t="shared" si="19"/>
        <v>1.1108281107954714</v>
      </c>
      <c r="P95" s="209">
        <f t="shared" si="20"/>
        <v>0.9</v>
      </c>
      <c r="Q95" s="213">
        <v>8424341.6705952398</v>
      </c>
      <c r="R95" s="213">
        <f>VLOOKUP(B95,'Dealer Wise'!B94:F214,5,0)</f>
        <v>12189845.409</v>
      </c>
      <c r="S95" s="214">
        <f t="shared" si="21"/>
        <v>1.4469789908389008</v>
      </c>
      <c r="T95" s="214">
        <f t="shared" si="22"/>
        <v>0.9</v>
      </c>
      <c r="U95" s="174">
        <f t="shared" si="23"/>
        <v>15004604.956033334</v>
      </c>
      <c r="V95" s="174">
        <f t="shared" si="24"/>
        <v>19499386.842900001</v>
      </c>
      <c r="W95" s="159">
        <f t="shared" si="13"/>
        <v>1.2995601616995134</v>
      </c>
      <c r="X95" s="175">
        <f t="shared" si="14"/>
        <v>-4494781.8868666664</v>
      </c>
      <c r="Y95" s="176">
        <f t="shared" si="25"/>
        <v>-4494781.8868666664</v>
      </c>
    </row>
    <row r="96" spans="1:25" x14ac:dyDescent="0.2">
      <c r="A96" s="107">
        <v>92</v>
      </c>
      <c r="B96" s="173" t="s">
        <v>83</v>
      </c>
      <c r="C96" s="111" t="s">
        <v>80</v>
      </c>
      <c r="D96" s="111" t="s">
        <v>1465</v>
      </c>
      <c r="E96" s="204">
        <v>9343031.8900000006</v>
      </c>
      <c r="F96" s="204">
        <v>8511124.1331999991</v>
      </c>
      <c r="G96" s="205">
        <f t="shared" si="15"/>
        <v>0.91095955075456758</v>
      </c>
      <c r="H96" s="205">
        <f t="shared" si="16"/>
        <v>0.9</v>
      </c>
      <c r="I96" s="206">
        <v>9680405.6491380949</v>
      </c>
      <c r="J96" s="206">
        <v>8796806.7836000007</v>
      </c>
      <c r="K96" s="207">
        <f t="shared" si="17"/>
        <v>0.90872295050809504</v>
      </c>
      <c r="L96" s="207">
        <f t="shared" si="18"/>
        <v>0.9</v>
      </c>
      <c r="M96" s="210">
        <v>11713136.030395238</v>
      </c>
      <c r="N96" s="203">
        <v>15392014.457099998</v>
      </c>
      <c r="O96" s="209">
        <f t="shared" si="19"/>
        <v>1.3140814225292168</v>
      </c>
      <c r="P96" s="209">
        <f t="shared" si="20"/>
        <v>0.9</v>
      </c>
      <c r="Q96" s="213">
        <v>11117894.14080476</v>
      </c>
      <c r="R96" s="213">
        <f>VLOOKUP(B96,'Dealer Wise'!B68:F188,5,0)</f>
        <v>15724975.198800009</v>
      </c>
      <c r="S96" s="214">
        <f t="shared" si="21"/>
        <v>1.4143843249133301</v>
      </c>
      <c r="T96" s="214">
        <f t="shared" si="22"/>
        <v>0.9</v>
      </c>
      <c r="U96" s="174">
        <f t="shared" si="23"/>
        <v>41854467.710338093</v>
      </c>
      <c r="V96" s="174">
        <f t="shared" si="24"/>
        <v>48424920.572700009</v>
      </c>
      <c r="W96" s="159">
        <f t="shared" si="13"/>
        <v>1.1569833095915589</v>
      </c>
      <c r="X96" s="175">
        <f t="shared" si="14"/>
        <v>-6570452.8623619154</v>
      </c>
      <c r="Y96" s="176">
        <f t="shared" si="25"/>
        <v>-6570452.8623619154</v>
      </c>
    </row>
    <row r="97" spans="1:25" x14ac:dyDescent="0.2">
      <c r="A97" s="107">
        <v>93</v>
      </c>
      <c r="B97" s="173" t="s">
        <v>84</v>
      </c>
      <c r="C97" s="111" t="s">
        <v>80</v>
      </c>
      <c r="D97" s="111" t="s">
        <v>80</v>
      </c>
      <c r="E97" s="204">
        <v>10420070.622499999</v>
      </c>
      <c r="F97" s="204">
        <v>9067859.5331000015</v>
      </c>
      <c r="G97" s="205">
        <f t="shared" si="15"/>
        <v>0.87023014158078971</v>
      </c>
      <c r="H97" s="205">
        <f t="shared" si="16"/>
        <v>0</v>
      </c>
      <c r="I97" s="206">
        <v>11590299.17133333</v>
      </c>
      <c r="J97" s="206">
        <v>9303519.8392999992</v>
      </c>
      <c r="K97" s="207">
        <f t="shared" si="17"/>
        <v>0.80269885201157731</v>
      </c>
      <c r="L97" s="207">
        <f t="shared" si="18"/>
        <v>0</v>
      </c>
      <c r="M97" s="210">
        <v>7998763.4450904755</v>
      </c>
      <c r="N97" s="203">
        <v>3150097.4705999992</v>
      </c>
      <c r="O97" s="209">
        <f t="shared" si="19"/>
        <v>0.3938230568042968</v>
      </c>
      <c r="P97" s="209">
        <f t="shared" si="20"/>
        <v>0</v>
      </c>
      <c r="Q97" s="213">
        <v>10230036.332019048</v>
      </c>
      <c r="R97" s="213">
        <f>VLOOKUP(B97,'Dealer Wise'!B96:F216,5,0)</f>
        <v>14537613.781599998</v>
      </c>
      <c r="S97" s="214">
        <f t="shared" si="21"/>
        <v>1.421071569032325</v>
      </c>
      <c r="T97" s="214">
        <f t="shared" si="22"/>
        <v>0.9</v>
      </c>
      <c r="U97" s="174">
        <f t="shared" si="23"/>
        <v>40239169.570942856</v>
      </c>
      <c r="V97" s="174">
        <f t="shared" si="24"/>
        <v>36059090.624599993</v>
      </c>
      <c r="W97" s="159">
        <f t="shared" si="13"/>
        <v>0.89611915477099346</v>
      </c>
      <c r="X97" s="175">
        <f t="shared" si="14"/>
        <v>4180078.9463428631</v>
      </c>
      <c r="Y97" s="176">
        <f t="shared" si="25"/>
        <v>4180078.9463428631</v>
      </c>
    </row>
    <row r="98" spans="1:25" x14ac:dyDescent="0.2">
      <c r="A98" s="107">
        <v>94</v>
      </c>
      <c r="B98" s="173" t="s">
        <v>81</v>
      </c>
      <c r="C98" s="111" t="s">
        <v>80</v>
      </c>
      <c r="D98" s="111" t="s">
        <v>80</v>
      </c>
      <c r="E98" s="204">
        <v>10907317.547499999</v>
      </c>
      <c r="F98" s="204">
        <v>11037395.375300003</v>
      </c>
      <c r="G98" s="205">
        <f t="shared" si="15"/>
        <v>1.011925739507769</v>
      </c>
      <c r="H98" s="205">
        <f t="shared" si="16"/>
        <v>0.9</v>
      </c>
      <c r="I98" s="206">
        <v>11058913.017061904</v>
      </c>
      <c r="J98" s="206">
        <v>11230260.560000006</v>
      </c>
      <c r="K98" s="207">
        <f t="shared" si="17"/>
        <v>1.0154940673349853</v>
      </c>
      <c r="L98" s="207">
        <f t="shared" si="18"/>
        <v>0.9</v>
      </c>
      <c r="M98" s="210">
        <v>13472508.449895239</v>
      </c>
      <c r="N98" s="203">
        <v>18190241.219000004</v>
      </c>
      <c r="O98" s="209">
        <f t="shared" si="19"/>
        <v>1.3501747864289853</v>
      </c>
      <c r="P98" s="209">
        <f t="shared" si="20"/>
        <v>0.9</v>
      </c>
      <c r="Q98" s="213">
        <v>12215133.046685714</v>
      </c>
      <c r="R98" s="213">
        <f>VLOOKUP(B98,'Dealer Wise'!B97:F217,5,0)</f>
        <v>22469879.949200016</v>
      </c>
      <c r="S98" s="214">
        <f t="shared" si="21"/>
        <v>1.8395116830345686</v>
      </c>
      <c r="T98" s="214">
        <f t="shared" si="22"/>
        <v>0.9</v>
      </c>
      <c r="U98" s="174">
        <f t="shared" si="23"/>
        <v>47653872.061142862</v>
      </c>
      <c r="V98" s="174">
        <f t="shared" si="24"/>
        <v>62927777.103500023</v>
      </c>
      <c r="W98" s="159">
        <f t="shared" si="13"/>
        <v>1.3205176071056681</v>
      </c>
      <c r="X98" s="175">
        <f t="shared" si="14"/>
        <v>-15273905.042357162</v>
      </c>
      <c r="Y98" s="176">
        <f t="shared" si="25"/>
        <v>-15273905.042357162</v>
      </c>
    </row>
    <row r="99" spans="1:25" x14ac:dyDescent="0.2">
      <c r="A99" s="107">
        <v>95</v>
      </c>
      <c r="B99" s="173" t="s">
        <v>87</v>
      </c>
      <c r="C99" s="111" t="s">
        <v>80</v>
      </c>
      <c r="D99" s="111" t="s">
        <v>1464</v>
      </c>
      <c r="E99" s="204">
        <v>11320277.032500001</v>
      </c>
      <c r="F99" s="204">
        <v>10993982.605599999</v>
      </c>
      <c r="G99" s="205">
        <f t="shared" si="15"/>
        <v>0.97117610938643772</v>
      </c>
      <c r="H99" s="205">
        <f t="shared" si="16"/>
        <v>0.9</v>
      </c>
      <c r="I99" s="206">
        <v>10699209.339999998</v>
      </c>
      <c r="J99" s="206">
        <v>8577749.799999997</v>
      </c>
      <c r="K99" s="207">
        <f t="shared" si="17"/>
        <v>0.80171810153590273</v>
      </c>
      <c r="L99" s="207">
        <f t="shared" si="18"/>
        <v>0</v>
      </c>
      <c r="M99" s="210">
        <v>12266583.202809524</v>
      </c>
      <c r="N99" s="203">
        <v>13655366.180700004</v>
      </c>
      <c r="O99" s="209">
        <f t="shared" si="19"/>
        <v>1.1132167739727552</v>
      </c>
      <c r="P99" s="209">
        <f t="shared" si="20"/>
        <v>0.9</v>
      </c>
      <c r="Q99" s="213">
        <v>13900063.326614285</v>
      </c>
      <c r="R99" s="213">
        <f>VLOOKUP(B99,'Dealer Wise'!B98:F218,5,0)</f>
        <v>20530428.086200003</v>
      </c>
      <c r="S99" s="214">
        <f t="shared" si="21"/>
        <v>1.4770024858009558</v>
      </c>
      <c r="T99" s="214">
        <f t="shared" si="22"/>
        <v>0.9</v>
      </c>
      <c r="U99" s="174">
        <f t="shared" si="23"/>
        <v>48186132.901923805</v>
      </c>
      <c r="V99" s="174">
        <f t="shared" si="24"/>
        <v>53757526.672499999</v>
      </c>
      <c r="W99" s="159">
        <f t="shared" si="13"/>
        <v>1.1156223468257143</v>
      </c>
      <c r="X99" s="175">
        <f t="shared" si="14"/>
        <v>-5571393.7705761939</v>
      </c>
      <c r="Y99" s="176">
        <f t="shared" si="25"/>
        <v>-5571393.7705761939</v>
      </c>
    </row>
    <row r="100" spans="1:25" x14ac:dyDescent="0.2">
      <c r="A100" s="107">
        <v>96</v>
      </c>
      <c r="B100" s="173" t="s">
        <v>89</v>
      </c>
      <c r="C100" s="111" t="s">
        <v>80</v>
      </c>
      <c r="D100" s="111" t="s">
        <v>1464</v>
      </c>
      <c r="E100" s="204">
        <v>9088223.2474999987</v>
      </c>
      <c r="F100" s="204">
        <v>8343516.5812999997</v>
      </c>
      <c r="G100" s="205">
        <f t="shared" si="15"/>
        <v>0.91805805756313763</v>
      </c>
      <c r="H100" s="205">
        <f t="shared" si="16"/>
        <v>0.9</v>
      </c>
      <c r="I100" s="206">
        <v>7373300.8014523806</v>
      </c>
      <c r="J100" s="206">
        <v>4177784.5001000008</v>
      </c>
      <c r="K100" s="207">
        <f t="shared" si="17"/>
        <v>0.56660980103742242</v>
      </c>
      <c r="L100" s="207">
        <f t="shared" si="18"/>
        <v>0</v>
      </c>
      <c r="M100" s="210">
        <v>9285877.9463</v>
      </c>
      <c r="N100" s="203">
        <v>11181423.938899994</v>
      </c>
      <c r="O100" s="209">
        <f t="shared" si="19"/>
        <v>1.2041321244541323</v>
      </c>
      <c r="P100" s="209">
        <f t="shared" si="20"/>
        <v>0.9</v>
      </c>
      <c r="Q100" s="213">
        <v>9296244.8308761902</v>
      </c>
      <c r="R100" s="213">
        <f>VLOOKUP(B100,'Dealer Wise'!B99:F219,5,0)</f>
        <v>14835908.256300008</v>
      </c>
      <c r="S100" s="214">
        <f t="shared" si="21"/>
        <v>1.5959033487397614</v>
      </c>
      <c r="T100" s="214">
        <f t="shared" si="22"/>
        <v>0.9</v>
      </c>
      <c r="U100" s="174">
        <f t="shared" si="23"/>
        <v>35043646.826128572</v>
      </c>
      <c r="V100" s="174">
        <f t="shared" si="24"/>
        <v>38538633.276600003</v>
      </c>
      <c r="W100" s="159">
        <f t="shared" si="13"/>
        <v>1.0997323842410593</v>
      </c>
      <c r="X100" s="175">
        <f t="shared" si="14"/>
        <v>-3494986.450471431</v>
      </c>
      <c r="Y100" s="176">
        <f t="shared" si="25"/>
        <v>-3494986.450471431</v>
      </c>
    </row>
    <row r="101" spans="1:25" x14ac:dyDescent="0.2">
      <c r="A101" s="107">
        <v>97</v>
      </c>
      <c r="B101" s="173" t="s">
        <v>13</v>
      </c>
      <c r="C101" s="111" t="s">
        <v>2</v>
      </c>
      <c r="D101" s="111" t="s">
        <v>2</v>
      </c>
      <c r="E101" s="204">
        <v>11773878.65</v>
      </c>
      <c r="F101" s="204">
        <v>11794943.954100002</v>
      </c>
      <c r="G101" s="205">
        <f t="shared" si="15"/>
        <v>1.0017891558700582</v>
      </c>
      <c r="H101" s="205">
        <f t="shared" si="16"/>
        <v>0.9</v>
      </c>
      <c r="I101" s="206">
        <v>10061535.154695241</v>
      </c>
      <c r="J101" s="206">
        <v>10076325.233600006</v>
      </c>
      <c r="K101" s="207">
        <f t="shared" si="17"/>
        <v>1.0014699624537775</v>
      </c>
      <c r="L101" s="207">
        <f t="shared" si="18"/>
        <v>0.9</v>
      </c>
      <c r="M101" s="210">
        <v>11027879.519914286</v>
      </c>
      <c r="N101" s="203">
        <v>11761801.3444</v>
      </c>
      <c r="O101" s="209">
        <f t="shared" si="19"/>
        <v>1.0665514909879446</v>
      </c>
      <c r="P101" s="209">
        <f t="shared" si="20"/>
        <v>0.9</v>
      </c>
      <c r="Q101" s="213">
        <v>13457268.523509523</v>
      </c>
      <c r="R101" s="213">
        <f>VLOOKUP(B101,'Dealer Wise'!B4:F124,5,0)</f>
        <v>17424054.2163</v>
      </c>
      <c r="S101" s="214">
        <f t="shared" si="21"/>
        <v>1.2947690079796355</v>
      </c>
      <c r="T101" s="214">
        <f t="shared" si="22"/>
        <v>0.9</v>
      </c>
      <c r="U101" s="174">
        <f t="shared" si="23"/>
        <v>46320561.84811905</v>
      </c>
      <c r="V101" s="174">
        <f t="shared" si="24"/>
        <v>51057124.748400003</v>
      </c>
      <c r="W101" s="159">
        <f t="shared" si="13"/>
        <v>1.1022561625183156</v>
      </c>
      <c r="X101" s="175">
        <f t="shared" si="14"/>
        <v>-4736562.9002809525</v>
      </c>
      <c r="Y101" s="176">
        <f t="shared" si="25"/>
        <v>-4736562.9002809525</v>
      </c>
    </row>
    <row r="102" spans="1:25" x14ac:dyDescent="0.2">
      <c r="A102" s="107">
        <v>98</v>
      </c>
      <c r="B102" s="173" t="s">
        <v>1225</v>
      </c>
      <c r="C102" s="111" t="s">
        <v>2</v>
      </c>
      <c r="D102" s="111" t="s">
        <v>2</v>
      </c>
      <c r="E102" s="204">
        <v>3753157.5424999995</v>
      </c>
      <c r="F102" s="204">
        <v>3773675.3079000013</v>
      </c>
      <c r="G102" s="205">
        <f t="shared" si="15"/>
        <v>1.0054668009982695</v>
      </c>
      <c r="H102" s="205">
        <f t="shared" si="16"/>
        <v>0.9</v>
      </c>
      <c r="I102" s="206">
        <v>3350609.3944333326</v>
      </c>
      <c r="J102" s="206">
        <v>3653248.2976999991</v>
      </c>
      <c r="K102" s="207">
        <f t="shared" si="17"/>
        <v>1.0903235404787761</v>
      </c>
      <c r="L102" s="207">
        <f t="shared" si="18"/>
        <v>0.9</v>
      </c>
      <c r="M102" s="210">
        <v>3497888.8606523806</v>
      </c>
      <c r="N102" s="203">
        <v>5003494.6440000022</v>
      </c>
      <c r="O102" s="209">
        <f t="shared" si="19"/>
        <v>1.4304327105083652</v>
      </c>
      <c r="P102" s="209">
        <f t="shared" si="20"/>
        <v>0.9</v>
      </c>
      <c r="Q102" s="213">
        <v>4965941.2497952366</v>
      </c>
      <c r="R102" s="213">
        <f>VLOOKUP(B102,'Dealer Wise'!B5:F125,5,0)</f>
        <v>7148042.4115000004</v>
      </c>
      <c r="S102" s="214">
        <f t="shared" si="21"/>
        <v>1.4394134066315705</v>
      </c>
      <c r="T102" s="214">
        <f t="shared" si="22"/>
        <v>0.9</v>
      </c>
      <c r="U102" s="174">
        <f t="shared" si="23"/>
        <v>15567597.04738095</v>
      </c>
      <c r="V102" s="174">
        <f t="shared" si="24"/>
        <v>19578460.661100004</v>
      </c>
      <c r="W102" s="159">
        <f t="shared" si="13"/>
        <v>1.2576417928542047</v>
      </c>
      <c r="X102" s="175">
        <f t="shared" si="14"/>
        <v>-4010863.6137190536</v>
      </c>
      <c r="Y102" s="176">
        <f t="shared" si="25"/>
        <v>-4010863.6137190536</v>
      </c>
    </row>
    <row r="103" spans="1:25" x14ac:dyDescent="0.2">
      <c r="A103" s="107">
        <v>99</v>
      </c>
      <c r="B103" s="173" t="s">
        <v>1267</v>
      </c>
      <c r="C103" s="111" t="s">
        <v>2</v>
      </c>
      <c r="D103" s="111" t="s">
        <v>2</v>
      </c>
      <c r="E103" s="204">
        <v>2523075.4600000004</v>
      </c>
      <c r="F103" s="204">
        <v>2758195.4078000011</v>
      </c>
      <c r="G103" s="205">
        <f t="shared" si="15"/>
        <v>1.0931878382266065</v>
      </c>
      <c r="H103" s="205">
        <f t="shared" si="16"/>
        <v>0.9</v>
      </c>
      <c r="I103" s="206">
        <v>2047675.8737999995</v>
      </c>
      <c r="J103" s="206">
        <v>2068954.9361999994</v>
      </c>
      <c r="K103" s="207">
        <f t="shared" si="17"/>
        <v>1.0103918118449631</v>
      </c>
      <c r="L103" s="207">
        <f t="shared" si="18"/>
        <v>0.9</v>
      </c>
      <c r="M103" s="210">
        <v>2596651.2882380951</v>
      </c>
      <c r="N103" s="203">
        <v>2705075.6224000007</v>
      </c>
      <c r="O103" s="209">
        <f t="shared" si="19"/>
        <v>1.0417554465834629</v>
      </c>
      <c r="P103" s="209">
        <f t="shared" si="20"/>
        <v>0.9</v>
      </c>
      <c r="Q103" s="213">
        <v>2961100.4942571428</v>
      </c>
      <c r="R103" s="213">
        <f>VLOOKUP(B103,'Dealer Wise'!B6:F126,5,0)</f>
        <v>4508129.9153999984</v>
      </c>
      <c r="S103" s="214">
        <f t="shared" si="21"/>
        <v>1.5224508334462867</v>
      </c>
      <c r="T103" s="214">
        <f t="shared" si="22"/>
        <v>0.9</v>
      </c>
      <c r="U103" s="174">
        <f t="shared" si="23"/>
        <v>10128503.116295237</v>
      </c>
      <c r="V103" s="174">
        <f t="shared" si="24"/>
        <v>12040355.8818</v>
      </c>
      <c r="W103" s="159">
        <f t="shared" si="13"/>
        <v>1.1887596561459195</v>
      </c>
      <c r="X103" s="175">
        <f t="shared" si="14"/>
        <v>-1911852.7655047625</v>
      </c>
      <c r="Y103" s="176">
        <f t="shared" si="25"/>
        <v>-1911852.7655047625</v>
      </c>
    </row>
    <row r="104" spans="1:25" x14ac:dyDescent="0.2">
      <c r="A104" s="107">
        <v>100</v>
      </c>
      <c r="B104" s="173" t="s">
        <v>1</v>
      </c>
      <c r="C104" s="111" t="s">
        <v>137</v>
      </c>
      <c r="D104" s="111" t="s">
        <v>1448</v>
      </c>
      <c r="E104" s="204">
        <v>9465941.8000000007</v>
      </c>
      <c r="F104" s="204">
        <v>8641557.4849000014</v>
      </c>
      <c r="G104" s="205">
        <f t="shared" si="15"/>
        <v>0.91291048133213759</v>
      </c>
      <c r="H104" s="205">
        <f t="shared" si="16"/>
        <v>0.9</v>
      </c>
      <c r="I104" s="206">
        <v>8184002.5876476187</v>
      </c>
      <c r="J104" s="206">
        <v>9808770.630900003</v>
      </c>
      <c r="K104" s="207">
        <f t="shared" si="17"/>
        <v>1.1985297567848645</v>
      </c>
      <c r="L104" s="207">
        <f t="shared" si="18"/>
        <v>0.9</v>
      </c>
      <c r="M104" s="210">
        <v>8618176.5773047619</v>
      </c>
      <c r="N104" s="203">
        <v>13301831.137100002</v>
      </c>
      <c r="O104" s="209">
        <f t="shared" si="19"/>
        <v>1.5434623574700532</v>
      </c>
      <c r="P104" s="209">
        <f t="shared" si="20"/>
        <v>0.9</v>
      </c>
      <c r="Q104" s="213">
        <v>11681018.702076193</v>
      </c>
      <c r="R104" s="213">
        <f>VLOOKUP(B104,'Dealer Wise'!B76:F196,5,0)</f>
        <v>13752057.371300006</v>
      </c>
      <c r="S104" s="214">
        <f t="shared" si="21"/>
        <v>1.1772994909130405</v>
      </c>
      <c r="T104" s="214">
        <f t="shared" si="22"/>
        <v>0.9</v>
      </c>
      <c r="U104" s="174">
        <f t="shared" si="23"/>
        <v>37949139.667028576</v>
      </c>
      <c r="V104" s="174">
        <f t="shared" si="24"/>
        <v>45504216.624200009</v>
      </c>
      <c r="W104" s="159">
        <f t="shared" si="13"/>
        <v>1.1990842749917603</v>
      </c>
      <c r="X104" s="175">
        <f t="shared" si="14"/>
        <v>-7555076.9571714327</v>
      </c>
      <c r="Y104" s="176">
        <f t="shared" si="25"/>
        <v>-7555076.9571714327</v>
      </c>
    </row>
    <row r="105" spans="1:25" x14ac:dyDescent="0.2">
      <c r="A105" s="107">
        <v>101</v>
      </c>
      <c r="B105" s="173" t="s">
        <v>9</v>
      </c>
      <c r="C105" s="111" t="s">
        <v>137</v>
      </c>
      <c r="D105" s="111" t="s">
        <v>1448</v>
      </c>
      <c r="E105" s="204">
        <v>10783538.002499999</v>
      </c>
      <c r="F105" s="204">
        <v>10799970.712000001</v>
      </c>
      <c r="G105" s="205">
        <f t="shared" si="15"/>
        <v>1.0015238699484521</v>
      </c>
      <c r="H105" s="205">
        <f t="shared" si="16"/>
        <v>0.9</v>
      </c>
      <c r="I105" s="206">
        <v>9749010.1702380963</v>
      </c>
      <c r="J105" s="206">
        <v>11130421.565800002</v>
      </c>
      <c r="K105" s="207">
        <f t="shared" si="17"/>
        <v>1.141697605340396</v>
      </c>
      <c r="L105" s="207">
        <f t="shared" si="18"/>
        <v>0.9</v>
      </c>
      <c r="M105" s="210">
        <v>8801538.0909095239</v>
      </c>
      <c r="N105" s="203">
        <v>15005796.414900007</v>
      </c>
      <c r="O105" s="209">
        <f t="shared" si="19"/>
        <v>1.7049061493466029</v>
      </c>
      <c r="P105" s="209">
        <f t="shared" si="20"/>
        <v>0.9</v>
      </c>
      <c r="Q105" s="213">
        <v>11723959.122976191</v>
      </c>
      <c r="R105" s="213">
        <f>VLOOKUP(B105,'Dealer Wise'!B77:F197,5,0)</f>
        <v>17037192.718700007</v>
      </c>
      <c r="S105" s="214">
        <f t="shared" si="21"/>
        <v>1.4531944831939181</v>
      </c>
      <c r="T105" s="214">
        <f t="shared" si="22"/>
        <v>0.9</v>
      </c>
      <c r="U105" s="174">
        <f t="shared" si="23"/>
        <v>41058045.386623815</v>
      </c>
      <c r="V105" s="174">
        <f t="shared" si="24"/>
        <v>53973381.411400013</v>
      </c>
      <c r="W105" s="159">
        <f t="shared" si="13"/>
        <v>1.3145628561505718</v>
      </c>
      <c r="X105" s="175">
        <f t="shared" si="14"/>
        <v>-12915336.024776198</v>
      </c>
      <c r="Y105" s="176">
        <f t="shared" si="25"/>
        <v>-12915336.024776198</v>
      </c>
    </row>
    <row r="106" spans="1:25" x14ac:dyDescent="0.2">
      <c r="A106" s="107">
        <v>102</v>
      </c>
      <c r="B106" s="202" t="s">
        <v>10</v>
      </c>
      <c r="C106" s="111" t="s">
        <v>137</v>
      </c>
      <c r="D106" s="111" t="s">
        <v>1448</v>
      </c>
      <c r="E106" s="204">
        <v>4885046.5250000004</v>
      </c>
      <c r="F106" s="204">
        <v>4009967.4362000003</v>
      </c>
      <c r="G106" s="205">
        <f t="shared" si="15"/>
        <v>0.82086576160090918</v>
      </c>
      <c r="H106" s="205">
        <f t="shared" si="16"/>
        <v>0</v>
      </c>
      <c r="I106" s="206">
        <v>4215458.5795047609</v>
      </c>
      <c r="J106" s="206">
        <v>2742652.9966000002</v>
      </c>
      <c r="K106" s="207">
        <f t="shared" si="17"/>
        <v>0.65061794461332645</v>
      </c>
      <c r="L106" s="207">
        <f t="shared" si="18"/>
        <v>0</v>
      </c>
      <c r="M106" s="210">
        <v>0</v>
      </c>
      <c r="N106" s="203">
        <v>0</v>
      </c>
      <c r="O106" s="209">
        <f t="shared" si="19"/>
        <v>0</v>
      </c>
      <c r="P106" s="209">
        <f t="shared" si="20"/>
        <v>0</v>
      </c>
      <c r="Q106" s="213">
        <v>0</v>
      </c>
      <c r="R106" s="213">
        <v>0</v>
      </c>
      <c r="S106" s="214">
        <f t="shared" si="21"/>
        <v>0</v>
      </c>
      <c r="T106" s="214">
        <f t="shared" si="22"/>
        <v>0</v>
      </c>
      <c r="U106" s="174">
        <f t="shared" si="23"/>
        <v>9100505.1045047604</v>
      </c>
      <c r="V106" s="174">
        <f t="shared" si="24"/>
        <v>6752620.4328000005</v>
      </c>
      <c r="W106" s="159">
        <f t="shared" si="13"/>
        <v>0.74200501568395871</v>
      </c>
      <c r="X106" s="175">
        <f t="shared" si="14"/>
        <v>2347884.6717047598</v>
      </c>
      <c r="Y106" s="176">
        <f t="shared" si="25"/>
        <v>2347884.6717047598</v>
      </c>
    </row>
    <row r="107" spans="1:25" x14ac:dyDescent="0.2">
      <c r="A107" s="107">
        <v>103</v>
      </c>
      <c r="B107" s="202" t="s">
        <v>1446</v>
      </c>
      <c r="C107" s="111" t="s">
        <v>137</v>
      </c>
      <c r="D107" s="111" t="s">
        <v>1448</v>
      </c>
      <c r="E107" s="204">
        <v>0</v>
      </c>
      <c r="F107" s="204">
        <v>0</v>
      </c>
      <c r="G107" s="205">
        <f t="shared" si="15"/>
        <v>0</v>
      </c>
      <c r="H107" s="205">
        <f t="shared" si="16"/>
        <v>0</v>
      </c>
      <c r="I107" s="206">
        <v>0</v>
      </c>
      <c r="J107" s="206">
        <v>0</v>
      </c>
      <c r="K107" s="207">
        <f t="shared" si="17"/>
        <v>0</v>
      </c>
      <c r="L107" s="207">
        <f t="shared" si="18"/>
        <v>0</v>
      </c>
      <c r="M107" s="210">
        <v>4989531.3286238099</v>
      </c>
      <c r="N107" s="203">
        <v>5600494.6333999988</v>
      </c>
      <c r="O107" s="209">
        <f t="shared" si="19"/>
        <v>1.1224490367003472</v>
      </c>
      <c r="P107" s="209">
        <f t="shared" si="20"/>
        <v>0.9</v>
      </c>
      <c r="Q107" s="213">
        <v>5395051.4129047608</v>
      </c>
      <c r="R107" s="213">
        <f>VLOOKUP(B107,'Dealer Wise'!B62:F182,5,0)</f>
        <v>7325362.7378999991</v>
      </c>
      <c r="S107" s="214">
        <f t="shared" si="21"/>
        <v>1.3577929434329403</v>
      </c>
      <c r="T107" s="214">
        <f t="shared" si="22"/>
        <v>0.9</v>
      </c>
      <c r="U107" s="174">
        <f t="shared" si="23"/>
        <v>10384582.741528571</v>
      </c>
      <c r="V107" s="174">
        <f t="shared" si="24"/>
        <v>12925857.371299997</v>
      </c>
      <c r="W107" s="159">
        <f t="shared" si="13"/>
        <v>1.244716103961377</v>
      </c>
      <c r="X107" s="175">
        <f t="shared" si="14"/>
        <v>-2541274.6297714263</v>
      </c>
      <c r="Y107" s="176">
        <f t="shared" si="25"/>
        <v>-2541274.6297714263</v>
      </c>
    </row>
    <row r="108" spans="1:25" x14ac:dyDescent="0.2">
      <c r="A108" s="107">
        <v>104</v>
      </c>
      <c r="B108" s="173" t="s">
        <v>3</v>
      </c>
      <c r="C108" s="111" t="s">
        <v>2</v>
      </c>
      <c r="D108" s="111" t="s">
        <v>1447</v>
      </c>
      <c r="E108" s="204">
        <v>10334371.4575</v>
      </c>
      <c r="F108" s="204">
        <v>10338930.922999999</v>
      </c>
      <c r="G108" s="205">
        <f t="shared" si="15"/>
        <v>1.0004411942727964</v>
      </c>
      <c r="H108" s="205">
        <f t="shared" si="16"/>
        <v>0.9</v>
      </c>
      <c r="I108" s="206">
        <v>9036444.9773285706</v>
      </c>
      <c r="J108" s="206">
        <v>9037525.7515999954</v>
      </c>
      <c r="K108" s="207">
        <f t="shared" si="17"/>
        <v>1.0001196017099796</v>
      </c>
      <c r="L108" s="207">
        <f t="shared" si="18"/>
        <v>0.9</v>
      </c>
      <c r="M108" s="210">
        <v>9303644.6145857126</v>
      </c>
      <c r="N108" s="203">
        <v>12705608.043999998</v>
      </c>
      <c r="O108" s="209">
        <f t="shared" si="19"/>
        <v>1.3656592196224784</v>
      </c>
      <c r="P108" s="209">
        <f t="shared" si="20"/>
        <v>0.9</v>
      </c>
      <c r="Q108" s="213">
        <v>10987773.137361905</v>
      </c>
      <c r="R108" s="213">
        <f>VLOOKUP(B108,'Dealer Wise'!B3:F123,5,0)</f>
        <v>13459412.560900006</v>
      </c>
      <c r="S108" s="214">
        <f t="shared" si="21"/>
        <v>1.2249445263056757</v>
      </c>
      <c r="T108" s="214">
        <f t="shared" si="22"/>
        <v>0.9</v>
      </c>
      <c r="U108" s="174">
        <f t="shared" si="23"/>
        <v>39662234.186776191</v>
      </c>
      <c r="V108" s="174">
        <f t="shared" si="24"/>
        <v>45541477.279499993</v>
      </c>
      <c r="W108" s="159">
        <f t="shared" si="13"/>
        <v>1.1482327764249853</v>
      </c>
      <c r="X108" s="175">
        <f t="shared" si="14"/>
        <v>-5879243.0927238017</v>
      </c>
      <c r="Y108" s="176">
        <f t="shared" si="25"/>
        <v>-5879243.0927238017</v>
      </c>
    </row>
    <row r="109" spans="1:25" x14ac:dyDescent="0.2">
      <c r="A109" s="107">
        <v>105</v>
      </c>
      <c r="B109" s="173" t="s">
        <v>12</v>
      </c>
      <c r="C109" s="111" t="s">
        <v>2</v>
      </c>
      <c r="D109" s="111" t="s">
        <v>1394</v>
      </c>
      <c r="E109" s="204">
        <v>5455375.8750000009</v>
      </c>
      <c r="F109" s="204">
        <v>4367731.6884999983</v>
      </c>
      <c r="G109" s="205">
        <f t="shared" si="15"/>
        <v>0.80062891880937492</v>
      </c>
      <c r="H109" s="205">
        <f t="shared" si="16"/>
        <v>0</v>
      </c>
      <c r="I109" s="206">
        <v>5060804.9412761908</v>
      </c>
      <c r="J109" s="206">
        <v>4353309.2239999995</v>
      </c>
      <c r="K109" s="207">
        <f t="shared" si="17"/>
        <v>0.86020095113608919</v>
      </c>
      <c r="L109" s="207">
        <f t="shared" si="18"/>
        <v>0</v>
      </c>
      <c r="M109" s="210">
        <v>4098915.5045095244</v>
      </c>
      <c r="N109" s="203">
        <v>4552636.4454999985</v>
      </c>
      <c r="O109" s="209">
        <f t="shared" si="19"/>
        <v>1.1106929236504879</v>
      </c>
      <c r="P109" s="209">
        <f t="shared" si="20"/>
        <v>0.9</v>
      </c>
      <c r="Q109" s="213">
        <v>6192517.8541190475</v>
      </c>
      <c r="R109" s="213">
        <f>VLOOKUP(B109,'Dealer Wise'!B4:F124,5,0)</f>
        <v>6443733.5138000026</v>
      </c>
      <c r="S109" s="214">
        <f t="shared" si="21"/>
        <v>1.0405676116886535</v>
      </c>
      <c r="T109" s="214">
        <f t="shared" si="22"/>
        <v>0.9</v>
      </c>
      <c r="U109" s="174">
        <f t="shared" si="23"/>
        <v>20807614.174904764</v>
      </c>
      <c r="V109" s="174">
        <f t="shared" si="24"/>
        <v>19717410.871799998</v>
      </c>
      <c r="W109" s="159">
        <f t="shared" si="13"/>
        <v>0.94760555948698744</v>
      </c>
      <c r="X109" s="175">
        <f t="shared" si="14"/>
        <v>1090203.3031047657</v>
      </c>
      <c r="Y109" s="176">
        <f t="shared" si="25"/>
        <v>1090203.3031047657</v>
      </c>
    </row>
    <row r="110" spans="1:25" x14ac:dyDescent="0.2">
      <c r="A110" s="107">
        <v>106</v>
      </c>
      <c r="B110" s="173" t="s">
        <v>5</v>
      </c>
      <c r="C110" s="111" t="s">
        <v>2</v>
      </c>
      <c r="D110" s="111" t="s">
        <v>1447</v>
      </c>
      <c r="E110" s="204">
        <v>7834492.4325000001</v>
      </c>
      <c r="F110" s="204">
        <v>7138307.5430999994</v>
      </c>
      <c r="G110" s="205">
        <f t="shared" si="15"/>
        <v>0.91113848211633963</v>
      </c>
      <c r="H110" s="205">
        <f t="shared" si="16"/>
        <v>0.9</v>
      </c>
      <c r="I110" s="206">
        <v>7380709.1902809516</v>
      </c>
      <c r="J110" s="206">
        <v>8050466.5469999993</v>
      </c>
      <c r="K110" s="207">
        <f t="shared" si="17"/>
        <v>1.0907443091784454</v>
      </c>
      <c r="L110" s="207">
        <f t="shared" si="18"/>
        <v>0.9</v>
      </c>
      <c r="M110" s="210">
        <v>6697663.8687476171</v>
      </c>
      <c r="N110" s="203">
        <v>8982647.3544000033</v>
      </c>
      <c r="O110" s="209">
        <f t="shared" si="19"/>
        <v>1.3411612661415406</v>
      </c>
      <c r="P110" s="209">
        <f t="shared" si="20"/>
        <v>0.9</v>
      </c>
      <c r="Q110" s="213">
        <v>9078182.2449285723</v>
      </c>
      <c r="R110" s="213">
        <f>VLOOKUP(B110,'Dealer Wise'!B5:F125,5,0)</f>
        <v>11021129.505500006</v>
      </c>
      <c r="S110" s="214">
        <f t="shared" si="21"/>
        <v>1.2140238219668744</v>
      </c>
      <c r="T110" s="214">
        <f t="shared" si="22"/>
        <v>0.9</v>
      </c>
      <c r="U110" s="174">
        <f t="shared" si="23"/>
        <v>30991047.736457143</v>
      </c>
      <c r="V110" s="174">
        <f t="shared" si="24"/>
        <v>35192550.950000003</v>
      </c>
      <c r="W110" s="159">
        <f t="shared" si="13"/>
        <v>1.1355715124339056</v>
      </c>
      <c r="X110" s="175">
        <f t="shared" si="14"/>
        <v>-4201503.21354286</v>
      </c>
      <c r="Y110" s="176">
        <f t="shared" si="25"/>
        <v>-4201503.21354286</v>
      </c>
    </row>
    <row r="111" spans="1:25" x14ac:dyDescent="0.2">
      <c r="A111" s="107">
        <v>107</v>
      </c>
      <c r="B111" s="173" t="s">
        <v>4</v>
      </c>
      <c r="C111" s="111" t="s">
        <v>2</v>
      </c>
      <c r="D111" s="111" t="s">
        <v>1447</v>
      </c>
      <c r="E111" s="204">
        <v>3282403.1424999996</v>
      </c>
      <c r="F111" s="204">
        <v>3321772.1019000001</v>
      </c>
      <c r="G111" s="205">
        <f t="shared" si="15"/>
        <v>1.011993943976673</v>
      </c>
      <c r="H111" s="205">
        <f t="shared" si="16"/>
        <v>0.9</v>
      </c>
      <c r="I111" s="206">
        <v>2881846.7553666667</v>
      </c>
      <c r="J111" s="206">
        <v>2977399.5982000004</v>
      </c>
      <c r="K111" s="207">
        <f t="shared" si="17"/>
        <v>1.0331568091382348</v>
      </c>
      <c r="L111" s="207">
        <f t="shared" si="18"/>
        <v>0.9</v>
      </c>
      <c r="M111" s="210">
        <v>3502857.653752381</v>
      </c>
      <c r="N111" s="203">
        <v>5017904.8098999998</v>
      </c>
      <c r="O111" s="209">
        <f t="shared" si="19"/>
        <v>1.4325174774158032</v>
      </c>
      <c r="P111" s="209">
        <f t="shared" si="20"/>
        <v>0.9</v>
      </c>
      <c r="Q111" s="213">
        <v>3767780.7789190472</v>
      </c>
      <c r="R111" s="213">
        <f>VLOOKUP(B111,'Dealer Wise'!B6:F126,5,0)</f>
        <v>4752464.8690000009</v>
      </c>
      <c r="S111" s="214">
        <f t="shared" si="21"/>
        <v>1.2613432542546845</v>
      </c>
      <c r="T111" s="214">
        <f t="shared" si="22"/>
        <v>0.9</v>
      </c>
      <c r="U111" s="174">
        <f t="shared" si="23"/>
        <v>13434888.330538094</v>
      </c>
      <c r="V111" s="174">
        <f t="shared" si="24"/>
        <v>16069541.379000003</v>
      </c>
      <c r="W111" s="159">
        <f t="shared" si="13"/>
        <v>1.1961053180079826</v>
      </c>
      <c r="X111" s="175">
        <f t="shared" si="14"/>
        <v>-2634653.0484619085</v>
      </c>
      <c r="Y111" s="176">
        <f t="shared" si="25"/>
        <v>-2634653.0484619085</v>
      </c>
    </row>
    <row r="112" spans="1:25" x14ac:dyDescent="0.2">
      <c r="A112" s="107">
        <v>108</v>
      </c>
      <c r="B112" s="173" t="s">
        <v>11</v>
      </c>
      <c r="C112" s="111" t="s">
        <v>2</v>
      </c>
      <c r="D112" s="111" t="s">
        <v>1447</v>
      </c>
      <c r="E112" s="204">
        <v>5873083.2125000013</v>
      </c>
      <c r="F112" s="204">
        <v>5358204.9604000011</v>
      </c>
      <c r="G112" s="205">
        <f t="shared" si="15"/>
        <v>0.91233254604597513</v>
      </c>
      <c r="H112" s="205">
        <f t="shared" si="16"/>
        <v>0.9</v>
      </c>
      <c r="I112" s="206">
        <v>5358329.6189809516</v>
      </c>
      <c r="J112" s="206">
        <v>5380214.715900002</v>
      </c>
      <c r="K112" s="207">
        <f t="shared" si="17"/>
        <v>1.00408431329822</v>
      </c>
      <c r="L112" s="207">
        <f t="shared" si="18"/>
        <v>0.9</v>
      </c>
      <c r="M112" s="210">
        <v>5863687.3015857134</v>
      </c>
      <c r="N112" s="203">
        <v>8004247.4224999975</v>
      </c>
      <c r="O112" s="209">
        <f t="shared" si="19"/>
        <v>1.3650535935528849</v>
      </c>
      <c r="P112" s="209">
        <f t="shared" si="20"/>
        <v>0.9</v>
      </c>
      <c r="Q112" s="213">
        <v>6758149.2287809523</v>
      </c>
      <c r="R112" s="213">
        <f>VLOOKUP(B112,'Dealer Wise'!B7:F127,5,0)</f>
        <v>8397885.5322999991</v>
      </c>
      <c r="S112" s="214">
        <f t="shared" si="21"/>
        <v>1.2426309701087832</v>
      </c>
      <c r="T112" s="214">
        <f t="shared" si="22"/>
        <v>0.9</v>
      </c>
      <c r="U112" s="174">
        <f t="shared" si="23"/>
        <v>23853249.36184762</v>
      </c>
      <c r="V112" s="174">
        <f t="shared" si="24"/>
        <v>27140552.631100003</v>
      </c>
      <c r="W112" s="159">
        <f t="shared" si="13"/>
        <v>1.1378136462410149</v>
      </c>
      <c r="X112" s="175">
        <f t="shared" si="14"/>
        <v>-3287303.2692523822</v>
      </c>
      <c r="Y112" s="176">
        <f t="shared" si="25"/>
        <v>-3287303.2692523822</v>
      </c>
    </row>
    <row r="113" spans="1:25" x14ac:dyDescent="0.2">
      <c r="A113" s="107">
        <v>109</v>
      </c>
      <c r="B113" s="173" t="s">
        <v>6</v>
      </c>
      <c r="C113" s="111" t="s">
        <v>2</v>
      </c>
      <c r="D113" s="111" t="s">
        <v>1394</v>
      </c>
      <c r="E113" s="204">
        <v>4973521.87</v>
      </c>
      <c r="F113" s="204">
        <v>2790799.9773999997</v>
      </c>
      <c r="G113" s="205">
        <f t="shared" si="15"/>
        <v>0.56113153824334139</v>
      </c>
      <c r="H113" s="205">
        <f t="shared" si="16"/>
        <v>0</v>
      </c>
      <c r="I113" s="206">
        <v>4067724.1552523803</v>
      </c>
      <c r="J113" s="206">
        <v>3504359.6668000002</v>
      </c>
      <c r="K113" s="207">
        <f t="shared" si="17"/>
        <v>0.86150376305017018</v>
      </c>
      <c r="L113" s="207">
        <f t="shared" si="18"/>
        <v>0</v>
      </c>
      <c r="M113" s="210">
        <v>3299087.1696476187</v>
      </c>
      <c r="N113" s="203">
        <v>3297103.1126000001</v>
      </c>
      <c r="O113" s="209">
        <f t="shared" si="19"/>
        <v>0.99939860423638627</v>
      </c>
      <c r="P113" s="209">
        <f t="shared" si="20"/>
        <v>0.9</v>
      </c>
      <c r="Q113" s="213">
        <v>4063410.5395285715</v>
      </c>
      <c r="R113" s="213">
        <f>VLOOKUP(B113,'Dealer Wise'!B4:F124,5,0)</f>
        <v>5173323.5400999999</v>
      </c>
      <c r="S113" s="214">
        <f t="shared" si="21"/>
        <v>1.2731481325291336</v>
      </c>
      <c r="T113" s="214">
        <f t="shared" si="22"/>
        <v>0.9</v>
      </c>
      <c r="U113" s="174">
        <f t="shared" si="23"/>
        <v>16403743.73442857</v>
      </c>
      <c r="V113" s="174">
        <f t="shared" si="24"/>
        <v>14765586.2969</v>
      </c>
      <c r="W113" s="159">
        <f t="shared" si="13"/>
        <v>0.90013514816801454</v>
      </c>
      <c r="X113" s="175">
        <f t="shared" si="14"/>
        <v>1638157.4375285693</v>
      </c>
      <c r="Y113" s="176">
        <f t="shared" si="25"/>
        <v>1638157.4375285693</v>
      </c>
    </row>
    <row r="114" spans="1:25" x14ac:dyDescent="0.2">
      <c r="A114" s="107">
        <v>110</v>
      </c>
      <c r="B114" s="173" t="s">
        <v>7</v>
      </c>
      <c r="C114" s="111" t="s">
        <v>2</v>
      </c>
      <c r="D114" s="111" t="s">
        <v>1394</v>
      </c>
      <c r="E114" s="204">
        <v>5366217.7575000012</v>
      </c>
      <c r="F114" s="204">
        <v>4312192.2294000005</v>
      </c>
      <c r="G114" s="205">
        <f t="shared" si="15"/>
        <v>0.80358129771628062</v>
      </c>
      <c r="H114" s="205">
        <f t="shared" si="16"/>
        <v>0</v>
      </c>
      <c r="I114" s="206">
        <v>4951956.0743714292</v>
      </c>
      <c r="J114" s="206">
        <v>3963854.4142999989</v>
      </c>
      <c r="K114" s="207">
        <f t="shared" si="17"/>
        <v>0.80046235361713025</v>
      </c>
      <c r="L114" s="207">
        <f t="shared" si="18"/>
        <v>0</v>
      </c>
      <c r="M114" s="210">
        <v>3897467.7490571425</v>
      </c>
      <c r="N114" s="203">
        <v>6863908.8489000015</v>
      </c>
      <c r="O114" s="209">
        <f t="shared" si="19"/>
        <v>1.7611201146078725</v>
      </c>
      <c r="P114" s="209">
        <f t="shared" si="20"/>
        <v>0.9</v>
      </c>
      <c r="Q114" s="213">
        <v>5266744.5113523789</v>
      </c>
      <c r="R114" s="213">
        <f>VLOOKUP(B114,'Dealer Wise'!B9:F129,5,0)</f>
        <v>6113874.2855000002</v>
      </c>
      <c r="S114" s="214">
        <f t="shared" si="21"/>
        <v>1.1608450480788743</v>
      </c>
      <c r="T114" s="214">
        <f t="shared" si="22"/>
        <v>0.9</v>
      </c>
      <c r="U114" s="174">
        <f t="shared" si="23"/>
        <v>19482386.092280954</v>
      </c>
      <c r="V114" s="174">
        <f t="shared" si="24"/>
        <v>21253829.778100003</v>
      </c>
      <c r="W114" s="159">
        <f t="shared" si="13"/>
        <v>1.0909253967880714</v>
      </c>
      <c r="X114" s="175">
        <f t="shared" si="14"/>
        <v>-1771443.6858190484</v>
      </c>
      <c r="Y114" s="176">
        <f t="shared" si="25"/>
        <v>-1771443.6858190484</v>
      </c>
    </row>
    <row r="115" spans="1:25" x14ac:dyDescent="0.2">
      <c r="A115" s="107">
        <v>111</v>
      </c>
      <c r="B115" s="173" t="s">
        <v>8</v>
      </c>
      <c r="C115" s="111" t="s">
        <v>2</v>
      </c>
      <c r="D115" s="111" t="s">
        <v>1394</v>
      </c>
      <c r="E115" s="204">
        <v>6290880.8375000004</v>
      </c>
      <c r="F115" s="204">
        <v>5444066.3209000016</v>
      </c>
      <c r="G115" s="205">
        <f t="shared" si="15"/>
        <v>0.86539015147892651</v>
      </c>
      <c r="H115" s="205">
        <f t="shared" si="16"/>
        <v>0</v>
      </c>
      <c r="I115" s="206">
        <v>5635731.9059380954</v>
      </c>
      <c r="J115" s="206">
        <v>4522301.8717</v>
      </c>
      <c r="K115" s="207">
        <f t="shared" si="17"/>
        <v>0.80243381821180515</v>
      </c>
      <c r="L115" s="207">
        <f t="shared" si="18"/>
        <v>0</v>
      </c>
      <c r="M115" s="210">
        <v>4512046.1592666665</v>
      </c>
      <c r="N115" s="203">
        <v>6865592.3057999983</v>
      </c>
      <c r="O115" s="209">
        <f t="shared" si="19"/>
        <v>1.5216139337802894</v>
      </c>
      <c r="P115" s="209">
        <f t="shared" si="20"/>
        <v>0.9</v>
      </c>
      <c r="Q115" s="213">
        <v>6502078.6706761923</v>
      </c>
      <c r="R115" s="213">
        <f>VLOOKUP(B115,'Dealer Wise'!B10:F130,5,0)</f>
        <v>8441342.6559999995</v>
      </c>
      <c r="S115" s="214">
        <f t="shared" si="21"/>
        <v>1.2982529254943835</v>
      </c>
      <c r="T115" s="214">
        <f t="shared" si="22"/>
        <v>0.9</v>
      </c>
      <c r="U115" s="174">
        <f t="shared" si="23"/>
        <v>22940737.573380955</v>
      </c>
      <c r="V115" s="174">
        <f t="shared" si="24"/>
        <v>25273303.154399998</v>
      </c>
      <c r="W115" s="159">
        <f t="shared" si="13"/>
        <v>1.1016778808247913</v>
      </c>
      <c r="X115" s="175">
        <f t="shared" si="14"/>
        <v>-2332565.5810190439</v>
      </c>
      <c r="Y115" s="176">
        <f t="shared" si="25"/>
        <v>-2332565.5810190439</v>
      </c>
    </row>
    <row r="116" spans="1:25" x14ac:dyDescent="0.2">
      <c r="A116" s="107">
        <v>112</v>
      </c>
      <c r="B116" s="173" t="s">
        <v>134</v>
      </c>
      <c r="C116" s="111" t="s">
        <v>137</v>
      </c>
      <c r="D116" s="111" t="s">
        <v>1459</v>
      </c>
      <c r="E116" s="204">
        <v>8145439.7800000021</v>
      </c>
      <c r="F116" s="204">
        <v>8538005.5227000024</v>
      </c>
      <c r="G116" s="205">
        <f t="shared" si="15"/>
        <v>1.0481945423823391</v>
      </c>
      <c r="H116" s="205">
        <f t="shared" si="16"/>
        <v>0.9</v>
      </c>
      <c r="I116" s="206">
        <v>7744476.8931904752</v>
      </c>
      <c r="J116" s="206">
        <v>7775062.9381000008</v>
      </c>
      <c r="K116" s="207">
        <f t="shared" si="17"/>
        <v>1.0039494010158929</v>
      </c>
      <c r="L116" s="207">
        <f t="shared" si="18"/>
        <v>0.9</v>
      </c>
      <c r="M116" s="210">
        <v>9303644.6145857126</v>
      </c>
      <c r="N116" s="203">
        <v>12161165.324399998</v>
      </c>
      <c r="O116" s="209">
        <f t="shared" si="19"/>
        <v>1.3071399250713458</v>
      </c>
      <c r="P116" s="209">
        <f t="shared" si="20"/>
        <v>0.9</v>
      </c>
      <c r="Q116" s="213">
        <v>8951972.501823809</v>
      </c>
      <c r="R116" s="213">
        <f>VLOOKUP(B116,'Dealer Wise'!B71:F191,5,0)</f>
        <v>13100257.938700009</v>
      </c>
      <c r="S116" s="214">
        <f t="shared" si="21"/>
        <v>1.4633934516701272</v>
      </c>
      <c r="T116" s="214">
        <f t="shared" si="22"/>
        <v>0.9</v>
      </c>
      <c r="U116" s="174">
        <f t="shared" si="23"/>
        <v>34145533.7896</v>
      </c>
      <c r="V116" s="174">
        <f t="shared" si="24"/>
        <v>41574491.723900005</v>
      </c>
      <c r="W116" s="159">
        <f t="shared" si="13"/>
        <v>1.2175674856945042</v>
      </c>
      <c r="X116" s="175">
        <f t="shared" si="14"/>
        <v>-7428957.9343000054</v>
      </c>
      <c r="Y116" s="176">
        <f t="shared" si="25"/>
        <v>-7428957.9343000054</v>
      </c>
    </row>
    <row r="117" spans="1:25" x14ac:dyDescent="0.2">
      <c r="A117" s="107">
        <v>113</v>
      </c>
      <c r="B117" s="173" t="s">
        <v>135</v>
      </c>
      <c r="C117" s="111" t="s">
        <v>137</v>
      </c>
      <c r="D117" s="111" t="s">
        <v>1459</v>
      </c>
      <c r="E117" s="204">
        <v>7536549.3224999979</v>
      </c>
      <c r="F117" s="204">
        <v>7629874.0958000021</v>
      </c>
      <c r="G117" s="205">
        <f t="shared" si="15"/>
        <v>1.0123829579435495</v>
      </c>
      <c r="H117" s="205">
        <f t="shared" si="16"/>
        <v>0.9</v>
      </c>
      <c r="I117" s="206">
        <v>8925446.7319190502</v>
      </c>
      <c r="J117" s="206">
        <v>8175340.7694000024</v>
      </c>
      <c r="K117" s="207">
        <f t="shared" si="17"/>
        <v>0.91595872060537542</v>
      </c>
      <c r="L117" s="207">
        <f t="shared" si="18"/>
        <v>0.9</v>
      </c>
      <c r="M117" s="210">
        <v>7770826.9858142845</v>
      </c>
      <c r="N117" s="203">
        <v>9292056.1645</v>
      </c>
      <c r="O117" s="209">
        <f t="shared" si="19"/>
        <v>1.19576155555422</v>
      </c>
      <c r="P117" s="209">
        <f t="shared" si="20"/>
        <v>0.9</v>
      </c>
      <c r="Q117" s="213">
        <v>8906894.6527714282</v>
      </c>
      <c r="R117" s="213">
        <f>VLOOKUP(B117,'Dealer Wise'!B72:F192,5,0)</f>
        <v>11357006.812600005</v>
      </c>
      <c r="S117" s="214">
        <f t="shared" si="21"/>
        <v>1.275080401794829</v>
      </c>
      <c r="T117" s="214">
        <f t="shared" si="22"/>
        <v>0.9</v>
      </c>
      <c r="U117" s="174">
        <f t="shared" si="23"/>
        <v>33139717.693004761</v>
      </c>
      <c r="V117" s="174">
        <f t="shared" si="24"/>
        <v>36454277.842300013</v>
      </c>
      <c r="W117" s="159">
        <f t="shared" si="13"/>
        <v>1.1000177545264636</v>
      </c>
      <c r="X117" s="175">
        <f t="shared" si="14"/>
        <v>-3314560.1492952518</v>
      </c>
      <c r="Y117" s="176">
        <f t="shared" si="25"/>
        <v>-3314560.1492952518</v>
      </c>
    </row>
    <row r="118" spans="1:25" x14ac:dyDescent="0.2">
      <c r="A118" s="107">
        <v>114</v>
      </c>
      <c r="B118" s="173" t="s">
        <v>125</v>
      </c>
      <c r="C118" s="111" t="s">
        <v>137</v>
      </c>
      <c r="D118" s="111" t="s">
        <v>1457</v>
      </c>
      <c r="E118" s="204">
        <v>3581574.1349999993</v>
      </c>
      <c r="F118" s="204">
        <v>3593153.2997999997</v>
      </c>
      <c r="G118" s="205">
        <f t="shared" si="15"/>
        <v>1.0032329820250951</v>
      </c>
      <c r="H118" s="205">
        <f t="shared" si="16"/>
        <v>0.9</v>
      </c>
      <c r="I118" s="206">
        <v>4093785.5442999993</v>
      </c>
      <c r="J118" s="206">
        <v>3335106.0002999995</v>
      </c>
      <c r="K118" s="207">
        <f t="shared" si="17"/>
        <v>0.81467530827149692</v>
      </c>
      <c r="L118" s="207">
        <f t="shared" si="18"/>
        <v>0</v>
      </c>
      <c r="M118" s="210">
        <v>3994845.0028095236</v>
      </c>
      <c r="N118" s="203">
        <v>4510603.5834000008</v>
      </c>
      <c r="O118" s="209">
        <f t="shared" si="19"/>
        <v>1.1291060304536849</v>
      </c>
      <c r="P118" s="209">
        <f t="shared" si="20"/>
        <v>0.9</v>
      </c>
      <c r="Q118" s="213">
        <v>4759568.9032428572</v>
      </c>
      <c r="R118" s="213">
        <f>VLOOKUP(B118,'Dealer Wise'!B21:F141,5,0)</f>
        <v>6453712.6168</v>
      </c>
      <c r="S118" s="214">
        <f t="shared" si="21"/>
        <v>1.3559447815542423</v>
      </c>
      <c r="T118" s="214">
        <f t="shared" si="22"/>
        <v>0.9</v>
      </c>
      <c r="U118" s="174">
        <f t="shared" si="23"/>
        <v>16429773.58535238</v>
      </c>
      <c r="V118" s="174">
        <f t="shared" si="24"/>
        <v>17892575.500299998</v>
      </c>
      <c r="W118" s="159">
        <f t="shared" si="13"/>
        <v>1.0890336015495521</v>
      </c>
      <c r="X118" s="175">
        <f t="shared" si="14"/>
        <v>-1462801.9149476178</v>
      </c>
      <c r="Y118" s="176">
        <f t="shared" si="25"/>
        <v>-1462801.9149476178</v>
      </c>
    </row>
    <row r="119" spans="1:25" x14ac:dyDescent="0.2">
      <c r="A119" s="107">
        <v>115</v>
      </c>
      <c r="B119" s="173" t="s">
        <v>126</v>
      </c>
      <c r="C119" s="111" t="s">
        <v>137</v>
      </c>
      <c r="D119" s="111" t="s">
        <v>1457</v>
      </c>
      <c r="E119" s="204">
        <v>22263647.154999997</v>
      </c>
      <c r="F119" s="204">
        <v>21394513.981699996</v>
      </c>
      <c r="G119" s="205">
        <f t="shared" si="15"/>
        <v>0.96096177920674553</v>
      </c>
      <c r="H119" s="205">
        <f t="shared" si="16"/>
        <v>0.9</v>
      </c>
      <c r="I119" s="206">
        <v>22935758.405114278</v>
      </c>
      <c r="J119" s="206">
        <v>22980587.434499998</v>
      </c>
      <c r="K119" s="207">
        <f t="shared" si="17"/>
        <v>1.0019545475058598</v>
      </c>
      <c r="L119" s="207">
        <f t="shared" si="18"/>
        <v>0.9</v>
      </c>
      <c r="M119" s="210">
        <v>18995186.172128566</v>
      </c>
      <c r="N119" s="203">
        <v>24895725.385299999</v>
      </c>
      <c r="O119" s="209">
        <f t="shared" si="19"/>
        <v>1.3106333973093263</v>
      </c>
      <c r="P119" s="209">
        <f t="shared" si="20"/>
        <v>0.9</v>
      </c>
      <c r="Q119" s="213">
        <v>22788137.538390476</v>
      </c>
      <c r="R119" s="213">
        <f>VLOOKUP(B119,'Dealer Wise'!B22:F142,5,0)</f>
        <v>32520075.712100007</v>
      </c>
      <c r="S119" s="214">
        <f t="shared" si="21"/>
        <v>1.4270615866397345</v>
      </c>
      <c r="T119" s="214">
        <f t="shared" si="22"/>
        <v>0.9</v>
      </c>
      <c r="U119" s="174">
        <f t="shared" si="23"/>
        <v>86982729.270633325</v>
      </c>
      <c r="V119" s="174">
        <f t="shared" si="24"/>
        <v>101790902.51359999</v>
      </c>
      <c r="W119" s="159">
        <f t="shared" si="13"/>
        <v>1.1702426834284922</v>
      </c>
      <c r="X119" s="175">
        <f t="shared" si="14"/>
        <v>-14808173.242966667</v>
      </c>
      <c r="Y119" s="176">
        <f t="shared" si="25"/>
        <v>-14808173.242966667</v>
      </c>
    </row>
    <row r="120" spans="1:25" x14ac:dyDescent="0.2">
      <c r="A120" s="107">
        <v>116</v>
      </c>
      <c r="B120" s="173" t="s">
        <v>127</v>
      </c>
      <c r="C120" s="111" t="s">
        <v>137</v>
      </c>
      <c r="D120" s="111" t="s">
        <v>1458</v>
      </c>
      <c r="E120" s="204">
        <v>15641751.012499996</v>
      </c>
      <c r="F120" s="204">
        <v>15286987.283700004</v>
      </c>
      <c r="G120" s="205">
        <f t="shared" si="15"/>
        <v>0.9773194363906903</v>
      </c>
      <c r="H120" s="205">
        <f t="shared" si="16"/>
        <v>0.9</v>
      </c>
      <c r="I120" s="206">
        <v>15437218.95042857</v>
      </c>
      <c r="J120" s="206">
        <v>16100630.844700001</v>
      </c>
      <c r="K120" s="207">
        <f t="shared" si="17"/>
        <v>1.0429748322156831</v>
      </c>
      <c r="L120" s="207">
        <f t="shared" si="18"/>
        <v>0.9</v>
      </c>
      <c r="M120" s="210">
        <v>15909389.700085722</v>
      </c>
      <c r="N120" s="203">
        <v>19603924.339600004</v>
      </c>
      <c r="O120" s="209">
        <f t="shared" si="19"/>
        <v>1.2322235302020652</v>
      </c>
      <c r="P120" s="209">
        <f t="shared" si="20"/>
        <v>0.9</v>
      </c>
      <c r="Q120" s="213">
        <v>18239013.480552383</v>
      </c>
      <c r="R120" s="213">
        <f>VLOOKUP(B120,'Dealer Wise'!B23:F143,5,0)</f>
        <v>25483936.971499994</v>
      </c>
      <c r="S120" s="214">
        <f t="shared" si="21"/>
        <v>1.3972212367008017</v>
      </c>
      <c r="T120" s="214">
        <f t="shared" si="22"/>
        <v>0.9</v>
      </c>
      <c r="U120" s="174">
        <f t="shared" si="23"/>
        <v>65227373.143566668</v>
      </c>
      <c r="V120" s="174">
        <f t="shared" si="24"/>
        <v>76475479.439500004</v>
      </c>
      <c r="W120" s="159">
        <f t="shared" si="13"/>
        <v>1.1724445697234509</v>
      </c>
      <c r="X120" s="175">
        <f t="shared" si="14"/>
        <v>-11248106.295933336</v>
      </c>
      <c r="Y120" s="176">
        <f t="shared" si="25"/>
        <v>-11248106.295933336</v>
      </c>
    </row>
    <row r="121" spans="1:25" x14ac:dyDescent="0.2">
      <c r="A121" s="107">
        <v>117</v>
      </c>
      <c r="B121" s="173" t="s">
        <v>128</v>
      </c>
      <c r="C121" s="111" t="s">
        <v>137</v>
      </c>
      <c r="D121" s="111" t="s">
        <v>1458</v>
      </c>
      <c r="E121" s="204">
        <v>6857648.3550000014</v>
      </c>
      <c r="F121" s="204">
        <v>6334733.4866000013</v>
      </c>
      <c r="G121" s="205">
        <f t="shared" si="15"/>
        <v>0.92374720292872181</v>
      </c>
      <c r="H121" s="205">
        <f t="shared" si="16"/>
        <v>0.9</v>
      </c>
      <c r="I121" s="206">
        <v>7588155.2329857126</v>
      </c>
      <c r="J121" s="206">
        <v>6917685.3888999997</v>
      </c>
      <c r="K121" s="207">
        <f t="shared" si="17"/>
        <v>0.911642576686995</v>
      </c>
      <c r="L121" s="207">
        <f t="shared" si="18"/>
        <v>0.9</v>
      </c>
      <c r="M121" s="210">
        <v>6995974.3754523788</v>
      </c>
      <c r="N121" s="203">
        <v>11857186.011700002</v>
      </c>
      <c r="O121" s="209">
        <f t="shared" si="19"/>
        <v>1.6948584107604432</v>
      </c>
      <c r="P121" s="209">
        <f t="shared" si="20"/>
        <v>0.9</v>
      </c>
      <c r="Q121" s="213">
        <v>8348948.9875142854</v>
      </c>
      <c r="R121" s="213">
        <f>VLOOKUP(B121,'Dealer Wise'!B76:F196,5,0)</f>
        <v>11324196.188200001</v>
      </c>
      <c r="S121" s="214">
        <f t="shared" si="21"/>
        <v>1.3563618852067665</v>
      </c>
      <c r="T121" s="214">
        <f t="shared" si="22"/>
        <v>0.9</v>
      </c>
      <c r="U121" s="174">
        <f t="shared" si="23"/>
        <v>29790726.950952381</v>
      </c>
      <c r="V121" s="174">
        <f t="shared" si="24"/>
        <v>36433801.07540001</v>
      </c>
      <c r="W121" s="159">
        <f t="shared" si="13"/>
        <v>1.222991340069842</v>
      </c>
      <c r="X121" s="175">
        <f t="shared" si="14"/>
        <v>-6643074.1244476289</v>
      </c>
      <c r="Y121" s="176">
        <f t="shared" si="25"/>
        <v>-6643074.1244476289</v>
      </c>
    </row>
    <row r="122" spans="1:25" x14ac:dyDescent="0.2">
      <c r="A122" s="107">
        <v>118</v>
      </c>
      <c r="B122" s="173" t="s">
        <v>129</v>
      </c>
      <c r="C122" s="111" t="s">
        <v>137</v>
      </c>
      <c r="D122" s="111" t="s">
        <v>137</v>
      </c>
      <c r="E122" s="204">
        <v>19313688.817500003</v>
      </c>
      <c r="F122" s="204">
        <v>17633302.304000001</v>
      </c>
      <c r="G122" s="205">
        <f t="shared" si="15"/>
        <v>0.9129950508482142</v>
      </c>
      <c r="H122" s="205">
        <f t="shared" si="16"/>
        <v>0.9</v>
      </c>
      <c r="I122" s="206">
        <v>19984123.291090477</v>
      </c>
      <c r="J122" s="206">
        <v>18241062.913600001</v>
      </c>
      <c r="K122" s="207">
        <f t="shared" si="17"/>
        <v>0.91277774100465126</v>
      </c>
      <c r="L122" s="207">
        <f t="shared" si="18"/>
        <v>0.9</v>
      </c>
      <c r="M122" s="210">
        <v>16496184.817642858</v>
      </c>
      <c r="N122" s="203">
        <v>21340961.289399996</v>
      </c>
      <c r="O122" s="209">
        <f t="shared" si="19"/>
        <v>1.2936907245713927</v>
      </c>
      <c r="P122" s="209">
        <f t="shared" si="20"/>
        <v>0.9</v>
      </c>
      <c r="Q122" s="213">
        <v>21302024.138161905</v>
      </c>
      <c r="R122" s="213">
        <f>VLOOKUP(B122,'Dealer Wise'!B25:F145,5,0)</f>
        <v>30156619.052900013</v>
      </c>
      <c r="S122" s="214">
        <f t="shared" si="21"/>
        <v>1.4156691804172441</v>
      </c>
      <c r="T122" s="214">
        <f t="shared" si="22"/>
        <v>0.9</v>
      </c>
      <c r="U122" s="174">
        <f t="shared" si="23"/>
        <v>77096021.064395249</v>
      </c>
      <c r="V122" s="174">
        <f t="shared" si="24"/>
        <v>87371945.559900016</v>
      </c>
      <c r="W122" s="159">
        <f t="shared" si="13"/>
        <v>1.1332873519752944</v>
      </c>
      <c r="X122" s="175">
        <f t="shared" si="14"/>
        <v>-10275924.495504767</v>
      </c>
      <c r="Y122" s="176">
        <f t="shared" si="25"/>
        <v>-10275924.495504767</v>
      </c>
    </row>
    <row r="123" spans="1:25" x14ac:dyDescent="0.2">
      <c r="A123" s="107">
        <v>119</v>
      </c>
      <c r="B123" s="173" t="s">
        <v>131</v>
      </c>
      <c r="C123" s="111" t="s">
        <v>137</v>
      </c>
      <c r="D123" s="111" t="s">
        <v>1395</v>
      </c>
      <c r="E123" s="204">
        <v>3370040.5299999993</v>
      </c>
      <c r="F123" s="204">
        <v>3480396.6144999983</v>
      </c>
      <c r="G123" s="205">
        <f t="shared" si="15"/>
        <v>1.0327462187821221</v>
      </c>
      <c r="H123" s="205">
        <f t="shared" si="16"/>
        <v>0.9</v>
      </c>
      <c r="I123" s="206">
        <v>3383302.8144333339</v>
      </c>
      <c r="J123" s="206">
        <v>3115339.1265000007</v>
      </c>
      <c r="K123" s="207">
        <f t="shared" si="17"/>
        <v>0.92079819554129561</v>
      </c>
      <c r="L123" s="207">
        <f t="shared" si="18"/>
        <v>0.9</v>
      </c>
      <c r="M123" s="210">
        <v>3398885.4608999998</v>
      </c>
      <c r="N123" s="203">
        <v>5486323.3412000006</v>
      </c>
      <c r="O123" s="209">
        <f t="shared" si="19"/>
        <v>1.6141536407488302</v>
      </c>
      <c r="P123" s="209">
        <f t="shared" si="20"/>
        <v>0.9</v>
      </c>
      <c r="Q123" s="213">
        <v>4296699.5051333327</v>
      </c>
      <c r="R123" s="213">
        <f>VLOOKUP(B123,'Dealer Wise'!B26:F146,5,0)</f>
        <v>6386603.7825000016</v>
      </c>
      <c r="S123" s="214">
        <f t="shared" si="21"/>
        <v>1.4863975883977523</v>
      </c>
      <c r="T123" s="214">
        <f t="shared" si="22"/>
        <v>0.9</v>
      </c>
      <c r="U123" s="174">
        <f t="shared" si="23"/>
        <v>14448928.310466666</v>
      </c>
      <c r="V123" s="174">
        <f t="shared" si="24"/>
        <v>18468662.864700001</v>
      </c>
      <c r="W123" s="159">
        <f t="shared" si="13"/>
        <v>1.2782029551161576</v>
      </c>
      <c r="X123" s="175">
        <f t="shared" si="14"/>
        <v>-4019734.554233335</v>
      </c>
      <c r="Y123" s="176">
        <f t="shared" si="25"/>
        <v>-4019734.554233335</v>
      </c>
    </row>
    <row r="124" spans="1:25" x14ac:dyDescent="0.2">
      <c r="A124" s="107">
        <v>120</v>
      </c>
      <c r="B124" s="173" t="s">
        <v>132</v>
      </c>
      <c r="C124" s="111" t="s">
        <v>137</v>
      </c>
      <c r="D124" s="111" t="s">
        <v>1395</v>
      </c>
      <c r="E124" s="204">
        <v>9822908.5750000011</v>
      </c>
      <c r="F124" s="204">
        <v>9930823.9378999993</v>
      </c>
      <c r="G124" s="205">
        <f t="shared" si="15"/>
        <v>1.0109860905327623</v>
      </c>
      <c r="H124" s="205">
        <f t="shared" si="16"/>
        <v>0.9</v>
      </c>
      <c r="I124" s="206">
        <v>9169049.6530761905</v>
      </c>
      <c r="J124" s="206">
        <v>9296283.9541000016</v>
      </c>
      <c r="K124" s="207">
        <f t="shared" si="17"/>
        <v>1.0138764982018746</v>
      </c>
      <c r="L124" s="207">
        <f t="shared" si="18"/>
        <v>0.9</v>
      </c>
      <c r="M124" s="210">
        <v>8803483.7279285714</v>
      </c>
      <c r="N124" s="203">
        <v>11199557.388299998</v>
      </c>
      <c r="O124" s="209">
        <f t="shared" si="19"/>
        <v>1.2721733502806409</v>
      </c>
      <c r="P124" s="209">
        <f t="shared" si="20"/>
        <v>0.9</v>
      </c>
      <c r="Q124" s="213">
        <v>10687654.616757141</v>
      </c>
      <c r="R124" s="213">
        <f>VLOOKUP(B124,'Dealer Wise'!B27:F147,5,0)</f>
        <v>15080772.3824</v>
      </c>
      <c r="S124" s="214">
        <f t="shared" si="21"/>
        <v>1.411046008050719</v>
      </c>
      <c r="T124" s="214">
        <f t="shared" si="22"/>
        <v>0.9</v>
      </c>
      <c r="U124" s="174">
        <f t="shared" si="23"/>
        <v>38483096.572761901</v>
      </c>
      <c r="V124" s="174">
        <f t="shared" si="24"/>
        <v>45507437.662699997</v>
      </c>
      <c r="W124" s="159">
        <f t="shared" si="13"/>
        <v>1.1825305579725589</v>
      </c>
      <c r="X124" s="175">
        <f t="shared" si="14"/>
        <v>-7024341.0899380967</v>
      </c>
      <c r="Y124" s="176">
        <f t="shared" si="25"/>
        <v>-7024341.0899380967</v>
      </c>
    </row>
    <row r="125" spans="1:25" x14ac:dyDescent="0.2">
      <c r="A125" s="107">
        <v>121</v>
      </c>
      <c r="B125" s="173" t="s">
        <v>133</v>
      </c>
      <c r="C125" s="111" t="s">
        <v>137</v>
      </c>
      <c r="D125" s="111" t="s">
        <v>1395</v>
      </c>
      <c r="E125" s="204">
        <v>8997473.4500000011</v>
      </c>
      <c r="F125" s="204">
        <v>8207599.480200001</v>
      </c>
      <c r="G125" s="205">
        <f t="shared" si="15"/>
        <v>0.91221158092997767</v>
      </c>
      <c r="H125" s="205">
        <f t="shared" si="16"/>
        <v>0.9</v>
      </c>
      <c r="I125" s="206">
        <v>10033501.958147619</v>
      </c>
      <c r="J125" s="206">
        <v>8641341.8147000019</v>
      </c>
      <c r="K125" s="207">
        <f t="shared" si="17"/>
        <v>0.86124882924678903</v>
      </c>
      <c r="L125" s="207">
        <f t="shared" si="18"/>
        <v>0</v>
      </c>
      <c r="M125" s="210">
        <v>9591014.2330904771</v>
      </c>
      <c r="N125" s="203">
        <v>10067384.171199994</v>
      </c>
      <c r="O125" s="209">
        <f t="shared" si="19"/>
        <v>1.0496683590006537</v>
      </c>
      <c r="P125" s="209">
        <f t="shared" si="20"/>
        <v>0.9</v>
      </c>
      <c r="Q125" s="213">
        <v>10113875.602095239</v>
      </c>
      <c r="R125" s="213">
        <f>VLOOKUP(B125,'Dealer Wise'!B28:F148,5,0)</f>
        <v>12654713.0997</v>
      </c>
      <c r="S125" s="214">
        <f t="shared" si="21"/>
        <v>1.2512229334794656</v>
      </c>
      <c r="T125" s="214">
        <f t="shared" si="22"/>
        <v>0.9</v>
      </c>
      <c r="U125" s="174">
        <f t="shared" si="23"/>
        <v>38735865.243333332</v>
      </c>
      <c r="V125" s="174">
        <f t="shared" si="24"/>
        <v>39571038.565799996</v>
      </c>
      <c r="W125" s="159">
        <f t="shared" si="13"/>
        <v>1.0215607245951581</v>
      </c>
      <c r="X125" s="175">
        <f t="shared" si="14"/>
        <v>-835173.32246666402</v>
      </c>
      <c r="Y125" s="176">
        <f t="shared" si="25"/>
        <v>-835173.32246666402</v>
      </c>
    </row>
    <row r="126" spans="1:25" x14ac:dyDescent="0.2">
      <c r="A126" s="107">
        <v>122</v>
      </c>
      <c r="B126" s="173" t="s">
        <v>130</v>
      </c>
      <c r="C126" s="111" t="s">
        <v>137</v>
      </c>
      <c r="D126" s="111" t="s">
        <v>1460</v>
      </c>
      <c r="E126" s="204">
        <v>15072570.107499996</v>
      </c>
      <c r="F126" s="204">
        <v>13851417.314700004</v>
      </c>
      <c r="G126" s="205">
        <f t="shared" si="15"/>
        <v>0.91898178053971324</v>
      </c>
      <c r="H126" s="205">
        <f t="shared" si="16"/>
        <v>0.9</v>
      </c>
      <c r="I126" s="206">
        <v>16447514.377404761</v>
      </c>
      <c r="J126" s="206">
        <v>13224104.389100013</v>
      </c>
      <c r="K126" s="207">
        <f t="shared" si="17"/>
        <v>0.80401841188033873</v>
      </c>
      <c r="L126" s="207">
        <f t="shared" si="18"/>
        <v>0</v>
      </c>
      <c r="M126" s="210">
        <v>14496732.747061908</v>
      </c>
      <c r="N126" s="203">
        <v>16127525.3553</v>
      </c>
      <c r="O126" s="209">
        <f t="shared" si="19"/>
        <v>1.112493803720608</v>
      </c>
      <c r="P126" s="209">
        <f t="shared" si="20"/>
        <v>0.9</v>
      </c>
      <c r="Q126" s="213">
        <v>17541145.766138099</v>
      </c>
      <c r="R126" s="213">
        <f>VLOOKUP(B126,'Dealer Wise'!B29:F149,5,0)</f>
        <v>22258541.629100002</v>
      </c>
      <c r="S126" s="214">
        <f t="shared" si="21"/>
        <v>1.2689331658179646</v>
      </c>
      <c r="T126" s="214">
        <f t="shared" si="22"/>
        <v>0.9</v>
      </c>
      <c r="U126" s="174">
        <f t="shared" si="23"/>
        <v>63557962.998104766</v>
      </c>
      <c r="V126" s="174">
        <f t="shared" si="24"/>
        <v>65461588.688200019</v>
      </c>
      <c r="W126" s="159">
        <f t="shared" si="13"/>
        <v>1.0299510179417175</v>
      </c>
      <c r="X126" s="175">
        <f t="shared" si="14"/>
        <v>-1903625.6900952533</v>
      </c>
      <c r="Y126" s="176">
        <f t="shared" si="25"/>
        <v>-1903625.6900952533</v>
      </c>
    </row>
    <row r="127" spans="1:25" ht="15" x14ac:dyDescent="0.25">
      <c r="A127" s="107">
        <v>123</v>
      </c>
      <c r="B127" s="179" t="s">
        <v>144</v>
      </c>
      <c r="C127" s="111" t="s">
        <v>1402</v>
      </c>
      <c r="D127" s="111" t="s">
        <v>1402</v>
      </c>
      <c r="E127" s="204">
        <v>20887988.6675</v>
      </c>
      <c r="F127" s="204">
        <v>19360566</v>
      </c>
      <c r="G127" s="205">
        <f t="shared" si="15"/>
        <v>0.92687555073808781</v>
      </c>
      <c r="H127" s="205">
        <f t="shared" si="16"/>
        <v>0.9</v>
      </c>
      <c r="I127" s="206">
        <v>20449572.09765714</v>
      </c>
      <c r="J127" s="206">
        <v>21215355</v>
      </c>
      <c r="K127" s="207">
        <f t="shared" si="17"/>
        <v>1.0374473802525479</v>
      </c>
      <c r="L127" s="207">
        <f t="shared" si="18"/>
        <v>0.9</v>
      </c>
      <c r="M127" s="210">
        <v>17190957.233590476</v>
      </c>
      <c r="N127" s="203">
        <v>15650916</v>
      </c>
      <c r="O127" s="209">
        <f t="shared" si="19"/>
        <v>0.91041562068566528</v>
      </c>
      <c r="P127" s="209">
        <f t="shared" si="20"/>
        <v>0.9</v>
      </c>
      <c r="Q127" s="213">
        <v>21879562.213176187</v>
      </c>
      <c r="R127" s="213">
        <f>VLOOKUP(B127,'Dealer Wise'!B99:F219,5,0)</f>
        <v>28788610</v>
      </c>
      <c r="S127" s="214">
        <f t="shared" si="21"/>
        <v>1.3157763267613776</v>
      </c>
      <c r="T127" s="214">
        <f t="shared" si="22"/>
        <v>0.9</v>
      </c>
      <c r="U127" s="174">
        <f t="shared" si="23"/>
        <v>80408080.211923808</v>
      </c>
      <c r="V127" s="174">
        <f t="shared" si="24"/>
        <v>85015447</v>
      </c>
      <c r="W127" s="159">
        <f t="shared" si="13"/>
        <v>1.0572997984273844</v>
      </c>
      <c r="X127" s="175">
        <f t="shared" si="14"/>
        <v>-4607366.7880761921</v>
      </c>
      <c r="Y127" s="176">
        <f t="shared" si="25"/>
        <v>-4607366.7880761921</v>
      </c>
    </row>
    <row r="128" spans="1:25" x14ac:dyDescent="0.2">
      <c r="A128" s="180"/>
      <c r="B128" s="181"/>
      <c r="C128" s="182"/>
      <c r="D128" s="181"/>
      <c r="E128" s="183">
        <f>SUM(E5:E127)</f>
        <v>1092776415.6175001</v>
      </c>
      <c r="F128" s="183">
        <f>SUM(F5:F127)</f>
        <v>1002479216.9008996</v>
      </c>
      <c r="G128" s="181"/>
      <c r="H128" s="181"/>
      <c r="I128" s="183">
        <f>SUM(I5:I127)</f>
        <v>1119302290.4723766</v>
      </c>
      <c r="J128" s="183">
        <f>SUM(J5:J127)</f>
        <v>976653071.42850006</v>
      </c>
      <c r="K128" s="181"/>
      <c r="L128" s="181"/>
      <c r="M128" s="181">
        <f>SUM(M5:M127)</f>
        <v>989625905.69652379</v>
      </c>
      <c r="N128" s="181">
        <f>SUM(N5:N127)</f>
        <v>1103456320.7112</v>
      </c>
      <c r="O128" s="181"/>
      <c r="P128" s="181"/>
      <c r="Q128" s="181">
        <f>SUM(Q5:Q127)</f>
        <v>1200467115.4829524</v>
      </c>
      <c r="R128" s="181">
        <f>SUM(R5:R127)</f>
        <v>1556818178.9126999</v>
      </c>
      <c r="S128" s="181"/>
      <c r="T128" s="181"/>
      <c r="U128" s="183">
        <f>SUM(U5:U127)</f>
        <v>4402171727.269351</v>
      </c>
      <c r="V128" s="183">
        <f>SUM(V5:V127)</f>
        <v>4639406787.9532995</v>
      </c>
      <c r="W128" s="181"/>
      <c r="X128" s="181"/>
      <c r="Y128" s="184"/>
    </row>
  </sheetData>
  <mergeCells count="11">
    <mergeCell ref="E3:H3"/>
    <mergeCell ref="B1:B2"/>
    <mergeCell ref="A3:A4"/>
    <mergeCell ref="B3:B4"/>
    <mergeCell ref="C3:C4"/>
    <mergeCell ref="D3:D4"/>
    <mergeCell ref="I3:L3"/>
    <mergeCell ref="M3:P3"/>
    <mergeCell ref="Q3:T3"/>
    <mergeCell ref="U3:W3"/>
    <mergeCell ref="Y3:Y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6"/>
  <sheetViews>
    <sheetView topLeftCell="A525" workbookViewId="0">
      <selection activeCell="A2" sqref="A2:D546"/>
    </sheetView>
  </sheetViews>
  <sheetFormatPr defaultRowHeight="15" x14ac:dyDescent="0.25"/>
  <cols>
    <col min="1" max="1" width="29.42578125" bestFit="1" customWidth="1"/>
    <col min="2" max="2" width="10.7109375" bestFit="1" customWidth="1"/>
    <col min="3" max="3" width="9.7109375" bestFit="1" customWidth="1"/>
    <col min="4" max="4" width="28.5703125" bestFit="1" customWidth="1"/>
  </cols>
  <sheetData>
    <row r="1" spans="1:4" x14ac:dyDescent="0.25">
      <c r="A1" s="28" t="s">
        <v>1227</v>
      </c>
      <c r="B1" s="28" t="s">
        <v>0</v>
      </c>
      <c r="C1" s="28" t="s">
        <v>151</v>
      </c>
      <c r="D1" s="28" t="s">
        <v>152</v>
      </c>
    </row>
    <row r="2" spans="1:4" x14ac:dyDescent="0.25">
      <c r="A2" s="29" t="s">
        <v>13</v>
      </c>
      <c r="B2" s="10" t="s">
        <v>2</v>
      </c>
      <c r="C2" s="10" t="s">
        <v>166</v>
      </c>
      <c r="D2" s="29" t="s">
        <v>393</v>
      </c>
    </row>
    <row r="3" spans="1:4" x14ac:dyDescent="0.25">
      <c r="A3" s="29" t="s">
        <v>13</v>
      </c>
      <c r="B3" s="10" t="s">
        <v>2</v>
      </c>
      <c r="C3" s="10" t="s">
        <v>162</v>
      </c>
      <c r="D3" s="29" t="s">
        <v>956</v>
      </c>
    </row>
    <row r="4" spans="1:4" x14ac:dyDescent="0.25">
      <c r="A4" s="29" t="s">
        <v>13</v>
      </c>
      <c r="B4" s="10" t="s">
        <v>2</v>
      </c>
      <c r="C4" s="10" t="s">
        <v>160</v>
      </c>
      <c r="D4" s="29" t="s">
        <v>957</v>
      </c>
    </row>
    <row r="5" spans="1:4" x14ac:dyDescent="0.25">
      <c r="A5" s="29" t="s">
        <v>13</v>
      </c>
      <c r="B5" s="10" t="s">
        <v>2</v>
      </c>
      <c r="C5" s="10" t="s">
        <v>163</v>
      </c>
      <c r="D5" s="29" t="s">
        <v>1084</v>
      </c>
    </row>
    <row r="6" spans="1:4" x14ac:dyDescent="0.25">
      <c r="A6" s="29" t="s">
        <v>13</v>
      </c>
      <c r="B6" s="10" t="s">
        <v>2</v>
      </c>
      <c r="C6" s="10" t="s">
        <v>165</v>
      </c>
      <c r="D6" s="29" t="s">
        <v>1085</v>
      </c>
    </row>
    <row r="7" spans="1:4" x14ac:dyDescent="0.25">
      <c r="A7" s="29" t="s">
        <v>13</v>
      </c>
      <c r="B7" s="10" t="s">
        <v>2</v>
      </c>
      <c r="C7" s="10" t="s">
        <v>161</v>
      </c>
      <c r="D7" s="29" t="s">
        <v>958</v>
      </c>
    </row>
    <row r="8" spans="1:4" x14ac:dyDescent="0.25">
      <c r="A8" s="29" t="s">
        <v>13</v>
      </c>
      <c r="B8" s="10" t="s">
        <v>2</v>
      </c>
      <c r="C8" s="10" t="s">
        <v>164</v>
      </c>
      <c r="D8" s="29" t="s">
        <v>1086</v>
      </c>
    </row>
    <row r="9" spans="1:4" x14ac:dyDescent="0.25">
      <c r="A9" s="29" t="s">
        <v>1</v>
      </c>
      <c r="B9" s="10" t="s">
        <v>2</v>
      </c>
      <c r="C9" s="10" t="s">
        <v>168</v>
      </c>
      <c r="D9" s="29" t="s">
        <v>169</v>
      </c>
    </row>
    <row r="10" spans="1:4" x14ac:dyDescent="0.25">
      <c r="A10" s="29" t="s">
        <v>1</v>
      </c>
      <c r="B10" s="10" t="s">
        <v>2</v>
      </c>
      <c r="C10" s="10" t="s">
        <v>167</v>
      </c>
      <c r="D10" s="29" t="s">
        <v>959</v>
      </c>
    </row>
    <row r="11" spans="1:4" x14ac:dyDescent="0.25">
      <c r="A11" s="29" t="s">
        <v>1</v>
      </c>
      <c r="B11" s="10" t="s">
        <v>2</v>
      </c>
      <c r="C11" s="10" t="s">
        <v>170</v>
      </c>
      <c r="D11" s="29" t="s">
        <v>1092</v>
      </c>
    </row>
    <row r="12" spans="1:4" x14ac:dyDescent="0.25">
      <c r="A12" s="29" t="s">
        <v>1</v>
      </c>
      <c r="B12" s="10" t="s">
        <v>2</v>
      </c>
      <c r="C12" s="10" t="s">
        <v>171</v>
      </c>
      <c r="D12" s="29" t="s">
        <v>1093</v>
      </c>
    </row>
    <row r="13" spans="1:4" x14ac:dyDescent="0.25">
      <c r="A13" s="29" t="s">
        <v>14</v>
      </c>
      <c r="B13" s="10" t="s">
        <v>2</v>
      </c>
      <c r="C13" s="10" t="s">
        <v>172</v>
      </c>
      <c r="D13" s="29" t="s">
        <v>960</v>
      </c>
    </row>
    <row r="14" spans="1:4" x14ac:dyDescent="0.25">
      <c r="A14" s="29" t="s">
        <v>14</v>
      </c>
      <c r="B14" s="10" t="s">
        <v>2</v>
      </c>
      <c r="C14" s="10" t="s">
        <v>173</v>
      </c>
      <c r="D14" s="29" t="s">
        <v>174</v>
      </c>
    </row>
    <row r="15" spans="1:4" x14ac:dyDescent="0.25">
      <c r="A15" s="29" t="s">
        <v>3</v>
      </c>
      <c r="B15" s="10" t="s">
        <v>2</v>
      </c>
      <c r="C15" s="10" t="s">
        <v>176</v>
      </c>
      <c r="D15" s="29" t="s">
        <v>177</v>
      </c>
    </row>
    <row r="16" spans="1:4" x14ac:dyDescent="0.25">
      <c r="A16" s="29" t="s">
        <v>3</v>
      </c>
      <c r="B16" s="10" t="s">
        <v>2</v>
      </c>
      <c r="C16" s="10" t="s">
        <v>182</v>
      </c>
      <c r="D16" s="29" t="s">
        <v>183</v>
      </c>
    </row>
    <row r="17" spans="1:4" x14ac:dyDescent="0.25">
      <c r="A17" s="29" t="s">
        <v>3</v>
      </c>
      <c r="B17" s="10" t="s">
        <v>2</v>
      </c>
      <c r="C17" s="10" t="s">
        <v>180</v>
      </c>
      <c r="D17" s="30" t="s">
        <v>181</v>
      </c>
    </row>
    <row r="18" spans="1:4" x14ac:dyDescent="0.25">
      <c r="A18" s="29" t="s">
        <v>3</v>
      </c>
      <c r="B18" s="10" t="s">
        <v>2</v>
      </c>
      <c r="C18" s="10" t="s">
        <v>178</v>
      </c>
      <c r="D18" s="29" t="s">
        <v>179</v>
      </c>
    </row>
    <row r="19" spans="1:4" x14ac:dyDescent="0.25">
      <c r="A19" s="29" t="s">
        <v>3</v>
      </c>
      <c r="B19" s="10" t="s">
        <v>2</v>
      </c>
      <c r="C19" s="10" t="s">
        <v>175</v>
      </c>
      <c r="D19" s="29" t="s">
        <v>961</v>
      </c>
    </row>
    <row r="20" spans="1:4" x14ac:dyDescent="0.25">
      <c r="A20" s="29" t="s">
        <v>3</v>
      </c>
      <c r="B20" s="10" t="s">
        <v>2</v>
      </c>
      <c r="C20" s="10" t="s">
        <v>184</v>
      </c>
      <c r="D20" s="29" t="s">
        <v>185</v>
      </c>
    </row>
    <row r="21" spans="1:4" x14ac:dyDescent="0.25">
      <c r="A21" s="29" t="s">
        <v>1197</v>
      </c>
      <c r="B21" s="10" t="s">
        <v>2</v>
      </c>
      <c r="C21" s="10" t="s">
        <v>188</v>
      </c>
      <c r="D21" s="29" t="s">
        <v>189</v>
      </c>
    </row>
    <row r="22" spans="1:4" x14ac:dyDescent="0.25">
      <c r="A22" s="29" t="s">
        <v>1197</v>
      </c>
      <c r="B22" s="10" t="s">
        <v>2</v>
      </c>
      <c r="C22" s="10" t="s">
        <v>186</v>
      </c>
      <c r="D22" s="29" t="s">
        <v>187</v>
      </c>
    </row>
    <row r="23" spans="1:4" x14ac:dyDescent="0.25">
      <c r="A23" s="29" t="s">
        <v>1197</v>
      </c>
      <c r="B23" s="10" t="s">
        <v>2</v>
      </c>
      <c r="C23" s="10" t="s">
        <v>190</v>
      </c>
      <c r="D23" s="29" t="s">
        <v>191</v>
      </c>
    </row>
    <row r="24" spans="1:4" x14ac:dyDescent="0.25">
      <c r="A24" s="29" t="s">
        <v>1197</v>
      </c>
      <c r="B24" s="10" t="s">
        <v>2</v>
      </c>
      <c r="C24" s="10" t="s">
        <v>192</v>
      </c>
      <c r="D24" s="29" t="s">
        <v>193</v>
      </c>
    </row>
    <row r="25" spans="1:4" x14ac:dyDescent="0.25">
      <c r="A25" s="29" t="s">
        <v>4</v>
      </c>
      <c r="B25" s="10" t="s">
        <v>2</v>
      </c>
      <c r="C25" s="10" t="s">
        <v>194</v>
      </c>
      <c r="D25" s="29" t="s">
        <v>195</v>
      </c>
    </row>
    <row r="26" spans="1:4" x14ac:dyDescent="0.25">
      <c r="A26" s="29" t="s">
        <v>4</v>
      </c>
      <c r="B26" s="10" t="s">
        <v>2</v>
      </c>
      <c r="C26" s="10" t="s">
        <v>196</v>
      </c>
      <c r="D26" s="29" t="s">
        <v>962</v>
      </c>
    </row>
    <row r="27" spans="1:4" x14ac:dyDescent="0.25">
      <c r="A27" s="29" t="s">
        <v>1225</v>
      </c>
      <c r="B27" s="10" t="s">
        <v>2</v>
      </c>
      <c r="C27" s="6" t="s">
        <v>197</v>
      </c>
      <c r="D27" s="31" t="s">
        <v>963</v>
      </c>
    </row>
    <row r="28" spans="1:4" x14ac:dyDescent="0.25">
      <c r="A28" s="29" t="s">
        <v>1225</v>
      </c>
      <c r="B28" s="10" t="s">
        <v>2</v>
      </c>
      <c r="C28" s="6" t="s">
        <v>198</v>
      </c>
      <c r="D28" s="31" t="s">
        <v>964</v>
      </c>
    </row>
    <row r="29" spans="1:4" x14ac:dyDescent="0.25">
      <c r="A29" s="29" t="s">
        <v>1225</v>
      </c>
      <c r="B29" s="10" t="s">
        <v>2</v>
      </c>
      <c r="C29" s="6" t="s">
        <v>199</v>
      </c>
      <c r="D29" s="31" t="s">
        <v>1087</v>
      </c>
    </row>
    <row r="30" spans="1:4" x14ac:dyDescent="0.25">
      <c r="A30" s="29" t="s">
        <v>12</v>
      </c>
      <c r="B30" s="10" t="s">
        <v>2</v>
      </c>
      <c r="C30" s="6" t="s">
        <v>204</v>
      </c>
      <c r="D30" s="31" t="s">
        <v>1090</v>
      </c>
    </row>
    <row r="31" spans="1:4" x14ac:dyDescent="0.25">
      <c r="A31" s="29" t="s">
        <v>12</v>
      </c>
      <c r="B31" s="10" t="s">
        <v>2</v>
      </c>
      <c r="C31" s="6" t="s">
        <v>202</v>
      </c>
      <c r="D31" s="31" t="s">
        <v>203</v>
      </c>
    </row>
    <row r="32" spans="1:4" x14ac:dyDescent="0.25">
      <c r="A32" s="29" t="s">
        <v>12</v>
      </c>
      <c r="B32" s="10" t="s">
        <v>2</v>
      </c>
      <c r="C32" s="6" t="s">
        <v>200</v>
      </c>
      <c r="D32" s="31" t="s">
        <v>201</v>
      </c>
    </row>
    <row r="33" spans="1:4" x14ac:dyDescent="0.25">
      <c r="A33" s="29" t="s">
        <v>12</v>
      </c>
      <c r="B33" s="10" t="s">
        <v>2</v>
      </c>
      <c r="C33" s="6" t="s">
        <v>205</v>
      </c>
      <c r="D33" s="32" t="s">
        <v>1228</v>
      </c>
    </row>
    <row r="34" spans="1:4" x14ac:dyDescent="0.25">
      <c r="A34" s="29" t="s">
        <v>5</v>
      </c>
      <c r="B34" s="10" t="s">
        <v>2</v>
      </c>
      <c r="C34" s="6" t="s">
        <v>212</v>
      </c>
      <c r="D34" s="31" t="s">
        <v>213</v>
      </c>
    </row>
    <row r="35" spans="1:4" x14ac:dyDescent="0.25">
      <c r="A35" s="29" t="s">
        <v>5</v>
      </c>
      <c r="B35" s="10" t="s">
        <v>2</v>
      </c>
      <c r="C35" s="6" t="s">
        <v>210</v>
      </c>
      <c r="D35" s="31" t="s">
        <v>211</v>
      </c>
    </row>
    <row r="36" spans="1:4" x14ac:dyDescent="0.25">
      <c r="A36" s="29" t="s">
        <v>5</v>
      </c>
      <c r="B36" s="10" t="s">
        <v>2</v>
      </c>
      <c r="C36" s="6" t="s">
        <v>208</v>
      </c>
      <c r="D36" s="31" t="s">
        <v>209</v>
      </c>
    </row>
    <row r="37" spans="1:4" x14ac:dyDescent="0.25">
      <c r="A37" s="29" t="s">
        <v>5</v>
      </c>
      <c r="B37" s="10" t="s">
        <v>2</v>
      </c>
      <c r="C37" s="6" t="s">
        <v>206</v>
      </c>
      <c r="D37" s="31" t="s">
        <v>207</v>
      </c>
    </row>
    <row r="38" spans="1:4" x14ac:dyDescent="0.25">
      <c r="A38" s="29" t="s">
        <v>6</v>
      </c>
      <c r="B38" s="10" t="s">
        <v>2</v>
      </c>
      <c r="C38" s="10" t="s">
        <v>214</v>
      </c>
      <c r="D38" s="2" t="s">
        <v>1088</v>
      </c>
    </row>
    <row r="39" spans="1:4" x14ac:dyDescent="0.25">
      <c r="A39" s="29" t="s">
        <v>6</v>
      </c>
      <c r="B39" s="10" t="s">
        <v>2</v>
      </c>
      <c r="C39" s="10" t="s">
        <v>215</v>
      </c>
      <c r="D39" s="2" t="s">
        <v>1089</v>
      </c>
    </row>
    <row r="40" spans="1:4" x14ac:dyDescent="0.25">
      <c r="A40" s="29" t="s">
        <v>7</v>
      </c>
      <c r="B40" s="10" t="s">
        <v>2</v>
      </c>
      <c r="C40" s="10" t="s">
        <v>216</v>
      </c>
      <c r="D40" s="2" t="s">
        <v>217</v>
      </c>
    </row>
    <row r="41" spans="1:4" x14ac:dyDescent="0.25">
      <c r="A41" s="29" t="s">
        <v>7</v>
      </c>
      <c r="B41" s="10" t="s">
        <v>2</v>
      </c>
      <c r="C41" s="10" t="s">
        <v>219</v>
      </c>
      <c r="D41" s="2" t="s">
        <v>1091</v>
      </c>
    </row>
    <row r="42" spans="1:4" x14ac:dyDescent="0.25">
      <c r="A42" s="29" t="s">
        <v>7</v>
      </c>
      <c r="B42" s="10" t="s">
        <v>2</v>
      </c>
      <c r="C42" s="10" t="s">
        <v>218</v>
      </c>
      <c r="D42" s="2" t="s">
        <v>1229</v>
      </c>
    </row>
    <row r="43" spans="1:4" x14ac:dyDescent="0.25">
      <c r="A43" s="29" t="s">
        <v>1096</v>
      </c>
      <c r="B43" s="10" t="s">
        <v>2</v>
      </c>
      <c r="C43" s="10" t="s">
        <v>220</v>
      </c>
      <c r="D43" s="2" t="s">
        <v>1097</v>
      </c>
    </row>
    <row r="44" spans="1:4" x14ac:dyDescent="0.25">
      <c r="A44" s="29" t="s">
        <v>1096</v>
      </c>
      <c r="B44" s="10" t="s">
        <v>2</v>
      </c>
      <c r="C44" s="10" t="s">
        <v>221</v>
      </c>
      <c r="D44" s="2" t="s">
        <v>1230</v>
      </c>
    </row>
    <row r="45" spans="1:4" x14ac:dyDescent="0.25">
      <c r="A45" s="29" t="s">
        <v>9</v>
      </c>
      <c r="B45" s="10" t="s">
        <v>2</v>
      </c>
      <c r="C45" s="10" t="s">
        <v>222</v>
      </c>
      <c r="D45" s="29" t="s">
        <v>965</v>
      </c>
    </row>
    <row r="46" spans="1:4" x14ac:dyDescent="0.25">
      <c r="A46" s="29" t="s">
        <v>9</v>
      </c>
      <c r="B46" s="10" t="s">
        <v>2</v>
      </c>
      <c r="C46" s="10" t="s">
        <v>223</v>
      </c>
      <c r="D46" s="29" t="s">
        <v>1063</v>
      </c>
    </row>
    <row r="47" spans="1:4" x14ac:dyDescent="0.25">
      <c r="A47" s="29" t="s">
        <v>9</v>
      </c>
      <c r="B47" s="10" t="s">
        <v>2</v>
      </c>
      <c r="C47" s="10" t="s">
        <v>224</v>
      </c>
      <c r="D47" s="29" t="s">
        <v>966</v>
      </c>
    </row>
    <row r="48" spans="1:4" x14ac:dyDescent="0.25">
      <c r="A48" s="29" t="s">
        <v>9</v>
      </c>
      <c r="B48" s="10" t="s">
        <v>2</v>
      </c>
      <c r="C48" s="10" t="s">
        <v>225</v>
      </c>
      <c r="D48" s="29" t="s">
        <v>967</v>
      </c>
    </row>
    <row r="49" spans="1:4" x14ac:dyDescent="0.25">
      <c r="A49" s="29" t="s">
        <v>9</v>
      </c>
      <c r="B49" s="10" t="s">
        <v>2</v>
      </c>
      <c r="C49" s="10" t="s">
        <v>1094</v>
      </c>
      <c r="D49" s="29" t="s">
        <v>1095</v>
      </c>
    </row>
    <row r="50" spans="1:4" x14ac:dyDescent="0.25">
      <c r="A50" s="29" t="s">
        <v>10</v>
      </c>
      <c r="B50" s="10" t="s">
        <v>2</v>
      </c>
      <c r="C50" s="10" t="s">
        <v>226</v>
      </c>
      <c r="D50" s="29" t="s">
        <v>1064</v>
      </c>
    </row>
    <row r="51" spans="1:4" x14ac:dyDescent="0.25">
      <c r="A51" s="29" t="s">
        <v>10</v>
      </c>
      <c r="B51" s="10" t="s">
        <v>2</v>
      </c>
      <c r="C51" s="10" t="s">
        <v>227</v>
      </c>
      <c r="D51" s="29" t="s">
        <v>968</v>
      </c>
    </row>
    <row r="52" spans="1:4" x14ac:dyDescent="0.25">
      <c r="A52" s="29" t="s">
        <v>10</v>
      </c>
      <c r="B52" s="10" t="s">
        <v>2</v>
      </c>
      <c r="C52" s="10" t="s">
        <v>229</v>
      </c>
      <c r="D52" s="29" t="s">
        <v>230</v>
      </c>
    </row>
    <row r="53" spans="1:4" x14ac:dyDescent="0.25">
      <c r="A53" s="29" t="s">
        <v>10</v>
      </c>
      <c r="B53" s="10" t="s">
        <v>2</v>
      </c>
      <c r="C53" s="10" t="s">
        <v>228</v>
      </c>
      <c r="D53" s="29" t="s">
        <v>969</v>
      </c>
    </row>
    <row r="54" spans="1:4" x14ac:dyDescent="0.25">
      <c r="A54" s="33" t="s">
        <v>117</v>
      </c>
      <c r="B54" s="33" t="s">
        <v>138</v>
      </c>
      <c r="C54" s="33" t="s">
        <v>314</v>
      </c>
      <c r="D54" s="33" t="s">
        <v>315</v>
      </c>
    </row>
    <row r="55" spans="1:4" x14ac:dyDescent="0.25">
      <c r="A55" s="34" t="s">
        <v>117</v>
      </c>
      <c r="B55" s="34" t="s">
        <v>138</v>
      </c>
      <c r="C55" s="34" t="s">
        <v>318</v>
      </c>
      <c r="D55" s="34" t="s">
        <v>1127</v>
      </c>
    </row>
    <row r="56" spans="1:4" x14ac:dyDescent="0.25">
      <c r="A56" s="34" t="s">
        <v>117</v>
      </c>
      <c r="B56" s="34" t="s">
        <v>138</v>
      </c>
      <c r="C56" s="34" t="s">
        <v>316</v>
      </c>
      <c r="D56" s="34" t="s">
        <v>317</v>
      </c>
    </row>
    <row r="57" spans="1:4" x14ac:dyDescent="0.25">
      <c r="A57" s="34" t="s">
        <v>118</v>
      </c>
      <c r="B57" s="34" t="s">
        <v>138</v>
      </c>
      <c r="C57" s="34" t="s">
        <v>319</v>
      </c>
      <c r="D57" s="34" t="s">
        <v>320</v>
      </c>
    </row>
    <row r="58" spans="1:4" x14ac:dyDescent="0.25">
      <c r="A58" s="34" t="s">
        <v>118</v>
      </c>
      <c r="B58" s="34" t="s">
        <v>138</v>
      </c>
      <c r="C58" s="34" t="s">
        <v>321</v>
      </c>
      <c r="D58" s="34" t="s">
        <v>322</v>
      </c>
    </row>
    <row r="59" spans="1:4" x14ac:dyDescent="0.25">
      <c r="A59" s="34" t="s">
        <v>118</v>
      </c>
      <c r="B59" s="34" t="s">
        <v>138</v>
      </c>
      <c r="C59" s="34" t="s">
        <v>323</v>
      </c>
      <c r="D59" s="34" t="s">
        <v>324</v>
      </c>
    </row>
    <row r="60" spans="1:4" x14ac:dyDescent="0.25">
      <c r="A60" s="34" t="s">
        <v>119</v>
      </c>
      <c r="B60" s="34" t="s">
        <v>138</v>
      </c>
      <c r="C60" s="34" t="s">
        <v>325</v>
      </c>
      <c r="D60" s="34" t="s">
        <v>1231</v>
      </c>
    </row>
    <row r="61" spans="1:4" x14ac:dyDescent="0.25">
      <c r="A61" s="34" t="s">
        <v>119</v>
      </c>
      <c r="B61" s="34" t="s">
        <v>138</v>
      </c>
      <c r="C61" s="34" t="s">
        <v>327</v>
      </c>
      <c r="D61" s="34" t="s">
        <v>329</v>
      </c>
    </row>
    <row r="62" spans="1:4" x14ac:dyDescent="0.25">
      <c r="A62" s="34" t="s">
        <v>119</v>
      </c>
      <c r="B62" s="34" t="s">
        <v>138</v>
      </c>
      <c r="C62" s="34" t="s">
        <v>328</v>
      </c>
      <c r="D62" s="34" t="s">
        <v>1232</v>
      </c>
    </row>
    <row r="63" spans="1:4" x14ac:dyDescent="0.25">
      <c r="A63" s="34" t="s">
        <v>107</v>
      </c>
      <c r="B63" s="34" t="s">
        <v>138</v>
      </c>
      <c r="C63" s="35" t="s">
        <v>264</v>
      </c>
      <c r="D63" s="36" t="s">
        <v>265</v>
      </c>
    </row>
    <row r="64" spans="1:4" x14ac:dyDescent="0.25">
      <c r="A64" s="34" t="s">
        <v>107</v>
      </c>
      <c r="B64" s="34" t="s">
        <v>138</v>
      </c>
      <c r="C64" s="35" t="s">
        <v>266</v>
      </c>
      <c r="D64" s="36" t="s">
        <v>267</v>
      </c>
    </row>
    <row r="65" spans="1:4" x14ac:dyDescent="0.25">
      <c r="A65" s="34" t="s">
        <v>107</v>
      </c>
      <c r="B65" s="34" t="s">
        <v>138</v>
      </c>
      <c r="C65" s="35" t="s">
        <v>268</v>
      </c>
      <c r="D65" s="36" t="s">
        <v>269</v>
      </c>
    </row>
    <row r="66" spans="1:4" x14ac:dyDescent="0.25">
      <c r="A66" s="34" t="s">
        <v>107</v>
      </c>
      <c r="B66" s="34" t="s">
        <v>138</v>
      </c>
      <c r="C66" s="35" t="s">
        <v>262</v>
      </c>
      <c r="D66" s="36" t="s">
        <v>263</v>
      </c>
    </row>
    <row r="67" spans="1:4" x14ac:dyDescent="0.25">
      <c r="A67" s="34" t="s">
        <v>108</v>
      </c>
      <c r="B67" s="34" t="s">
        <v>138</v>
      </c>
      <c r="C67" s="35" t="s">
        <v>274</v>
      </c>
      <c r="D67" s="36" t="s">
        <v>275</v>
      </c>
    </row>
    <row r="68" spans="1:4" x14ac:dyDescent="0.25">
      <c r="A68" s="34" t="s">
        <v>108</v>
      </c>
      <c r="B68" s="34" t="s">
        <v>138</v>
      </c>
      <c r="C68" s="35" t="s">
        <v>276</v>
      </c>
      <c r="D68" s="36" t="s">
        <v>277</v>
      </c>
    </row>
    <row r="69" spans="1:4" x14ac:dyDescent="0.25">
      <c r="A69" s="34" t="s">
        <v>108</v>
      </c>
      <c r="B69" s="34" t="s">
        <v>138</v>
      </c>
      <c r="C69" s="35" t="s">
        <v>270</v>
      </c>
      <c r="D69" s="36" t="s">
        <v>970</v>
      </c>
    </row>
    <row r="70" spans="1:4" x14ac:dyDescent="0.25">
      <c r="A70" s="34" t="s">
        <v>108</v>
      </c>
      <c r="B70" s="34" t="s">
        <v>138</v>
      </c>
      <c r="C70" s="35" t="s">
        <v>272</v>
      </c>
      <c r="D70" s="36" t="s">
        <v>273</v>
      </c>
    </row>
    <row r="71" spans="1:4" x14ac:dyDescent="0.25">
      <c r="A71" s="34" t="s">
        <v>108</v>
      </c>
      <c r="B71" s="34" t="s">
        <v>138</v>
      </c>
      <c r="C71" s="35" t="s">
        <v>271</v>
      </c>
      <c r="D71" t="s">
        <v>1128</v>
      </c>
    </row>
    <row r="72" spans="1:4" x14ac:dyDescent="0.25">
      <c r="A72" s="34" t="s">
        <v>120</v>
      </c>
      <c r="B72" s="34" t="s">
        <v>138</v>
      </c>
      <c r="C72" s="35" t="s">
        <v>278</v>
      </c>
      <c r="D72" s="36" t="s">
        <v>279</v>
      </c>
    </row>
    <row r="73" spans="1:4" x14ac:dyDescent="0.25">
      <c r="A73" s="34" t="s">
        <v>120</v>
      </c>
      <c r="B73" s="34" t="s">
        <v>138</v>
      </c>
      <c r="C73" s="35" t="s">
        <v>282</v>
      </c>
      <c r="D73" s="36" t="s">
        <v>283</v>
      </c>
    </row>
    <row r="74" spans="1:4" x14ac:dyDescent="0.25">
      <c r="A74" s="34" t="s">
        <v>120</v>
      </c>
      <c r="B74" s="34" t="s">
        <v>138</v>
      </c>
      <c r="C74" s="35" t="s">
        <v>280</v>
      </c>
      <c r="D74" s="34" t="s">
        <v>281</v>
      </c>
    </row>
    <row r="75" spans="1:4" x14ac:dyDescent="0.25">
      <c r="A75" s="37" t="s">
        <v>121</v>
      </c>
      <c r="B75" s="37" t="s">
        <v>138</v>
      </c>
      <c r="C75" s="37" t="s">
        <v>235</v>
      </c>
      <c r="D75" s="37" t="s">
        <v>236</v>
      </c>
    </row>
    <row r="76" spans="1:4" x14ac:dyDescent="0.25">
      <c r="A76" s="37" t="s">
        <v>121</v>
      </c>
      <c r="B76" s="37" t="s">
        <v>138</v>
      </c>
      <c r="C76" s="37" t="s">
        <v>238</v>
      </c>
      <c r="D76" s="37" t="s">
        <v>239</v>
      </c>
    </row>
    <row r="77" spans="1:4" x14ac:dyDescent="0.25">
      <c r="A77" s="37" t="s">
        <v>121</v>
      </c>
      <c r="B77" s="37" t="s">
        <v>138</v>
      </c>
      <c r="C77" s="37" t="s">
        <v>240</v>
      </c>
      <c r="D77" s="37" t="s">
        <v>981</v>
      </c>
    </row>
    <row r="78" spans="1:4" x14ac:dyDescent="0.25">
      <c r="A78" s="37" t="s">
        <v>121</v>
      </c>
      <c r="B78" s="37" t="s">
        <v>138</v>
      </c>
      <c r="C78" s="37" t="s">
        <v>237</v>
      </c>
      <c r="D78" s="37" t="s">
        <v>982</v>
      </c>
    </row>
    <row r="79" spans="1:4" x14ac:dyDescent="0.25">
      <c r="A79" s="37" t="s">
        <v>1198</v>
      </c>
      <c r="B79" s="37" t="s">
        <v>138</v>
      </c>
      <c r="C79" s="38" t="s">
        <v>242</v>
      </c>
      <c r="D79" s="38" t="s">
        <v>978</v>
      </c>
    </row>
    <row r="80" spans="1:4" x14ac:dyDescent="0.25">
      <c r="A80" s="37" t="s">
        <v>1198</v>
      </c>
      <c r="B80" s="37" t="s">
        <v>138</v>
      </c>
      <c r="C80" s="37" t="s">
        <v>243</v>
      </c>
      <c r="D80" s="37" t="s">
        <v>979</v>
      </c>
    </row>
    <row r="81" spans="1:4" x14ac:dyDescent="0.25">
      <c r="A81" s="37" t="s">
        <v>1198</v>
      </c>
      <c r="B81" s="37" t="s">
        <v>138</v>
      </c>
      <c r="C81" s="37" t="s">
        <v>241</v>
      </c>
      <c r="D81" s="37" t="s">
        <v>980</v>
      </c>
    </row>
    <row r="82" spans="1:4" x14ac:dyDescent="0.25">
      <c r="A82" s="37" t="s">
        <v>123</v>
      </c>
      <c r="B82" s="2" t="s">
        <v>138</v>
      </c>
      <c r="C82" s="39" t="s">
        <v>252</v>
      </c>
      <c r="D82" s="39" t="s">
        <v>1129</v>
      </c>
    </row>
    <row r="83" spans="1:4" x14ac:dyDescent="0.25">
      <c r="A83" s="37" t="s">
        <v>123</v>
      </c>
      <c r="B83" s="2" t="s">
        <v>138</v>
      </c>
      <c r="C83" s="39" t="s">
        <v>253</v>
      </c>
      <c r="D83" s="39" t="s">
        <v>254</v>
      </c>
    </row>
    <row r="84" spans="1:4" x14ac:dyDescent="0.25">
      <c r="A84" s="37" t="s">
        <v>123</v>
      </c>
      <c r="B84" s="2" t="s">
        <v>138</v>
      </c>
      <c r="C84" s="39" t="s">
        <v>255</v>
      </c>
      <c r="D84" s="39" t="s">
        <v>256</v>
      </c>
    </row>
    <row r="85" spans="1:4" x14ac:dyDescent="0.25">
      <c r="A85" s="37" t="s">
        <v>122</v>
      </c>
      <c r="B85" s="2" t="s">
        <v>138</v>
      </c>
      <c r="C85" s="39" t="s">
        <v>259</v>
      </c>
      <c r="D85" s="39" t="s">
        <v>1130</v>
      </c>
    </row>
    <row r="86" spans="1:4" x14ac:dyDescent="0.25">
      <c r="A86" s="37" t="s">
        <v>122</v>
      </c>
      <c r="B86" s="2" t="s">
        <v>138</v>
      </c>
      <c r="C86" s="39" t="s">
        <v>257</v>
      </c>
      <c r="D86" s="39" t="s">
        <v>258</v>
      </c>
    </row>
    <row r="87" spans="1:4" x14ac:dyDescent="0.25">
      <c r="A87" s="37" t="s">
        <v>122</v>
      </c>
      <c r="B87" s="2" t="s">
        <v>138</v>
      </c>
      <c r="C87" s="39" t="s">
        <v>260</v>
      </c>
      <c r="D87" s="39" t="s">
        <v>261</v>
      </c>
    </row>
    <row r="88" spans="1:4" x14ac:dyDescent="0.25">
      <c r="A88" s="2" t="s">
        <v>111</v>
      </c>
      <c r="B88" s="2" t="s">
        <v>138</v>
      </c>
      <c r="C88" s="2" t="s">
        <v>298</v>
      </c>
      <c r="D88" s="2" t="s">
        <v>983</v>
      </c>
    </row>
    <row r="89" spans="1:4" x14ac:dyDescent="0.25">
      <c r="A89" s="2" t="s">
        <v>111</v>
      </c>
      <c r="B89" s="2" t="s">
        <v>138</v>
      </c>
      <c r="C89" s="2" t="s">
        <v>299</v>
      </c>
      <c r="D89" s="2" t="s">
        <v>300</v>
      </c>
    </row>
    <row r="90" spans="1:4" x14ac:dyDescent="0.25">
      <c r="A90" s="2" t="s">
        <v>112</v>
      </c>
      <c r="B90" s="2" t="s">
        <v>138</v>
      </c>
      <c r="C90" s="2" t="s">
        <v>303</v>
      </c>
      <c r="D90" s="2" t="s">
        <v>304</v>
      </c>
    </row>
    <row r="91" spans="1:4" x14ac:dyDescent="0.25">
      <c r="A91" s="2" t="s">
        <v>112</v>
      </c>
      <c r="B91" s="2" t="s">
        <v>138</v>
      </c>
      <c r="C91" s="2" t="s">
        <v>305</v>
      </c>
      <c r="D91" s="2" t="s">
        <v>306</v>
      </c>
    </row>
    <row r="92" spans="1:4" x14ac:dyDescent="0.25">
      <c r="A92" s="2" t="s">
        <v>112</v>
      </c>
      <c r="B92" s="2" t="s">
        <v>138</v>
      </c>
      <c r="C92" s="2" t="s">
        <v>301</v>
      </c>
      <c r="D92" s="2" t="s">
        <v>302</v>
      </c>
    </row>
    <row r="93" spans="1:4" x14ac:dyDescent="0.25">
      <c r="A93" s="2" t="s">
        <v>113</v>
      </c>
      <c r="B93" s="2" t="s">
        <v>138</v>
      </c>
      <c r="C93" s="2" t="s">
        <v>307</v>
      </c>
      <c r="D93" s="2" t="s">
        <v>308</v>
      </c>
    </row>
    <row r="94" spans="1:4" x14ac:dyDescent="0.25">
      <c r="A94" s="2" t="s">
        <v>113</v>
      </c>
      <c r="B94" s="2" t="s">
        <v>138</v>
      </c>
      <c r="C94" s="2" t="s">
        <v>309</v>
      </c>
      <c r="D94" s="2" t="s">
        <v>984</v>
      </c>
    </row>
    <row r="95" spans="1:4" x14ac:dyDescent="0.25">
      <c r="A95" s="2" t="s">
        <v>113</v>
      </c>
      <c r="B95" s="2" t="s">
        <v>138</v>
      </c>
      <c r="C95" s="2" t="s">
        <v>310</v>
      </c>
      <c r="D95" s="2" t="s">
        <v>311</v>
      </c>
    </row>
    <row r="96" spans="1:4" x14ac:dyDescent="0.25">
      <c r="A96" s="40" t="s">
        <v>124</v>
      </c>
      <c r="B96" s="39" t="s">
        <v>138</v>
      </c>
      <c r="C96" s="35" t="s">
        <v>250</v>
      </c>
      <c r="D96" s="35" t="s">
        <v>251</v>
      </c>
    </row>
    <row r="97" spans="1:4" x14ac:dyDescent="0.25">
      <c r="A97" s="40" t="s">
        <v>124</v>
      </c>
      <c r="B97" s="39" t="s">
        <v>138</v>
      </c>
      <c r="C97" s="35" t="s">
        <v>248</v>
      </c>
      <c r="D97" s="35" t="s">
        <v>249</v>
      </c>
    </row>
    <row r="98" spans="1:4" x14ac:dyDescent="0.25">
      <c r="A98" s="40" t="s">
        <v>124</v>
      </c>
      <c r="B98" s="39" t="s">
        <v>138</v>
      </c>
      <c r="C98" s="35" t="s">
        <v>246</v>
      </c>
      <c r="D98" s="35" t="s">
        <v>247</v>
      </c>
    </row>
    <row r="99" spans="1:4" x14ac:dyDescent="0.25">
      <c r="A99" s="40" t="s">
        <v>124</v>
      </c>
      <c r="B99" s="39" t="s">
        <v>138</v>
      </c>
      <c r="C99" s="41" t="s">
        <v>972</v>
      </c>
      <c r="D99" s="41" t="s">
        <v>973</v>
      </c>
    </row>
    <row r="100" spans="1:4" x14ac:dyDescent="0.25">
      <c r="A100" s="40" t="s">
        <v>124</v>
      </c>
      <c r="B100" s="39" t="s">
        <v>138</v>
      </c>
      <c r="C100" s="41" t="s">
        <v>245</v>
      </c>
      <c r="D100" s="41" t="s">
        <v>1098</v>
      </c>
    </row>
    <row r="101" spans="1:4" x14ac:dyDescent="0.25">
      <c r="A101" s="40" t="s">
        <v>124</v>
      </c>
      <c r="B101" s="39" t="s">
        <v>138</v>
      </c>
      <c r="C101" s="41" t="s">
        <v>244</v>
      </c>
      <c r="D101" s="41" t="s">
        <v>1099</v>
      </c>
    </row>
    <row r="102" spans="1:4" x14ac:dyDescent="0.25">
      <c r="A102" s="42" t="s">
        <v>110</v>
      </c>
      <c r="B102" s="39" t="s">
        <v>138</v>
      </c>
      <c r="C102" s="42" t="s">
        <v>287</v>
      </c>
      <c r="D102" s="42" t="s">
        <v>288</v>
      </c>
    </row>
    <row r="103" spans="1:4" x14ac:dyDescent="0.25">
      <c r="A103" s="42" t="s">
        <v>110</v>
      </c>
      <c r="B103" s="39" t="s">
        <v>138</v>
      </c>
      <c r="C103" s="42" t="s">
        <v>293</v>
      </c>
      <c r="D103" s="42" t="s">
        <v>294</v>
      </c>
    </row>
    <row r="104" spans="1:4" x14ac:dyDescent="0.25">
      <c r="A104" s="42" t="s">
        <v>110</v>
      </c>
      <c r="B104" s="39" t="s">
        <v>138</v>
      </c>
      <c r="C104" s="42" t="s">
        <v>297</v>
      </c>
      <c r="D104" s="42" t="s">
        <v>1131</v>
      </c>
    </row>
    <row r="105" spans="1:4" x14ac:dyDescent="0.25">
      <c r="A105" s="42" t="s">
        <v>110</v>
      </c>
      <c r="B105" s="39" t="s">
        <v>138</v>
      </c>
      <c r="C105" s="42" t="s">
        <v>295</v>
      </c>
      <c r="D105" s="42" t="s">
        <v>296</v>
      </c>
    </row>
    <row r="106" spans="1:4" x14ac:dyDescent="0.25">
      <c r="A106" s="42" t="s">
        <v>110</v>
      </c>
      <c r="B106" s="39" t="s">
        <v>138</v>
      </c>
      <c r="C106" s="42" t="s">
        <v>289</v>
      </c>
      <c r="D106" s="42" t="s">
        <v>290</v>
      </c>
    </row>
    <row r="107" spans="1:4" x14ac:dyDescent="0.25">
      <c r="A107" s="42" t="s">
        <v>110</v>
      </c>
      <c r="B107" s="39" t="s">
        <v>138</v>
      </c>
      <c r="C107" s="42" t="s">
        <v>291</v>
      </c>
      <c r="D107" s="42" t="s">
        <v>292</v>
      </c>
    </row>
    <row r="108" spans="1:4" x14ac:dyDescent="0.25">
      <c r="A108" s="42" t="s">
        <v>109</v>
      </c>
      <c r="B108" s="39" t="s">
        <v>138</v>
      </c>
      <c r="C108" s="42" t="s">
        <v>285</v>
      </c>
      <c r="D108" s="42" t="s">
        <v>286</v>
      </c>
    </row>
    <row r="109" spans="1:4" x14ac:dyDescent="0.25">
      <c r="A109" s="42" t="s">
        <v>109</v>
      </c>
      <c r="B109" s="39" t="s">
        <v>138</v>
      </c>
      <c r="C109" s="42" t="s">
        <v>284</v>
      </c>
      <c r="D109" s="42" t="s">
        <v>971</v>
      </c>
    </row>
    <row r="110" spans="1:4" x14ac:dyDescent="0.25">
      <c r="A110" s="37" t="s">
        <v>114</v>
      </c>
      <c r="B110" s="2" t="s">
        <v>138</v>
      </c>
      <c r="C110" s="37" t="s">
        <v>1043</v>
      </c>
      <c r="D110" s="37" t="s">
        <v>313</v>
      </c>
    </row>
    <row r="111" spans="1:4" x14ac:dyDescent="0.25">
      <c r="A111" s="37" t="s">
        <v>114</v>
      </c>
      <c r="B111" s="2" t="s">
        <v>138</v>
      </c>
      <c r="C111" s="37" t="s">
        <v>1044</v>
      </c>
      <c r="D111" s="37" t="s">
        <v>986</v>
      </c>
    </row>
    <row r="112" spans="1:4" x14ac:dyDescent="0.25">
      <c r="A112" s="37" t="s">
        <v>1046</v>
      </c>
      <c r="B112" s="2" t="s">
        <v>138</v>
      </c>
      <c r="C112" s="42" t="s">
        <v>1233</v>
      </c>
      <c r="D112" s="41" t="s">
        <v>1234</v>
      </c>
    </row>
    <row r="113" spans="1:4" x14ac:dyDescent="0.25">
      <c r="A113" s="37" t="s">
        <v>1046</v>
      </c>
      <c r="B113" s="2" t="s">
        <v>138</v>
      </c>
      <c r="C113" s="42" t="s">
        <v>1235</v>
      </c>
      <c r="D113" s="41" t="s">
        <v>1236</v>
      </c>
    </row>
    <row r="114" spans="1:4" x14ac:dyDescent="0.25">
      <c r="A114" s="43" t="s">
        <v>115</v>
      </c>
      <c r="B114" s="4" t="s">
        <v>138</v>
      </c>
      <c r="C114" s="44" t="s">
        <v>1237</v>
      </c>
      <c r="D114" s="45" t="s">
        <v>1238</v>
      </c>
    </row>
    <row r="115" spans="1:4" x14ac:dyDescent="0.25">
      <c r="A115" s="43" t="s">
        <v>115</v>
      </c>
      <c r="B115" s="4" t="s">
        <v>138</v>
      </c>
      <c r="C115" s="44" t="s">
        <v>1239</v>
      </c>
      <c r="D115" s="45" t="s">
        <v>1132</v>
      </c>
    </row>
    <row r="116" spans="1:4" x14ac:dyDescent="0.25">
      <c r="A116" s="43" t="s">
        <v>115</v>
      </c>
      <c r="B116" s="4" t="s">
        <v>138</v>
      </c>
      <c r="C116" s="44" t="s">
        <v>1240</v>
      </c>
      <c r="D116" s="44" t="s">
        <v>985</v>
      </c>
    </row>
    <row r="117" spans="1:4" x14ac:dyDescent="0.25">
      <c r="A117" s="37" t="s">
        <v>116</v>
      </c>
      <c r="B117" s="2" t="s">
        <v>138</v>
      </c>
      <c r="C117" s="46" t="s">
        <v>1241</v>
      </c>
      <c r="D117" s="47" t="s">
        <v>987</v>
      </c>
    </row>
    <row r="118" spans="1:4" x14ac:dyDescent="0.25">
      <c r="A118" s="37" t="s">
        <v>116</v>
      </c>
      <c r="B118" s="2" t="s">
        <v>138</v>
      </c>
      <c r="C118" s="46" t="s">
        <v>1242</v>
      </c>
      <c r="D118" s="46" t="s">
        <v>988</v>
      </c>
    </row>
    <row r="119" spans="1:4" x14ac:dyDescent="0.25">
      <c r="A119" s="37" t="s">
        <v>116</v>
      </c>
      <c r="B119" s="2" t="s">
        <v>138</v>
      </c>
      <c r="C119" s="46" t="s">
        <v>1243</v>
      </c>
      <c r="D119" s="46" t="s">
        <v>989</v>
      </c>
    </row>
    <row r="120" spans="1:4" x14ac:dyDescent="0.25">
      <c r="A120" s="1" t="s">
        <v>1100</v>
      </c>
      <c r="B120" s="1" t="s">
        <v>16</v>
      </c>
      <c r="C120" s="1" t="s">
        <v>343</v>
      </c>
      <c r="D120" s="1" t="s">
        <v>344</v>
      </c>
    </row>
    <row r="121" spans="1:4" x14ac:dyDescent="0.25">
      <c r="A121" s="1" t="s">
        <v>1100</v>
      </c>
      <c r="B121" s="1" t="s">
        <v>16</v>
      </c>
      <c r="C121" s="1" t="s">
        <v>1164</v>
      </c>
      <c r="D121" s="1" t="s">
        <v>1065</v>
      </c>
    </row>
    <row r="122" spans="1:4" x14ac:dyDescent="0.25">
      <c r="A122" s="1" t="s">
        <v>1100</v>
      </c>
      <c r="B122" s="1" t="s">
        <v>16</v>
      </c>
      <c r="C122" s="1" t="s">
        <v>342</v>
      </c>
      <c r="D122" s="1" t="s">
        <v>1244</v>
      </c>
    </row>
    <row r="123" spans="1:4" x14ac:dyDescent="0.25">
      <c r="A123" s="1" t="s">
        <v>1100</v>
      </c>
      <c r="B123" s="1" t="s">
        <v>16</v>
      </c>
      <c r="C123" s="1" t="s">
        <v>345</v>
      </c>
      <c r="D123" s="1" t="s">
        <v>1245</v>
      </c>
    </row>
    <row r="124" spans="1:4" x14ac:dyDescent="0.25">
      <c r="A124" s="1" t="s">
        <v>1066</v>
      </c>
      <c r="B124" s="1" t="s">
        <v>16</v>
      </c>
      <c r="C124" s="1" t="s">
        <v>346</v>
      </c>
      <c r="D124" s="1" t="s">
        <v>347</v>
      </c>
    </row>
    <row r="125" spans="1:4" x14ac:dyDescent="0.25">
      <c r="A125" s="1" t="s">
        <v>1066</v>
      </c>
      <c r="B125" s="1" t="s">
        <v>16</v>
      </c>
      <c r="C125" s="1" t="s">
        <v>351</v>
      </c>
      <c r="D125" s="1" t="s">
        <v>352</v>
      </c>
    </row>
    <row r="126" spans="1:4" x14ac:dyDescent="0.25">
      <c r="A126" s="1" t="s">
        <v>1066</v>
      </c>
      <c r="B126" s="1" t="s">
        <v>16</v>
      </c>
      <c r="C126" s="1" t="s">
        <v>353</v>
      </c>
      <c r="D126" s="1" t="s">
        <v>477</v>
      </c>
    </row>
    <row r="127" spans="1:4" x14ac:dyDescent="0.25">
      <c r="A127" s="1" t="s">
        <v>1066</v>
      </c>
      <c r="B127" s="1" t="s">
        <v>16</v>
      </c>
      <c r="C127" s="1" t="s">
        <v>350</v>
      </c>
      <c r="D127" s="1" t="s">
        <v>990</v>
      </c>
    </row>
    <row r="128" spans="1:4" x14ac:dyDescent="0.25">
      <c r="A128" s="1" t="s">
        <v>1066</v>
      </c>
      <c r="B128" s="1" t="s">
        <v>16</v>
      </c>
      <c r="C128" s="1" t="s">
        <v>348</v>
      </c>
      <c r="D128" s="1" t="s">
        <v>349</v>
      </c>
    </row>
    <row r="129" spans="1:4" x14ac:dyDescent="0.25">
      <c r="A129" s="1" t="s">
        <v>20</v>
      </c>
      <c r="B129" s="1" t="s">
        <v>16</v>
      </c>
      <c r="C129" s="1" t="s">
        <v>372</v>
      </c>
      <c r="D129" s="1" t="s">
        <v>1047</v>
      </c>
    </row>
    <row r="130" spans="1:4" x14ac:dyDescent="0.25">
      <c r="A130" s="1" t="s">
        <v>20</v>
      </c>
      <c r="B130" s="1" t="s">
        <v>16</v>
      </c>
      <c r="C130" s="1" t="s">
        <v>370</v>
      </c>
      <c r="D130" s="1" t="s">
        <v>1049</v>
      </c>
    </row>
    <row r="131" spans="1:4" x14ac:dyDescent="0.25">
      <c r="A131" s="1" t="s">
        <v>20</v>
      </c>
      <c r="B131" s="1" t="s">
        <v>16</v>
      </c>
      <c r="C131" s="1" t="s">
        <v>374</v>
      </c>
      <c r="D131" s="1" t="s">
        <v>1048</v>
      </c>
    </row>
    <row r="132" spans="1:4" x14ac:dyDescent="0.25">
      <c r="A132" s="1" t="s">
        <v>20</v>
      </c>
      <c r="B132" s="1" t="s">
        <v>16</v>
      </c>
      <c r="C132" s="1" t="s">
        <v>368</v>
      </c>
      <c r="D132" s="1" t="s">
        <v>369</v>
      </c>
    </row>
    <row r="133" spans="1:4" x14ac:dyDescent="0.25">
      <c r="A133" s="1" t="s">
        <v>20</v>
      </c>
      <c r="B133" s="1" t="s">
        <v>16</v>
      </c>
      <c r="C133" s="1" t="s">
        <v>373</v>
      </c>
      <c r="D133" s="1" t="s">
        <v>1246</v>
      </c>
    </row>
    <row r="134" spans="1:4" x14ac:dyDescent="0.25">
      <c r="A134" s="1" t="s">
        <v>20</v>
      </c>
      <c r="B134" s="1" t="s">
        <v>16</v>
      </c>
      <c r="C134" s="1" t="s">
        <v>367</v>
      </c>
      <c r="D134" s="1" t="s">
        <v>1067</v>
      </c>
    </row>
    <row r="135" spans="1:4" x14ac:dyDescent="0.25">
      <c r="A135" s="1" t="s">
        <v>20</v>
      </c>
      <c r="B135" s="1" t="s">
        <v>16</v>
      </c>
      <c r="C135" s="1" t="s">
        <v>377</v>
      </c>
      <c r="D135" s="1" t="s">
        <v>1068</v>
      </c>
    </row>
    <row r="136" spans="1:4" x14ac:dyDescent="0.25">
      <c r="A136" s="1" t="s">
        <v>20</v>
      </c>
      <c r="B136" s="1" t="s">
        <v>16</v>
      </c>
      <c r="C136" s="1" t="s">
        <v>376</v>
      </c>
      <c r="D136" s="1" t="s">
        <v>1247</v>
      </c>
    </row>
    <row r="137" spans="1:4" x14ac:dyDescent="0.25">
      <c r="A137" s="1" t="s">
        <v>20</v>
      </c>
      <c r="B137" s="1" t="s">
        <v>16</v>
      </c>
      <c r="C137" s="1" t="s">
        <v>375</v>
      </c>
      <c r="D137" s="1" t="s">
        <v>1050</v>
      </c>
    </row>
    <row r="138" spans="1:4" x14ac:dyDescent="0.25">
      <c r="A138" s="1" t="s">
        <v>20</v>
      </c>
      <c r="B138" s="1" t="s">
        <v>16</v>
      </c>
      <c r="C138" s="1" t="s">
        <v>371</v>
      </c>
      <c r="D138" s="1" t="s">
        <v>1051</v>
      </c>
    </row>
    <row r="139" spans="1:4" x14ac:dyDescent="0.25">
      <c r="A139" s="1" t="s">
        <v>15</v>
      </c>
      <c r="B139" s="1" t="s">
        <v>16</v>
      </c>
      <c r="C139" s="1" t="s">
        <v>331</v>
      </c>
      <c r="D139" s="1" t="s">
        <v>992</v>
      </c>
    </row>
    <row r="140" spans="1:4" x14ac:dyDescent="0.25">
      <c r="A140" s="1" t="s">
        <v>15</v>
      </c>
      <c r="B140" s="1" t="s">
        <v>16</v>
      </c>
      <c r="C140" s="1" t="s">
        <v>330</v>
      </c>
      <c r="D140" s="1" t="s">
        <v>1102</v>
      </c>
    </row>
    <row r="141" spans="1:4" x14ac:dyDescent="0.25">
      <c r="A141" s="1" t="s">
        <v>15</v>
      </c>
      <c r="B141" s="1" t="s">
        <v>16</v>
      </c>
      <c r="C141" s="1" t="s">
        <v>332</v>
      </c>
      <c r="D141" s="1" t="s">
        <v>1103</v>
      </c>
    </row>
    <row r="142" spans="1:4" x14ac:dyDescent="0.25">
      <c r="A142" s="1" t="s">
        <v>15</v>
      </c>
      <c r="B142" s="1" t="s">
        <v>16</v>
      </c>
      <c r="C142" s="1" t="s">
        <v>333</v>
      </c>
      <c r="D142" s="1" t="s">
        <v>1104</v>
      </c>
    </row>
    <row r="143" spans="1:4" x14ac:dyDescent="0.25">
      <c r="A143" s="1" t="s">
        <v>1167</v>
      </c>
      <c r="B143" s="1" t="s">
        <v>16</v>
      </c>
      <c r="C143" s="1" t="s">
        <v>396</v>
      </c>
      <c r="D143" s="1" t="s">
        <v>1248</v>
      </c>
    </row>
    <row r="144" spans="1:4" x14ac:dyDescent="0.25">
      <c r="A144" s="1" t="s">
        <v>1167</v>
      </c>
      <c r="B144" s="1" t="s">
        <v>16</v>
      </c>
      <c r="C144" s="1" t="s">
        <v>402</v>
      </c>
      <c r="D144" s="1" t="s">
        <v>403</v>
      </c>
    </row>
    <row r="145" spans="1:4" x14ac:dyDescent="0.25">
      <c r="A145" s="1" t="s">
        <v>1167</v>
      </c>
      <c r="B145" s="1" t="s">
        <v>16</v>
      </c>
      <c r="C145" s="1" t="s">
        <v>406</v>
      </c>
      <c r="D145" s="1" t="s">
        <v>1101</v>
      </c>
    </row>
    <row r="146" spans="1:4" x14ac:dyDescent="0.25">
      <c r="A146" s="1" t="s">
        <v>1167</v>
      </c>
      <c r="B146" s="1" t="s">
        <v>16</v>
      </c>
      <c r="C146" s="1" t="s">
        <v>397</v>
      </c>
      <c r="D146" s="1" t="s">
        <v>991</v>
      </c>
    </row>
    <row r="147" spans="1:4" x14ac:dyDescent="0.25">
      <c r="A147" s="1" t="s">
        <v>1167</v>
      </c>
      <c r="B147" s="1" t="s">
        <v>16</v>
      </c>
      <c r="C147" s="1" t="s">
        <v>400</v>
      </c>
      <c r="D147" s="1" t="s">
        <v>401</v>
      </c>
    </row>
    <row r="148" spans="1:4" x14ac:dyDescent="0.25">
      <c r="A148" s="1" t="s">
        <v>1167</v>
      </c>
      <c r="B148" s="1" t="s">
        <v>16</v>
      </c>
      <c r="C148" s="1" t="s">
        <v>404</v>
      </c>
      <c r="D148" s="1" t="s">
        <v>405</v>
      </c>
    </row>
    <row r="149" spans="1:4" x14ac:dyDescent="0.25">
      <c r="A149" s="1" t="s">
        <v>1167</v>
      </c>
      <c r="B149" s="1" t="s">
        <v>16</v>
      </c>
      <c r="C149" s="1" t="s">
        <v>398</v>
      </c>
      <c r="D149" s="1" t="s">
        <v>399</v>
      </c>
    </row>
    <row r="150" spans="1:4" x14ac:dyDescent="0.25">
      <c r="A150" s="1" t="s">
        <v>25</v>
      </c>
      <c r="B150" s="1" t="s">
        <v>16</v>
      </c>
      <c r="C150" s="1" t="s">
        <v>338</v>
      </c>
      <c r="D150" s="1" t="s">
        <v>339</v>
      </c>
    </row>
    <row r="151" spans="1:4" x14ac:dyDescent="0.25">
      <c r="A151" s="1" t="s">
        <v>25</v>
      </c>
      <c r="B151" s="1" t="s">
        <v>16</v>
      </c>
      <c r="C151" s="1" t="s">
        <v>334</v>
      </c>
      <c r="D151" s="1" t="s">
        <v>335</v>
      </c>
    </row>
    <row r="152" spans="1:4" x14ac:dyDescent="0.25">
      <c r="A152" s="1" t="s">
        <v>25</v>
      </c>
      <c r="B152" s="1" t="s">
        <v>16</v>
      </c>
      <c r="C152" s="1" t="s">
        <v>340</v>
      </c>
      <c r="D152" s="1" t="s">
        <v>341</v>
      </c>
    </row>
    <row r="153" spans="1:4" x14ac:dyDescent="0.25">
      <c r="A153" s="1" t="s">
        <v>25</v>
      </c>
      <c r="B153" s="1" t="s">
        <v>16</v>
      </c>
      <c r="C153" s="1" t="s">
        <v>336</v>
      </c>
      <c r="D153" s="1" t="s">
        <v>337</v>
      </c>
    </row>
    <row r="154" spans="1:4" x14ac:dyDescent="0.25">
      <c r="A154" s="1" t="s">
        <v>19</v>
      </c>
      <c r="B154" s="1" t="s">
        <v>16</v>
      </c>
      <c r="C154" s="1" t="s">
        <v>359</v>
      </c>
      <c r="D154" s="1" t="s">
        <v>312</v>
      </c>
    </row>
    <row r="155" spans="1:4" x14ac:dyDescent="0.25">
      <c r="A155" s="1" t="s">
        <v>19</v>
      </c>
      <c r="B155" s="1" t="s">
        <v>16</v>
      </c>
      <c r="C155" s="1" t="s">
        <v>360</v>
      </c>
      <c r="D155" s="1" t="s">
        <v>361</v>
      </c>
    </row>
    <row r="156" spans="1:4" x14ac:dyDescent="0.25">
      <c r="A156" s="1" t="s">
        <v>19</v>
      </c>
      <c r="B156" s="1" t="s">
        <v>16</v>
      </c>
      <c r="C156" s="1" t="s">
        <v>363</v>
      </c>
      <c r="D156" s="1" t="s">
        <v>364</v>
      </c>
    </row>
    <row r="157" spans="1:4" x14ac:dyDescent="0.25">
      <c r="A157" s="1" t="s">
        <v>19</v>
      </c>
      <c r="B157" s="1" t="s">
        <v>16</v>
      </c>
      <c r="C157" s="1" t="s">
        <v>362</v>
      </c>
      <c r="D157" s="1" t="s">
        <v>326</v>
      </c>
    </row>
    <row r="158" spans="1:4" x14ac:dyDescent="0.25">
      <c r="A158" s="1" t="s">
        <v>19</v>
      </c>
      <c r="B158" s="1" t="s">
        <v>16</v>
      </c>
      <c r="C158" s="1" t="s">
        <v>354</v>
      </c>
      <c r="D158" s="1" t="s">
        <v>355</v>
      </c>
    </row>
    <row r="159" spans="1:4" x14ac:dyDescent="0.25">
      <c r="A159" s="1" t="s">
        <v>19</v>
      </c>
      <c r="B159" s="1" t="s">
        <v>16</v>
      </c>
      <c r="C159" s="1" t="s">
        <v>358</v>
      </c>
      <c r="D159" s="1" t="s">
        <v>1199</v>
      </c>
    </row>
    <row r="160" spans="1:4" x14ac:dyDescent="0.25">
      <c r="A160" s="1" t="s">
        <v>19</v>
      </c>
      <c r="B160" s="1" t="s">
        <v>16</v>
      </c>
      <c r="C160" s="1" t="s">
        <v>365</v>
      </c>
      <c r="D160" s="1" t="s">
        <v>366</v>
      </c>
    </row>
    <row r="161" spans="1:4" x14ac:dyDescent="0.25">
      <c r="A161" s="1" t="s">
        <v>19</v>
      </c>
      <c r="B161" s="1" t="s">
        <v>16</v>
      </c>
      <c r="C161" s="1" t="s">
        <v>356</v>
      </c>
      <c r="D161" s="1" t="s">
        <v>357</v>
      </c>
    </row>
    <row r="162" spans="1:4" x14ac:dyDescent="0.25">
      <c r="A162" s="1" t="s">
        <v>21</v>
      </c>
      <c r="B162" s="1" t="s">
        <v>16</v>
      </c>
      <c r="C162" s="1" t="s">
        <v>386</v>
      </c>
      <c r="D162" s="1" t="s">
        <v>387</v>
      </c>
    </row>
    <row r="163" spans="1:4" x14ac:dyDescent="0.25">
      <c r="A163" s="1" t="s">
        <v>21</v>
      </c>
      <c r="B163" s="1" t="s">
        <v>16</v>
      </c>
      <c r="C163" s="1" t="s">
        <v>388</v>
      </c>
      <c r="D163" s="1" t="s">
        <v>389</v>
      </c>
    </row>
    <row r="164" spans="1:4" x14ac:dyDescent="0.25">
      <c r="A164" s="1" t="s">
        <v>21</v>
      </c>
      <c r="B164" s="1" t="s">
        <v>16</v>
      </c>
      <c r="C164" s="1" t="s">
        <v>394</v>
      </c>
      <c r="D164" s="1" t="s">
        <v>395</v>
      </c>
    </row>
    <row r="165" spans="1:4" x14ac:dyDescent="0.25">
      <c r="A165" s="1" t="s">
        <v>21</v>
      </c>
      <c r="B165" s="1" t="s">
        <v>16</v>
      </c>
      <c r="C165" s="1" t="s">
        <v>384</v>
      </c>
      <c r="D165" s="1" t="s">
        <v>385</v>
      </c>
    </row>
    <row r="166" spans="1:4" x14ac:dyDescent="0.25">
      <c r="A166" s="1" t="s">
        <v>21</v>
      </c>
      <c r="B166" s="1" t="s">
        <v>16</v>
      </c>
      <c r="C166" s="1" t="s">
        <v>392</v>
      </c>
      <c r="D166" s="1" t="s">
        <v>393</v>
      </c>
    </row>
    <row r="167" spans="1:4" x14ac:dyDescent="0.25">
      <c r="A167" s="1" t="s">
        <v>21</v>
      </c>
      <c r="B167" s="1" t="s">
        <v>16</v>
      </c>
      <c r="C167" s="1" t="s">
        <v>390</v>
      </c>
      <c r="D167" s="1" t="s">
        <v>391</v>
      </c>
    </row>
    <row r="168" spans="1:4" x14ac:dyDescent="0.25">
      <c r="A168" s="1" t="s">
        <v>24</v>
      </c>
      <c r="B168" s="1" t="s">
        <v>16</v>
      </c>
      <c r="C168" s="1" t="s">
        <v>382</v>
      </c>
      <c r="D168" s="1" t="s">
        <v>383</v>
      </c>
    </row>
    <row r="169" spans="1:4" x14ac:dyDescent="0.25">
      <c r="A169" s="1" t="s">
        <v>24</v>
      </c>
      <c r="B169" s="1" t="s">
        <v>16</v>
      </c>
      <c r="C169" s="1" t="s">
        <v>380</v>
      </c>
      <c r="D169" s="1" t="s">
        <v>381</v>
      </c>
    </row>
    <row r="170" spans="1:4" x14ac:dyDescent="0.25">
      <c r="A170" s="1" t="s">
        <v>24</v>
      </c>
      <c r="B170" s="1" t="s">
        <v>16</v>
      </c>
      <c r="C170" s="1" t="s">
        <v>378</v>
      </c>
      <c r="D170" s="1" t="s">
        <v>379</v>
      </c>
    </row>
    <row r="171" spans="1:4" x14ac:dyDescent="0.25">
      <c r="A171" s="48" t="s">
        <v>1200</v>
      </c>
      <c r="B171" s="48" t="s">
        <v>27</v>
      </c>
      <c r="C171" s="48" t="s">
        <v>480</v>
      </c>
      <c r="D171" s="48" t="s">
        <v>481</v>
      </c>
    </row>
    <row r="172" spans="1:4" x14ac:dyDescent="0.25">
      <c r="A172" s="48" t="s">
        <v>1200</v>
      </c>
      <c r="B172" s="48" t="s">
        <v>27</v>
      </c>
      <c r="C172" s="48" t="s">
        <v>479</v>
      </c>
      <c r="D172" s="48" t="s">
        <v>1003</v>
      </c>
    </row>
    <row r="173" spans="1:4" x14ac:dyDescent="0.25">
      <c r="A173" s="48" t="s">
        <v>1200</v>
      </c>
      <c r="B173" s="48" t="s">
        <v>27</v>
      </c>
      <c r="C173" s="48" t="s">
        <v>476</v>
      </c>
      <c r="D173" s="48" t="s">
        <v>322</v>
      </c>
    </row>
    <row r="174" spans="1:4" x14ac:dyDescent="0.25">
      <c r="A174" s="48" t="s">
        <v>1200</v>
      </c>
      <c r="B174" s="48" t="s">
        <v>27</v>
      </c>
      <c r="C174" s="48" t="s">
        <v>478</v>
      </c>
      <c r="D174" s="48" t="s">
        <v>312</v>
      </c>
    </row>
    <row r="175" spans="1:4" x14ac:dyDescent="0.25">
      <c r="A175" s="48" t="s">
        <v>1200</v>
      </c>
      <c r="B175" s="48" t="s">
        <v>27</v>
      </c>
      <c r="C175" s="48" t="s">
        <v>482</v>
      </c>
      <c r="D175" s="48" t="s">
        <v>1004</v>
      </c>
    </row>
    <row r="176" spans="1:4" x14ac:dyDescent="0.25">
      <c r="A176" s="48" t="s">
        <v>38</v>
      </c>
      <c r="B176" s="48" t="s">
        <v>27</v>
      </c>
      <c r="C176" s="48" t="s">
        <v>466</v>
      </c>
      <c r="D176" s="48" t="s">
        <v>467</v>
      </c>
    </row>
    <row r="177" spans="1:4" x14ac:dyDescent="0.25">
      <c r="A177" s="48" t="s">
        <v>38</v>
      </c>
      <c r="B177" s="48" t="s">
        <v>27</v>
      </c>
      <c r="C177" s="48" t="s">
        <v>468</v>
      </c>
      <c r="D177" s="48" t="s">
        <v>469</v>
      </c>
    </row>
    <row r="178" spans="1:4" x14ac:dyDescent="0.25">
      <c r="A178" s="48" t="s">
        <v>38</v>
      </c>
      <c r="B178" s="48" t="s">
        <v>27</v>
      </c>
      <c r="C178" s="48" t="s">
        <v>462</v>
      </c>
      <c r="D178" s="48" t="s">
        <v>463</v>
      </c>
    </row>
    <row r="179" spans="1:4" x14ac:dyDescent="0.25">
      <c r="A179" s="48" t="s">
        <v>38</v>
      </c>
      <c r="B179" s="48" t="s">
        <v>27</v>
      </c>
      <c r="C179" s="48" t="s">
        <v>464</v>
      </c>
      <c r="D179" s="48" t="s">
        <v>465</v>
      </c>
    </row>
    <row r="180" spans="1:4" x14ac:dyDescent="0.25">
      <c r="A180" s="48" t="s">
        <v>38</v>
      </c>
      <c r="B180" s="48" t="s">
        <v>27</v>
      </c>
      <c r="C180" s="48" t="s">
        <v>472</v>
      </c>
      <c r="D180" s="48" t="s">
        <v>473</v>
      </c>
    </row>
    <row r="181" spans="1:4" x14ac:dyDescent="0.25">
      <c r="A181" s="48" t="s">
        <v>38</v>
      </c>
      <c r="B181" s="48" t="s">
        <v>27</v>
      </c>
      <c r="C181" s="48" t="s">
        <v>470</v>
      </c>
      <c r="D181" s="48" t="s">
        <v>471</v>
      </c>
    </row>
    <row r="182" spans="1:4" x14ac:dyDescent="0.25">
      <c r="A182" s="48" t="s">
        <v>41</v>
      </c>
      <c r="B182" s="48" t="s">
        <v>27</v>
      </c>
      <c r="C182" s="48" t="s">
        <v>407</v>
      </c>
      <c r="D182" s="48" t="s">
        <v>1105</v>
      </c>
    </row>
    <row r="183" spans="1:4" x14ac:dyDescent="0.25">
      <c r="A183" s="48" t="s">
        <v>41</v>
      </c>
      <c r="B183" s="48" t="s">
        <v>27</v>
      </c>
      <c r="C183" s="48" t="s">
        <v>410</v>
      </c>
      <c r="D183" s="48" t="s">
        <v>1106</v>
      </c>
    </row>
    <row r="184" spans="1:4" x14ac:dyDescent="0.25">
      <c r="A184" s="48" t="s">
        <v>41</v>
      </c>
      <c r="B184" s="48" t="s">
        <v>27</v>
      </c>
      <c r="C184" s="48" t="s">
        <v>409</v>
      </c>
      <c r="D184" s="48" t="s">
        <v>1107</v>
      </c>
    </row>
    <row r="185" spans="1:4" x14ac:dyDescent="0.25">
      <c r="A185" s="48" t="s">
        <v>41</v>
      </c>
      <c r="B185" s="48" t="s">
        <v>27</v>
      </c>
      <c r="C185" s="48" t="s">
        <v>408</v>
      </c>
      <c r="D185" s="48" t="s">
        <v>1108</v>
      </c>
    </row>
    <row r="186" spans="1:4" x14ac:dyDescent="0.25">
      <c r="A186" s="48" t="s">
        <v>26</v>
      </c>
      <c r="B186" s="48" t="s">
        <v>27</v>
      </c>
      <c r="C186" s="48" t="s">
        <v>415</v>
      </c>
      <c r="D186" s="48" t="s">
        <v>1109</v>
      </c>
    </row>
    <row r="187" spans="1:4" x14ac:dyDescent="0.25">
      <c r="A187" s="48" t="s">
        <v>26</v>
      </c>
      <c r="B187" s="48" t="s">
        <v>27</v>
      </c>
      <c r="C187" s="48" t="s">
        <v>419</v>
      </c>
      <c r="D187" s="48" t="s">
        <v>993</v>
      </c>
    </row>
    <row r="188" spans="1:4" x14ac:dyDescent="0.25">
      <c r="A188" s="48" t="s">
        <v>26</v>
      </c>
      <c r="B188" s="48" t="s">
        <v>27</v>
      </c>
      <c r="C188" s="48" t="s">
        <v>416</v>
      </c>
      <c r="D188" s="48" t="s">
        <v>417</v>
      </c>
    </row>
    <row r="189" spans="1:4" x14ac:dyDescent="0.25">
      <c r="A189" s="48" t="s">
        <v>26</v>
      </c>
      <c r="B189" s="48" t="s">
        <v>27</v>
      </c>
      <c r="C189" s="48" t="s">
        <v>418</v>
      </c>
      <c r="D189" s="48" t="s">
        <v>994</v>
      </c>
    </row>
    <row r="190" spans="1:4" x14ac:dyDescent="0.25">
      <c r="A190" s="48" t="s">
        <v>26</v>
      </c>
      <c r="B190" s="48" t="s">
        <v>27</v>
      </c>
      <c r="C190" s="48" t="s">
        <v>413</v>
      </c>
      <c r="D190" s="48" t="s">
        <v>995</v>
      </c>
    </row>
    <row r="191" spans="1:4" x14ac:dyDescent="0.25">
      <c r="A191" s="48" t="s">
        <v>26</v>
      </c>
      <c r="B191" s="48" t="s">
        <v>27</v>
      </c>
      <c r="C191" s="48" t="s">
        <v>414</v>
      </c>
      <c r="D191" s="48" t="s">
        <v>1110</v>
      </c>
    </row>
    <row r="192" spans="1:4" x14ac:dyDescent="0.25">
      <c r="A192" s="48" t="s">
        <v>26</v>
      </c>
      <c r="B192" s="48" t="s">
        <v>27</v>
      </c>
      <c r="C192" s="48" t="s">
        <v>411</v>
      </c>
      <c r="D192" s="48" t="s">
        <v>412</v>
      </c>
    </row>
    <row r="193" spans="1:4" x14ac:dyDescent="0.25">
      <c r="A193" s="48" t="s">
        <v>28</v>
      </c>
      <c r="B193" s="48" t="s">
        <v>27</v>
      </c>
      <c r="C193" s="48" t="s">
        <v>424</v>
      </c>
      <c r="D193" s="48" t="s">
        <v>1069</v>
      </c>
    </row>
    <row r="194" spans="1:4" x14ac:dyDescent="0.25">
      <c r="A194" s="48" t="s">
        <v>28</v>
      </c>
      <c r="B194" s="48" t="s">
        <v>27</v>
      </c>
      <c r="C194" s="48" t="s">
        <v>420</v>
      </c>
      <c r="D194" s="48" t="s">
        <v>421</v>
      </c>
    </row>
    <row r="195" spans="1:4" x14ac:dyDescent="0.25">
      <c r="A195" s="48" t="s">
        <v>28</v>
      </c>
      <c r="B195" s="48" t="s">
        <v>27</v>
      </c>
      <c r="C195" s="48" t="s">
        <v>422</v>
      </c>
      <c r="D195" s="48" t="s">
        <v>423</v>
      </c>
    </row>
    <row r="196" spans="1:4" x14ac:dyDescent="0.25">
      <c r="A196" s="48" t="s">
        <v>39</v>
      </c>
      <c r="B196" s="48" t="s">
        <v>27</v>
      </c>
      <c r="C196" s="48" t="s">
        <v>475</v>
      </c>
      <c r="D196" s="48" t="s">
        <v>1249</v>
      </c>
    </row>
    <row r="197" spans="1:4" x14ac:dyDescent="0.25">
      <c r="A197" s="48" t="s">
        <v>39</v>
      </c>
      <c r="B197" s="48" t="s">
        <v>27</v>
      </c>
      <c r="C197" s="48" t="s">
        <v>474</v>
      </c>
      <c r="D197" s="48" t="s">
        <v>1005</v>
      </c>
    </row>
    <row r="198" spans="1:4" x14ac:dyDescent="0.25">
      <c r="A198" s="48" t="s">
        <v>36</v>
      </c>
      <c r="B198" s="48" t="s">
        <v>27</v>
      </c>
      <c r="C198" s="48" t="s">
        <v>456</v>
      </c>
      <c r="D198" s="48" t="s">
        <v>457</v>
      </c>
    </row>
    <row r="199" spans="1:4" x14ac:dyDescent="0.25">
      <c r="A199" s="48" t="s">
        <v>36</v>
      </c>
      <c r="B199" s="48" t="s">
        <v>27</v>
      </c>
      <c r="C199" s="48" t="s">
        <v>455</v>
      </c>
      <c r="D199" s="48" t="s">
        <v>998</v>
      </c>
    </row>
    <row r="200" spans="1:4" x14ac:dyDescent="0.25">
      <c r="A200" s="48" t="s">
        <v>36</v>
      </c>
      <c r="B200" s="48" t="s">
        <v>27</v>
      </c>
      <c r="C200" s="48" t="s">
        <v>453</v>
      </c>
      <c r="D200" s="48" t="s">
        <v>999</v>
      </c>
    </row>
    <row r="201" spans="1:4" x14ac:dyDescent="0.25">
      <c r="A201" s="48" t="s">
        <v>36</v>
      </c>
      <c r="B201" s="48" t="s">
        <v>27</v>
      </c>
      <c r="C201" s="48" t="s">
        <v>454</v>
      </c>
      <c r="D201" s="48" t="s">
        <v>1000</v>
      </c>
    </row>
    <row r="202" spans="1:4" x14ac:dyDescent="0.25">
      <c r="A202" s="48" t="s">
        <v>143</v>
      </c>
      <c r="B202" s="48" t="s">
        <v>27</v>
      </c>
      <c r="C202" s="48" t="s">
        <v>459</v>
      </c>
      <c r="D202" s="48" t="s">
        <v>1001</v>
      </c>
    </row>
    <row r="203" spans="1:4" x14ac:dyDescent="0.25">
      <c r="A203" s="48" t="s">
        <v>143</v>
      </c>
      <c r="B203" s="48" t="s">
        <v>27</v>
      </c>
      <c r="C203" s="48" t="s">
        <v>458</v>
      </c>
      <c r="D203" s="48" t="s">
        <v>1203</v>
      </c>
    </row>
    <row r="204" spans="1:4" x14ac:dyDescent="0.25">
      <c r="A204" s="48" t="s">
        <v>143</v>
      </c>
      <c r="B204" s="48" t="s">
        <v>27</v>
      </c>
      <c r="C204" s="48" t="s">
        <v>460</v>
      </c>
      <c r="D204" s="48" t="s">
        <v>1002</v>
      </c>
    </row>
    <row r="205" spans="1:4" x14ac:dyDescent="0.25">
      <c r="A205" s="48" t="s">
        <v>143</v>
      </c>
      <c r="B205" s="48" t="s">
        <v>27</v>
      </c>
      <c r="C205" s="48" t="s">
        <v>461</v>
      </c>
      <c r="D205" s="48" t="s">
        <v>1055</v>
      </c>
    </row>
    <row r="206" spans="1:4" x14ac:dyDescent="0.25">
      <c r="A206" s="48" t="s">
        <v>34</v>
      </c>
      <c r="B206" s="48" t="s">
        <v>27</v>
      </c>
      <c r="C206" s="48" t="s">
        <v>439</v>
      </c>
      <c r="D206" s="48" t="s">
        <v>1134</v>
      </c>
    </row>
    <row r="207" spans="1:4" x14ac:dyDescent="0.25">
      <c r="A207" s="48" t="s">
        <v>34</v>
      </c>
      <c r="B207" s="48" t="s">
        <v>27</v>
      </c>
      <c r="C207" s="48" t="s">
        <v>441</v>
      </c>
      <c r="D207" s="48" t="s">
        <v>1133</v>
      </c>
    </row>
    <row r="208" spans="1:4" x14ac:dyDescent="0.25">
      <c r="A208" s="48" t="s">
        <v>34</v>
      </c>
      <c r="B208" s="48" t="s">
        <v>27</v>
      </c>
      <c r="C208" s="48" t="s">
        <v>438</v>
      </c>
      <c r="D208" s="48" t="s">
        <v>442</v>
      </c>
    </row>
    <row r="209" spans="1:4" x14ac:dyDescent="0.25">
      <c r="A209" s="48" t="s">
        <v>34</v>
      </c>
      <c r="B209" s="48" t="s">
        <v>27</v>
      </c>
      <c r="C209" s="48" t="s">
        <v>1165</v>
      </c>
      <c r="D209" s="48" t="s">
        <v>440</v>
      </c>
    </row>
    <row r="210" spans="1:4" x14ac:dyDescent="0.25">
      <c r="A210" s="48" t="s">
        <v>34</v>
      </c>
      <c r="B210" s="48" t="s">
        <v>27</v>
      </c>
      <c r="C210" s="48" t="s">
        <v>1166</v>
      </c>
      <c r="D210" s="48" t="s">
        <v>1250</v>
      </c>
    </row>
    <row r="211" spans="1:4" x14ac:dyDescent="0.25">
      <c r="A211" s="48" t="s">
        <v>30</v>
      </c>
      <c r="B211" s="48" t="s">
        <v>27</v>
      </c>
      <c r="C211" s="48" t="s">
        <v>428</v>
      </c>
      <c r="D211" s="48" t="s">
        <v>429</v>
      </c>
    </row>
    <row r="212" spans="1:4" x14ac:dyDescent="0.25">
      <c r="A212" s="48" t="s">
        <v>30</v>
      </c>
      <c r="B212" s="48" t="s">
        <v>27</v>
      </c>
      <c r="C212" s="48" t="s">
        <v>427</v>
      </c>
      <c r="D212" s="48" t="s">
        <v>1201</v>
      </c>
    </row>
    <row r="213" spans="1:4" x14ac:dyDescent="0.25">
      <c r="A213" s="48" t="s">
        <v>30</v>
      </c>
      <c r="B213" s="48" t="s">
        <v>27</v>
      </c>
      <c r="C213" s="48" t="s">
        <v>425</v>
      </c>
      <c r="D213" s="48" t="s">
        <v>426</v>
      </c>
    </row>
    <row r="214" spans="1:4" x14ac:dyDescent="0.25">
      <c r="A214" s="48" t="s">
        <v>1202</v>
      </c>
      <c r="B214" s="48" t="s">
        <v>27</v>
      </c>
      <c r="C214" s="48" t="s">
        <v>434</v>
      </c>
      <c r="D214" s="48" t="s">
        <v>435</v>
      </c>
    </row>
    <row r="215" spans="1:4" x14ac:dyDescent="0.25">
      <c r="A215" s="48" t="s">
        <v>1202</v>
      </c>
      <c r="B215" s="48" t="s">
        <v>27</v>
      </c>
      <c r="C215" s="48" t="s">
        <v>430</v>
      </c>
      <c r="D215" s="48" t="s">
        <v>996</v>
      </c>
    </row>
    <row r="216" spans="1:4" x14ac:dyDescent="0.25">
      <c r="A216" s="48" t="s">
        <v>1202</v>
      </c>
      <c r="B216" s="48" t="s">
        <v>27</v>
      </c>
      <c r="C216" s="48" t="s">
        <v>433</v>
      </c>
      <c r="D216" s="48" t="s">
        <v>997</v>
      </c>
    </row>
    <row r="217" spans="1:4" x14ac:dyDescent="0.25">
      <c r="A217" s="48" t="s">
        <v>1202</v>
      </c>
      <c r="B217" s="48" t="s">
        <v>27</v>
      </c>
      <c r="C217" s="48" t="s">
        <v>431</v>
      </c>
      <c r="D217" s="48" t="s">
        <v>432</v>
      </c>
    </row>
    <row r="218" spans="1:4" x14ac:dyDescent="0.25">
      <c r="A218" s="48" t="s">
        <v>1202</v>
      </c>
      <c r="B218" s="48" t="s">
        <v>27</v>
      </c>
      <c r="C218" s="48" t="s">
        <v>436</v>
      </c>
      <c r="D218" s="48" t="s">
        <v>437</v>
      </c>
    </row>
    <row r="219" spans="1:4" x14ac:dyDescent="0.25">
      <c r="A219" s="48" t="s">
        <v>33</v>
      </c>
      <c r="B219" s="48" t="s">
        <v>27</v>
      </c>
      <c r="C219" s="48" t="s">
        <v>443</v>
      </c>
      <c r="D219" s="48" t="s">
        <v>444</v>
      </c>
    </row>
    <row r="220" spans="1:4" x14ac:dyDescent="0.25">
      <c r="A220" s="48" t="s">
        <v>33</v>
      </c>
      <c r="B220" s="48" t="s">
        <v>27</v>
      </c>
      <c r="C220" s="48" t="s">
        <v>445</v>
      </c>
      <c r="D220" s="48" t="s">
        <v>760</v>
      </c>
    </row>
    <row r="221" spans="1:4" x14ac:dyDescent="0.25">
      <c r="A221" s="48" t="s">
        <v>35</v>
      </c>
      <c r="B221" s="48" t="s">
        <v>27</v>
      </c>
      <c r="C221" s="48" t="s">
        <v>449</v>
      </c>
      <c r="D221" s="48" t="s">
        <v>322</v>
      </c>
    </row>
    <row r="222" spans="1:4" x14ac:dyDescent="0.25">
      <c r="A222" s="48" t="s">
        <v>35</v>
      </c>
      <c r="B222" s="48" t="s">
        <v>27</v>
      </c>
      <c r="C222" s="48" t="s">
        <v>447</v>
      </c>
      <c r="D222" s="48" t="s">
        <v>448</v>
      </c>
    </row>
    <row r="223" spans="1:4" x14ac:dyDescent="0.25">
      <c r="A223" s="48" t="s">
        <v>35</v>
      </c>
      <c r="B223" s="48" t="s">
        <v>27</v>
      </c>
      <c r="C223" s="48" t="s">
        <v>450</v>
      </c>
      <c r="D223" s="48" t="s">
        <v>1006</v>
      </c>
    </row>
    <row r="224" spans="1:4" x14ac:dyDescent="0.25">
      <c r="A224" s="48" t="s">
        <v>35</v>
      </c>
      <c r="B224" s="48" t="s">
        <v>27</v>
      </c>
      <c r="C224" s="48" t="s">
        <v>451</v>
      </c>
      <c r="D224" s="48" t="s">
        <v>452</v>
      </c>
    </row>
    <row r="225" spans="1:4" x14ac:dyDescent="0.25">
      <c r="A225" s="48" t="s">
        <v>35</v>
      </c>
      <c r="B225" s="48" t="s">
        <v>27</v>
      </c>
      <c r="C225" s="48" t="s">
        <v>446</v>
      </c>
      <c r="D225" s="48" t="s">
        <v>1007</v>
      </c>
    </row>
    <row r="226" spans="1:4" x14ac:dyDescent="0.25">
      <c r="A226" s="6" t="s">
        <v>1008</v>
      </c>
      <c r="B226" s="6" t="s">
        <v>137</v>
      </c>
      <c r="C226" s="6" t="s">
        <v>536</v>
      </c>
      <c r="D226" s="49" t="s">
        <v>1205</v>
      </c>
    </row>
    <row r="227" spans="1:4" x14ac:dyDescent="0.25">
      <c r="A227" s="6" t="s">
        <v>1008</v>
      </c>
      <c r="B227" s="6" t="s">
        <v>137</v>
      </c>
      <c r="C227" s="6" t="s">
        <v>535</v>
      </c>
      <c r="D227" s="50" t="s">
        <v>1009</v>
      </c>
    </row>
    <row r="228" spans="1:4" x14ac:dyDescent="0.25">
      <c r="A228" s="6" t="s">
        <v>1008</v>
      </c>
      <c r="B228" s="6" t="s">
        <v>137</v>
      </c>
      <c r="C228" s="6" t="s">
        <v>543</v>
      </c>
      <c r="D228" s="50" t="s">
        <v>1055</v>
      </c>
    </row>
    <row r="229" spans="1:4" x14ac:dyDescent="0.25">
      <c r="A229" s="6" t="s">
        <v>1008</v>
      </c>
      <c r="B229" s="6" t="s">
        <v>137</v>
      </c>
      <c r="C229" s="6" t="s">
        <v>544</v>
      </c>
      <c r="D229" s="50" t="s">
        <v>1114</v>
      </c>
    </row>
    <row r="230" spans="1:4" x14ac:dyDescent="0.25">
      <c r="A230" s="6" t="s">
        <v>1008</v>
      </c>
      <c r="B230" s="6" t="s">
        <v>137</v>
      </c>
      <c r="C230" s="6" t="s">
        <v>539</v>
      </c>
      <c r="D230" s="50" t="s">
        <v>540</v>
      </c>
    </row>
    <row r="231" spans="1:4" x14ac:dyDescent="0.25">
      <c r="A231" s="6" t="s">
        <v>1008</v>
      </c>
      <c r="B231" s="6" t="s">
        <v>137</v>
      </c>
      <c r="C231" s="6" t="s">
        <v>545</v>
      </c>
      <c r="D231" s="50" t="s">
        <v>1115</v>
      </c>
    </row>
    <row r="232" spans="1:4" x14ac:dyDescent="0.25">
      <c r="A232" s="6" t="s">
        <v>1008</v>
      </c>
      <c r="B232" s="6" t="s">
        <v>137</v>
      </c>
      <c r="C232" s="6" t="s">
        <v>541</v>
      </c>
      <c r="D232" s="50" t="s">
        <v>542</v>
      </c>
    </row>
    <row r="233" spans="1:4" x14ac:dyDescent="0.25">
      <c r="A233" s="6" t="s">
        <v>1008</v>
      </c>
      <c r="B233" s="6" t="s">
        <v>137</v>
      </c>
      <c r="C233" s="6" t="s">
        <v>537</v>
      </c>
      <c r="D233" s="50" t="s">
        <v>538</v>
      </c>
    </row>
    <row r="234" spans="1:4" x14ac:dyDescent="0.25">
      <c r="A234" s="6" t="s">
        <v>134</v>
      </c>
      <c r="B234" s="6" t="s">
        <v>137</v>
      </c>
      <c r="C234" s="6" t="s">
        <v>557</v>
      </c>
      <c r="D234" s="50" t="s">
        <v>558</v>
      </c>
    </row>
    <row r="235" spans="1:4" x14ac:dyDescent="0.25">
      <c r="A235" s="6" t="s">
        <v>134</v>
      </c>
      <c r="B235" s="6" t="s">
        <v>137</v>
      </c>
      <c r="C235" s="6" t="s">
        <v>561</v>
      </c>
      <c r="D235" s="50" t="s">
        <v>1168</v>
      </c>
    </row>
    <row r="236" spans="1:4" x14ac:dyDescent="0.25">
      <c r="A236" s="6" t="s">
        <v>134</v>
      </c>
      <c r="B236" s="6" t="s">
        <v>137</v>
      </c>
      <c r="C236" s="6" t="s">
        <v>555</v>
      </c>
      <c r="D236" s="50" t="s">
        <v>556</v>
      </c>
    </row>
    <row r="237" spans="1:4" x14ac:dyDescent="0.25">
      <c r="A237" s="6" t="s">
        <v>134</v>
      </c>
      <c r="B237" s="6" t="s">
        <v>137</v>
      </c>
      <c r="C237" s="6" t="s">
        <v>559</v>
      </c>
      <c r="D237" s="50" t="s">
        <v>560</v>
      </c>
    </row>
    <row r="238" spans="1:4" x14ac:dyDescent="0.25">
      <c r="A238" s="6" t="s">
        <v>134</v>
      </c>
      <c r="B238" s="6" t="s">
        <v>137</v>
      </c>
      <c r="C238" s="6" t="s">
        <v>554</v>
      </c>
      <c r="D238" s="50" t="s">
        <v>337</v>
      </c>
    </row>
    <row r="239" spans="1:4" x14ac:dyDescent="0.25">
      <c r="A239" s="6" t="s">
        <v>135</v>
      </c>
      <c r="B239" s="6" t="s">
        <v>137</v>
      </c>
      <c r="C239" s="6" t="s">
        <v>568</v>
      </c>
      <c r="D239" s="50" t="s">
        <v>569</v>
      </c>
    </row>
    <row r="240" spans="1:4" x14ac:dyDescent="0.25">
      <c r="A240" s="6" t="s">
        <v>135</v>
      </c>
      <c r="B240" s="6" t="s">
        <v>137</v>
      </c>
      <c r="C240" s="6" t="s">
        <v>566</v>
      </c>
      <c r="D240" s="50" t="s">
        <v>567</v>
      </c>
    </row>
    <row r="241" spans="1:4" x14ac:dyDescent="0.25">
      <c r="A241" s="6" t="s">
        <v>135</v>
      </c>
      <c r="B241" s="6" t="s">
        <v>137</v>
      </c>
      <c r="C241" s="6" t="s">
        <v>564</v>
      </c>
      <c r="D241" s="50" t="s">
        <v>565</v>
      </c>
    </row>
    <row r="242" spans="1:4" x14ac:dyDescent="0.25">
      <c r="A242" s="6" t="s">
        <v>135</v>
      </c>
      <c r="B242" s="6" t="s">
        <v>137</v>
      </c>
      <c r="C242" s="6" t="s">
        <v>570</v>
      </c>
      <c r="D242" s="50" t="s">
        <v>571</v>
      </c>
    </row>
    <row r="243" spans="1:4" x14ac:dyDescent="0.25">
      <c r="A243" s="6" t="s">
        <v>135</v>
      </c>
      <c r="B243" s="6" t="s">
        <v>137</v>
      </c>
      <c r="C243" s="6" t="s">
        <v>572</v>
      </c>
      <c r="D243" s="50" t="s">
        <v>1169</v>
      </c>
    </row>
    <row r="244" spans="1:4" x14ac:dyDescent="0.25">
      <c r="A244" s="6" t="s">
        <v>135</v>
      </c>
      <c r="B244" s="6" t="s">
        <v>137</v>
      </c>
      <c r="C244" s="6" t="s">
        <v>562</v>
      </c>
      <c r="D244" s="50" t="s">
        <v>563</v>
      </c>
    </row>
    <row r="245" spans="1:4" x14ac:dyDescent="0.25">
      <c r="A245" s="52" t="s">
        <v>131</v>
      </c>
      <c r="B245" s="52" t="s">
        <v>137</v>
      </c>
      <c r="C245" s="52" t="s">
        <v>483</v>
      </c>
      <c r="D245" s="53" t="s">
        <v>484</v>
      </c>
    </row>
    <row r="246" spans="1:4" x14ac:dyDescent="0.25">
      <c r="A246" s="52" t="s">
        <v>131</v>
      </c>
      <c r="B246" s="52" t="s">
        <v>137</v>
      </c>
      <c r="C246" s="52" t="s">
        <v>486</v>
      </c>
      <c r="D246" s="53" t="s">
        <v>487</v>
      </c>
    </row>
    <row r="247" spans="1:4" x14ac:dyDescent="0.25">
      <c r="A247" s="52" t="s">
        <v>131</v>
      </c>
      <c r="B247" s="52" t="s">
        <v>137</v>
      </c>
      <c r="C247" s="52" t="s">
        <v>485</v>
      </c>
      <c r="D247" s="53" t="s">
        <v>1206</v>
      </c>
    </row>
    <row r="248" spans="1:4" x14ac:dyDescent="0.25">
      <c r="A248" s="52" t="s">
        <v>133</v>
      </c>
      <c r="B248" s="52" t="s">
        <v>137</v>
      </c>
      <c r="C248" s="52" t="s">
        <v>489</v>
      </c>
      <c r="D248" s="53" t="s">
        <v>490</v>
      </c>
    </row>
    <row r="249" spans="1:4" x14ac:dyDescent="0.25">
      <c r="A249" s="51" t="s">
        <v>133</v>
      </c>
      <c r="B249" s="52" t="s">
        <v>137</v>
      </c>
      <c r="C249" s="52" t="s">
        <v>492</v>
      </c>
      <c r="D249" s="53" t="s">
        <v>493</v>
      </c>
    </row>
    <row r="250" spans="1:4" x14ac:dyDescent="0.25">
      <c r="A250" s="51" t="s">
        <v>133</v>
      </c>
      <c r="B250" s="52" t="s">
        <v>137</v>
      </c>
      <c r="C250" s="52" t="s">
        <v>494</v>
      </c>
      <c r="D250" s="53" t="s">
        <v>432</v>
      </c>
    </row>
    <row r="251" spans="1:4" x14ac:dyDescent="0.25">
      <c r="A251" s="51" t="s">
        <v>133</v>
      </c>
      <c r="B251" s="52" t="s">
        <v>137</v>
      </c>
      <c r="C251" s="52" t="s">
        <v>491</v>
      </c>
      <c r="D251" s="53" t="s">
        <v>1112</v>
      </c>
    </row>
    <row r="252" spans="1:4" x14ac:dyDescent="0.25">
      <c r="A252" s="51" t="s">
        <v>133</v>
      </c>
      <c r="B252" s="52" t="s">
        <v>137</v>
      </c>
      <c r="C252" s="52" t="s">
        <v>488</v>
      </c>
      <c r="D252" s="53" t="s">
        <v>1113</v>
      </c>
    </row>
    <row r="253" spans="1:4" x14ac:dyDescent="0.25">
      <c r="A253" s="74" t="s">
        <v>132</v>
      </c>
      <c r="B253" s="6" t="s">
        <v>137</v>
      </c>
      <c r="C253" s="3" t="s">
        <v>550</v>
      </c>
      <c r="D253" s="5" t="s">
        <v>551</v>
      </c>
    </row>
    <row r="254" spans="1:4" x14ac:dyDescent="0.25">
      <c r="A254" s="74" t="s">
        <v>132</v>
      </c>
      <c r="B254" s="6" t="s">
        <v>137</v>
      </c>
      <c r="C254" s="3" t="s">
        <v>552</v>
      </c>
      <c r="D254" s="5" t="s">
        <v>553</v>
      </c>
    </row>
    <row r="255" spans="1:4" x14ac:dyDescent="0.25">
      <c r="A255" s="74" t="s">
        <v>132</v>
      </c>
      <c r="B255" s="6" t="s">
        <v>137</v>
      </c>
      <c r="C255" s="3" t="s">
        <v>547</v>
      </c>
      <c r="D255" s="5" t="s">
        <v>548</v>
      </c>
    </row>
    <row r="256" spans="1:4" x14ac:dyDescent="0.25">
      <c r="A256" s="74" t="s">
        <v>132</v>
      </c>
      <c r="B256" s="3" t="s">
        <v>137</v>
      </c>
      <c r="C256" s="3" t="s">
        <v>546</v>
      </c>
      <c r="D256" s="5" t="s">
        <v>1136</v>
      </c>
    </row>
    <row r="257" spans="1:4" x14ac:dyDescent="0.25">
      <c r="A257" s="3" t="s">
        <v>132</v>
      </c>
      <c r="B257" s="3" t="s">
        <v>137</v>
      </c>
      <c r="C257" s="3" t="s">
        <v>549</v>
      </c>
      <c r="D257" s="5" t="s">
        <v>1137</v>
      </c>
    </row>
    <row r="258" spans="1:4" x14ac:dyDescent="0.25">
      <c r="A258" s="52" t="s">
        <v>130</v>
      </c>
      <c r="B258" s="52" t="s">
        <v>137</v>
      </c>
      <c r="C258" s="52" t="s">
        <v>577</v>
      </c>
      <c r="D258" s="53" t="s">
        <v>578</v>
      </c>
    </row>
    <row r="259" spans="1:4" x14ac:dyDescent="0.25">
      <c r="A259" s="52" t="s">
        <v>130</v>
      </c>
      <c r="B259" s="52" t="s">
        <v>137</v>
      </c>
      <c r="C259" s="52" t="s">
        <v>581</v>
      </c>
      <c r="D259" s="53" t="s">
        <v>582</v>
      </c>
    </row>
    <row r="260" spans="1:4" x14ac:dyDescent="0.25">
      <c r="A260" s="52" t="s">
        <v>130</v>
      </c>
      <c r="B260" s="52" t="s">
        <v>137</v>
      </c>
      <c r="C260" s="52" t="s">
        <v>579</v>
      </c>
      <c r="D260" s="53" t="s">
        <v>580</v>
      </c>
    </row>
    <row r="261" spans="1:4" x14ac:dyDescent="0.25">
      <c r="A261" s="52" t="s">
        <v>130</v>
      </c>
      <c r="B261" s="52" t="s">
        <v>137</v>
      </c>
      <c r="C261" s="52" t="s">
        <v>575</v>
      </c>
      <c r="D261" s="53" t="s">
        <v>576</v>
      </c>
    </row>
    <row r="262" spans="1:4" x14ac:dyDescent="0.25">
      <c r="A262" s="52" t="s">
        <v>130</v>
      </c>
      <c r="B262" s="52" t="s">
        <v>137</v>
      </c>
      <c r="C262" s="52" t="s">
        <v>573</v>
      </c>
      <c r="D262" s="53" t="s">
        <v>1010</v>
      </c>
    </row>
    <row r="263" spans="1:4" x14ac:dyDescent="0.25">
      <c r="A263" s="52" t="s">
        <v>130</v>
      </c>
      <c r="B263" s="52" t="s">
        <v>137</v>
      </c>
      <c r="C263" s="52" t="s">
        <v>1011</v>
      </c>
      <c r="D263" s="53" t="s">
        <v>1116</v>
      </c>
    </row>
    <row r="264" spans="1:4" x14ac:dyDescent="0.25">
      <c r="A264" s="52" t="s">
        <v>130</v>
      </c>
      <c r="B264" s="52" t="s">
        <v>137</v>
      </c>
      <c r="C264" s="52" t="s">
        <v>574</v>
      </c>
      <c r="D264" s="53" t="s">
        <v>1207</v>
      </c>
    </row>
    <row r="265" spans="1:4" x14ac:dyDescent="0.25">
      <c r="A265" s="52" t="s">
        <v>130</v>
      </c>
      <c r="B265" s="52" t="s">
        <v>137</v>
      </c>
      <c r="C265" s="52" t="s">
        <v>583</v>
      </c>
      <c r="D265" s="53" t="s">
        <v>1070</v>
      </c>
    </row>
    <row r="266" spans="1:4" x14ac:dyDescent="0.25">
      <c r="A266" s="6" t="s">
        <v>1204</v>
      </c>
      <c r="B266" s="6" t="s">
        <v>137</v>
      </c>
      <c r="C266" s="6" t="s">
        <v>529</v>
      </c>
      <c r="D266" s="50" t="s">
        <v>530</v>
      </c>
    </row>
    <row r="267" spans="1:4" x14ac:dyDescent="0.25">
      <c r="A267" s="6" t="s">
        <v>1204</v>
      </c>
      <c r="B267" s="6" t="s">
        <v>137</v>
      </c>
      <c r="C267" s="6" t="s">
        <v>533</v>
      </c>
      <c r="D267" s="50" t="s">
        <v>534</v>
      </c>
    </row>
    <row r="268" spans="1:4" x14ac:dyDescent="0.25">
      <c r="A268" s="6" t="s">
        <v>1204</v>
      </c>
      <c r="B268" s="6" t="s">
        <v>137</v>
      </c>
      <c r="C268" s="6" t="s">
        <v>531</v>
      </c>
      <c r="D268" s="50" t="s">
        <v>532</v>
      </c>
    </row>
    <row r="269" spans="1:4" x14ac:dyDescent="0.25">
      <c r="A269" s="6" t="s">
        <v>1204</v>
      </c>
      <c r="B269" s="6" t="s">
        <v>137</v>
      </c>
      <c r="C269" s="6" t="s">
        <v>527</v>
      </c>
      <c r="D269" s="50" t="s">
        <v>528</v>
      </c>
    </row>
    <row r="270" spans="1:4" x14ac:dyDescent="0.25">
      <c r="A270" s="6" t="s">
        <v>127</v>
      </c>
      <c r="B270" s="6" t="s">
        <v>137</v>
      </c>
      <c r="C270" s="6" t="s">
        <v>519</v>
      </c>
      <c r="D270" s="50" t="s">
        <v>520</v>
      </c>
    </row>
    <row r="271" spans="1:4" x14ac:dyDescent="0.25">
      <c r="A271" s="6" t="s">
        <v>127</v>
      </c>
      <c r="B271" s="6" t="s">
        <v>137</v>
      </c>
      <c r="C271" s="6" t="s">
        <v>517</v>
      </c>
      <c r="D271" s="50" t="s">
        <v>518</v>
      </c>
    </row>
    <row r="272" spans="1:4" x14ac:dyDescent="0.25">
      <c r="A272" s="6" t="s">
        <v>127</v>
      </c>
      <c r="B272" s="6" t="s">
        <v>137</v>
      </c>
      <c r="C272" s="6" t="s">
        <v>515</v>
      </c>
      <c r="D272" s="50" t="s">
        <v>516</v>
      </c>
    </row>
    <row r="273" spans="1:4" x14ac:dyDescent="0.25">
      <c r="A273" s="6" t="s">
        <v>127</v>
      </c>
      <c r="B273" s="6" t="s">
        <v>137</v>
      </c>
      <c r="C273" s="6" t="s">
        <v>525</v>
      </c>
      <c r="D273" s="50" t="s">
        <v>526</v>
      </c>
    </row>
    <row r="274" spans="1:4" x14ac:dyDescent="0.25">
      <c r="A274" s="6" t="s">
        <v>127</v>
      </c>
      <c r="B274" s="6" t="s">
        <v>137</v>
      </c>
      <c r="C274" s="6" t="s">
        <v>521</v>
      </c>
      <c r="D274" s="50" t="s">
        <v>522</v>
      </c>
    </row>
    <row r="275" spans="1:4" x14ac:dyDescent="0.25">
      <c r="A275" s="6" t="s">
        <v>127</v>
      </c>
      <c r="B275" s="6" t="s">
        <v>137</v>
      </c>
      <c r="C275" s="6" t="s">
        <v>523</v>
      </c>
      <c r="D275" s="50" t="s">
        <v>524</v>
      </c>
    </row>
    <row r="276" spans="1:4" x14ac:dyDescent="0.25">
      <c r="A276" s="6" t="s">
        <v>125</v>
      </c>
      <c r="B276" s="6" t="s">
        <v>137</v>
      </c>
      <c r="C276" s="6" t="s">
        <v>496</v>
      </c>
      <c r="D276" s="50" t="s">
        <v>497</v>
      </c>
    </row>
    <row r="277" spans="1:4" x14ac:dyDescent="0.25">
      <c r="A277" s="6" t="s">
        <v>125</v>
      </c>
      <c r="B277" s="6" t="s">
        <v>137</v>
      </c>
      <c r="C277" s="6" t="s">
        <v>495</v>
      </c>
      <c r="D277" s="50" t="s">
        <v>1001</v>
      </c>
    </row>
    <row r="278" spans="1:4" x14ac:dyDescent="0.25">
      <c r="A278" s="6" t="s">
        <v>126</v>
      </c>
      <c r="B278" s="6" t="s">
        <v>137</v>
      </c>
      <c r="C278" s="6" t="s">
        <v>506</v>
      </c>
      <c r="D278" s="50" t="s">
        <v>507</v>
      </c>
    </row>
    <row r="279" spans="1:4" x14ac:dyDescent="0.25">
      <c r="A279" s="6" t="s">
        <v>126</v>
      </c>
      <c r="B279" s="6" t="s">
        <v>137</v>
      </c>
      <c r="C279" s="6" t="s">
        <v>512</v>
      </c>
      <c r="D279" s="50" t="s">
        <v>1111</v>
      </c>
    </row>
    <row r="280" spans="1:4" x14ac:dyDescent="0.25">
      <c r="A280" s="6" t="s">
        <v>126</v>
      </c>
      <c r="B280" s="6" t="s">
        <v>137</v>
      </c>
      <c r="C280" s="6" t="s">
        <v>513</v>
      </c>
      <c r="D280" s="50" t="s">
        <v>514</v>
      </c>
    </row>
    <row r="281" spans="1:4" x14ac:dyDescent="0.25">
      <c r="A281" s="6" t="s">
        <v>126</v>
      </c>
      <c r="B281" s="6" t="s">
        <v>137</v>
      </c>
      <c r="C281" s="6" t="s">
        <v>504</v>
      </c>
      <c r="D281" s="50" t="s">
        <v>505</v>
      </c>
    </row>
    <row r="282" spans="1:4" x14ac:dyDescent="0.25">
      <c r="A282" s="6" t="s">
        <v>126</v>
      </c>
      <c r="B282" s="6" t="s">
        <v>137</v>
      </c>
      <c r="C282" s="6" t="s">
        <v>500</v>
      </c>
      <c r="D282" s="50" t="s">
        <v>501</v>
      </c>
    </row>
    <row r="283" spans="1:4" x14ac:dyDescent="0.25">
      <c r="A283" s="6" t="s">
        <v>126</v>
      </c>
      <c r="B283" s="6" t="s">
        <v>137</v>
      </c>
      <c r="C283" s="6" t="s">
        <v>510</v>
      </c>
      <c r="D283" s="50" t="s">
        <v>511</v>
      </c>
    </row>
    <row r="284" spans="1:4" x14ac:dyDescent="0.25">
      <c r="A284" s="6" t="s">
        <v>126</v>
      </c>
      <c r="B284" s="6" t="s">
        <v>137</v>
      </c>
      <c r="C284" s="6" t="s">
        <v>498</v>
      </c>
      <c r="D284" s="50" t="s">
        <v>499</v>
      </c>
    </row>
    <row r="285" spans="1:4" x14ac:dyDescent="0.25">
      <c r="A285" s="6" t="s">
        <v>126</v>
      </c>
      <c r="B285" s="6" t="s">
        <v>137</v>
      </c>
      <c r="C285" s="6" t="s">
        <v>508</v>
      </c>
      <c r="D285" s="50" t="s">
        <v>1251</v>
      </c>
    </row>
    <row r="286" spans="1:4" x14ac:dyDescent="0.25">
      <c r="A286" s="6" t="s">
        <v>126</v>
      </c>
      <c r="B286" s="6" t="s">
        <v>137</v>
      </c>
      <c r="C286" s="6" t="s">
        <v>509</v>
      </c>
      <c r="D286" s="50" t="s">
        <v>1135</v>
      </c>
    </row>
    <row r="287" spans="1:4" x14ac:dyDescent="0.25">
      <c r="A287" s="3" t="s">
        <v>126</v>
      </c>
      <c r="B287" s="3" t="s">
        <v>137</v>
      </c>
      <c r="C287" s="3" t="s">
        <v>502</v>
      </c>
      <c r="D287" s="54" t="s">
        <v>503</v>
      </c>
    </row>
    <row r="288" spans="1:4" x14ac:dyDescent="0.25">
      <c r="A288" s="12" t="s">
        <v>597</v>
      </c>
      <c r="B288" s="12" t="s">
        <v>43</v>
      </c>
      <c r="C288" s="11" t="s">
        <v>599</v>
      </c>
      <c r="D288" s="11" t="s">
        <v>600</v>
      </c>
    </row>
    <row r="289" spans="1:4" x14ac:dyDescent="0.25">
      <c r="A289" s="12" t="s">
        <v>597</v>
      </c>
      <c r="B289" s="12" t="s">
        <v>43</v>
      </c>
      <c r="C289" s="11" t="s">
        <v>598</v>
      </c>
      <c r="D289" s="11" t="s">
        <v>1252</v>
      </c>
    </row>
    <row r="290" spans="1:4" x14ac:dyDescent="0.25">
      <c r="A290" s="11" t="s">
        <v>48</v>
      </c>
      <c r="B290" s="13" t="s">
        <v>43</v>
      </c>
      <c r="C290" s="13" t="s">
        <v>618</v>
      </c>
      <c r="D290" s="13" t="s">
        <v>1253</v>
      </c>
    </row>
    <row r="291" spans="1:4" ht="15.75" x14ac:dyDescent="0.25">
      <c r="A291" s="11" t="s">
        <v>48</v>
      </c>
      <c r="B291" s="13" t="s">
        <v>43</v>
      </c>
      <c r="C291" s="14" t="s">
        <v>615</v>
      </c>
      <c r="D291" s="15" t="s">
        <v>616</v>
      </c>
    </row>
    <row r="292" spans="1:4" x14ac:dyDescent="0.25">
      <c r="A292" s="11" t="s">
        <v>48</v>
      </c>
      <c r="B292" s="13" t="s">
        <v>43</v>
      </c>
      <c r="C292" s="13" t="s">
        <v>605</v>
      </c>
      <c r="D292" s="9" t="s">
        <v>1138</v>
      </c>
    </row>
    <row r="293" spans="1:4" x14ac:dyDescent="0.25">
      <c r="A293" s="11" t="s">
        <v>48</v>
      </c>
      <c r="B293" s="13" t="s">
        <v>43</v>
      </c>
      <c r="C293" s="13" t="s">
        <v>622</v>
      </c>
      <c r="D293" s="13" t="s">
        <v>623</v>
      </c>
    </row>
    <row r="294" spans="1:4" x14ac:dyDescent="0.25">
      <c r="A294" s="11" t="s">
        <v>48</v>
      </c>
      <c r="B294" s="13" t="s">
        <v>43</v>
      </c>
      <c r="C294" s="13" t="s">
        <v>612</v>
      </c>
      <c r="D294" s="13" t="s">
        <v>613</v>
      </c>
    </row>
    <row r="295" spans="1:4" x14ac:dyDescent="0.25">
      <c r="A295" s="11" t="s">
        <v>48</v>
      </c>
      <c r="B295" s="13" t="s">
        <v>43</v>
      </c>
      <c r="C295" s="13" t="s">
        <v>620</v>
      </c>
      <c r="D295" s="13" t="s">
        <v>621</v>
      </c>
    </row>
    <row r="296" spans="1:4" x14ac:dyDescent="0.25">
      <c r="A296" s="11" t="s">
        <v>48</v>
      </c>
      <c r="B296" s="13" t="s">
        <v>43</v>
      </c>
      <c r="C296" s="13" t="s">
        <v>603</v>
      </c>
      <c r="D296" s="13" t="s">
        <v>604</v>
      </c>
    </row>
    <row r="297" spans="1:4" x14ac:dyDescent="0.25">
      <c r="A297" s="11" t="s">
        <v>48</v>
      </c>
      <c r="B297" s="13" t="s">
        <v>43</v>
      </c>
      <c r="C297" s="13" t="s">
        <v>619</v>
      </c>
      <c r="D297" s="13" t="s">
        <v>1254</v>
      </c>
    </row>
    <row r="298" spans="1:4" x14ac:dyDescent="0.25">
      <c r="A298" s="11" t="s">
        <v>48</v>
      </c>
      <c r="B298" s="13" t="s">
        <v>43</v>
      </c>
      <c r="C298" s="13" t="s">
        <v>617</v>
      </c>
      <c r="D298" s="13" t="s">
        <v>1255</v>
      </c>
    </row>
    <row r="299" spans="1:4" x14ac:dyDescent="0.25">
      <c r="A299" s="11" t="s">
        <v>48</v>
      </c>
      <c r="B299" s="13" t="s">
        <v>43</v>
      </c>
      <c r="C299" s="13" t="s">
        <v>606</v>
      </c>
      <c r="D299" s="13" t="s">
        <v>607</v>
      </c>
    </row>
    <row r="300" spans="1:4" x14ac:dyDescent="0.25">
      <c r="A300" s="11" t="s">
        <v>48</v>
      </c>
      <c r="B300" s="13" t="s">
        <v>43</v>
      </c>
      <c r="C300" s="13" t="s">
        <v>614</v>
      </c>
      <c r="D300" s="13" t="s">
        <v>1256</v>
      </c>
    </row>
    <row r="301" spans="1:4" x14ac:dyDescent="0.25">
      <c r="A301" s="11" t="s">
        <v>48</v>
      </c>
      <c r="B301" s="13" t="s">
        <v>43</v>
      </c>
      <c r="C301" s="13" t="s">
        <v>610</v>
      </c>
      <c r="D301" s="13" t="s">
        <v>611</v>
      </c>
    </row>
    <row r="302" spans="1:4" x14ac:dyDescent="0.25">
      <c r="A302" s="11" t="s">
        <v>48</v>
      </c>
      <c r="B302" s="13" t="s">
        <v>43</v>
      </c>
      <c r="C302" s="11" t="s">
        <v>601</v>
      </c>
      <c r="D302" s="11" t="s">
        <v>602</v>
      </c>
    </row>
    <row r="303" spans="1:4" x14ac:dyDescent="0.25">
      <c r="A303" s="11" t="s">
        <v>48</v>
      </c>
      <c r="B303" s="11" t="s">
        <v>43</v>
      </c>
      <c r="C303" s="11" t="s">
        <v>608</v>
      </c>
      <c r="D303" s="11" t="s">
        <v>609</v>
      </c>
    </row>
    <row r="304" spans="1:4" x14ac:dyDescent="0.25">
      <c r="A304" s="31" t="s">
        <v>45</v>
      </c>
      <c r="B304" s="29" t="s">
        <v>43</v>
      </c>
      <c r="C304" s="6" t="s">
        <v>596</v>
      </c>
      <c r="D304" s="6" t="s">
        <v>1117</v>
      </c>
    </row>
    <row r="305" spans="1:4" x14ac:dyDescent="0.25">
      <c r="A305" s="31" t="s">
        <v>45</v>
      </c>
      <c r="B305" s="29" t="s">
        <v>43</v>
      </c>
      <c r="C305" s="6" t="s">
        <v>594</v>
      </c>
      <c r="D305" s="6" t="s">
        <v>595</v>
      </c>
    </row>
    <row r="306" spans="1:4" x14ac:dyDescent="0.25">
      <c r="A306" s="53" t="s">
        <v>42</v>
      </c>
      <c r="B306" s="29" t="s">
        <v>43</v>
      </c>
      <c r="C306" s="6" t="s">
        <v>584</v>
      </c>
      <c r="D306" s="6" t="s">
        <v>1012</v>
      </c>
    </row>
    <row r="307" spans="1:4" x14ac:dyDescent="0.25">
      <c r="A307" s="53" t="s">
        <v>42</v>
      </c>
      <c r="B307" s="29" t="s">
        <v>43</v>
      </c>
      <c r="C307" s="6" t="s">
        <v>586</v>
      </c>
      <c r="D307" s="6" t="s">
        <v>1013</v>
      </c>
    </row>
    <row r="308" spans="1:4" x14ac:dyDescent="0.25">
      <c r="A308" s="53" t="s">
        <v>42</v>
      </c>
      <c r="B308" s="29" t="s">
        <v>43</v>
      </c>
      <c r="C308" s="6" t="s">
        <v>587</v>
      </c>
      <c r="D308" s="6" t="s">
        <v>1014</v>
      </c>
    </row>
    <row r="309" spans="1:4" x14ac:dyDescent="0.25">
      <c r="A309" s="31" t="s">
        <v>49</v>
      </c>
      <c r="B309" s="29" t="s">
        <v>43</v>
      </c>
      <c r="C309" s="6" t="s">
        <v>591</v>
      </c>
      <c r="D309" s="6" t="s">
        <v>1118</v>
      </c>
    </row>
    <row r="310" spans="1:4" x14ac:dyDescent="0.25">
      <c r="A310" s="31" t="s">
        <v>49</v>
      </c>
      <c r="B310" s="29" t="s">
        <v>43</v>
      </c>
      <c r="C310" s="6" t="s">
        <v>592</v>
      </c>
      <c r="D310" s="6" t="s">
        <v>593</v>
      </c>
    </row>
    <row r="311" spans="1:4" x14ac:dyDescent="0.25">
      <c r="A311" s="31" t="s">
        <v>49</v>
      </c>
      <c r="B311" s="29" t="s">
        <v>43</v>
      </c>
      <c r="C311" s="6" t="s">
        <v>588</v>
      </c>
      <c r="D311" s="6" t="s">
        <v>589</v>
      </c>
    </row>
    <row r="312" spans="1:4" x14ac:dyDescent="0.25">
      <c r="A312" s="31" t="s">
        <v>49</v>
      </c>
      <c r="B312" s="29" t="s">
        <v>43</v>
      </c>
      <c r="C312" s="6" t="s">
        <v>590</v>
      </c>
      <c r="D312" s="6" t="s">
        <v>1015</v>
      </c>
    </row>
    <row r="313" spans="1:4" x14ac:dyDescent="0.25">
      <c r="A313" s="2" t="s">
        <v>50</v>
      </c>
      <c r="B313" s="2" t="s">
        <v>43</v>
      </c>
      <c r="C313" s="2" t="s">
        <v>643</v>
      </c>
      <c r="D313" s="2" t="s">
        <v>644</v>
      </c>
    </row>
    <row r="314" spans="1:4" x14ac:dyDescent="0.25">
      <c r="A314" s="2" t="s">
        <v>50</v>
      </c>
      <c r="B314" s="2" t="s">
        <v>43</v>
      </c>
      <c r="C314" s="2" t="s">
        <v>632</v>
      </c>
      <c r="D314" s="2" t="s">
        <v>633</v>
      </c>
    </row>
    <row r="315" spans="1:4" x14ac:dyDescent="0.25">
      <c r="A315" s="2" t="s">
        <v>50</v>
      </c>
      <c r="B315" s="2" t="s">
        <v>43</v>
      </c>
      <c r="C315" s="2" t="s">
        <v>636</v>
      </c>
      <c r="D315" s="2" t="s">
        <v>637</v>
      </c>
    </row>
    <row r="316" spans="1:4" x14ac:dyDescent="0.25">
      <c r="A316" s="2" t="s">
        <v>50</v>
      </c>
      <c r="B316" s="2" t="s">
        <v>43</v>
      </c>
      <c r="C316" s="2" t="s">
        <v>641</v>
      </c>
      <c r="D316" s="2" t="s">
        <v>341</v>
      </c>
    </row>
    <row r="317" spans="1:4" x14ac:dyDescent="0.25">
      <c r="A317" s="2" t="s">
        <v>50</v>
      </c>
      <c r="B317" s="2" t="s">
        <v>43</v>
      </c>
      <c r="C317" s="2" t="s">
        <v>642</v>
      </c>
      <c r="D317" s="2" t="s">
        <v>1257</v>
      </c>
    </row>
    <row r="318" spans="1:4" x14ac:dyDescent="0.25">
      <c r="A318" s="2" t="s">
        <v>50</v>
      </c>
      <c r="B318" s="2" t="s">
        <v>43</v>
      </c>
      <c r="C318" s="2" t="s">
        <v>634</v>
      </c>
      <c r="D318" s="2" t="s">
        <v>635</v>
      </c>
    </row>
    <row r="319" spans="1:4" x14ac:dyDescent="0.25">
      <c r="A319" s="2" t="s">
        <v>50</v>
      </c>
      <c r="B319" s="2" t="s">
        <v>43</v>
      </c>
      <c r="C319" s="2" t="s">
        <v>639</v>
      </c>
      <c r="D319" s="2" t="s">
        <v>640</v>
      </c>
    </row>
    <row r="320" spans="1:4" x14ac:dyDescent="0.25">
      <c r="A320" s="2" t="s">
        <v>50</v>
      </c>
      <c r="B320" s="2" t="s">
        <v>43</v>
      </c>
      <c r="C320" s="2" t="s">
        <v>638</v>
      </c>
      <c r="D320" s="2" t="s">
        <v>1052</v>
      </c>
    </row>
    <row r="321" spans="1:4" x14ac:dyDescent="0.25">
      <c r="A321" s="2" t="s">
        <v>52</v>
      </c>
      <c r="B321" s="2" t="s">
        <v>43</v>
      </c>
      <c r="C321" s="2" t="s">
        <v>647</v>
      </c>
      <c r="D321" s="2" t="s">
        <v>1258</v>
      </c>
    </row>
    <row r="322" spans="1:4" x14ac:dyDescent="0.25">
      <c r="A322" s="2" t="s">
        <v>52</v>
      </c>
      <c r="B322" s="2" t="s">
        <v>43</v>
      </c>
      <c r="C322" s="2" t="s">
        <v>645</v>
      </c>
      <c r="D322" s="2" t="s">
        <v>646</v>
      </c>
    </row>
    <row r="323" spans="1:4" x14ac:dyDescent="0.25">
      <c r="A323" s="2" t="s">
        <v>52</v>
      </c>
      <c r="B323" s="2" t="s">
        <v>43</v>
      </c>
      <c r="C323" s="2" t="s">
        <v>1071</v>
      </c>
      <c r="D323" s="2" t="s">
        <v>1072</v>
      </c>
    </row>
    <row r="324" spans="1:4" x14ac:dyDescent="0.25">
      <c r="A324" s="2" t="s">
        <v>55</v>
      </c>
      <c r="B324" s="2" t="s">
        <v>43</v>
      </c>
      <c r="C324" s="2" t="s">
        <v>628</v>
      </c>
      <c r="D324" s="2" t="s">
        <v>629</v>
      </c>
    </row>
    <row r="325" spans="1:4" x14ac:dyDescent="0.25">
      <c r="A325" s="2" t="s">
        <v>55</v>
      </c>
      <c r="B325" s="2" t="s">
        <v>43</v>
      </c>
      <c r="C325" s="2" t="s">
        <v>627</v>
      </c>
      <c r="D325" s="2" t="s">
        <v>631</v>
      </c>
    </row>
    <row r="326" spans="1:4" x14ac:dyDescent="0.25">
      <c r="A326" s="2" t="s">
        <v>55</v>
      </c>
      <c r="B326" s="2" t="s">
        <v>43</v>
      </c>
      <c r="C326" s="2" t="s">
        <v>624</v>
      </c>
      <c r="D326" s="2" t="s">
        <v>1016</v>
      </c>
    </row>
    <row r="327" spans="1:4" x14ac:dyDescent="0.25">
      <c r="A327" s="2" t="s">
        <v>55</v>
      </c>
      <c r="B327" s="2" t="s">
        <v>43</v>
      </c>
      <c r="C327" s="2" t="s">
        <v>625</v>
      </c>
      <c r="D327" s="2" t="s">
        <v>626</v>
      </c>
    </row>
    <row r="328" spans="1:4" x14ac:dyDescent="0.25">
      <c r="A328" s="2" t="s">
        <v>55</v>
      </c>
      <c r="B328" s="2" t="s">
        <v>43</v>
      </c>
      <c r="C328" s="2" t="s">
        <v>630</v>
      </c>
      <c r="D328" s="2" t="s">
        <v>631</v>
      </c>
    </row>
    <row r="329" spans="1:4" x14ac:dyDescent="0.25">
      <c r="A329" s="57" t="s">
        <v>61</v>
      </c>
      <c r="B329" s="58" t="s">
        <v>43</v>
      </c>
      <c r="C329" s="57" t="s">
        <v>675</v>
      </c>
      <c r="D329" s="57" t="s">
        <v>676</v>
      </c>
    </row>
    <row r="330" spans="1:4" x14ac:dyDescent="0.25">
      <c r="A330" s="57" t="s">
        <v>61</v>
      </c>
      <c r="B330" s="58" t="s">
        <v>43</v>
      </c>
      <c r="C330" s="57" t="s">
        <v>679</v>
      </c>
      <c r="D330" s="57" t="s">
        <v>1073</v>
      </c>
    </row>
    <row r="331" spans="1:4" x14ac:dyDescent="0.25">
      <c r="A331" s="57" t="s">
        <v>61</v>
      </c>
      <c r="B331" s="58" t="s">
        <v>43</v>
      </c>
      <c r="C331" s="57" t="s">
        <v>678</v>
      </c>
      <c r="D331" s="57" t="s">
        <v>1055</v>
      </c>
    </row>
    <row r="332" spans="1:4" x14ac:dyDescent="0.25">
      <c r="A332" s="57" t="s">
        <v>61</v>
      </c>
      <c r="B332" s="58" t="s">
        <v>43</v>
      </c>
      <c r="C332" s="57" t="s">
        <v>677</v>
      </c>
      <c r="D332" s="57" t="s">
        <v>1054</v>
      </c>
    </row>
    <row r="333" spans="1:4" x14ac:dyDescent="0.25">
      <c r="A333" s="55" t="s">
        <v>61</v>
      </c>
      <c r="B333" s="56" t="s">
        <v>43</v>
      </c>
      <c r="C333" s="55" t="s">
        <v>680</v>
      </c>
      <c r="D333" s="55" t="s">
        <v>1056</v>
      </c>
    </row>
    <row r="334" spans="1:4" x14ac:dyDescent="0.25">
      <c r="A334" s="57" t="s">
        <v>56</v>
      </c>
      <c r="B334" s="58" t="s">
        <v>43</v>
      </c>
      <c r="C334" s="57" t="s">
        <v>681</v>
      </c>
      <c r="D334" s="57" t="s">
        <v>1053</v>
      </c>
    </row>
    <row r="335" spans="1:4" x14ac:dyDescent="0.25">
      <c r="A335" s="57" t="s">
        <v>56</v>
      </c>
      <c r="B335" s="58" t="s">
        <v>43</v>
      </c>
      <c r="C335" s="57" t="s">
        <v>682</v>
      </c>
      <c r="D335" s="57" t="s">
        <v>683</v>
      </c>
    </row>
    <row r="336" spans="1:4" x14ac:dyDescent="0.25">
      <c r="A336" s="57" t="s">
        <v>56</v>
      </c>
      <c r="B336" s="58" t="s">
        <v>43</v>
      </c>
      <c r="C336" s="57" t="s">
        <v>684</v>
      </c>
      <c r="D336" s="57" t="s">
        <v>685</v>
      </c>
    </row>
    <row r="337" spans="1:4" x14ac:dyDescent="0.25">
      <c r="A337" s="57" t="s">
        <v>56</v>
      </c>
      <c r="B337" s="58" t="s">
        <v>43</v>
      </c>
      <c r="C337" s="57" t="s">
        <v>686</v>
      </c>
      <c r="D337" s="57" t="s">
        <v>687</v>
      </c>
    </row>
    <row r="338" spans="1:4" x14ac:dyDescent="0.25">
      <c r="A338" s="57" t="s">
        <v>60</v>
      </c>
      <c r="B338" s="58" t="s">
        <v>43</v>
      </c>
      <c r="C338" s="57" t="s">
        <v>667</v>
      </c>
      <c r="D338" s="57" t="s">
        <v>668</v>
      </c>
    </row>
    <row r="339" spans="1:4" x14ac:dyDescent="0.25">
      <c r="A339" s="57" t="s">
        <v>60</v>
      </c>
      <c r="B339" s="58" t="s">
        <v>43</v>
      </c>
      <c r="C339" s="57" t="s">
        <v>669</v>
      </c>
      <c r="D339" s="57" t="s">
        <v>670</v>
      </c>
    </row>
    <row r="340" spans="1:4" x14ac:dyDescent="0.25">
      <c r="A340" s="57" t="s">
        <v>60</v>
      </c>
      <c r="B340" s="58" t="s">
        <v>43</v>
      </c>
      <c r="C340" s="57" t="s">
        <v>671</v>
      </c>
      <c r="D340" s="57" t="s">
        <v>1139</v>
      </c>
    </row>
    <row r="341" spans="1:4" x14ac:dyDescent="0.25">
      <c r="A341" s="59" t="s">
        <v>60</v>
      </c>
      <c r="B341" s="60" t="s">
        <v>43</v>
      </c>
      <c r="C341" s="59" t="s">
        <v>665</v>
      </c>
      <c r="D341" s="59" t="s">
        <v>1018</v>
      </c>
    </row>
    <row r="342" spans="1:4" x14ac:dyDescent="0.25">
      <c r="A342" s="55" t="s">
        <v>60</v>
      </c>
      <c r="B342" s="56" t="s">
        <v>43</v>
      </c>
      <c r="C342" s="55" t="s">
        <v>666</v>
      </c>
      <c r="D342" s="55" t="s">
        <v>1019</v>
      </c>
    </row>
    <row r="343" spans="1:4" x14ac:dyDescent="0.25">
      <c r="A343" s="57" t="s">
        <v>60</v>
      </c>
      <c r="B343" s="58" t="s">
        <v>43</v>
      </c>
      <c r="C343" s="57" t="s">
        <v>672</v>
      </c>
      <c r="D343" s="57" t="s">
        <v>1020</v>
      </c>
    </row>
    <row r="344" spans="1:4" x14ac:dyDescent="0.25">
      <c r="A344" s="57" t="s">
        <v>44</v>
      </c>
      <c r="B344" s="58" t="s">
        <v>43</v>
      </c>
      <c r="C344" s="57" t="s">
        <v>674</v>
      </c>
      <c r="D344" s="57" t="s">
        <v>1140</v>
      </c>
    </row>
    <row r="345" spans="1:4" x14ac:dyDescent="0.25">
      <c r="A345" s="57" t="s">
        <v>44</v>
      </c>
      <c r="B345" s="58" t="s">
        <v>43</v>
      </c>
      <c r="C345" s="57" t="s">
        <v>673</v>
      </c>
      <c r="D345" s="57" t="s">
        <v>1017</v>
      </c>
    </row>
    <row r="346" spans="1:4" x14ac:dyDescent="0.25">
      <c r="A346" s="64" t="s">
        <v>59</v>
      </c>
      <c r="B346" s="64" t="s">
        <v>43</v>
      </c>
      <c r="C346" s="64" t="s">
        <v>694</v>
      </c>
      <c r="D346" s="64" t="s">
        <v>440</v>
      </c>
    </row>
    <row r="347" spans="1:4" x14ac:dyDescent="0.25">
      <c r="A347" s="64" t="s">
        <v>59</v>
      </c>
      <c r="B347" s="64" t="s">
        <v>43</v>
      </c>
      <c r="C347" s="64" t="s">
        <v>691</v>
      </c>
      <c r="D347" s="64" t="s">
        <v>1021</v>
      </c>
    </row>
    <row r="348" spans="1:4" x14ac:dyDescent="0.25">
      <c r="A348" s="64" t="s">
        <v>59</v>
      </c>
      <c r="B348" s="64" t="s">
        <v>43</v>
      </c>
      <c r="C348" s="64" t="s">
        <v>692</v>
      </c>
      <c r="D348" s="64" t="s">
        <v>693</v>
      </c>
    </row>
    <row r="349" spans="1:4" x14ac:dyDescent="0.25">
      <c r="A349" s="64" t="s">
        <v>59</v>
      </c>
      <c r="B349" s="64" t="s">
        <v>43</v>
      </c>
      <c r="C349" s="64" t="s">
        <v>690</v>
      </c>
      <c r="D349" s="64" t="s">
        <v>1170</v>
      </c>
    </row>
    <row r="350" spans="1:4" x14ac:dyDescent="0.25">
      <c r="A350" s="61" t="s">
        <v>1208</v>
      </c>
      <c r="B350" s="62" t="s">
        <v>43</v>
      </c>
      <c r="C350" s="62" t="s">
        <v>689</v>
      </c>
      <c r="D350" s="62" t="s">
        <v>1171</v>
      </c>
    </row>
    <row r="351" spans="1:4" x14ac:dyDescent="0.25">
      <c r="A351" s="63" t="s">
        <v>1208</v>
      </c>
      <c r="B351" s="64" t="s">
        <v>43</v>
      </c>
      <c r="C351" s="64" t="s">
        <v>688</v>
      </c>
      <c r="D351" s="64" t="s">
        <v>912</v>
      </c>
    </row>
    <row r="352" spans="1:4" x14ac:dyDescent="0.25">
      <c r="A352" s="76" t="s">
        <v>63</v>
      </c>
      <c r="B352" s="7" t="s">
        <v>43</v>
      </c>
      <c r="C352" s="16" t="s">
        <v>711</v>
      </c>
      <c r="D352" s="84" t="s">
        <v>1141</v>
      </c>
    </row>
    <row r="353" spans="1:4" x14ac:dyDescent="0.25">
      <c r="A353" s="77" t="s">
        <v>63</v>
      </c>
      <c r="B353" s="7" t="s">
        <v>43</v>
      </c>
      <c r="C353" s="16" t="s">
        <v>1142</v>
      </c>
      <c r="D353" s="16" t="s">
        <v>1143</v>
      </c>
    </row>
    <row r="354" spans="1:4" x14ac:dyDescent="0.25">
      <c r="A354" s="76" t="s">
        <v>63</v>
      </c>
      <c r="B354" s="7" t="s">
        <v>43</v>
      </c>
      <c r="C354" s="16" t="s">
        <v>698</v>
      </c>
      <c r="D354" s="16" t="s">
        <v>1144</v>
      </c>
    </row>
    <row r="355" spans="1:4" x14ac:dyDescent="0.25">
      <c r="A355" s="75" t="s">
        <v>63</v>
      </c>
      <c r="B355" s="80" t="s">
        <v>43</v>
      </c>
      <c r="C355" s="79" t="s">
        <v>712</v>
      </c>
      <c r="D355" s="79" t="s">
        <v>1145</v>
      </c>
    </row>
    <row r="356" spans="1:4" x14ac:dyDescent="0.25">
      <c r="A356" s="8" t="s">
        <v>63</v>
      </c>
      <c r="B356" s="7" t="s">
        <v>43</v>
      </c>
      <c r="C356" s="16" t="s">
        <v>707</v>
      </c>
      <c r="D356" s="16" t="s">
        <v>708</v>
      </c>
    </row>
    <row r="357" spans="1:4" x14ac:dyDescent="0.25">
      <c r="A357" s="8" t="s">
        <v>63</v>
      </c>
      <c r="B357" s="7" t="s">
        <v>43</v>
      </c>
      <c r="C357" s="16" t="s">
        <v>699</v>
      </c>
      <c r="D357" s="16" t="s">
        <v>700</v>
      </c>
    </row>
    <row r="358" spans="1:4" x14ac:dyDescent="0.25">
      <c r="A358" s="8" t="s">
        <v>63</v>
      </c>
      <c r="B358" s="7" t="s">
        <v>43</v>
      </c>
      <c r="C358" s="16" t="s">
        <v>710</v>
      </c>
      <c r="D358" s="16" t="s">
        <v>1146</v>
      </c>
    </row>
    <row r="359" spans="1:4" x14ac:dyDescent="0.25">
      <c r="A359" s="8" t="s">
        <v>63</v>
      </c>
      <c r="B359" s="7" t="s">
        <v>43</v>
      </c>
      <c r="C359" s="16" t="s">
        <v>701</v>
      </c>
      <c r="D359" s="16" t="s">
        <v>702</v>
      </c>
    </row>
    <row r="360" spans="1:4" x14ac:dyDescent="0.25">
      <c r="A360" s="8" t="s">
        <v>63</v>
      </c>
      <c r="B360" s="7" t="s">
        <v>43</v>
      </c>
      <c r="C360" s="16" t="s">
        <v>709</v>
      </c>
      <c r="D360" s="16" t="s">
        <v>1147</v>
      </c>
    </row>
    <row r="361" spans="1:4" x14ac:dyDescent="0.25">
      <c r="A361" s="7" t="s">
        <v>63</v>
      </c>
      <c r="B361" s="7" t="s">
        <v>43</v>
      </c>
      <c r="C361" s="10" t="s">
        <v>704</v>
      </c>
      <c r="D361" s="10" t="s">
        <v>1148</v>
      </c>
    </row>
    <row r="362" spans="1:4" x14ac:dyDescent="0.25">
      <c r="A362" s="8" t="s">
        <v>63</v>
      </c>
      <c r="B362" s="7" t="s">
        <v>43</v>
      </c>
      <c r="C362" s="16" t="s">
        <v>706</v>
      </c>
      <c r="D362" s="16" t="s">
        <v>1149</v>
      </c>
    </row>
    <row r="363" spans="1:4" x14ac:dyDescent="0.25">
      <c r="A363" s="8" t="s">
        <v>63</v>
      </c>
      <c r="B363" s="7" t="s">
        <v>43</v>
      </c>
      <c r="C363" s="16" t="s">
        <v>1150</v>
      </c>
      <c r="D363" s="16" t="s">
        <v>1151</v>
      </c>
    </row>
    <row r="364" spans="1:4" x14ac:dyDescent="0.25">
      <c r="A364" s="8" t="s">
        <v>63</v>
      </c>
      <c r="B364" s="7" t="s">
        <v>43</v>
      </c>
      <c r="C364" s="16" t="s">
        <v>703</v>
      </c>
      <c r="D364" s="16" t="s">
        <v>1209</v>
      </c>
    </row>
    <row r="365" spans="1:4" x14ac:dyDescent="0.25">
      <c r="A365" s="8" t="s">
        <v>63</v>
      </c>
      <c r="B365" s="7" t="s">
        <v>43</v>
      </c>
      <c r="C365" s="16" t="s">
        <v>705</v>
      </c>
      <c r="D365" s="16" t="s">
        <v>1152</v>
      </c>
    </row>
    <row r="366" spans="1:4" x14ac:dyDescent="0.25">
      <c r="A366" s="8" t="s">
        <v>62</v>
      </c>
      <c r="B366" s="7" t="s">
        <v>43</v>
      </c>
      <c r="C366" s="16" t="s">
        <v>697</v>
      </c>
      <c r="D366" s="16" t="s">
        <v>1153</v>
      </c>
    </row>
    <row r="367" spans="1:4" x14ac:dyDescent="0.25">
      <c r="A367" s="8" t="s">
        <v>62</v>
      </c>
      <c r="B367" s="7" t="s">
        <v>43</v>
      </c>
      <c r="C367" s="16" t="s">
        <v>695</v>
      </c>
      <c r="D367" s="16" t="s">
        <v>696</v>
      </c>
    </row>
    <row r="368" spans="1:4" x14ac:dyDescent="0.25">
      <c r="A368" s="16" t="s">
        <v>54</v>
      </c>
      <c r="B368" s="16" t="s">
        <v>43</v>
      </c>
      <c r="C368" s="16" t="s">
        <v>660</v>
      </c>
      <c r="D368" s="16" t="s">
        <v>661</v>
      </c>
    </row>
    <row r="369" spans="1:4" x14ac:dyDescent="0.25">
      <c r="A369" s="16" t="s">
        <v>54</v>
      </c>
      <c r="B369" s="16" t="s">
        <v>43</v>
      </c>
      <c r="C369" s="16" t="s">
        <v>658</v>
      </c>
      <c r="D369" s="16" t="s">
        <v>659</v>
      </c>
    </row>
    <row r="370" spans="1:4" x14ac:dyDescent="0.25">
      <c r="A370" s="16" t="s">
        <v>54</v>
      </c>
      <c r="B370" s="16" t="s">
        <v>43</v>
      </c>
      <c r="C370" s="16" t="s">
        <v>654</v>
      </c>
      <c r="D370" s="16" t="s">
        <v>655</v>
      </c>
    </row>
    <row r="371" spans="1:4" x14ac:dyDescent="0.25">
      <c r="A371" s="16" t="s">
        <v>54</v>
      </c>
      <c r="B371" s="16" t="s">
        <v>43</v>
      </c>
      <c r="C371" s="16" t="s">
        <v>652</v>
      </c>
      <c r="D371" s="16" t="s">
        <v>653</v>
      </c>
    </row>
    <row r="372" spans="1:4" x14ac:dyDescent="0.25">
      <c r="A372" s="16" t="s">
        <v>54</v>
      </c>
      <c r="B372" s="16" t="s">
        <v>43</v>
      </c>
      <c r="C372" s="16" t="s">
        <v>656</v>
      </c>
      <c r="D372" s="16" t="s">
        <v>657</v>
      </c>
    </row>
    <row r="373" spans="1:4" x14ac:dyDescent="0.25">
      <c r="A373" s="16" t="s">
        <v>54</v>
      </c>
      <c r="B373" s="16" t="s">
        <v>43</v>
      </c>
      <c r="C373" s="16" t="s">
        <v>662</v>
      </c>
      <c r="D373" s="16" t="s">
        <v>663</v>
      </c>
    </row>
    <row r="374" spans="1:4" x14ac:dyDescent="0.25">
      <c r="A374" s="16" t="s">
        <v>54</v>
      </c>
      <c r="B374" s="16" t="s">
        <v>43</v>
      </c>
      <c r="C374" s="16" t="s">
        <v>664</v>
      </c>
      <c r="D374" s="16" t="s">
        <v>217</v>
      </c>
    </row>
    <row r="375" spans="1:4" x14ac:dyDescent="0.25">
      <c r="A375" s="65" t="s">
        <v>64</v>
      </c>
      <c r="B375" s="65" t="s">
        <v>65</v>
      </c>
      <c r="C375" s="66" t="s">
        <v>740</v>
      </c>
      <c r="D375" s="66" t="s">
        <v>1259</v>
      </c>
    </row>
    <row r="376" spans="1:4" x14ac:dyDescent="0.25">
      <c r="A376" s="65" t="s">
        <v>64</v>
      </c>
      <c r="B376" s="65" t="s">
        <v>65</v>
      </c>
      <c r="C376" s="66" t="s">
        <v>734</v>
      </c>
      <c r="D376" s="66" t="s">
        <v>1022</v>
      </c>
    </row>
    <row r="377" spans="1:4" x14ac:dyDescent="0.25">
      <c r="A377" s="65" t="s">
        <v>64</v>
      </c>
      <c r="B377" s="65" t="s">
        <v>65</v>
      </c>
      <c r="C377" s="66" t="s">
        <v>742</v>
      </c>
      <c r="D377" s="66" t="s">
        <v>743</v>
      </c>
    </row>
    <row r="378" spans="1:4" x14ac:dyDescent="0.25">
      <c r="A378" s="65" t="s">
        <v>64</v>
      </c>
      <c r="B378" s="65" t="s">
        <v>65</v>
      </c>
      <c r="C378" s="66" t="s">
        <v>738</v>
      </c>
      <c r="D378" s="66" t="s">
        <v>739</v>
      </c>
    </row>
    <row r="379" spans="1:4" x14ac:dyDescent="0.25">
      <c r="A379" s="65" t="s">
        <v>64</v>
      </c>
      <c r="B379" s="65" t="s">
        <v>65</v>
      </c>
      <c r="C379" s="66" t="s">
        <v>735</v>
      </c>
      <c r="D379" s="66" t="s">
        <v>736</v>
      </c>
    </row>
    <row r="380" spans="1:4" x14ac:dyDescent="0.25">
      <c r="A380" s="65" t="s">
        <v>64</v>
      </c>
      <c r="B380" s="65" t="s">
        <v>65</v>
      </c>
      <c r="C380" s="66" t="s">
        <v>744</v>
      </c>
      <c r="D380" s="66" t="s">
        <v>1172</v>
      </c>
    </row>
    <row r="381" spans="1:4" x14ac:dyDescent="0.25">
      <c r="A381" s="65" t="s">
        <v>64</v>
      </c>
      <c r="B381" s="65" t="s">
        <v>65</v>
      </c>
      <c r="C381" s="66" t="s">
        <v>741</v>
      </c>
      <c r="D381" s="66" t="s">
        <v>1260</v>
      </c>
    </row>
    <row r="382" spans="1:4" x14ac:dyDescent="0.25">
      <c r="A382" s="65" t="s">
        <v>64</v>
      </c>
      <c r="B382" s="65" t="s">
        <v>65</v>
      </c>
      <c r="C382" s="66" t="s">
        <v>737</v>
      </c>
      <c r="D382" s="66" t="s">
        <v>501</v>
      </c>
    </row>
    <row r="383" spans="1:4" x14ac:dyDescent="0.25">
      <c r="A383" s="65" t="s">
        <v>66</v>
      </c>
      <c r="B383" s="65" t="s">
        <v>65</v>
      </c>
      <c r="C383" s="66" t="s">
        <v>745</v>
      </c>
      <c r="D383" s="66" t="s">
        <v>746</v>
      </c>
    </row>
    <row r="384" spans="1:4" x14ac:dyDescent="0.25">
      <c r="A384" s="65" t="s">
        <v>66</v>
      </c>
      <c r="B384" s="65" t="s">
        <v>65</v>
      </c>
      <c r="C384" s="66" t="s">
        <v>747</v>
      </c>
      <c r="D384" s="66" t="s">
        <v>317</v>
      </c>
    </row>
    <row r="385" spans="1:4" x14ac:dyDescent="0.25">
      <c r="A385" s="65" t="s">
        <v>66</v>
      </c>
      <c r="B385" s="65" t="s">
        <v>65</v>
      </c>
      <c r="C385" s="66" t="s">
        <v>750</v>
      </c>
      <c r="D385" s="66" t="s">
        <v>751</v>
      </c>
    </row>
    <row r="386" spans="1:4" x14ac:dyDescent="0.25">
      <c r="A386" s="65" t="s">
        <v>66</v>
      </c>
      <c r="B386" s="65" t="s">
        <v>65</v>
      </c>
      <c r="C386" s="66" t="s">
        <v>748</v>
      </c>
      <c r="D386" s="66" t="s">
        <v>749</v>
      </c>
    </row>
    <row r="387" spans="1:4" x14ac:dyDescent="0.25">
      <c r="A387" s="65" t="s">
        <v>67</v>
      </c>
      <c r="B387" s="65" t="s">
        <v>65</v>
      </c>
      <c r="C387" s="66" t="s">
        <v>752</v>
      </c>
      <c r="D387" s="66" t="s">
        <v>753</v>
      </c>
    </row>
    <row r="388" spans="1:4" x14ac:dyDescent="0.25">
      <c r="A388" s="65" t="s">
        <v>67</v>
      </c>
      <c r="B388" s="65" t="s">
        <v>65</v>
      </c>
      <c r="C388" s="66" t="s">
        <v>754</v>
      </c>
      <c r="D388" s="66" t="s">
        <v>1173</v>
      </c>
    </row>
    <row r="389" spans="1:4" x14ac:dyDescent="0.25">
      <c r="A389" s="65" t="s">
        <v>67</v>
      </c>
      <c r="B389" s="65" t="s">
        <v>65</v>
      </c>
      <c r="C389" s="66" t="s">
        <v>756</v>
      </c>
      <c r="D389" s="66" t="s">
        <v>1174</v>
      </c>
    </row>
    <row r="390" spans="1:4" x14ac:dyDescent="0.25">
      <c r="A390" s="65" t="s">
        <v>67</v>
      </c>
      <c r="B390" s="65" t="s">
        <v>65</v>
      </c>
      <c r="C390" s="66" t="s">
        <v>755</v>
      </c>
      <c r="D390" s="66" t="s">
        <v>1175</v>
      </c>
    </row>
    <row r="391" spans="1:4" x14ac:dyDescent="0.25">
      <c r="A391" s="65" t="s">
        <v>68</v>
      </c>
      <c r="B391" s="65" t="s">
        <v>65</v>
      </c>
      <c r="C391" s="66" t="s">
        <v>757</v>
      </c>
      <c r="D391" s="66" t="s">
        <v>758</v>
      </c>
    </row>
    <row r="392" spans="1:4" x14ac:dyDescent="0.25">
      <c r="A392" s="65" t="s">
        <v>68</v>
      </c>
      <c r="B392" s="65" t="s">
        <v>65</v>
      </c>
      <c r="C392" s="66" t="s">
        <v>759</v>
      </c>
      <c r="D392" s="66" t="s">
        <v>760</v>
      </c>
    </row>
    <row r="393" spans="1:4" x14ac:dyDescent="0.25">
      <c r="A393" s="65" t="s">
        <v>68</v>
      </c>
      <c r="B393" s="65" t="s">
        <v>65</v>
      </c>
      <c r="C393" s="66" t="s">
        <v>761</v>
      </c>
      <c r="D393" s="66" t="s">
        <v>762</v>
      </c>
    </row>
    <row r="394" spans="1:4" x14ac:dyDescent="0.25">
      <c r="A394" s="66" t="s">
        <v>69</v>
      </c>
      <c r="B394" s="66" t="s">
        <v>65</v>
      </c>
      <c r="C394" s="66" t="s">
        <v>767</v>
      </c>
      <c r="D394" s="66" t="s">
        <v>1176</v>
      </c>
    </row>
    <row r="395" spans="1:4" x14ac:dyDescent="0.25">
      <c r="A395" s="66" t="s">
        <v>69</v>
      </c>
      <c r="B395" s="66" t="s">
        <v>65</v>
      </c>
      <c r="C395" s="66" t="s">
        <v>769</v>
      </c>
      <c r="D395" s="66" t="s">
        <v>770</v>
      </c>
    </row>
    <row r="396" spans="1:4" x14ac:dyDescent="0.25">
      <c r="A396" s="66" t="s">
        <v>69</v>
      </c>
      <c r="B396" s="66" t="s">
        <v>65</v>
      </c>
      <c r="C396" s="66" t="s">
        <v>772</v>
      </c>
      <c r="D396" s="66" t="s">
        <v>1053</v>
      </c>
    </row>
    <row r="397" spans="1:4" x14ac:dyDescent="0.25">
      <c r="A397" s="66" t="s">
        <v>69</v>
      </c>
      <c r="B397" s="66" t="s">
        <v>65</v>
      </c>
      <c r="C397" s="66" t="s">
        <v>771</v>
      </c>
      <c r="D397" s="66" t="s">
        <v>1177</v>
      </c>
    </row>
    <row r="398" spans="1:4" x14ac:dyDescent="0.25">
      <c r="A398" s="66" t="s">
        <v>69</v>
      </c>
      <c r="B398" s="66" t="s">
        <v>65</v>
      </c>
      <c r="C398" s="66" t="s">
        <v>768</v>
      </c>
      <c r="D398" s="66" t="s">
        <v>1178</v>
      </c>
    </row>
    <row r="399" spans="1:4" x14ac:dyDescent="0.25">
      <c r="A399" s="66" t="s">
        <v>71</v>
      </c>
      <c r="B399" s="66" t="s">
        <v>65</v>
      </c>
      <c r="C399" s="66" t="s">
        <v>766</v>
      </c>
      <c r="D399" s="66" t="s">
        <v>1179</v>
      </c>
    </row>
    <row r="400" spans="1:4" x14ac:dyDescent="0.25">
      <c r="A400" s="66" t="s">
        <v>71</v>
      </c>
      <c r="B400" s="66" t="s">
        <v>65</v>
      </c>
      <c r="C400" s="66" t="s">
        <v>763</v>
      </c>
      <c r="D400" s="66" t="s">
        <v>1180</v>
      </c>
    </row>
    <row r="401" spans="1:4" x14ac:dyDescent="0.25">
      <c r="A401" s="66" t="s">
        <v>71</v>
      </c>
      <c r="B401" s="66" t="s">
        <v>65</v>
      </c>
      <c r="C401" s="66" t="s">
        <v>765</v>
      </c>
      <c r="D401" s="66" t="s">
        <v>1181</v>
      </c>
    </row>
    <row r="402" spans="1:4" x14ac:dyDescent="0.25">
      <c r="A402" s="66" t="s">
        <v>71</v>
      </c>
      <c r="B402" s="66" t="s">
        <v>65</v>
      </c>
      <c r="C402" s="66" t="s">
        <v>764</v>
      </c>
      <c r="D402" s="66" t="s">
        <v>288</v>
      </c>
    </row>
    <row r="403" spans="1:4" x14ac:dyDescent="0.25">
      <c r="A403" s="65" t="s">
        <v>72</v>
      </c>
      <c r="B403" s="65" t="s">
        <v>65</v>
      </c>
      <c r="C403" s="66" t="s">
        <v>773</v>
      </c>
      <c r="D403" s="66" t="s">
        <v>1210</v>
      </c>
    </row>
    <row r="404" spans="1:4" x14ac:dyDescent="0.25">
      <c r="A404" s="65" t="s">
        <v>72</v>
      </c>
      <c r="B404" s="65" t="s">
        <v>65</v>
      </c>
      <c r="C404" s="66" t="s">
        <v>780</v>
      </c>
      <c r="D404" s="66" t="s">
        <v>1211</v>
      </c>
    </row>
    <row r="405" spans="1:4" x14ac:dyDescent="0.25">
      <c r="A405" s="65" t="s">
        <v>72</v>
      </c>
      <c r="B405" s="65" t="s">
        <v>65</v>
      </c>
      <c r="C405" s="66" t="s">
        <v>778</v>
      </c>
      <c r="D405" s="66" t="s">
        <v>779</v>
      </c>
    </row>
    <row r="406" spans="1:4" x14ac:dyDescent="0.25">
      <c r="A406" s="65" t="s">
        <v>72</v>
      </c>
      <c r="B406" s="65" t="s">
        <v>65</v>
      </c>
      <c r="C406" s="66" t="s">
        <v>776</v>
      </c>
      <c r="D406" s="66" t="s">
        <v>1212</v>
      </c>
    </row>
    <row r="407" spans="1:4" x14ac:dyDescent="0.25">
      <c r="A407" s="65" t="s">
        <v>72</v>
      </c>
      <c r="B407" s="65" t="s">
        <v>65</v>
      </c>
      <c r="C407" s="66" t="s">
        <v>777</v>
      </c>
      <c r="D407" s="66" t="s">
        <v>1213</v>
      </c>
    </row>
    <row r="408" spans="1:4" x14ac:dyDescent="0.25">
      <c r="A408" s="65" t="s">
        <v>72</v>
      </c>
      <c r="B408" s="65" t="s">
        <v>65</v>
      </c>
      <c r="C408" s="66" t="s">
        <v>774</v>
      </c>
      <c r="D408" s="66" t="s">
        <v>775</v>
      </c>
    </row>
    <row r="409" spans="1:4" x14ac:dyDescent="0.25">
      <c r="A409" s="65" t="s">
        <v>73</v>
      </c>
      <c r="B409" s="65" t="s">
        <v>65</v>
      </c>
      <c r="C409" s="66" t="s">
        <v>785</v>
      </c>
      <c r="D409" s="66" t="s">
        <v>290</v>
      </c>
    </row>
    <row r="410" spans="1:4" x14ac:dyDescent="0.25">
      <c r="A410" s="65" t="s">
        <v>73</v>
      </c>
      <c r="B410" s="65" t="s">
        <v>65</v>
      </c>
      <c r="C410" s="66" t="s">
        <v>786</v>
      </c>
      <c r="D410" s="66" t="s">
        <v>1182</v>
      </c>
    </row>
    <row r="411" spans="1:4" x14ac:dyDescent="0.25">
      <c r="A411" s="65" t="s">
        <v>73</v>
      </c>
      <c r="B411" s="65" t="s">
        <v>65</v>
      </c>
      <c r="C411" s="66" t="s">
        <v>781</v>
      </c>
      <c r="D411" s="66" t="s">
        <v>782</v>
      </c>
    </row>
    <row r="412" spans="1:4" x14ac:dyDescent="0.25">
      <c r="A412" s="65" t="s">
        <v>73</v>
      </c>
      <c r="B412" s="65" t="s">
        <v>65</v>
      </c>
      <c r="C412" s="66" t="s">
        <v>788</v>
      </c>
      <c r="D412" s="66" t="s">
        <v>789</v>
      </c>
    </row>
    <row r="413" spans="1:4" x14ac:dyDescent="0.25">
      <c r="A413" s="65" t="s">
        <v>73</v>
      </c>
      <c r="B413" s="65" t="s">
        <v>65</v>
      </c>
      <c r="C413" s="66" t="s">
        <v>783</v>
      </c>
      <c r="D413" s="66" t="s">
        <v>784</v>
      </c>
    </row>
    <row r="414" spans="1:4" x14ac:dyDescent="0.25">
      <c r="A414" s="65" t="s">
        <v>73</v>
      </c>
      <c r="B414" s="65" t="s">
        <v>65</v>
      </c>
      <c r="C414" s="66" t="s">
        <v>787</v>
      </c>
      <c r="D414" s="66" t="s">
        <v>501</v>
      </c>
    </row>
    <row r="415" spans="1:4" x14ac:dyDescent="0.25">
      <c r="A415" s="65" t="s">
        <v>74</v>
      </c>
      <c r="B415" s="65" t="s">
        <v>65</v>
      </c>
      <c r="C415" s="66" t="s">
        <v>791</v>
      </c>
      <c r="D415" s="66" t="s">
        <v>1053</v>
      </c>
    </row>
    <row r="416" spans="1:4" x14ac:dyDescent="0.25">
      <c r="A416" s="65" t="s">
        <v>74</v>
      </c>
      <c r="B416" s="65" t="s">
        <v>65</v>
      </c>
      <c r="C416" s="66" t="s">
        <v>790</v>
      </c>
      <c r="D416" s="66" t="s">
        <v>1214</v>
      </c>
    </row>
    <row r="417" spans="1:4" x14ac:dyDescent="0.25">
      <c r="A417" s="65" t="s">
        <v>74</v>
      </c>
      <c r="B417" s="65" t="s">
        <v>65</v>
      </c>
      <c r="C417" s="66" t="s">
        <v>792</v>
      </c>
      <c r="D417" s="66" t="s">
        <v>1215</v>
      </c>
    </row>
    <row r="418" spans="1:4" x14ac:dyDescent="0.25">
      <c r="A418" s="65" t="s">
        <v>75</v>
      </c>
      <c r="B418" s="65" t="s">
        <v>65</v>
      </c>
      <c r="C418" s="66" t="s">
        <v>793</v>
      </c>
      <c r="D418" s="66" t="s">
        <v>1183</v>
      </c>
    </row>
    <row r="419" spans="1:4" x14ac:dyDescent="0.25">
      <c r="A419" s="65" t="s">
        <v>75</v>
      </c>
      <c r="B419" s="65" t="s">
        <v>65</v>
      </c>
      <c r="C419" s="66" t="s">
        <v>796</v>
      </c>
      <c r="D419" s="66" t="s">
        <v>1184</v>
      </c>
    </row>
    <row r="420" spans="1:4" x14ac:dyDescent="0.25">
      <c r="A420" s="65" t="s">
        <v>75</v>
      </c>
      <c r="B420" s="65" t="s">
        <v>65</v>
      </c>
      <c r="C420" s="66" t="s">
        <v>794</v>
      </c>
      <c r="D420" s="66" t="s">
        <v>1185</v>
      </c>
    </row>
    <row r="421" spans="1:4" x14ac:dyDescent="0.25">
      <c r="A421" s="65" t="s">
        <v>75</v>
      </c>
      <c r="B421" s="65" t="s">
        <v>65</v>
      </c>
      <c r="C421" s="66" t="s">
        <v>795</v>
      </c>
      <c r="D421" s="66" t="s">
        <v>1186</v>
      </c>
    </row>
    <row r="422" spans="1:4" x14ac:dyDescent="0.25">
      <c r="A422" s="65" t="s">
        <v>76</v>
      </c>
      <c r="B422" s="65" t="s">
        <v>65</v>
      </c>
      <c r="C422" s="66" t="s">
        <v>799</v>
      </c>
      <c r="D422" s="66" t="s">
        <v>800</v>
      </c>
    </row>
    <row r="423" spans="1:4" x14ac:dyDescent="0.25">
      <c r="A423" s="65" t="s">
        <v>76</v>
      </c>
      <c r="B423" s="65" t="s">
        <v>65</v>
      </c>
      <c r="C423" s="66" t="s">
        <v>801</v>
      </c>
      <c r="D423" s="66" t="s">
        <v>1187</v>
      </c>
    </row>
    <row r="424" spans="1:4" x14ac:dyDescent="0.25">
      <c r="A424" s="65" t="s">
        <v>76</v>
      </c>
      <c r="B424" s="65" t="s">
        <v>65</v>
      </c>
      <c r="C424" s="66" t="s">
        <v>1124</v>
      </c>
      <c r="D424" s="66" t="s">
        <v>802</v>
      </c>
    </row>
    <row r="425" spans="1:4" x14ac:dyDescent="0.25">
      <c r="A425" s="65" t="s">
        <v>76</v>
      </c>
      <c r="B425" s="65" t="s">
        <v>65</v>
      </c>
      <c r="C425" s="66" t="s">
        <v>797</v>
      </c>
      <c r="D425" s="66" t="s">
        <v>798</v>
      </c>
    </row>
    <row r="426" spans="1:4" x14ac:dyDescent="0.25">
      <c r="A426" s="19" t="s">
        <v>77</v>
      </c>
      <c r="B426" s="19" t="s">
        <v>65</v>
      </c>
      <c r="C426" s="17" t="s">
        <v>720</v>
      </c>
      <c r="D426" s="17" t="s">
        <v>721</v>
      </c>
    </row>
    <row r="427" spans="1:4" x14ac:dyDescent="0.25">
      <c r="A427" s="19" t="s">
        <v>77</v>
      </c>
      <c r="B427" s="19" t="s">
        <v>65</v>
      </c>
      <c r="C427" s="17" t="s">
        <v>722</v>
      </c>
      <c r="D427" s="17" t="s">
        <v>723</v>
      </c>
    </row>
    <row r="428" spans="1:4" x14ac:dyDescent="0.25">
      <c r="A428" s="17" t="s">
        <v>77</v>
      </c>
      <c r="B428" s="17" t="s">
        <v>65</v>
      </c>
      <c r="C428" s="17" t="s">
        <v>725</v>
      </c>
      <c r="D428" s="17" t="s">
        <v>726</v>
      </c>
    </row>
    <row r="429" spans="1:4" x14ac:dyDescent="0.25">
      <c r="A429" s="17" t="s">
        <v>77</v>
      </c>
      <c r="B429" s="17" t="s">
        <v>65</v>
      </c>
      <c r="C429" s="17" t="s">
        <v>727</v>
      </c>
      <c r="D429" s="17" t="s">
        <v>728</v>
      </c>
    </row>
    <row r="430" spans="1:4" x14ac:dyDescent="0.25">
      <c r="A430" s="17" t="s">
        <v>77</v>
      </c>
      <c r="B430" s="17" t="s">
        <v>65</v>
      </c>
      <c r="C430" s="17" t="s">
        <v>724</v>
      </c>
      <c r="D430" s="17" t="s">
        <v>1216</v>
      </c>
    </row>
    <row r="431" spans="1:4" x14ac:dyDescent="0.25">
      <c r="A431" s="17" t="s">
        <v>78</v>
      </c>
      <c r="B431" s="17" t="s">
        <v>65</v>
      </c>
      <c r="C431" s="17" t="s">
        <v>733</v>
      </c>
      <c r="D431" s="17" t="s">
        <v>730</v>
      </c>
    </row>
    <row r="432" spans="1:4" x14ac:dyDescent="0.25">
      <c r="A432" s="17" t="s">
        <v>78</v>
      </c>
      <c r="B432" s="17" t="s">
        <v>65</v>
      </c>
      <c r="C432" s="17" t="s">
        <v>731</v>
      </c>
      <c r="D432" s="17" t="s">
        <v>732</v>
      </c>
    </row>
    <row r="433" spans="1:4" x14ac:dyDescent="0.25">
      <c r="A433" s="19" t="s">
        <v>78</v>
      </c>
      <c r="B433" s="19" t="s">
        <v>65</v>
      </c>
      <c r="C433" s="17" t="s">
        <v>729</v>
      </c>
      <c r="D433" s="17" t="s">
        <v>1119</v>
      </c>
    </row>
    <row r="434" spans="1:4" x14ac:dyDescent="0.25">
      <c r="A434" s="19" t="s">
        <v>1023</v>
      </c>
      <c r="B434" s="19" t="s">
        <v>65</v>
      </c>
      <c r="C434" s="17" t="s">
        <v>713</v>
      </c>
      <c r="D434" s="17" t="s">
        <v>714</v>
      </c>
    </row>
    <row r="435" spans="1:4" x14ac:dyDescent="0.25">
      <c r="A435" s="19" t="s">
        <v>1023</v>
      </c>
      <c r="B435" s="19" t="s">
        <v>65</v>
      </c>
      <c r="C435" s="17" t="s">
        <v>717</v>
      </c>
      <c r="D435" s="17" t="s">
        <v>1217</v>
      </c>
    </row>
    <row r="436" spans="1:4" x14ac:dyDescent="0.25">
      <c r="A436" s="19" t="s">
        <v>1023</v>
      </c>
      <c r="B436" s="19" t="s">
        <v>65</v>
      </c>
      <c r="C436" s="17" t="s">
        <v>718</v>
      </c>
      <c r="D436" s="17" t="s">
        <v>719</v>
      </c>
    </row>
    <row r="437" spans="1:4" x14ac:dyDescent="0.25">
      <c r="A437" s="19" t="s">
        <v>1023</v>
      </c>
      <c r="B437" s="19" t="s">
        <v>65</v>
      </c>
      <c r="C437" s="17" t="s">
        <v>715</v>
      </c>
      <c r="D437" s="18" t="s">
        <v>716</v>
      </c>
    </row>
    <row r="438" spans="1:4" x14ac:dyDescent="0.25">
      <c r="A438" s="67" t="s">
        <v>1218</v>
      </c>
      <c r="B438" s="68" t="s">
        <v>80</v>
      </c>
      <c r="C438" s="21" t="s">
        <v>805</v>
      </c>
      <c r="D438" s="22" t="s">
        <v>1120</v>
      </c>
    </row>
    <row r="439" spans="1:4" x14ac:dyDescent="0.25">
      <c r="A439" s="78" t="s">
        <v>1218</v>
      </c>
      <c r="B439" s="72" t="s">
        <v>80</v>
      </c>
      <c r="C439" s="82" t="s">
        <v>807</v>
      </c>
      <c r="D439" s="85" t="s">
        <v>1261</v>
      </c>
    </row>
    <row r="440" spans="1:4" x14ac:dyDescent="0.25">
      <c r="A440" s="69" t="s">
        <v>1218</v>
      </c>
      <c r="B440" s="68" t="s">
        <v>80</v>
      </c>
      <c r="C440" s="22" t="s">
        <v>804</v>
      </c>
      <c r="D440" s="22" t="s">
        <v>1024</v>
      </c>
    </row>
    <row r="441" spans="1:4" x14ac:dyDescent="0.25">
      <c r="A441" s="69" t="s">
        <v>1218</v>
      </c>
      <c r="B441" s="68" t="s">
        <v>80</v>
      </c>
      <c r="C441" s="21" t="s">
        <v>803</v>
      </c>
      <c r="D441" s="21" t="s">
        <v>1025</v>
      </c>
    </row>
    <row r="442" spans="1:4" x14ac:dyDescent="0.25">
      <c r="A442" s="69" t="s">
        <v>92</v>
      </c>
      <c r="B442" s="68" t="s">
        <v>80</v>
      </c>
      <c r="C442" s="20" t="s">
        <v>816</v>
      </c>
      <c r="D442" s="20" t="s">
        <v>1026</v>
      </c>
    </row>
    <row r="443" spans="1:4" x14ac:dyDescent="0.25">
      <c r="A443" s="69" t="s">
        <v>92</v>
      </c>
      <c r="B443" s="68" t="s">
        <v>80</v>
      </c>
      <c r="C443" s="21" t="s">
        <v>812</v>
      </c>
      <c r="D443" s="23" t="s">
        <v>1121</v>
      </c>
    </row>
    <row r="444" spans="1:4" x14ac:dyDescent="0.25">
      <c r="A444" s="69" t="s">
        <v>92</v>
      </c>
      <c r="B444" s="68" t="s">
        <v>80</v>
      </c>
      <c r="C444" s="21" t="s">
        <v>813</v>
      </c>
      <c r="D444" s="21" t="s">
        <v>814</v>
      </c>
    </row>
    <row r="445" spans="1:4" x14ac:dyDescent="0.25">
      <c r="A445" s="69" t="s">
        <v>92</v>
      </c>
      <c r="B445" s="68" t="s">
        <v>80</v>
      </c>
      <c r="C445" s="20" t="s">
        <v>815</v>
      </c>
      <c r="D445" s="20" t="s">
        <v>1027</v>
      </c>
    </row>
    <row r="446" spans="1:4" x14ac:dyDescent="0.25">
      <c r="A446" s="69" t="s">
        <v>92</v>
      </c>
      <c r="B446" s="68" t="s">
        <v>80</v>
      </c>
      <c r="C446" s="21" t="s">
        <v>810</v>
      </c>
      <c r="D446" s="23" t="s">
        <v>585</v>
      </c>
    </row>
    <row r="447" spans="1:4" x14ac:dyDescent="0.25">
      <c r="A447" s="69" t="s">
        <v>92</v>
      </c>
      <c r="B447" s="68" t="s">
        <v>80</v>
      </c>
      <c r="C447" s="21" t="s">
        <v>808</v>
      </c>
      <c r="D447" s="23" t="s">
        <v>809</v>
      </c>
    </row>
    <row r="448" spans="1:4" x14ac:dyDescent="0.25">
      <c r="A448" s="69" t="s">
        <v>92</v>
      </c>
      <c r="B448" s="68" t="s">
        <v>80</v>
      </c>
      <c r="C448" s="20" t="s">
        <v>811</v>
      </c>
      <c r="D448" s="20" t="s">
        <v>1028</v>
      </c>
    </row>
    <row r="449" spans="1:4" x14ac:dyDescent="0.25">
      <c r="A449" s="68" t="s">
        <v>79</v>
      </c>
      <c r="B449" s="68" t="s">
        <v>80</v>
      </c>
      <c r="C449" s="24" t="s">
        <v>819</v>
      </c>
      <c r="D449" s="24" t="s">
        <v>1029</v>
      </c>
    </row>
    <row r="450" spans="1:4" x14ac:dyDescent="0.25">
      <c r="A450" s="68" t="s">
        <v>79</v>
      </c>
      <c r="B450" s="68" t="s">
        <v>80</v>
      </c>
      <c r="C450" s="24" t="s">
        <v>817</v>
      </c>
      <c r="D450" s="24" t="s">
        <v>818</v>
      </c>
    </row>
    <row r="451" spans="1:4" x14ac:dyDescent="0.25">
      <c r="A451" s="68" t="s">
        <v>79</v>
      </c>
      <c r="B451" s="68" t="s">
        <v>80</v>
      </c>
      <c r="C451" s="24" t="s">
        <v>820</v>
      </c>
      <c r="D451" s="24" t="s">
        <v>1030</v>
      </c>
    </row>
    <row r="452" spans="1:4" x14ac:dyDescent="0.25">
      <c r="A452" s="68" t="s">
        <v>79</v>
      </c>
      <c r="B452" s="68" t="s">
        <v>80</v>
      </c>
      <c r="C452" s="24" t="s">
        <v>821</v>
      </c>
      <c r="D452" s="23" t="s">
        <v>1188</v>
      </c>
    </row>
    <row r="453" spans="1:4" x14ac:dyDescent="0.25">
      <c r="A453" s="68" t="s">
        <v>1219</v>
      </c>
      <c r="B453" s="68" t="s">
        <v>80</v>
      </c>
      <c r="C453" s="24" t="s">
        <v>822</v>
      </c>
      <c r="D453" s="24" t="s">
        <v>1031</v>
      </c>
    </row>
    <row r="454" spans="1:4" x14ac:dyDescent="0.25">
      <c r="A454" s="68" t="s">
        <v>1219</v>
      </c>
      <c r="B454" s="68" t="s">
        <v>80</v>
      </c>
      <c r="C454" s="24" t="s">
        <v>823</v>
      </c>
      <c r="D454" s="24" t="s">
        <v>1032</v>
      </c>
    </row>
    <row r="455" spans="1:4" x14ac:dyDescent="0.25">
      <c r="A455" s="68" t="s">
        <v>1219</v>
      </c>
      <c r="B455" s="68" t="s">
        <v>80</v>
      </c>
      <c r="C455" s="24" t="s">
        <v>824</v>
      </c>
      <c r="D455" s="24" t="s">
        <v>1189</v>
      </c>
    </row>
    <row r="456" spans="1:4" x14ac:dyDescent="0.25">
      <c r="A456" s="68" t="s">
        <v>81</v>
      </c>
      <c r="B456" s="68" t="s">
        <v>80</v>
      </c>
      <c r="C456" s="24" t="s">
        <v>858</v>
      </c>
      <c r="D456" s="24" t="s">
        <v>859</v>
      </c>
    </row>
    <row r="457" spans="1:4" x14ac:dyDescent="0.25">
      <c r="A457" s="68" t="s">
        <v>81</v>
      </c>
      <c r="B457" s="68" t="s">
        <v>80</v>
      </c>
      <c r="C457" s="24" t="s">
        <v>860</v>
      </c>
      <c r="D457" s="24" t="s">
        <v>861</v>
      </c>
    </row>
    <row r="458" spans="1:4" x14ac:dyDescent="0.25">
      <c r="A458" s="68" t="s">
        <v>81</v>
      </c>
      <c r="B458" s="68" t="s">
        <v>80</v>
      </c>
      <c r="C458" s="24" t="s">
        <v>863</v>
      </c>
      <c r="D458" s="24" t="s">
        <v>864</v>
      </c>
    </row>
    <row r="459" spans="1:4" x14ac:dyDescent="0.25">
      <c r="A459" s="68" t="s">
        <v>81</v>
      </c>
      <c r="B459" s="68" t="s">
        <v>80</v>
      </c>
      <c r="C459" s="24" t="s">
        <v>862</v>
      </c>
      <c r="D459" s="24" t="s">
        <v>1033</v>
      </c>
    </row>
    <row r="460" spans="1:4" x14ac:dyDescent="0.25">
      <c r="A460" s="68" t="s">
        <v>82</v>
      </c>
      <c r="B460" s="68" t="s">
        <v>80</v>
      </c>
      <c r="C460" s="24" t="s">
        <v>831</v>
      </c>
      <c r="D460" s="24" t="s">
        <v>832</v>
      </c>
    </row>
    <row r="461" spans="1:4" x14ac:dyDescent="0.25">
      <c r="A461" s="68" t="s">
        <v>82</v>
      </c>
      <c r="B461" s="68" t="s">
        <v>80</v>
      </c>
      <c r="C461" s="24" t="s">
        <v>825</v>
      </c>
      <c r="D461" s="24" t="s">
        <v>826</v>
      </c>
    </row>
    <row r="462" spans="1:4" x14ac:dyDescent="0.25">
      <c r="A462" s="68" t="s">
        <v>82</v>
      </c>
      <c r="B462" s="68" t="s">
        <v>80</v>
      </c>
      <c r="C462" s="24" t="s">
        <v>829</v>
      </c>
      <c r="D462" s="24" t="s">
        <v>830</v>
      </c>
    </row>
    <row r="463" spans="1:4" x14ac:dyDescent="0.25">
      <c r="A463" s="68" t="s">
        <v>82</v>
      </c>
      <c r="B463" s="68" t="s">
        <v>80</v>
      </c>
      <c r="C463" s="24" t="s">
        <v>827</v>
      </c>
      <c r="D463" s="24" t="s">
        <v>828</v>
      </c>
    </row>
    <row r="464" spans="1:4" x14ac:dyDescent="0.25">
      <c r="A464" s="68" t="s">
        <v>82</v>
      </c>
      <c r="B464" s="68" t="s">
        <v>80</v>
      </c>
      <c r="C464" s="24" t="s">
        <v>833</v>
      </c>
      <c r="D464" s="24" t="s">
        <v>834</v>
      </c>
    </row>
    <row r="465" spans="1:4" x14ac:dyDescent="0.25">
      <c r="A465" s="68" t="s">
        <v>83</v>
      </c>
      <c r="B465" s="68" t="s">
        <v>80</v>
      </c>
      <c r="C465" s="24" t="s">
        <v>836</v>
      </c>
      <c r="D465" s="23" t="s">
        <v>837</v>
      </c>
    </row>
    <row r="466" spans="1:4" x14ac:dyDescent="0.25">
      <c r="A466" s="68" t="s">
        <v>83</v>
      </c>
      <c r="B466" s="68" t="s">
        <v>80</v>
      </c>
      <c r="C466" s="24" t="s">
        <v>835</v>
      </c>
      <c r="D466" s="24" t="s">
        <v>1154</v>
      </c>
    </row>
    <row r="467" spans="1:4" x14ac:dyDescent="0.25">
      <c r="A467" s="68" t="s">
        <v>83</v>
      </c>
      <c r="B467" s="68" t="s">
        <v>80</v>
      </c>
      <c r="C467" s="24" t="s">
        <v>838</v>
      </c>
      <c r="D467" s="24" t="s">
        <v>839</v>
      </c>
    </row>
    <row r="468" spans="1:4" x14ac:dyDescent="0.25">
      <c r="A468" s="68" t="s">
        <v>83</v>
      </c>
      <c r="B468" s="68" t="s">
        <v>80</v>
      </c>
      <c r="C468" s="24" t="s">
        <v>840</v>
      </c>
      <c r="D468" s="24" t="s">
        <v>1155</v>
      </c>
    </row>
    <row r="469" spans="1:4" x14ac:dyDescent="0.25">
      <c r="A469" s="68" t="s">
        <v>852</v>
      </c>
      <c r="B469" s="68" t="s">
        <v>80</v>
      </c>
      <c r="C469" s="24" t="s">
        <v>853</v>
      </c>
      <c r="D469" s="24" t="s">
        <v>854</v>
      </c>
    </row>
    <row r="470" spans="1:4" x14ac:dyDescent="0.25">
      <c r="A470" s="68" t="s">
        <v>852</v>
      </c>
      <c r="B470" s="68" t="s">
        <v>80</v>
      </c>
      <c r="C470" s="24" t="s">
        <v>855</v>
      </c>
      <c r="D470" s="24" t="s">
        <v>1034</v>
      </c>
    </row>
    <row r="471" spans="1:4" x14ac:dyDescent="0.25">
      <c r="A471" s="68" t="s">
        <v>852</v>
      </c>
      <c r="B471" s="68" t="s">
        <v>80</v>
      </c>
      <c r="C471" s="24" t="s">
        <v>856</v>
      </c>
      <c r="D471" s="24" t="s">
        <v>857</v>
      </c>
    </row>
    <row r="472" spans="1:4" x14ac:dyDescent="0.25">
      <c r="A472" s="68" t="s">
        <v>85</v>
      </c>
      <c r="B472" s="68" t="s">
        <v>80</v>
      </c>
      <c r="C472" s="24" t="s">
        <v>842</v>
      </c>
      <c r="D472" s="24" t="s">
        <v>843</v>
      </c>
    </row>
    <row r="473" spans="1:4" x14ac:dyDescent="0.25">
      <c r="A473" s="68" t="s">
        <v>85</v>
      </c>
      <c r="B473" s="68" t="s">
        <v>80</v>
      </c>
      <c r="C473" s="24" t="s">
        <v>841</v>
      </c>
      <c r="D473" s="24" t="s">
        <v>1035</v>
      </c>
    </row>
    <row r="474" spans="1:4" x14ac:dyDescent="0.25">
      <c r="A474" s="68" t="s">
        <v>86</v>
      </c>
      <c r="B474" s="68" t="s">
        <v>80</v>
      </c>
      <c r="C474" s="24" t="s">
        <v>849</v>
      </c>
      <c r="D474" s="24" t="s">
        <v>850</v>
      </c>
    </row>
    <row r="475" spans="1:4" x14ac:dyDescent="0.25">
      <c r="A475" s="68" t="s">
        <v>86</v>
      </c>
      <c r="B475" s="68" t="s">
        <v>80</v>
      </c>
      <c r="C475" s="24" t="s">
        <v>847</v>
      </c>
      <c r="D475" s="25" t="s">
        <v>848</v>
      </c>
    </row>
    <row r="476" spans="1:4" x14ac:dyDescent="0.25">
      <c r="A476" s="68" t="s">
        <v>86</v>
      </c>
      <c r="B476" s="68" t="s">
        <v>80</v>
      </c>
      <c r="C476" s="24" t="s">
        <v>851</v>
      </c>
      <c r="D476" s="25" t="s">
        <v>1074</v>
      </c>
    </row>
    <row r="477" spans="1:4" x14ac:dyDescent="0.25">
      <c r="A477" s="68" t="s">
        <v>86</v>
      </c>
      <c r="B477" s="68" t="s">
        <v>80</v>
      </c>
      <c r="C477" s="24" t="s">
        <v>846</v>
      </c>
      <c r="D477" s="24" t="s">
        <v>629</v>
      </c>
    </row>
    <row r="478" spans="1:4" x14ac:dyDescent="0.25">
      <c r="A478" s="68" t="s">
        <v>86</v>
      </c>
      <c r="B478" s="68" t="s">
        <v>80</v>
      </c>
      <c r="C478" s="24" t="s">
        <v>844</v>
      </c>
      <c r="D478" s="24" t="s">
        <v>845</v>
      </c>
    </row>
    <row r="479" spans="1:4" x14ac:dyDescent="0.25">
      <c r="A479" s="69" t="s">
        <v>89</v>
      </c>
      <c r="B479" s="68" t="s">
        <v>80</v>
      </c>
      <c r="C479" s="70" t="s">
        <v>874</v>
      </c>
      <c r="D479" s="22" t="s">
        <v>1075</v>
      </c>
    </row>
    <row r="480" spans="1:4" x14ac:dyDescent="0.25">
      <c r="A480" s="69" t="s">
        <v>89</v>
      </c>
      <c r="B480" s="68" t="s">
        <v>80</v>
      </c>
      <c r="C480" s="70" t="s">
        <v>877</v>
      </c>
      <c r="D480" s="22" t="s">
        <v>1190</v>
      </c>
    </row>
    <row r="481" spans="1:4" x14ac:dyDescent="0.25">
      <c r="A481" s="69" t="s">
        <v>89</v>
      </c>
      <c r="B481" s="68" t="s">
        <v>80</v>
      </c>
      <c r="C481" s="70" t="s">
        <v>876</v>
      </c>
      <c r="D481" s="22" t="s">
        <v>1122</v>
      </c>
    </row>
    <row r="482" spans="1:4" x14ac:dyDescent="0.25">
      <c r="A482" s="69" t="s">
        <v>89</v>
      </c>
      <c r="B482" s="68" t="s">
        <v>80</v>
      </c>
      <c r="C482" s="70" t="s">
        <v>875</v>
      </c>
      <c r="D482" s="22" t="s">
        <v>1076</v>
      </c>
    </row>
    <row r="483" spans="1:4" x14ac:dyDescent="0.25">
      <c r="A483" s="68" t="s">
        <v>87</v>
      </c>
      <c r="B483" s="68" t="s">
        <v>80</v>
      </c>
      <c r="C483" s="71" t="s">
        <v>867</v>
      </c>
      <c r="D483" s="26" t="s">
        <v>868</v>
      </c>
    </row>
    <row r="484" spans="1:4" x14ac:dyDescent="0.25">
      <c r="A484" s="68" t="s">
        <v>87</v>
      </c>
      <c r="B484" s="68" t="s">
        <v>80</v>
      </c>
      <c r="C484" s="71" t="s">
        <v>871</v>
      </c>
      <c r="D484" s="26" t="s">
        <v>866</v>
      </c>
    </row>
    <row r="485" spans="1:4" x14ac:dyDescent="0.25">
      <c r="A485" s="68" t="s">
        <v>87</v>
      </c>
      <c r="B485" s="68" t="s">
        <v>80</v>
      </c>
      <c r="C485" s="71" t="s">
        <v>873</v>
      </c>
      <c r="D485" s="26" t="s">
        <v>1036</v>
      </c>
    </row>
    <row r="486" spans="1:4" x14ac:dyDescent="0.25">
      <c r="A486" s="68" t="s">
        <v>87</v>
      </c>
      <c r="B486" s="68" t="s">
        <v>80</v>
      </c>
      <c r="C486" s="71" t="s">
        <v>865</v>
      </c>
      <c r="D486" s="26" t="s">
        <v>872</v>
      </c>
    </row>
    <row r="487" spans="1:4" x14ac:dyDescent="0.25">
      <c r="A487" s="68" t="s">
        <v>87</v>
      </c>
      <c r="B487" s="68" t="s">
        <v>80</v>
      </c>
      <c r="C487" s="71" t="s">
        <v>869</v>
      </c>
      <c r="D487" s="26" t="s">
        <v>870</v>
      </c>
    </row>
    <row r="488" spans="1:4" x14ac:dyDescent="0.25">
      <c r="A488" s="37" t="s">
        <v>106</v>
      </c>
      <c r="B488" s="73" t="s">
        <v>94</v>
      </c>
      <c r="C488" s="37" t="s">
        <v>232</v>
      </c>
      <c r="D488" s="37" t="s">
        <v>974</v>
      </c>
    </row>
    <row r="489" spans="1:4" x14ac:dyDescent="0.25">
      <c r="A489" s="37" t="s">
        <v>106</v>
      </c>
      <c r="B489" s="73" t="s">
        <v>94</v>
      </c>
      <c r="C489" s="37" t="s">
        <v>234</v>
      </c>
      <c r="D489" s="37" t="s">
        <v>975</v>
      </c>
    </row>
    <row r="490" spans="1:4" x14ac:dyDescent="0.25">
      <c r="A490" s="37" t="s">
        <v>106</v>
      </c>
      <c r="B490" s="73" t="s">
        <v>94</v>
      </c>
      <c r="C490" s="37" t="s">
        <v>231</v>
      </c>
      <c r="D490" s="37" t="s">
        <v>976</v>
      </c>
    </row>
    <row r="491" spans="1:4" x14ac:dyDescent="0.25">
      <c r="A491" s="37" t="s">
        <v>106</v>
      </c>
      <c r="B491" s="73" t="s">
        <v>94</v>
      </c>
      <c r="C491" s="37" t="s">
        <v>233</v>
      </c>
      <c r="D491" s="37" t="s">
        <v>977</v>
      </c>
    </row>
    <row r="492" spans="1:4" x14ac:dyDescent="0.25">
      <c r="A492" s="16" t="s">
        <v>53</v>
      </c>
      <c r="B492" s="73" t="s">
        <v>94</v>
      </c>
      <c r="C492" s="10" t="s">
        <v>648</v>
      </c>
      <c r="D492" s="10" t="s">
        <v>649</v>
      </c>
    </row>
    <row r="493" spans="1:4" x14ac:dyDescent="0.25">
      <c r="A493" s="79" t="s">
        <v>53</v>
      </c>
      <c r="B493" s="81" t="s">
        <v>94</v>
      </c>
      <c r="C493" s="83" t="s">
        <v>650</v>
      </c>
      <c r="D493" s="83" t="s">
        <v>651</v>
      </c>
    </row>
    <row r="494" spans="1:4" x14ac:dyDescent="0.25">
      <c r="A494" s="73" t="s">
        <v>93</v>
      </c>
      <c r="B494" s="73" t="s">
        <v>94</v>
      </c>
      <c r="C494" s="73" t="s">
        <v>893</v>
      </c>
      <c r="D494" s="27" t="s">
        <v>1037</v>
      </c>
    </row>
    <row r="495" spans="1:4" x14ac:dyDescent="0.25">
      <c r="A495" s="73" t="s">
        <v>93</v>
      </c>
      <c r="B495" s="73" t="s">
        <v>94</v>
      </c>
      <c r="C495" s="73" t="s">
        <v>898</v>
      </c>
      <c r="D495" s="27" t="s">
        <v>899</v>
      </c>
    </row>
    <row r="496" spans="1:4" x14ac:dyDescent="0.25">
      <c r="A496" s="73" t="s">
        <v>93</v>
      </c>
      <c r="B496" s="73" t="s">
        <v>94</v>
      </c>
      <c r="C496" s="73" t="s">
        <v>896</v>
      </c>
      <c r="D496" s="27" t="s">
        <v>1077</v>
      </c>
    </row>
    <row r="497" spans="1:4" x14ac:dyDescent="0.25">
      <c r="A497" s="73" t="s">
        <v>93</v>
      </c>
      <c r="B497" s="73" t="s">
        <v>94</v>
      </c>
      <c r="C497" s="73" t="s">
        <v>894</v>
      </c>
      <c r="D497" s="27" t="s">
        <v>895</v>
      </c>
    </row>
    <row r="498" spans="1:4" x14ac:dyDescent="0.25">
      <c r="A498" s="73" t="s">
        <v>93</v>
      </c>
      <c r="B498" s="73" t="s">
        <v>94</v>
      </c>
      <c r="C498" s="73" t="s">
        <v>897</v>
      </c>
      <c r="D498" s="27" t="s">
        <v>463</v>
      </c>
    </row>
    <row r="499" spans="1:4" x14ac:dyDescent="0.25">
      <c r="A499" s="73" t="s">
        <v>96</v>
      </c>
      <c r="B499" s="73" t="s">
        <v>94</v>
      </c>
      <c r="C499" s="73" t="s">
        <v>888</v>
      </c>
      <c r="D499" s="27" t="s">
        <v>1191</v>
      </c>
    </row>
    <row r="500" spans="1:4" x14ac:dyDescent="0.25">
      <c r="A500" s="73" t="s">
        <v>96</v>
      </c>
      <c r="B500" s="73" t="s">
        <v>94</v>
      </c>
      <c r="C500" s="73" t="s">
        <v>886</v>
      </c>
      <c r="D500" s="27" t="s">
        <v>1192</v>
      </c>
    </row>
    <row r="501" spans="1:4" x14ac:dyDescent="0.25">
      <c r="A501" s="73" t="s">
        <v>96</v>
      </c>
      <c r="B501" s="73" t="s">
        <v>94</v>
      </c>
      <c r="C501" s="73" t="s">
        <v>892</v>
      </c>
      <c r="D501" s="27" t="s">
        <v>1193</v>
      </c>
    </row>
    <row r="502" spans="1:4" x14ac:dyDescent="0.25">
      <c r="A502" s="73" t="s">
        <v>96</v>
      </c>
      <c r="B502" s="73" t="s">
        <v>94</v>
      </c>
      <c r="C502" s="73" t="s">
        <v>1123</v>
      </c>
      <c r="D502" s="27" t="s">
        <v>1194</v>
      </c>
    </row>
    <row r="503" spans="1:4" x14ac:dyDescent="0.25">
      <c r="A503" s="73" t="s">
        <v>96</v>
      </c>
      <c r="B503" s="73" t="s">
        <v>94</v>
      </c>
      <c r="C503" s="73" t="s">
        <v>887</v>
      </c>
      <c r="D503" s="27" t="s">
        <v>890</v>
      </c>
    </row>
    <row r="504" spans="1:4" x14ac:dyDescent="0.25">
      <c r="A504" s="73" t="s">
        <v>96</v>
      </c>
      <c r="B504" s="73" t="s">
        <v>94</v>
      </c>
      <c r="C504" s="73" t="s">
        <v>891</v>
      </c>
      <c r="D504" s="27" t="s">
        <v>770</v>
      </c>
    </row>
    <row r="505" spans="1:4" x14ac:dyDescent="0.25">
      <c r="A505" s="73" t="s">
        <v>96</v>
      </c>
      <c r="B505" s="73" t="s">
        <v>94</v>
      </c>
      <c r="C505" s="73" t="s">
        <v>889</v>
      </c>
      <c r="D505" s="27" t="s">
        <v>1038</v>
      </c>
    </row>
    <row r="506" spans="1:4" x14ac:dyDescent="0.25">
      <c r="A506" s="73" t="s">
        <v>916</v>
      </c>
      <c r="B506" s="73" t="s">
        <v>94</v>
      </c>
      <c r="C506" s="73" t="s">
        <v>921</v>
      </c>
      <c r="D506" s="27" t="s">
        <v>922</v>
      </c>
    </row>
    <row r="507" spans="1:4" x14ac:dyDescent="0.25">
      <c r="A507" s="73" t="s">
        <v>916</v>
      </c>
      <c r="B507" s="73" t="s">
        <v>94</v>
      </c>
      <c r="C507" s="73" t="s">
        <v>919</v>
      </c>
      <c r="D507" s="27" t="s">
        <v>920</v>
      </c>
    </row>
    <row r="508" spans="1:4" x14ac:dyDescent="0.25">
      <c r="A508" s="73" t="s">
        <v>916</v>
      </c>
      <c r="B508" s="73" t="s">
        <v>94</v>
      </c>
      <c r="C508" s="73" t="s">
        <v>917</v>
      </c>
      <c r="D508" s="27" t="s">
        <v>918</v>
      </c>
    </row>
    <row r="509" spans="1:4" x14ac:dyDescent="0.25">
      <c r="A509" s="73" t="s">
        <v>916</v>
      </c>
      <c r="B509" s="73" t="s">
        <v>94</v>
      </c>
      <c r="C509" s="73" t="s">
        <v>923</v>
      </c>
      <c r="D509" s="27" t="s">
        <v>924</v>
      </c>
    </row>
    <row r="510" spans="1:4" x14ac:dyDescent="0.25">
      <c r="A510" s="73" t="s">
        <v>916</v>
      </c>
      <c r="B510" s="73" t="s">
        <v>94</v>
      </c>
      <c r="C510" s="73" t="s">
        <v>926</v>
      </c>
      <c r="D510" s="27" t="s">
        <v>1039</v>
      </c>
    </row>
    <row r="511" spans="1:4" x14ac:dyDescent="0.25">
      <c r="A511" s="73" t="s">
        <v>916</v>
      </c>
      <c r="B511" s="73" t="s">
        <v>94</v>
      </c>
      <c r="C511" s="73" t="s">
        <v>925</v>
      </c>
      <c r="D511" s="27" t="s">
        <v>1040</v>
      </c>
    </row>
    <row r="512" spans="1:4" x14ac:dyDescent="0.25">
      <c r="A512" s="73" t="s">
        <v>97</v>
      </c>
      <c r="B512" s="73" t="s">
        <v>94</v>
      </c>
      <c r="C512" s="73" t="s">
        <v>927</v>
      </c>
      <c r="D512" s="27" t="s">
        <v>1041</v>
      </c>
    </row>
    <row r="513" spans="1:4" x14ac:dyDescent="0.25">
      <c r="A513" s="73" t="s">
        <v>97</v>
      </c>
      <c r="B513" s="73" t="s">
        <v>94</v>
      </c>
      <c r="C513" s="73" t="s">
        <v>932</v>
      </c>
      <c r="D513" s="27" t="s">
        <v>933</v>
      </c>
    </row>
    <row r="514" spans="1:4" x14ac:dyDescent="0.25">
      <c r="A514" s="73" t="s">
        <v>97</v>
      </c>
      <c r="B514" s="73" t="s">
        <v>94</v>
      </c>
      <c r="C514" s="73" t="s">
        <v>930</v>
      </c>
      <c r="D514" s="27" t="s">
        <v>931</v>
      </c>
    </row>
    <row r="515" spans="1:4" x14ac:dyDescent="0.25">
      <c r="A515" s="73" t="s">
        <v>97</v>
      </c>
      <c r="B515" s="73" t="s">
        <v>94</v>
      </c>
      <c r="C515" s="73" t="s">
        <v>928</v>
      </c>
      <c r="D515" s="27" t="s">
        <v>929</v>
      </c>
    </row>
    <row r="516" spans="1:4" x14ac:dyDescent="0.25">
      <c r="A516" s="73" t="s">
        <v>98</v>
      </c>
      <c r="B516" s="73" t="s">
        <v>94</v>
      </c>
      <c r="C516" s="73" t="s">
        <v>882</v>
      </c>
      <c r="D516" s="27" t="s">
        <v>751</v>
      </c>
    </row>
    <row r="517" spans="1:4" x14ac:dyDescent="0.25">
      <c r="A517" s="73" t="s">
        <v>98</v>
      </c>
      <c r="B517" s="73" t="s">
        <v>94</v>
      </c>
      <c r="C517" s="73" t="s">
        <v>884</v>
      </c>
      <c r="D517" s="27" t="s">
        <v>1078</v>
      </c>
    </row>
    <row r="518" spans="1:4" x14ac:dyDescent="0.25">
      <c r="A518" s="73" t="s">
        <v>98</v>
      </c>
      <c r="B518" s="73" t="s">
        <v>94</v>
      </c>
      <c r="C518" s="73" t="s">
        <v>881</v>
      </c>
      <c r="D518" s="27" t="s">
        <v>1220</v>
      </c>
    </row>
    <row r="519" spans="1:4" x14ac:dyDescent="0.25">
      <c r="A519" s="73" t="s">
        <v>98</v>
      </c>
      <c r="B519" s="73" t="s">
        <v>94</v>
      </c>
      <c r="C519" s="73" t="s">
        <v>883</v>
      </c>
      <c r="D519" s="27" t="s">
        <v>1221</v>
      </c>
    </row>
    <row r="520" spans="1:4" x14ac:dyDescent="0.25">
      <c r="A520" s="73" t="s">
        <v>98</v>
      </c>
      <c r="B520" s="73" t="s">
        <v>94</v>
      </c>
      <c r="C520" s="73" t="s">
        <v>885</v>
      </c>
      <c r="D520" s="27" t="s">
        <v>1222</v>
      </c>
    </row>
    <row r="521" spans="1:4" x14ac:dyDescent="0.25">
      <c r="A521" s="73" t="s">
        <v>95</v>
      </c>
      <c r="B521" s="73" t="s">
        <v>94</v>
      </c>
      <c r="C521" s="73" t="s">
        <v>880</v>
      </c>
      <c r="D521" s="27" t="s">
        <v>806</v>
      </c>
    </row>
    <row r="522" spans="1:4" x14ac:dyDescent="0.25">
      <c r="A522" s="73" t="s">
        <v>95</v>
      </c>
      <c r="B522" s="73" t="s">
        <v>94</v>
      </c>
      <c r="C522" s="73" t="s">
        <v>878</v>
      </c>
      <c r="D522" s="27" t="s">
        <v>879</v>
      </c>
    </row>
    <row r="523" spans="1:4" x14ac:dyDescent="0.25">
      <c r="A523" s="73" t="s">
        <v>102</v>
      </c>
      <c r="B523" s="73" t="s">
        <v>94</v>
      </c>
      <c r="C523" s="73" t="s">
        <v>943</v>
      </c>
      <c r="D523" s="27" t="s">
        <v>944</v>
      </c>
    </row>
    <row r="524" spans="1:4" x14ac:dyDescent="0.25">
      <c r="A524" s="73" t="s">
        <v>102</v>
      </c>
      <c r="B524" s="73" t="s">
        <v>94</v>
      </c>
      <c r="C524" s="73" t="s">
        <v>949</v>
      </c>
      <c r="D524" s="27" t="s">
        <v>950</v>
      </c>
    </row>
    <row r="525" spans="1:4" x14ac:dyDescent="0.25">
      <c r="A525" s="73" t="s">
        <v>102</v>
      </c>
      <c r="B525" s="73" t="s">
        <v>94</v>
      </c>
      <c r="C525" s="73" t="s">
        <v>954</v>
      </c>
      <c r="D525" s="27" t="s">
        <v>955</v>
      </c>
    </row>
    <row r="526" spans="1:4" x14ac:dyDescent="0.25">
      <c r="A526" s="73" t="s">
        <v>102</v>
      </c>
      <c r="B526" s="73" t="s">
        <v>94</v>
      </c>
      <c r="C526" s="73" t="s">
        <v>946</v>
      </c>
      <c r="D526" s="27" t="s">
        <v>1195</v>
      </c>
    </row>
    <row r="527" spans="1:4" x14ac:dyDescent="0.25">
      <c r="A527" s="73" t="s">
        <v>102</v>
      </c>
      <c r="B527" s="73" t="s">
        <v>94</v>
      </c>
      <c r="C527" s="73" t="s">
        <v>951</v>
      </c>
      <c r="D527" s="27" t="s">
        <v>952</v>
      </c>
    </row>
    <row r="528" spans="1:4" x14ac:dyDescent="0.25">
      <c r="A528" s="73" t="s">
        <v>102</v>
      </c>
      <c r="B528" s="73" t="s">
        <v>94</v>
      </c>
      <c r="C528" s="73" t="s">
        <v>945</v>
      </c>
      <c r="D528" s="27" t="s">
        <v>1262</v>
      </c>
    </row>
    <row r="529" spans="1:4" x14ac:dyDescent="0.25">
      <c r="A529" s="73" t="s">
        <v>102</v>
      </c>
      <c r="B529" s="73" t="s">
        <v>94</v>
      </c>
      <c r="C529" s="73" t="s">
        <v>953</v>
      </c>
      <c r="D529" s="27" t="s">
        <v>1196</v>
      </c>
    </row>
    <row r="530" spans="1:4" x14ac:dyDescent="0.25">
      <c r="A530" s="73" t="s">
        <v>102</v>
      </c>
      <c r="B530" s="73" t="s">
        <v>94</v>
      </c>
      <c r="C530" s="73" t="s">
        <v>947</v>
      </c>
      <c r="D530" s="27" t="s">
        <v>948</v>
      </c>
    </row>
    <row r="531" spans="1:4" x14ac:dyDescent="0.25">
      <c r="A531" s="73" t="s">
        <v>1223</v>
      </c>
      <c r="B531" s="73" t="s">
        <v>94</v>
      </c>
      <c r="C531" s="73" t="s">
        <v>939</v>
      </c>
      <c r="D531" s="27" t="s">
        <v>940</v>
      </c>
    </row>
    <row r="532" spans="1:4" x14ac:dyDescent="0.25">
      <c r="A532" s="73" t="s">
        <v>1223</v>
      </c>
      <c r="B532" s="73" t="s">
        <v>94</v>
      </c>
      <c r="C532" s="73" t="s">
        <v>942</v>
      </c>
      <c r="D532" s="27" t="s">
        <v>1224</v>
      </c>
    </row>
    <row r="533" spans="1:4" x14ac:dyDescent="0.25">
      <c r="A533" s="73" t="s">
        <v>1223</v>
      </c>
      <c r="B533" s="73" t="s">
        <v>94</v>
      </c>
      <c r="C533" s="73" t="s">
        <v>941</v>
      </c>
      <c r="D533" s="27" t="s">
        <v>1079</v>
      </c>
    </row>
    <row r="534" spans="1:4" x14ac:dyDescent="0.25">
      <c r="A534" s="73" t="s">
        <v>101</v>
      </c>
      <c r="B534" s="73" t="s">
        <v>94</v>
      </c>
      <c r="C534" s="73" t="s">
        <v>937</v>
      </c>
      <c r="D534" s="27" t="s">
        <v>938</v>
      </c>
    </row>
    <row r="535" spans="1:4" x14ac:dyDescent="0.25">
      <c r="A535" s="73" t="s">
        <v>101</v>
      </c>
      <c r="B535" s="73" t="s">
        <v>94</v>
      </c>
      <c r="C535" s="73" t="s">
        <v>934</v>
      </c>
      <c r="D535" s="27" t="s">
        <v>1080</v>
      </c>
    </row>
    <row r="536" spans="1:4" x14ac:dyDescent="0.25">
      <c r="A536" s="73" t="s">
        <v>101</v>
      </c>
      <c r="B536" s="73" t="s">
        <v>94</v>
      </c>
      <c r="C536" s="73" t="s">
        <v>935</v>
      </c>
      <c r="D536" s="27" t="s">
        <v>936</v>
      </c>
    </row>
    <row r="537" spans="1:4" x14ac:dyDescent="0.25">
      <c r="A537" s="73" t="s">
        <v>101</v>
      </c>
      <c r="B537" s="73" t="s">
        <v>94</v>
      </c>
      <c r="C537" s="73" t="s">
        <v>1125</v>
      </c>
      <c r="D537" s="27" t="s">
        <v>1263</v>
      </c>
    </row>
    <row r="538" spans="1:4" x14ac:dyDescent="0.25">
      <c r="A538" s="73" t="s">
        <v>99</v>
      </c>
      <c r="B538" s="73" t="s">
        <v>94</v>
      </c>
      <c r="C538" s="73" t="s">
        <v>909</v>
      </c>
      <c r="D538" s="27" t="s">
        <v>910</v>
      </c>
    </row>
    <row r="539" spans="1:4" x14ac:dyDescent="0.25">
      <c r="A539" s="73" t="s">
        <v>99</v>
      </c>
      <c r="B539" s="73" t="s">
        <v>94</v>
      </c>
      <c r="C539" s="73" t="s">
        <v>911</v>
      </c>
      <c r="D539" s="27" t="s">
        <v>912</v>
      </c>
    </row>
    <row r="540" spans="1:4" x14ac:dyDescent="0.25">
      <c r="A540" s="73" t="s">
        <v>99</v>
      </c>
      <c r="B540" s="73" t="s">
        <v>94</v>
      </c>
      <c r="C540" s="73" t="s">
        <v>913</v>
      </c>
      <c r="D540" s="27" t="s">
        <v>914</v>
      </c>
    </row>
    <row r="541" spans="1:4" x14ac:dyDescent="0.25">
      <c r="A541" s="73" t="s">
        <v>99</v>
      </c>
      <c r="B541" s="73" t="s">
        <v>94</v>
      </c>
      <c r="C541" s="73" t="s">
        <v>915</v>
      </c>
      <c r="D541" s="27" t="s">
        <v>1264</v>
      </c>
    </row>
    <row r="542" spans="1:4" x14ac:dyDescent="0.25">
      <c r="A542" s="73" t="s">
        <v>100</v>
      </c>
      <c r="B542" s="73" t="s">
        <v>94</v>
      </c>
      <c r="C542" s="73" t="s">
        <v>904</v>
      </c>
      <c r="D542" s="27" t="s">
        <v>905</v>
      </c>
    </row>
    <row r="543" spans="1:4" x14ac:dyDescent="0.25">
      <c r="A543" s="73" t="s">
        <v>100</v>
      </c>
      <c r="B543" s="73" t="s">
        <v>94</v>
      </c>
      <c r="C543" s="73" t="s">
        <v>902</v>
      </c>
      <c r="D543" s="27" t="s">
        <v>903</v>
      </c>
    </row>
    <row r="544" spans="1:4" x14ac:dyDescent="0.25">
      <c r="A544" s="73" t="s">
        <v>100</v>
      </c>
      <c r="B544" s="73" t="s">
        <v>94</v>
      </c>
      <c r="C544" s="73" t="s">
        <v>900</v>
      </c>
      <c r="D544" s="27" t="s">
        <v>901</v>
      </c>
    </row>
    <row r="545" spans="1:4" x14ac:dyDescent="0.25">
      <c r="A545" s="73" t="s">
        <v>100</v>
      </c>
      <c r="B545" s="73" t="s">
        <v>94</v>
      </c>
      <c r="C545" s="73" t="s">
        <v>907</v>
      </c>
      <c r="D545" s="27" t="s">
        <v>908</v>
      </c>
    </row>
    <row r="546" spans="1:4" x14ac:dyDescent="0.25">
      <c r="A546" s="73" t="s">
        <v>100</v>
      </c>
      <c r="B546" s="73" t="s">
        <v>94</v>
      </c>
      <c r="C546" s="73" t="s">
        <v>906</v>
      </c>
      <c r="D546" s="27" t="s">
        <v>1042</v>
      </c>
    </row>
  </sheetData>
  <conditionalFormatting sqref="C230:C237">
    <cfRule type="duplicateValues" dxfId="14" priority="12"/>
    <cfRule type="duplicateValues" dxfId="13" priority="13"/>
  </conditionalFormatting>
  <conditionalFormatting sqref="C238:C248">
    <cfRule type="duplicateValues" dxfId="12" priority="10"/>
    <cfRule type="duplicateValues" dxfId="11" priority="11"/>
  </conditionalFormatting>
  <conditionalFormatting sqref="C249:C256">
    <cfRule type="duplicateValues" dxfId="10" priority="8"/>
    <cfRule type="duplicateValues" dxfId="9" priority="9"/>
  </conditionalFormatting>
  <conditionalFormatting sqref="C257:C261">
    <cfRule type="duplicateValues" dxfId="8" priority="6"/>
    <cfRule type="duplicateValues" dxfId="7" priority="7"/>
  </conditionalFormatting>
  <conditionalFormatting sqref="C262:C269">
    <cfRule type="duplicateValues" dxfId="6" priority="4"/>
    <cfRule type="duplicateValues" dxfId="5" priority="5"/>
  </conditionalFormatting>
  <conditionalFormatting sqref="C270:C279">
    <cfRule type="duplicateValues" dxfId="4" priority="2"/>
    <cfRule type="duplicateValues" dxfId="3" priority="3"/>
  </conditionalFormatting>
  <conditionalFormatting sqref="C280:C291">
    <cfRule type="duplicateValues" dxfId="2" priority="14"/>
    <cfRule type="duplicateValues" dxfId="1" priority="15"/>
  </conditionalFormatting>
  <conditionalFormatting sqref="C308:C3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Dealer Wise</vt:lpstr>
      <vt:lpstr>Sheet2</vt:lpstr>
      <vt:lpstr>Region Wise</vt:lpstr>
      <vt:lpstr>Zone Wise</vt:lpstr>
      <vt:lpstr>DSR</vt:lpstr>
      <vt:lpstr>JAN+FEB+MAR+MAY+JUNE</vt:lpstr>
      <vt:lpstr>JAN+FEB+MAY+JUNE 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Tarif Nabi Huda</dc:creator>
  <cp:lastModifiedBy>Md. Arifur Rahman</cp:lastModifiedBy>
  <cp:lastPrinted>2019-03-28T13:43:59Z</cp:lastPrinted>
  <dcterms:created xsi:type="dcterms:W3CDTF">2018-02-20T04:51:28Z</dcterms:created>
  <dcterms:modified xsi:type="dcterms:W3CDTF">2020-07-29T16:56:41Z</dcterms:modified>
</cp:coreProperties>
</file>